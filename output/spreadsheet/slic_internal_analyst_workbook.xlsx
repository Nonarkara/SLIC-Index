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_Sheets_Guide" sheetId="1" state="visible" r:id="rId1"/>
    <sheet xmlns:r="http://schemas.openxmlformats.org/officeDocument/2006/relationships" name="Source_Coverage" sheetId="2" state="visible" r:id="rId2"/>
    <sheet xmlns:r="http://schemas.openxmlformats.org/officeDocument/2006/relationships" name="README" sheetId="3" state="visible" r:id="rId3"/>
    <sheet xmlns:r="http://schemas.openxmlformats.org/officeDocument/2006/relationships" name="Metric_Catalog" sheetId="4" state="visible" r:id="rId4"/>
    <sheet xmlns:r="http://schemas.openxmlformats.org/officeDocument/2006/relationships" name="City_Universe" sheetId="5" state="visible" r:id="rId5"/>
    <sheet xmlns:r="http://schemas.openxmlformats.org/officeDocument/2006/relationships" name="Country_Context" sheetId="6" state="visible" r:id="rId6"/>
    <sheet xmlns:r="http://schemas.openxmlformats.org/officeDocument/2006/relationships" name="City_Inputs" sheetId="7" state="visible" r:id="rId7"/>
    <sheet xmlns:r="http://schemas.openxmlformats.org/officeDocument/2006/relationships" name="Norm_Stats" sheetId="8" state="visible" r:id="rId8"/>
    <sheet xmlns:r="http://schemas.openxmlformats.org/officeDocument/2006/relationships" name="Scores" sheetId="9" state="visible" r:id="rId9"/>
    <sheet xmlns:r="http://schemas.openxmlformats.org/officeDocument/2006/relationships" name="Leaderboard" sheetId="10" state="visible" r:id="rId10"/>
    <sheet xmlns:r="http://schemas.openxmlformats.org/officeDocument/2006/relationships" name="Region_Comparison" sheetId="11" state="visible" r:id="rId11"/>
    <sheet xmlns:r="http://schemas.openxmlformats.org/officeDocument/2006/relationships" name="Thai_Ranking_Scaffold" sheetId="12" state="visible" r:id="rId12"/>
    <sheet xmlns:r="http://schemas.openxmlformats.org/officeDocument/2006/relationships" name="Providers_Registry" sheetId="13" state="visible" r:id="rId13"/>
    <sheet xmlns:r="http://schemas.openxmlformats.org/officeDocument/2006/relationships" name="Field_Source_Guide" sheetId="14" state="visible" r:id="rId14"/>
    <sheet xmlns:r="http://schemas.openxmlformats.org/officeDocument/2006/relationships" name="City_Source_Playbook" sheetId="15" state="visible" r:id="rId15"/>
    <sheet xmlns:r="http://schemas.openxmlformats.org/officeDocument/2006/relationships" name="Country_Source_Rows" sheetId="16" state="visible" r:id="rId16"/>
    <sheet xmlns:r="http://schemas.openxmlformats.org/officeDocument/2006/relationships" name="City_Source_Rows" sheetId="17" state="visible" r:id="rId17"/>
    <sheet xmlns:r="http://schemas.openxmlformats.org/officeDocument/2006/relationships" name="Economist_Reference" sheetId="18" state="visible" r:id="rId18"/>
    <sheet xmlns:r="http://schemas.openxmlformats.org/officeDocument/2006/relationships" name="Economist_Match_Review" sheetId="19" state="visible" r:id="rId19"/>
  </sheets>
  <definedNames>
    <definedName name="_xlnm._FilterDatabase" localSheetId="3" hidden="1">'Metric_Catalog'!$A$1:$M$25</definedName>
    <definedName name="_xlnm._FilterDatabase" localSheetId="4" hidden="1">'City_Universe'!$A$1:$H$103</definedName>
    <definedName name="_xlnm._FilterDatabase" localSheetId="5" hidden="1">'Country_Context'!$A$1:$K$64</definedName>
    <definedName name="_xlnm._FilterDatabase" localSheetId="6" hidden="1">'City_Inputs'!$A$1:$BH$103</definedName>
    <definedName name="_xlnm._FilterDatabase" localSheetId="7" hidden="1">'Norm_Stats'!$A$1:$H$24</definedName>
    <definedName name="_xlnm._FilterDatabase" localSheetId="8" hidden="1">'Scores'!$A$1:$BJ$103</definedName>
    <definedName name="_xlnm._FilterDatabase" localSheetId="9" hidden="1">'Leaderboard'!$A$1:$N$156</definedName>
    <definedName name="_xlnm._FilterDatabase" localSheetId="10" hidden="1">'Region_Comparison'!$A$1:$G$11</definedName>
    <definedName name="_xlnm._FilterDatabase" localSheetId="11" hidden="1">'Thai_Ranking_Scaffold'!$A$1:$N$12</definedName>
    <definedName name="_xlnm._FilterDatabase" localSheetId="12" hidden="1">'Providers_Registry'!$A$1:$H$26</definedName>
    <definedName name="_xlnm._FilterDatabase" localSheetId="13" hidden="1">'Field_Source_Guide'!$A$1:$H$27</definedName>
    <definedName name="_xlnm._FilterDatabase" localSheetId="14" hidden="1">'City_Source_Playbook'!$A$1:$M$53</definedName>
    <definedName name="_xlnm._FilterDatabase" localSheetId="15" hidden="1">'Country_Source_Rows'!$A$1:$K$379</definedName>
    <definedName name="_xlnm._FilterDatabase" localSheetId="16" hidden="1">'City_Source_Rows'!$A$1:$N$2653</definedName>
    <definedName name="_xlnm._FilterDatabase" localSheetId="17" hidden="1">'Economist_Reference'!$A$1:$M$82</definedName>
    <definedName name="_xlnm._FilterDatabase" localSheetId="18" hidden="1">'Economist_Match_Review'!$A$1:$P$64</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5">
    <font>
      <name val="Calibri"/>
      <family val="2"/>
      <color theme="1"/>
      <sz val="11"/>
      <scheme val="minor"/>
    </font>
    <font>
      <b val="1"/>
      <color rgb="001F2933"/>
      <sz val="14"/>
    </font>
    <font>
      <b val="1"/>
      <color rgb="001F2933"/>
    </font>
    <font>
      <b val="1"/>
      <color rgb="00FFFFFF"/>
    </font>
    <font>
      <b val="1"/>
    </font>
  </fonts>
  <fills count="11">
    <fill>
      <patternFill/>
    </fill>
    <fill>
      <patternFill patternType="gray125"/>
    </fill>
    <fill>
      <patternFill patternType="solid">
        <fgColor rgb="00EEF2F5"/>
      </patternFill>
    </fill>
    <fill>
      <patternFill patternType="solid">
        <fgColor rgb="00F5F7FA"/>
      </patternFill>
    </fill>
    <fill>
      <patternFill patternType="solid">
        <fgColor rgb="00D9E2EC"/>
      </patternFill>
    </fill>
    <fill>
      <patternFill patternType="solid">
        <fgColor rgb="00E8F1FF"/>
      </patternFill>
    </fill>
    <fill>
      <patternFill patternType="solid">
        <fgColor rgb="00F3F0FF"/>
      </patternFill>
    </fill>
    <fill>
      <patternFill patternType="solid">
        <fgColor rgb="00E8F7F1"/>
      </patternFill>
    </fill>
    <fill>
      <patternFill patternType="solid">
        <fgColor rgb="000F2B60"/>
      </patternFill>
    </fill>
    <fill>
      <patternFill patternType="solid">
        <fgColor rgb="00F7FAFC"/>
      </patternFill>
    </fill>
    <fill>
      <patternFill patternType="solid">
        <fgColor rgb="00EAF2FF"/>
      </patternFill>
    </fill>
  </fills>
  <borders count="2">
    <border>
      <left/>
      <right/>
      <top/>
      <bottom/>
      <diagonal/>
    </border>
    <border>
      <bottom style="thin">
        <color rgb="00CBD2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2" fillId="3" borderId="0" pivotButton="0" quotePrefix="0" xfId="0"/>
    <xf numFmtId="9" fontId="0" fillId="0" borderId="0" pivotButton="0" quotePrefix="0" xfId="0"/>
    <xf numFmtId="0" fontId="2" fillId="4" borderId="1" applyAlignment="1" pivotButton="0" quotePrefix="0" xfId="0">
      <alignment vertical="top" wrapText="1"/>
    </xf>
    <xf numFmtId="164" fontId="0" fillId="0" borderId="0" pivotButton="0" quotePrefix="0" xfId="0"/>
    <xf numFmtId="165" fontId="0" fillId="0" borderId="0" pivotButton="0" quotePrefix="0" xfId="0"/>
    <xf numFmtId="0" fontId="0" fillId="3"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166" fontId="0" fillId="6" borderId="0" applyAlignment="1" pivotButton="0" quotePrefix="0" xfId="0">
      <alignment vertical="top" wrapText="1"/>
    </xf>
    <xf numFmtId="0" fontId="1" fillId="2" borderId="0" pivotButton="0" quotePrefix="0" xfId="0"/>
    <xf numFmtId="0" fontId="3" fillId="8" borderId="0" pivotButton="0" quotePrefix="0" xfId="0"/>
    <xf numFmtId="0" fontId="4" fillId="9" borderId="0" pivotButton="0" quotePrefix="0" xfId="0"/>
    <xf numFmtId="0" fontId="4"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36" customWidth="1" min="1" max="1"/>
    <col width="112" customWidth="1" min="2" max="2"/>
  </cols>
  <sheetData>
    <row r="1">
      <c r="A1" s="17" t="inlineStr">
        <is>
          <t>SLIC Google Sheets Template</t>
        </is>
      </c>
    </row>
    <row r="2">
      <c r="A2" s="18" t="inlineStr">
        <is>
          <t>Import this workbook into Google Sheets to collect trusted source inputs, inspect formulas, and rerank transparently.</t>
        </is>
      </c>
    </row>
    <row r="3">
      <c r="A3" s="18" t="inlineStr">
        <is>
          <t>Current verified-source completion</t>
        </is>
      </c>
      <c r="B3" t="inlineStr">
        <is>
          <t>country values=359/378, city values=8/2652</t>
        </is>
      </c>
    </row>
    <row r="4">
      <c r="A4" s="18" t="inlineStr">
        <is>
          <t>What to edit</t>
        </is>
      </c>
      <c r="B4" t="inlineStr">
        <is>
          <t>Country_Context and City_Inputs</t>
        </is>
      </c>
    </row>
    <row r="5">
      <c r="A5" s="18" t="inlineStr">
        <is>
          <t>What not to overwrite</t>
        </is>
      </c>
      <c r="B5" t="inlineStr">
        <is>
          <t>Keep formulas intact in Norm_Stats, Scores, and Leaderboard so the board recalculates correctly.</t>
        </is>
      </c>
    </row>
    <row r="6">
      <c r="A6" s="18" t="inlineStr">
        <is>
          <t>Trusted source policy</t>
        </is>
      </c>
      <c r="B6" t="inlineStr">
        <is>
          <t>Every filled value should keep a visible source URL, source tier, source date, and note trail.</t>
        </is>
      </c>
    </row>
    <row r="7">
      <c r="A7" s="18" t="inlineStr">
        <is>
          <t>Provider registry</t>
        </is>
      </c>
      <c r="B7" t="inlineStr">
        <is>
          <t>Use Providers_Registry as the starter reference for approved source families and tiers.</t>
        </is>
      </c>
    </row>
    <row r="8">
      <c r="A8" s="18" t="inlineStr">
        <is>
          <t>Raw audit tabs</t>
        </is>
      </c>
      <c r="B8" t="inlineStr">
        <is>
          <t>Country_Source_Rows and City_Source_Rows mirror the verified-source CSV pack so the collection workflow stays auditable.</t>
        </is>
      </c>
    </row>
    <row r="9">
      <c r="A9" s="18" t="inlineStr">
        <is>
          <t>Source guide tabs</t>
        </is>
      </c>
      <c r="B9" t="inlineStr">
        <is>
          <t>Field_Source_Guide sets the preferred evidence for each city metric, and City_Source_Playbook adds curated city-specific starting points such as Milan and Bologna.</t>
        </is>
      </c>
    </row>
    <row r="10">
      <c r="A10" s="18" t="inlineStr">
        <is>
          <t>Publishing rule</t>
        </is>
      </c>
      <c r="B10" t="inlineStr">
        <is>
          <t>Only publish rankings after the verified source pack yields ranked rows and the audit passes.</t>
        </is>
      </c>
    </row>
    <row r="12">
      <c r="A12" s="19" t="inlineStr">
        <is>
          <t>Current validation issues</t>
        </is>
      </c>
    </row>
    <row r="13">
      <c r="A13" t="inlineStr">
        <is>
          <t>No source-pack validation issues currently detected.</t>
        </is>
      </c>
    </row>
    <row r="15">
      <c r="A15" s="19" t="inlineStr">
        <is>
          <t>Suggested workflow</t>
        </is>
      </c>
    </row>
    <row r="16">
      <c r="A16" t="inlineStr">
        <is>
          <t>1. Fill country context rows first from official sources.</t>
        </is>
      </c>
    </row>
    <row r="17">
      <c r="A17" t="inlineStr">
        <is>
          <t>2. Use Field_Source_Guide and City_Source_Playbook before touching City_Source_Rows.</t>
        </is>
      </c>
    </row>
    <row r="18">
      <c r="A18" t="inlineStr">
        <is>
          <t>3. Fill city inputs with source URLs and dates attached to each pillar trail.</t>
        </is>
      </c>
    </row>
    <row r="19">
      <c r="A19" t="inlineStr">
        <is>
          <t>4. Re-import or keep editing in Google Sheets until the Leaderboard starts producing ranked rows.</t>
        </is>
      </c>
    </row>
    <row r="20">
      <c r="A20" t="inlineStr">
        <is>
          <t>5. Sync the same values back into the verified-source CSV pack for build-time publication.</t>
        </is>
      </c>
    </row>
    <row r="22">
      <c r="A22" s="19" t="inlineStr">
        <is>
          <t>Internal reference layer</t>
        </is>
      </c>
    </row>
    <row r="23">
      <c r="A23" s="19" t="inlineStr">
        <is>
          <t>Economist_Reference</t>
        </is>
      </c>
      <c r="B23" t="inlineStr">
        <is>
          <t>Auto-extracted from The World in Numbers PDF for analyst speed only. Do not treat these values as publishable scoring inputs.</t>
        </is>
      </c>
    </row>
    <row r="24">
      <c r="A24" s="19" t="inlineStr">
        <is>
          <t>Economist_Match_Review</t>
        </is>
      </c>
      <c r="B24" t="inlineStr">
        <is>
          <t>One review row per SLIC country. Promote nothing automatically into Country_Context; every value still needs a trusted non-reference source.</t>
        </is>
      </c>
    </row>
    <row r="25">
      <c r="A25" s="19" t="inlineStr">
        <is>
          <t>Reference-only provider rule</t>
        </is>
      </c>
      <c r="B25" t="inlineStr">
        <is>
          <t>economist_world_in_numbers is Tier 4 and reference_only=true, so it cannot make the public ranking publishable on its own.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4" customWidth="1" min="4" max="4"/>
  </cols>
  <sheetData>
    <row r="1">
      <c r="A1" s="17" t="inlineStr">
        <is>
          <t>Source Coverage Dashboard</t>
        </is>
      </c>
    </row>
    <row r="3">
      <c r="A3" s="19" t="inlineStr">
        <is>
          <t>Overall</t>
        </is>
      </c>
    </row>
    <row r="4">
      <c r="A4" s="18" t="inlineStr">
        <is>
          <t>Metric</t>
        </is>
      </c>
      <c r="B4" s="18" t="inlineStr">
        <is>
          <t>Filled</t>
        </is>
      </c>
      <c r="C4" s="18" t="inlineStr">
        <is>
          <t>Total</t>
        </is>
      </c>
      <c r="D4" s="18" t="inlineStr">
        <is>
          <t>Completion</t>
        </is>
      </c>
    </row>
    <row r="5">
      <c r="A5" t="inlineStr">
        <is>
          <t>Country_Context completion</t>
        </is>
      </c>
      <c r="B5" t="n">
        <v>359</v>
      </c>
      <c r="C5" t="n">
        <v>378</v>
      </c>
      <c r="D5" t="inlineStr">
        <is>
          <t>95.0%</t>
        </is>
      </c>
    </row>
    <row r="6">
      <c r="A6" t="inlineStr">
        <is>
          <t>City_Inputs completion</t>
        </is>
      </c>
      <c r="B6" t="n">
        <v>8</v>
      </c>
      <c r="C6" t="n">
        <v>2652</v>
      </c>
      <c r="D6" t="inlineStr">
        <is>
          <t>0.3%</t>
        </is>
      </c>
    </row>
    <row r="7">
      <c r="A7" t="inlineStr">
        <is>
          <t>Curated city playbook rows</t>
        </is>
      </c>
      <c r="B7" t="n">
        <v>52</v>
      </c>
      <c r="C7" t="n">
        <v>52</v>
      </c>
      <c r="D7" t="inlineStr">
        <is>
          <t>100.0%</t>
        </is>
      </c>
    </row>
    <row r="8">
      <c r="A8" t="inlineStr">
        <is>
          <t>Current city universe</t>
        </is>
      </c>
      <c r="B8" t="n">
        <v>102</v>
      </c>
      <c r="C8" t="n">
        <v>102</v>
      </c>
      <c r="D8" t="inlineStr">
        <is>
          <t>100.0%</t>
        </is>
      </c>
    </row>
    <row r="11">
      <c r="A11" s="19" t="inlineStr">
        <is>
          <t>Country Field Coverage</t>
        </is>
      </c>
    </row>
    <row r="12">
      <c r="A12" s="18" t="inlineStr">
        <is>
          <t>Field</t>
        </is>
      </c>
      <c r="B12" s="18" t="inlineStr">
        <is>
          <t>Filled</t>
        </is>
      </c>
      <c r="C12" s="18" t="inlineStr">
        <is>
          <t>Total</t>
        </is>
      </c>
      <c r="D12" s="18" t="inlineStr">
        <is>
          <t>Completion</t>
        </is>
      </c>
    </row>
    <row r="13">
      <c r="A13" t="inlineStr">
        <is>
          <t>GDP per capita (PPP)</t>
        </is>
      </c>
      <c r="B13" t="n">
        <v>62</v>
      </c>
      <c r="C13" t="n">
        <v>63</v>
      </c>
      <c r="D13" t="inlineStr">
        <is>
          <t>98.4%</t>
        </is>
      </c>
    </row>
    <row r="14">
      <c r="A14" t="inlineStr">
        <is>
          <t>GDP growth</t>
        </is>
      </c>
      <c r="B14" t="n">
        <v>62</v>
      </c>
      <c r="C14" t="n">
        <v>63</v>
      </c>
      <c r="D14" t="inlineStr">
        <is>
          <t>98.4%</t>
        </is>
      </c>
    </row>
    <row r="15">
      <c r="A15" t="inlineStr">
        <is>
          <t>Gini coefficient</t>
        </is>
      </c>
      <c r="B15" t="n">
        <v>55</v>
      </c>
      <c r="C15" t="n">
        <v>63</v>
      </c>
      <c r="D15" t="inlineStr">
        <is>
          <t>87.3%</t>
        </is>
      </c>
    </row>
    <row r="16">
      <c r="A16" t="inlineStr">
        <is>
          <t>PPP private consumption factor</t>
        </is>
      </c>
      <c r="B16" t="n">
        <v>62</v>
      </c>
      <c r="C16" t="n">
        <v>63</v>
      </c>
      <c r="D16" t="inlineStr">
        <is>
          <t>98.4%</t>
        </is>
      </c>
    </row>
    <row r="17">
      <c r="A17" t="inlineStr">
        <is>
          <t>Tax rate assumption</t>
        </is>
      </c>
      <c r="B17" t="n">
        <v>57</v>
      </c>
      <c r="C17" t="n">
        <v>63</v>
      </c>
      <c r="D17" t="inlineStr">
        <is>
          <t>90.5%</t>
        </is>
      </c>
    </row>
    <row r="18">
      <c r="A18" t="inlineStr">
        <is>
          <t>Household debt proxy</t>
        </is>
      </c>
      <c r="B18" t="n">
        <v>61</v>
      </c>
      <c r="C18" t="n">
        <v>63</v>
      </c>
      <c r="D18" t="inlineStr">
        <is>
          <t>96.8%</t>
        </is>
      </c>
    </row>
    <row r="20">
      <c r="A20" s="19" t="inlineStr">
        <is>
          <t>Italy Spotlight</t>
        </is>
      </c>
    </row>
    <row r="21">
      <c r="A21" s="18" t="inlineStr">
        <is>
          <t>Target</t>
        </is>
      </c>
      <c r="B21" s="18" t="inlineStr">
        <is>
          <t>Filled</t>
        </is>
      </c>
      <c r="C21" s="18" t="inlineStr">
        <is>
          <t>Total</t>
        </is>
      </c>
      <c r="D21" s="18" t="inlineStr">
        <is>
          <t>Completion</t>
        </is>
      </c>
    </row>
    <row r="22">
      <c r="A22" t="inlineStr">
        <is>
          <t>Italy Country_Context</t>
        </is>
      </c>
      <c r="B22" t="n">
        <v>6</v>
      </c>
      <c r="C22" t="n">
        <v>6</v>
      </c>
      <c r="D22" t="inlineStr">
        <is>
          <t>100.0%</t>
        </is>
      </c>
    </row>
    <row r="23">
      <c r="A23" t="inlineStr">
        <is>
          <t>Milan City_Inputs</t>
        </is>
      </c>
      <c r="B23" t="n">
        <v>8</v>
      </c>
      <c r="C23" t="n">
        <v>26</v>
      </c>
      <c r="D23" t="inlineStr">
        <is>
          <t>30.8%</t>
        </is>
      </c>
    </row>
    <row r="24">
      <c r="A24" t="inlineStr">
        <is>
          <t>Bologna City_Inputs</t>
        </is>
      </c>
      <c r="B24" t="n">
        <v>0</v>
      </c>
      <c r="C24" t="n">
        <v>26</v>
      </c>
      <c r="D24" t="inlineStr">
        <is>
          <t>0.0%</t>
        </is>
      </c>
    </row>
    <row r="26">
      <c r="A26" s="19" t="inlineStr">
        <is>
          <t>City Field Coverage</t>
        </is>
      </c>
    </row>
    <row r="27">
      <c r="A27" s="18" t="inlineStr">
        <is>
          <t>Field</t>
        </is>
      </c>
      <c r="B27" s="18" t="inlineStr">
        <is>
          <t>Filled</t>
        </is>
      </c>
      <c r="C27" s="18" t="inlineStr">
        <is>
          <t>Total</t>
        </is>
      </c>
      <c r="D27" s="18" t="inlineStr">
        <is>
          <t>Completion</t>
        </is>
      </c>
    </row>
    <row r="28">
      <c r="A28" t="inlineStr">
        <is>
          <t>Gross income</t>
        </is>
      </c>
      <c r="B28" t="n">
        <v>1</v>
      </c>
      <c r="C28" t="n">
        <v>102</v>
      </c>
      <c r="D28" t="inlineStr">
        <is>
          <t>1.0%</t>
        </is>
      </c>
    </row>
    <row r="29">
      <c r="A29" t="inlineStr">
        <is>
          <t>Rent</t>
        </is>
      </c>
      <c r="B29" t="n">
        <v>0</v>
      </c>
      <c r="C29" t="n">
        <v>102</v>
      </c>
      <c r="D29" t="inlineStr">
        <is>
          <t>0.0%</t>
        </is>
      </c>
    </row>
    <row r="30">
      <c r="A30" t="inlineStr">
        <is>
          <t>Utilities</t>
        </is>
      </c>
      <c r="B30" t="n">
        <v>0</v>
      </c>
      <c r="C30" t="n">
        <v>102</v>
      </c>
      <c r="D30" t="inlineStr">
        <is>
          <t>0.0%</t>
        </is>
      </c>
    </row>
    <row r="31">
      <c r="A31" t="inlineStr">
        <is>
          <t>Transit cost</t>
        </is>
      </c>
      <c r="B31" t="n">
        <v>1</v>
      </c>
      <c r="C31" t="n">
        <v>102</v>
      </c>
      <c r="D31" t="inlineStr">
        <is>
          <t>1.0%</t>
        </is>
      </c>
    </row>
    <row r="32">
      <c r="A32" t="inlineStr">
        <is>
          <t>Internet cost</t>
        </is>
      </c>
      <c r="B32" t="n">
        <v>0</v>
      </c>
      <c r="C32" t="n">
        <v>102</v>
      </c>
      <c r="D32" t="inlineStr">
        <is>
          <t>0.0%</t>
        </is>
      </c>
    </row>
    <row r="33">
      <c r="A33" t="inlineStr">
        <is>
          <t>Food cost</t>
        </is>
      </c>
      <c r="B33" t="n">
        <v>0</v>
      </c>
      <c r="C33" t="n">
        <v>102</v>
      </c>
      <c r="D33" t="inlineStr">
        <is>
          <t>0.0%</t>
        </is>
      </c>
    </row>
    <row r="34">
      <c r="A34" t="inlineStr">
        <is>
          <t>Housing burden raw</t>
        </is>
      </c>
      <c r="B34" t="n">
        <v>0</v>
      </c>
      <c r="C34" t="n">
        <v>102</v>
      </c>
      <c r="D34" t="inlineStr">
        <is>
          <t>0.0%</t>
        </is>
      </c>
    </row>
    <row r="35">
      <c r="A35" t="inlineStr">
        <is>
          <t>Household debt burden raw</t>
        </is>
      </c>
      <c r="B35" t="n">
        <v>0</v>
      </c>
      <c r="C35" t="n">
        <v>102</v>
      </c>
      <c r="D35" t="inlineStr">
        <is>
          <t>0.0%</t>
        </is>
      </c>
    </row>
    <row r="36">
      <c r="A36" t="inlineStr">
        <is>
          <t>Working time pressure raw</t>
        </is>
      </c>
      <c r="B36" t="n">
        <v>0</v>
      </c>
      <c r="C36" t="n">
        <v>102</v>
      </c>
      <c r="D36" t="inlineStr">
        <is>
          <t>0.0%</t>
        </is>
      </c>
    </row>
    <row r="37">
      <c r="A37" t="inlineStr">
        <is>
          <t>Suicide or mental strain raw</t>
        </is>
      </c>
      <c r="B37" t="n">
        <v>0</v>
      </c>
      <c r="C37" t="n">
        <v>102</v>
      </c>
      <c r="D37" t="inlineStr">
        <is>
          <t>0.0%</t>
        </is>
      </c>
    </row>
    <row r="38">
      <c r="A38" t="inlineStr">
        <is>
          <t>Personal safety raw</t>
        </is>
      </c>
      <c r="B38" t="n">
        <v>1</v>
      </c>
      <c r="C38" t="n">
        <v>102</v>
      </c>
      <c r="D38" t="inlineStr">
        <is>
          <t>1.0%</t>
        </is>
      </c>
    </row>
    <row r="39">
      <c r="A39" t="inlineStr">
        <is>
          <t>Transit access and commute raw</t>
        </is>
      </c>
      <c r="B39" t="n">
        <v>1</v>
      </c>
      <c r="C39" t="n">
        <v>102</v>
      </c>
      <c r="D39" t="inlineStr">
        <is>
          <t>1.0%</t>
        </is>
      </c>
    </row>
    <row r="40">
      <c r="A40" t="inlineStr">
        <is>
          <t>Clean air raw</t>
        </is>
      </c>
      <c r="B40" t="n">
        <v>1</v>
      </c>
      <c r="C40" t="n">
        <v>102</v>
      </c>
      <c r="D40" t="inlineStr">
        <is>
          <t>1.0%</t>
        </is>
      </c>
    </row>
    <row r="41">
      <c r="A41" t="inlineStr">
        <is>
          <t>Water, sanitation, and utility raw</t>
        </is>
      </c>
      <c r="B41" t="n">
        <v>0</v>
      </c>
      <c r="C41" t="n">
        <v>102</v>
      </c>
      <c r="D41" t="inlineStr">
        <is>
          <t>0.0%</t>
        </is>
      </c>
    </row>
    <row r="42">
      <c r="A42" t="inlineStr">
        <is>
          <t>Digital infrastructure raw</t>
        </is>
      </c>
      <c r="B42" t="n">
        <v>0</v>
      </c>
      <c r="C42" t="n">
        <v>102</v>
      </c>
      <c r="D42" t="inlineStr">
        <is>
          <t>0.0%</t>
        </is>
      </c>
    </row>
    <row r="43">
      <c r="A43" t="inlineStr">
        <is>
          <t>Healthcare quality raw</t>
        </is>
      </c>
      <c r="B43" t="n">
        <v>1</v>
      </c>
      <c r="C43" t="n">
        <v>102</v>
      </c>
      <c r="D43" t="inlineStr">
        <is>
          <t>1.0%</t>
        </is>
      </c>
    </row>
    <row r="44">
      <c r="A44" t="inlineStr">
        <is>
          <t>Education quality raw</t>
        </is>
      </c>
      <c r="B44" t="n">
        <v>0</v>
      </c>
      <c r="C44" t="n">
        <v>102</v>
      </c>
      <c r="D44" t="inlineStr">
        <is>
          <t>0.0%</t>
        </is>
      </c>
    </row>
    <row r="45">
      <c r="A45" t="inlineStr">
        <is>
          <t>Equal opportunity raw</t>
        </is>
      </c>
      <c r="B45" t="n">
        <v>0</v>
      </c>
      <c r="C45" t="n">
        <v>102</v>
      </c>
      <c r="D45" t="inlineStr">
        <is>
          <t>0.0%</t>
        </is>
      </c>
    </row>
    <row r="46">
      <c r="A46" t="inlineStr">
        <is>
          <t>Hospitality and belonging raw</t>
        </is>
      </c>
      <c r="B46" t="n">
        <v>0</v>
      </c>
      <c r="C46" t="n">
        <v>102</v>
      </c>
      <c r="D46" t="inlineStr">
        <is>
          <t>0.0%</t>
        </is>
      </c>
    </row>
    <row r="47">
      <c r="A47" t="inlineStr">
        <is>
          <t>Tolerance and pluralism raw</t>
        </is>
      </c>
      <c r="B47" t="n">
        <v>0</v>
      </c>
      <c r="C47" t="n">
        <v>102</v>
      </c>
      <c r="D47" t="inlineStr">
        <is>
          <t>0.0%</t>
        </is>
      </c>
    </row>
    <row r="48">
      <c r="A48" t="inlineStr">
        <is>
          <t>Cultural public life raw</t>
        </is>
      </c>
      <c r="B48" t="n">
        <v>0</v>
      </c>
      <c r="C48" t="n">
        <v>102</v>
      </c>
      <c r="D48" t="inlineStr">
        <is>
          <t>0.0%</t>
        </is>
      </c>
    </row>
    <row r="49">
      <c r="A49" t="inlineStr">
        <is>
          <t>Entrepreneurial dynamism raw</t>
        </is>
      </c>
      <c r="B49" t="n">
        <v>1</v>
      </c>
      <c r="C49" t="n">
        <v>102</v>
      </c>
      <c r="D49" t="inlineStr">
        <is>
          <t>1.0%</t>
        </is>
      </c>
    </row>
    <row r="50">
      <c r="A50" t="inlineStr">
        <is>
          <t>Innovation and research raw</t>
        </is>
      </c>
      <c r="B50" t="n">
        <v>0</v>
      </c>
      <c r="C50" t="n">
        <v>102</v>
      </c>
      <c r="D50" t="inlineStr">
        <is>
          <t>0.0%</t>
        </is>
      </c>
    </row>
    <row r="51">
      <c r="A51" t="inlineStr">
        <is>
          <t>Investment signal raw</t>
        </is>
      </c>
      <c r="B51" t="n">
        <v>0</v>
      </c>
      <c r="C51" t="n">
        <v>102</v>
      </c>
      <c r="D51" t="inlineStr">
        <is>
          <t>0.0%</t>
        </is>
      </c>
    </row>
    <row r="52">
      <c r="A52" t="inlineStr">
        <is>
          <t>Administrative investment friction raw</t>
        </is>
      </c>
      <c r="B52" t="n">
        <v>0</v>
      </c>
      <c r="C52" t="n">
        <v>102</v>
      </c>
      <c r="D52" t="inlineStr">
        <is>
          <t>0.0%</t>
        </is>
      </c>
    </row>
    <row r="53">
      <c r="A53" t="inlineStr">
        <is>
          <t>Visitor flow context raw</t>
        </is>
      </c>
      <c r="B53" t="n">
        <v>1</v>
      </c>
      <c r="C53" t="n">
        <v>102</v>
      </c>
      <c r="D53" t="inlineStr">
        <is>
          <t>1.0%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4" customWidth="1" min="1" max="1"/>
    <col width="22" customWidth="1" min="2" max="2"/>
    <col width="22" customWidth="1" min="3" max="3"/>
    <col width="22" customWidth="1" min="4" max="4"/>
    <col width="22" customWidth="1" min="5" max="5"/>
    <col width="22" customWidth="1" min="6" max="6"/>
  </cols>
  <sheetData>
    <row r="1">
      <c r="A1" s="1" t="inlineStr">
        <is>
          <t>SLIC Scoring Workbook</t>
        </is>
      </c>
    </row>
    <row r="3">
      <c r="A3" s="2" t="inlineStr">
        <is>
          <t>Purpose</t>
        </is>
      </c>
      <c r="B3" s="3" t="inlineStr">
        <is>
          <t>This workbook is the operational source of truth for the global SLIC city ranking. Enter or import data into Country_Context and City_Inputs, then review Scores, Leaderboard, Region_Comparison, and the Thai-specific scaffold.</t>
        </is>
      </c>
    </row>
    <row r="4">
      <c r="A4" s="2" t="inlineStr">
        <is>
          <t>Official formula</t>
        </is>
      </c>
      <c r="B4" s="3" t="inlineStr">
        <is>
          <t>SLIC(c) = 0.25 Pressure + 0.22 DailyViability + 0.18 HumanCapability + 0.15 Community + 0.20 CreativeVitality</t>
        </is>
      </c>
    </row>
    <row r="5">
      <c r="A5" s="2" t="inlineStr">
        <is>
          <t>Disposable income term</t>
        </is>
      </c>
      <c r="B5" s="3" t="inlineStr">
        <is>
          <t>DI_ppp = ((gross_income x (1 - tax_rate)) - rent - utilities - transit - internet - food) / ppp_private_consumption</t>
        </is>
      </c>
    </row>
    <row r="6">
      <c r="A6" s="2" t="inlineStr">
        <is>
          <t>Normalization</t>
        </is>
      </c>
      <c r="B6" s="3" t="inlineStr">
        <is>
          <t>Each scored input is winsorized at the 5th and 95th percentiles, then converted to a 0-100 score. Harmful variables such as crime, debt, suicide, PM2.5, and administrative friction are reverse-scored.</t>
        </is>
      </c>
    </row>
    <row r="7">
      <c r="A7" s="2" t="inlineStr">
        <is>
          <t>Coverage rules</t>
        </is>
      </c>
      <c r="B7" s="3" t="inlineStr">
        <is>
          <t>A city is Ranked only when overall weighted coverage is at least 50% and every pillar clears the 35% minimum. Coverage grades: A &gt;= 75%, B = 50-74%, C = 35-49%, below 35% = Watchlist.</t>
        </is>
      </c>
    </row>
    <row r="8">
      <c r="A8" s="2" t="inlineStr">
        <is>
          <t>Source hierarchy</t>
        </is>
      </c>
      <c r="B8" s="3" t="inlineStr">
        <is>
          <t>Tier 1 city/metro official data &gt; Tier 2 subnational official data &gt; Tier 3 national and international official data &gt; Tier 4 audited secondary and experimental layers.</t>
        </is>
      </c>
    </row>
    <row r="9">
      <c r="A9" s="2" t="inlineStr">
        <is>
          <t>Doctrinal rule: safety</t>
        </is>
      </c>
      <c r="B9" s="3" t="inlineStr">
        <is>
          <t>Safety is scored by harm and victimization outcomes, never by camera count or visible control hardware.</t>
        </is>
      </c>
    </row>
    <row r="10">
      <c r="A10" s="2" t="inlineStr">
        <is>
          <t>Doctrinal rule: tolerance</t>
        </is>
      </c>
      <c r="B10" s="3" t="inlineStr">
        <is>
          <t>Tolerance is scored through low-friction coexistence and real personal freedom, not symbolic branding proxies.</t>
        </is>
      </c>
    </row>
    <row r="11">
      <c r="A11" s="2" t="inlineStr">
        <is>
          <t>Doctrinal rule: visitor flows</t>
        </is>
      </c>
      <c r="B11" s="3" t="inlineStr">
        <is>
          <t>Visitor flow is contextual only. It should be reviewed against crime, civic strain, and public-life quality rather than treated as an automatic positive.</t>
        </is>
      </c>
    </row>
    <row r="12">
      <c r="A12" s="2" t="inlineStr">
        <is>
          <t>Country context</t>
        </is>
      </c>
      <c r="B12" s="3" t="inlineStr">
        <is>
          <t>GDP per capita PPP, GDP growth, Gini coefficient, PPP private consumption, and user-supplied tax rate are visible in Country_Context. GDP terms are capped context inputs, not headline determinants.</t>
        </is>
      </c>
    </row>
    <row r="13">
      <c r="A13" s="2" t="inlineStr">
        <is>
          <t>How tax works</t>
        </is>
      </c>
      <c r="B13" s="3" t="inlineStr">
        <is>
          <t>Populate tax_rate_assumption in Country_Context as a decimal such as 0.18. City_Inputs pulls that value automatically into tax_rate_context and recomputes di_ppp_raw.</t>
        </is>
      </c>
    </row>
    <row r="14">
      <c r="A14" s="2" t="inlineStr">
        <is>
          <t>Region comparison</t>
        </is>
      </c>
      <c r="B14" s="3" t="inlineStr">
        <is>
          <t>Region_Comparison summarizes ranked city counts and average scores by cohort so Europe, Asia, the Americas, Africa, the Middle East, and Oceania can be compared cleanly.</t>
        </is>
      </c>
    </row>
    <row r="15">
      <c r="A15" s="2" t="inlineStr">
        <is>
          <t>Thai companion</t>
        </is>
      </c>
      <c r="B15" s="3" t="inlineStr">
        <is>
          <t>Thai_Ranking_Scaffold is a separate sheet for a Thailand-only ranking. It emphasizes province GDP per capita, pollution, hospitals, schools, infrastructure, income, longevity, and competitiveness.</t>
        </is>
      </c>
    </row>
    <row r="18">
      <c r="A18" s="4" t="inlineStr">
        <is>
          <t>Coverage thresholds</t>
        </is>
      </c>
    </row>
    <row r="19">
      <c r="A19" t="inlineStr">
        <is>
          <t>ranked_min_overall</t>
        </is>
      </c>
      <c r="B19" s="5" t="n">
        <v>0.5</v>
      </c>
    </row>
    <row r="20">
      <c r="A20" t="inlineStr">
        <is>
          <t>ranked_min_pillar</t>
        </is>
      </c>
      <c r="B20" s="5" t="n">
        <v>0.35</v>
      </c>
    </row>
    <row r="21">
      <c r="A21" t="inlineStr">
        <is>
          <t>grade_a_min</t>
        </is>
      </c>
      <c r="B21" s="5" t="n">
        <v>0.75</v>
      </c>
    </row>
    <row r="22">
      <c r="A22" t="inlineStr">
        <is>
          <t>grade_b_min</t>
        </is>
      </c>
      <c r="B22" s="5" t="n">
        <v>0.5</v>
      </c>
    </row>
    <row r="23">
      <c r="A23" t="inlineStr">
        <is>
          <t>grade_c_min</t>
        </is>
      </c>
      <c r="B23" s="5" t="n">
        <v>0.35</v>
      </c>
    </row>
    <row r="26">
      <c r="A26" s="4" t="inlineStr">
        <is>
          <t>Source tiers</t>
        </is>
      </c>
    </row>
    <row r="27">
      <c r="A27" t="inlineStr">
        <is>
          <t>Tier 1</t>
        </is>
      </c>
      <c r="B27" t="inlineStr">
        <is>
          <t>City and metro official data</t>
        </is>
      </c>
      <c r="C27" s="3" t="inlineStr">
        <is>
          <t>Open-data portals, utility regulators, transit feeds, hospital quality releases, and city statistical offices.</t>
        </is>
      </c>
    </row>
    <row r="28">
      <c r="A28" t="inlineStr">
        <is>
          <t>Tier 2</t>
        </is>
      </c>
      <c r="B28" t="inlineStr">
        <is>
          <t>State, province, and subnational official data</t>
        </is>
      </c>
      <c r="C28" s="3" t="inlineStr">
        <is>
          <t>Regional statistical offices, metropolitan observatories, and subnational administrative datasets.</t>
        </is>
      </c>
    </row>
    <row r="29">
      <c r="A29" t="inlineStr">
        <is>
          <t>Tier 3</t>
        </is>
      </c>
      <c r="B29" t="inlineStr">
        <is>
          <t>National and international official datasets</t>
        </is>
      </c>
      <c r="C29" s="3" t="inlineStr">
        <is>
          <t>World Bank, WHO, ILO, UNESCO UIS, OECD, WIPO, and WHO/UNICEF JMP.</t>
        </is>
      </c>
    </row>
    <row r="30">
      <c r="A30" t="inlineStr">
        <is>
          <t>Tier 4</t>
        </is>
      </c>
      <c r="B30" t="inlineStr">
        <is>
          <t>Audited secondary and experimental layers</t>
        </is>
      </c>
      <c r="C30" s="3" t="inlineStr">
        <is>
          <t>OpenAQ, M-Lab, social listening, crowdsourced cost layers, and city testimony with visible caveats.</t>
        </is>
      </c>
    </row>
  </sheetData>
  <mergeCells count="14">
    <mergeCell ref="B4:F4"/>
    <mergeCell ref="B12:F12"/>
    <mergeCell ref="B7:F7"/>
    <mergeCell ref="B6:F6"/>
    <mergeCell ref="B15:F15"/>
    <mergeCell ref="B10:F10"/>
    <mergeCell ref="A1:F1"/>
    <mergeCell ref="B11:F11"/>
    <mergeCell ref="B3:F3"/>
    <mergeCell ref="B5:F5"/>
    <mergeCell ref="B14:F14"/>
    <mergeCell ref="B8:F8"/>
    <mergeCell ref="B9:F9"/>
    <mergeCell ref="B13:F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12" customWidth="1" min="3" max="3"/>
    <col width="36" customWidth="1" min="4" max="4"/>
    <col width="15" customWidth="1" min="5" max="5"/>
    <col width="15" customWidth="1" min="6" max="6"/>
    <col width="16" customWidth="1" min="7" max="7"/>
    <col width="18" customWidth="1" min="8" max="8"/>
    <col width="14" customWidth="1" min="9" max="9"/>
    <col width="36" customWidth="1" min="10" max="10"/>
    <col width="36" customWidth="1" min="11" max="11"/>
    <col width="36" customWidth="1" min="12" max="12"/>
    <col width="36" customWidth="1" min="13" max="13"/>
  </cols>
  <sheetData>
    <row r="1">
      <c r="A1" s="6" t="inlineStr">
        <is>
          <t>metric_id</t>
        </is>
      </c>
      <c r="B1" s="6" t="inlineStr">
        <is>
          <t>metric_name</t>
        </is>
      </c>
      <c r="C1" s="6" t="inlineStr">
        <is>
          <t>pillar_id</t>
        </is>
      </c>
      <c r="D1" s="6" t="inlineStr">
        <is>
          <t>pillar_name</t>
        </is>
      </c>
      <c r="E1" s="6" t="inlineStr">
        <is>
          <t>pillar_weight</t>
        </is>
      </c>
      <c r="F1" s="6" t="inlineStr">
        <is>
          <t>metric_weight</t>
        </is>
      </c>
      <c r="G1" s="6" t="inlineStr">
        <is>
          <t>directionality</t>
        </is>
      </c>
      <c r="H1" s="6" t="inlineStr">
        <is>
          <t>scoring_role</t>
        </is>
      </c>
      <c r="I1" s="6" t="inlineStr">
        <is>
          <t>requiredness</t>
        </is>
      </c>
      <c r="J1" s="6" t="inlineStr">
        <is>
          <t>data_level</t>
        </is>
      </c>
      <c r="K1" s="6" t="inlineStr">
        <is>
          <t>source_priority</t>
        </is>
      </c>
      <c r="L1" s="6" t="inlineStr">
        <is>
          <t>workbook_input</t>
        </is>
      </c>
      <c r="M1" s="6" t="inlineStr">
        <is>
          <t>notes</t>
        </is>
      </c>
    </row>
    <row r="2">
      <c r="A2" t="inlineStr">
        <is>
          <t>disposable_income_ppp</t>
        </is>
      </c>
      <c r="B2" t="inlineStr">
        <is>
          <t>Tax-adjusted PPP disposable income</t>
        </is>
      </c>
      <c r="C2" t="inlineStr">
        <is>
          <t>pressure</t>
        </is>
      </c>
      <c r="D2" t="inlineStr">
        <is>
          <t>Pressure, Affordability, and Room to Live</t>
        </is>
      </c>
      <c r="E2" t="n">
        <v>25</v>
      </c>
      <c r="F2" t="n">
        <v>9</v>
      </c>
      <c r="G2" t="inlineStr">
        <is>
          <t>positive</t>
        </is>
      </c>
      <c r="H2" t="inlineStr">
        <is>
          <t>scored</t>
        </is>
      </c>
      <c r="I2" t="inlineStr">
        <is>
          <t>core</t>
        </is>
      </c>
      <c r="J2" t="inlineStr">
        <is>
          <t>city_or_metro_with_country_context</t>
        </is>
      </c>
      <c r="K2" t="inlineStr">
        <is>
          <t>Tier 1 city/metro &gt; Tier 2 subnational &gt; Tier 3 national/international &gt; Tier 4 audited secondary</t>
        </is>
      </c>
      <c r="L2" t="inlineStr">
        <is>
          <t>di_ppp_raw</t>
        </is>
      </c>
      <c r="M2" t="inlineStr">
        <is>
          <t>Derived from gross income, tax, rent, utilities, transit, internet, food, and PPP private consumption.</t>
        </is>
      </c>
    </row>
    <row r="3">
      <c r="A3" t="inlineStr">
        <is>
          <t>housing_burden</t>
        </is>
      </c>
      <c r="B3" t="inlineStr">
        <is>
          <t>Housing burden</t>
        </is>
      </c>
      <c r="C3" t="inlineStr">
        <is>
          <t>pressure</t>
        </is>
      </c>
      <c r="D3" t="inlineStr">
        <is>
          <t>Pressure, Affordability, and Room to Live</t>
        </is>
      </c>
      <c r="E3" t="n">
        <v>25</v>
      </c>
      <c r="F3" t="n">
        <v>5</v>
      </c>
      <c r="G3" t="inlineStr">
        <is>
          <t>negative</t>
        </is>
      </c>
      <c r="H3" t="inlineStr">
        <is>
          <t>scored</t>
        </is>
      </c>
      <c r="I3" t="inlineStr">
        <is>
          <t>core</t>
        </is>
      </c>
      <c r="J3" t="inlineStr">
        <is>
          <t>city_or_metro</t>
        </is>
      </c>
      <c r="K3" t="inlineStr">
        <is>
          <t>Tier 1 city/metro &gt; Tier 2 subnational &gt; Tier 3 national/international &gt; Tier 4 audited secondary</t>
        </is>
      </c>
      <c r="L3" t="inlineStr">
        <is>
          <t>housing_burden_raw</t>
        </is>
      </c>
      <c r="M3" t="inlineStr">
        <is>
          <t>Higher rent or housing cost share scores worse.</t>
        </is>
      </c>
    </row>
    <row r="4">
      <c r="A4" t="inlineStr">
        <is>
          <t>household_debt_burden</t>
        </is>
      </c>
      <c r="B4" t="inlineStr">
        <is>
          <t>Household debt burden</t>
        </is>
      </c>
      <c r="C4" t="inlineStr">
        <is>
          <t>pressure</t>
        </is>
      </c>
      <c r="D4" t="inlineStr">
        <is>
          <t>Pressure, Affordability, and Room to Live</t>
        </is>
      </c>
      <c r="E4" t="n">
        <v>25</v>
      </c>
      <c r="F4" t="n">
        <v>4</v>
      </c>
      <c r="G4" t="inlineStr">
        <is>
          <t>negative</t>
        </is>
      </c>
      <c r="H4" t="inlineStr">
        <is>
          <t>scored</t>
        </is>
      </c>
      <c r="I4" t="inlineStr">
        <is>
          <t>core</t>
        </is>
      </c>
      <c r="J4" t="inlineStr">
        <is>
          <t>city_with_country_proxy_fallback</t>
        </is>
      </c>
      <c r="K4" t="inlineStr">
        <is>
          <t>Tier 1 city/metro &gt; Tier 2 subnational &gt; Tier 3 country debt proxy &gt; Tier 4 audited secondary</t>
        </is>
      </c>
      <c r="L4" t="inlineStr">
        <is>
          <t>household_debt_effective_raw</t>
        </is>
      </c>
      <c r="M4" t="inlineStr">
        <is>
          <t>Uses country proxy when city debt burden is unavailable.</t>
        </is>
      </c>
    </row>
    <row r="5">
      <c r="A5" t="inlineStr">
        <is>
          <t>working_time_pressure</t>
        </is>
      </c>
      <c r="B5" t="inlineStr">
        <is>
          <t>Working time pressure</t>
        </is>
      </c>
      <c r="C5" t="inlineStr">
        <is>
          <t>pressure</t>
        </is>
      </c>
      <c r="D5" t="inlineStr">
        <is>
          <t>Pressure, Affordability, and Room to Live</t>
        </is>
      </c>
      <c r="E5" t="n">
        <v>25</v>
      </c>
      <c r="F5" t="n">
        <v>4</v>
      </c>
      <c r="G5" t="inlineStr">
        <is>
          <t>negative</t>
        </is>
      </c>
      <c r="H5" t="inlineStr">
        <is>
          <t>scored</t>
        </is>
      </c>
      <c r="I5" t="inlineStr">
        <is>
          <t>core</t>
        </is>
      </c>
      <c r="J5" t="inlineStr">
        <is>
          <t>city_or_metro_with_subnational_fallback</t>
        </is>
      </c>
      <c r="K5" t="inlineStr">
        <is>
          <t>Tier 1 city/metro &gt; Tier 2 subnational &gt; Tier 3 ILO/national &gt; Tier 4 audited secondary</t>
        </is>
      </c>
      <c r="L5" t="inlineStr">
        <is>
          <t>working_time_pressure_raw</t>
        </is>
      </c>
      <c r="M5" t="inlineStr">
        <is>
          <t>Higher weekly-hours and overwork prevalence score worse.</t>
        </is>
      </c>
    </row>
    <row r="6">
      <c r="A6" t="inlineStr">
        <is>
          <t>suicide_mental_strain</t>
        </is>
      </c>
      <c r="B6" t="inlineStr">
        <is>
          <t>Suicide and severe mental strain</t>
        </is>
      </c>
      <c r="C6" t="inlineStr">
        <is>
          <t>pressure</t>
        </is>
      </c>
      <c r="D6" t="inlineStr">
        <is>
          <t>Pressure, Affordability, and Room to Live</t>
        </is>
      </c>
      <c r="E6" t="n">
        <v>25</v>
      </c>
      <c r="F6" t="n">
        <v>3</v>
      </c>
      <c r="G6" t="inlineStr">
        <is>
          <t>negative</t>
        </is>
      </c>
      <c r="H6" t="inlineStr">
        <is>
          <t>scored</t>
        </is>
      </c>
      <c r="I6" t="inlineStr">
        <is>
          <t>core</t>
        </is>
      </c>
      <c r="J6" t="inlineStr">
        <is>
          <t>city_or_metro_with_subnational_fallback</t>
        </is>
      </c>
      <c r="K6" t="inlineStr">
        <is>
          <t>Tier 1 city/metro &gt; Tier 2 subnational &gt; Tier 3 WHO/national &gt; Tier 4 audited secondary</t>
        </is>
      </c>
      <c r="L6" t="inlineStr">
        <is>
          <t>suicide_mental_strain_raw</t>
        </is>
      </c>
      <c r="M6" t="inlineStr">
        <is>
          <t>Lower suicide or equivalent severe-strain rates score better.</t>
        </is>
      </c>
    </row>
    <row r="7">
      <c r="A7" t="inlineStr">
        <is>
          <t>personal_safety</t>
        </is>
      </c>
      <c r="B7" t="inlineStr">
        <is>
          <t>Personal safety</t>
        </is>
      </c>
      <c r="C7" t="inlineStr">
        <is>
          <t>viability</t>
        </is>
      </c>
      <c r="D7" t="inlineStr">
        <is>
          <t>Daily Viability and Convenience</t>
        </is>
      </c>
      <c r="E7" t="n">
        <v>22</v>
      </c>
      <c r="F7" t="n">
        <v>5</v>
      </c>
      <c r="G7" t="inlineStr">
        <is>
          <t>negative</t>
        </is>
      </c>
      <c r="H7" t="inlineStr">
        <is>
          <t>scored</t>
        </is>
      </c>
      <c r="I7" t="inlineStr">
        <is>
          <t>core</t>
        </is>
      </c>
      <c r="J7" t="inlineStr">
        <is>
          <t>city_or_metro</t>
        </is>
      </c>
      <c r="K7" t="inlineStr">
        <is>
          <t>Tier 1 city/metro &gt; Tier 2 subnational &gt; Tier 3 national/international &gt; Tier 4 audited secondary</t>
        </is>
      </c>
      <c r="L7" t="inlineStr">
        <is>
          <t>personal_safety_raw</t>
        </is>
      </c>
      <c r="M7" t="inlineStr">
        <is>
          <t>Enter a harm-and-victimization index or rate. Camera counts do not score.</t>
        </is>
      </c>
    </row>
    <row r="8">
      <c r="A8" t="inlineStr">
        <is>
          <t>transit_access_commute</t>
        </is>
      </c>
      <c r="B8" t="inlineStr">
        <is>
          <t>Transit access and commute burden</t>
        </is>
      </c>
      <c r="C8" t="inlineStr">
        <is>
          <t>viability</t>
        </is>
      </c>
      <c r="D8" t="inlineStr">
        <is>
          <t>Daily Viability and Convenience</t>
        </is>
      </c>
      <c r="E8" t="n">
        <v>22</v>
      </c>
      <c r="F8" t="n">
        <v>5</v>
      </c>
      <c r="G8" t="inlineStr">
        <is>
          <t>positive</t>
        </is>
      </c>
      <c r="H8" t="inlineStr">
        <is>
          <t>scored</t>
        </is>
      </c>
      <c r="I8" t="inlineStr">
        <is>
          <t>core</t>
        </is>
      </c>
      <c r="J8" t="inlineStr">
        <is>
          <t>city_or_metro</t>
        </is>
      </c>
      <c r="K8" t="inlineStr">
        <is>
          <t>Tier 1 city/metro &gt; Tier 2 GTFS/subnational &gt; Tier 3 national/international &gt; Tier 4 audited secondary</t>
        </is>
      </c>
      <c r="L8" t="inlineStr">
        <is>
          <t>transit_access_commute_raw</t>
        </is>
      </c>
      <c r="M8" t="inlineStr">
        <is>
          <t>Enter a composite where better access and lower burden push the value upward.</t>
        </is>
      </c>
    </row>
    <row r="9">
      <c r="A9" t="inlineStr">
        <is>
          <t>clean_air</t>
        </is>
      </c>
      <c r="B9" t="inlineStr">
        <is>
          <t>Clean air</t>
        </is>
      </c>
      <c r="C9" t="inlineStr">
        <is>
          <t>viability</t>
        </is>
      </c>
      <c r="D9" t="inlineStr">
        <is>
          <t>Daily Viability and Convenience</t>
        </is>
      </c>
      <c r="E9" t="n">
        <v>22</v>
      </c>
      <c r="F9" t="n">
        <v>4</v>
      </c>
      <c r="G9" t="inlineStr">
        <is>
          <t>negative</t>
        </is>
      </c>
      <c r="H9" t="inlineStr">
        <is>
          <t>scored</t>
        </is>
      </c>
      <c r="I9" t="inlineStr">
        <is>
          <t>core</t>
        </is>
      </c>
      <c r="J9" t="inlineStr">
        <is>
          <t>city_or_metro</t>
        </is>
      </c>
      <c r="K9" t="inlineStr">
        <is>
          <t>Tier 1 city/metro &gt; Tier 3 WHO/OpenAQ/national &gt; Tier 4 audited secondary</t>
        </is>
      </c>
      <c r="L9" t="inlineStr">
        <is>
          <t>clean_air_raw</t>
        </is>
      </c>
      <c r="M9" t="inlineStr">
        <is>
          <t>Lower PM2.5 or pollution exposure scores better.</t>
        </is>
      </c>
    </row>
    <row r="10">
      <c r="A10" t="inlineStr">
        <is>
          <t>water_sanitation_utility</t>
        </is>
      </c>
      <c r="B10" t="inlineStr">
        <is>
          <t>Water, sanitation, and utility reliability</t>
        </is>
      </c>
      <c r="C10" t="inlineStr">
        <is>
          <t>viability</t>
        </is>
      </c>
      <c r="D10" t="inlineStr">
        <is>
          <t>Daily Viability and Convenience</t>
        </is>
      </c>
      <c r="E10" t="n">
        <v>22</v>
      </c>
      <c r="F10" t="n">
        <v>4</v>
      </c>
      <c r="G10" t="inlineStr">
        <is>
          <t>positive</t>
        </is>
      </c>
      <c r="H10" t="inlineStr">
        <is>
          <t>scored</t>
        </is>
      </c>
      <c r="I10" t="inlineStr">
        <is>
          <t>core</t>
        </is>
      </c>
      <c r="J10" t="inlineStr">
        <is>
          <t>city_or_metro_with_country_fallback</t>
        </is>
      </c>
      <c r="K10" t="inlineStr">
        <is>
          <t>Tier 1 city/metro &gt; Tier 2 subnational &gt; Tier 3 JMP/national &gt; Tier 4 audited secondary</t>
        </is>
      </c>
      <c r="L10" t="inlineStr">
        <is>
          <t>water_sanitation_utility_raw</t>
        </is>
      </c>
      <c r="M10" t="inlineStr">
        <is>
          <t>Enter a composite where safer access and higher reliability score better.</t>
        </is>
      </c>
    </row>
    <row r="11">
      <c r="A11" t="inlineStr">
        <is>
          <t>digital_infrastructure</t>
        </is>
      </c>
      <c r="B11" t="inlineStr">
        <is>
          <t>Digital infrastructure</t>
        </is>
      </c>
      <c r="C11" t="inlineStr">
        <is>
          <t>viability</t>
        </is>
      </c>
      <c r="D11" t="inlineStr">
        <is>
          <t>Daily Viability and Convenience</t>
        </is>
      </c>
      <c r="E11" t="n">
        <v>22</v>
      </c>
      <c r="F11" t="n">
        <v>4</v>
      </c>
      <c r="G11" t="inlineStr">
        <is>
          <t>positive</t>
        </is>
      </c>
      <c r="H11" t="inlineStr">
        <is>
          <t>scored</t>
        </is>
      </c>
      <c r="I11" t="inlineStr">
        <is>
          <t>core</t>
        </is>
      </c>
      <c r="J11" t="inlineStr">
        <is>
          <t>city_or_metro_with_country_fallback</t>
        </is>
      </c>
      <c r="K11" t="inlineStr">
        <is>
          <t>Tier 1 city/metro &gt; Tier 2 subnational &gt; Tier 3 OECD/World Bank/M-Lab &gt; Tier 4 audited secondary</t>
        </is>
      </c>
      <c r="L11" t="inlineStr">
        <is>
          <t>digital_infrastructure_raw</t>
        </is>
      </c>
      <c r="M11" t="inlineStr">
        <is>
          <t>Higher broadband quality, affordability, and fibre readiness score better.</t>
        </is>
      </c>
    </row>
    <row r="12">
      <c r="A12" t="inlineStr">
        <is>
          <t>healthcare_quality</t>
        </is>
      </c>
      <c r="B12" t="inlineStr">
        <is>
          <t>Healthcare quality</t>
        </is>
      </c>
      <c r="C12" t="inlineStr">
        <is>
          <t>capability</t>
        </is>
      </c>
      <c r="D12" t="inlineStr">
        <is>
          <t>Human Capability</t>
        </is>
      </c>
      <c r="E12" t="n">
        <v>18</v>
      </c>
      <c r="F12" t="n">
        <v>8</v>
      </c>
      <c r="G12" t="inlineStr">
        <is>
          <t>positive</t>
        </is>
      </c>
      <c r="H12" t="inlineStr">
        <is>
          <t>scored</t>
        </is>
      </c>
      <c r="I12" t="inlineStr">
        <is>
          <t>core</t>
        </is>
      </c>
      <c r="J12" t="inlineStr">
        <is>
          <t>city_or_metro_with_country_context</t>
        </is>
      </c>
      <c r="K12" t="inlineStr">
        <is>
          <t>Tier 1 city/metro &gt; Tier 2 subnational &gt; Tier 3 WHO/OECD/national &gt; Tier 4 audited secondary</t>
        </is>
      </c>
      <c r="L12" t="inlineStr">
        <is>
          <t>healthcare_quality_raw</t>
        </is>
      </c>
      <c r="M12" t="inlineStr">
        <is>
          <t>Higher effective-care access and outcome quality score better.</t>
        </is>
      </c>
    </row>
    <row r="13">
      <c r="A13" t="inlineStr">
        <is>
          <t>education_quality</t>
        </is>
      </c>
      <c r="B13" t="inlineStr">
        <is>
          <t>Education quality</t>
        </is>
      </c>
      <c r="C13" t="inlineStr">
        <is>
          <t>capability</t>
        </is>
      </c>
      <c r="D13" t="inlineStr">
        <is>
          <t>Human Capability</t>
        </is>
      </c>
      <c r="E13" t="n">
        <v>18</v>
      </c>
      <c r="F13" t="n">
        <v>6</v>
      </c>
      <c r="G13" t="inlineStr">
        <is>
          <t>positive</t>
        </is>
      </c>
      <c r="H13" t="inlineStr">
        <is>
          <t>scored</t>
        </is>
      </c>
      <c r="I13" t="inlineStr">
        <is>
          <t>core</t>
        </is>
      </c>
      <c r="J13" t="inlineStr">
        <is>
          <t>city_or_metro_with_country_context</t>
        </is>
      </c>
      <c r="K13" t="inlineStr">
        <is>
          <t>Tier 1 city/metro &gt; Tier 2 subnational &gt; Tier 3 UNESCO/OECD/World Bank &gt; Tier 4 audited secondary</t>
        </is>
      </c>
      <c r="L13" t="inlineStr">
        <is>
          <t>education_quality_raw</t>
        </is>
      </c>
      <c r="M13" t="inlineStr">
        <is>
          <t>Higher learning quality and skills formation score better.</t>
        </is>
      </c>
    </row>
    <row r="14">
      <c r="A14" t="inlineStr">
        <is>
          <t>equal_opportunity_distributional_fairness</t>
        </is>
      </c>
      <c r="B14" t="inlineStr">
        <is>
          <t>Equal opportunity and distributional fairness</t>
        </is>
      </c>
      <c r="C14" t="inlineStr">
        <is>
          <t>capability</t>
        </is>
      </c>
      <c r="D14" t="inlineStr">
        <is>
          <t>Human Capability</t>
        </is>
      </c>
      <c r="E14" t="n">
        <v>18</v>
      </c>
      <c r="F14" t="n">
        <v>4</v>
      </c>
      <c r="G14" t="inlineStr">
        <is>
          <t>positive</t>
        </is>
      </c>
      <c r="H14" t="inlineStr">
        <is>
          <t>composite_scored</t>
        </is>
      </c>
      <c r="I14" t="inlineStr">
        <is>
          <t>core</t>
        </is>
      </c>
      <c r="J14" t="inlineStr">
        <is>
          <t>city_with_country_context</t>
        </is>
      </c>
      <c r="K14" t="inlineStr">
        <is>
          <t>Tier 1 city/metro opportunity data + Tier 3 country Gini fallback</t>
        </is>
      </c>
      <c r="L14" t="inlineStr">
        <is>
          <t>equal_opportunity_raw + gini_coefficient_context</t>
        </is>
      </c>
      <c r="M14" t="inlineStr">
        <is>
          <t>Combines 70% equal-opportunity input with 30% reversed Gini context where available.</t>
        </is>
      </c>
    </row>
    <row r="15">
      <c r="A15" t="inlineStr">
        <is>
          <t>hospitality_belonging</t>
        </is>
      </c>
      <c r="B15" t="inlineStr">
        <is>
          <t>Hospitality and belonging</t>
        </is>
      </c>
      <c r="C15" t="inlineStr">
        <is>
          <t>community</t>
        </is>
      </c>
      <c r="D15" t="inlineStr">
        <is>
          <t>Community and Openness</t>
        </is>
      </c>
      <c r="E15" t="n">
        <v>15</v>
      </c>
      <c r="F15" t="n">
        <v>5</v>
      </c>
      <c r="G15" t="inlineStr">
        <is>
          <t>positive</t>
        </is>
      </c>
      <c r="H15" t="inlineStr">
        <is>
          <t>scored</t>
        </is>
      </c>
      <c r="I15" t="inlineStr">
        <is>
          <t>core</t>
        </is>
      </c>
      <c r="J15" t="inlineStr">
        <is>
          <t>city_or_metro_with_audited_perception_layer</t>
        </is>
      </c>
      <c r="K15" t="inlineStr">
        <is>
          <t>Tier 1 city services &gt; Tier 2 subnational &gt; Tier 4 audited social listening/testimony</t>
        </is>
      </c>
      <c r="L15" t="inlineStr">
        <is>
          <t>hospitality_belonging_raw</t>
        </is>
      </c>
      <c r="M15" t="inlineStr">
        <is>
          <t>Higher civic warmth, multilingual access, and resident attachment score better.</t>
        </is>
      </c>
    </row>
    <row r="16">
      <c r="A16" t="inlineStr">
        <is>
          <t>tolerance_pluralism</t>
        </is>
      </c>
      <c r="B16" t="inlineStr">
        <is>
          <t>Tolerance and pluralism</t>
        </is>
      </c>
      <c r="C16" t="inlineStr">
        <is>
          <t>community</t>
        </is>
      </c>
      <c r="D16" t="inlineStr">
        <is>
          <t>Community and Openness</t>
        </is>
      </c>
      <c r="E16" t="n">
        <v>15</v>
      </c>
      <c r="F16" t="n">
        <v>5</v>
      </c>
      <c r="G16" t="inlineStr">
        <is>
          <t>positive</t>
        </is>
      </c>
      <c r="H16" t="inlineStr">
        <is>
          <t>scored</t>
        </is>
      </c>
      <c r="I16" t="inlineStr">
        <is>
          <t>core</t>
        </is>
      </c>
      <c r="J16" t="inlineStr">
        <is>
          <t>city_or_metro_with_audited_perception_layer</t>
        </is>
      </c>
      <c r="K16" t="inlineStr">
        <is>
          <t>Tier 1 legal and policy openness &gt; Tier 2 subnational &gt; Tier 4 audited coexistence/testimony proxies</t>
        </is>
      </c>
      <c r="L16" t="inlineStr">
        <is>
          <t>tolerance_pluralism_raw</t>
        </is>
      </c>
      <c r="M16" t="inlineStr">
        <is>
          <t>Scores low-friction coexistence and openness, not symbolic branding proxies.</t>
        </is>
      </c>
    </row>
    <row r="17">
      <c r="A17" t="inlineStr">
        <is>
          <t>cultural_historic_public_life_vitality</t>
        </is>
      </c>
      <c r="B17" t="inlineStr">
        <is>
          <t>Cultural, historic, and public-life vitality</t>
        </is>
      </c>
      <c r="C17" t="inlineStr">
        <is>
          <t>community</t>
        </is>
      </c>
      <c r="D17" t="inlineStr">
        <is>
          <t>Community and Openness</t>
        </is>
      </c>
      <c r="E17" t="n">
        <v>15</v>
      </c>
      <c r="F17" t="n">
        <v>5</v>
      </c>
      <c r="G17" t="inlineStr">
        <is>
          <t>positive</t>
        </is>
      </c>
      <c r="H17" t="inlineStr">
        <is>
          <t>scored</t>
        </is>
      </c>
      <c r="I17" t="inlineStr">
        <is>
          <t>core</t>
        </is>
      </c>
      <c r="J17" t="inlineStr">
        <is>
          <t>city_or_metro_with_context_layer</t>
        </is>
      </c>
      <c r="K17" t="inlineStr">
        <is>
          <t>Tier 1 city/open data &gt; Tier 2 subnational &gt; Tier 4 audited cultural/testimony and visitor context</t>
        </is>
      </c>
      <c r="L17" t="inlineStr">
        <is>
          <t>cultural_public_life_raw</t>
        </is>
      </c>
      <c r="M17" t="inlineStr">
        <is>
          <t>Visitor flow is contextual only and should be triangulated separately, not scored directly here.</t>
        </is>
      </c>
    </row>
    <row r="18">
      <c r="A18" t="inlineStr">
        <is>
          <t>entrepreneurial_dynamism</t>
        </is>
      </c>
      <c r="B18" t="inlineStr">
        <is>
          <t>Entrepreneurial dynamism</t>
        </is>
      </c>
      <c r="C18" t="inlineStr">
        <is>
          <t>creative</t>
        </is>
      </c>
      <c r="D18" t="inlineStr">
        <is>
          <t>Competitive and Creative Vitality</t>
        </is>
      </c>
      <c r="E18" t="n">
        <v>20</v>
      </c>
      <c r="F18" t="n">
        <v>6</v>
      </c>
      <c r="G18" t="inlineStr">
        <is>
          <t>positive</t>
        </is>
      </c>
      <c r="H18" t="inlineStr">
        <is>
          <t>scored</t>
        </is>
      </c>
      <c r="I18" t="inlineStr">
        <is>
          <t>core</t>
        </is>
      </c>
      <c r="J18" t="inlineStr">
        <is>
          <t>city_or_metro_with_country_context</t>
        </is>
      </c>
      <c r="K18" t="inlineStr">
        <is>
          <t>Tier 1 city/metro &gt; Tier 2 subnational &gt; Tier 3 World Bank/national &gt; Tier 4 audited secondary</t>
        </is>
      </c>
      <c r="L18" t="inlineStr">
        <is>
          <t>entrepreneurial_dynamism_raw</t>
        </is>
      </c>
      <c r="M18" t="inlineStr">
        <is>
          <t>Higher new-business density and startup formation score better.</t>
        </is>
      </c>
    </row>
    <row r="19">
      <c r="A19" t="inlineStr">
        <is>
          <t>innovation_research_intensity</t>
        </is>
      </c>
      <c r="B19" t="inlineStr">
        <is>
          <t>Innovation and research intensity</t>
        </is>
      </c>
      <c r="C19" t="inlineStr">
        <is>
          <t>creative</t>
        </is>
      </c>
      <c r="D19" t="inlineStr">
        <is>
          <t>Competitive and Creative Vitality</t>
        </is>
      </c>
      <c r="E19" t="n">
        <v>20</v>
      </c>
      <c r="F19" t="n">
        <v>5</v>
      </c>
      <c r="G19" t="inlineStr">
        <is>
          <t>positive</t>
        </is>
      </c>
      <c r="H19" t="inlineStr">
        <is>
          <t>scored</t>
        </is>
      </c>
      <c r="I19" t="inlineStr">
        <is>
          <t>core</t>
        </is>
      </c>
      <c r="J19" t="inlineStr">
        <is>
          <t>city_or_metro_with_country_context</t>
        </is>
      </c>
      <c r="K19" t="inlineStr">
        <is>
          <t>Tier 1 city/metro &gt; Tier 2 subnational &gt; Tier 3 WIPO/OECD/national &gt; Tier 4 audited secondary</t>
        </is>
      </c>
      <c r="L19" t="inlineStr">
        <is>
          <t>innovation_research_intensity_raw</t>
        </is>
      </c>
      <c r="M19" t="inlineStr">
        <is>
          <t>Higher patent, research, and knowledge-production strength score better.</t>
        </is>
      </c>
    </row>
    <row r="20">
      <c r="A20" t="inlineStr">
        <is>
          <t>economic_vitality_productive_context</t>
        </is>
      </c>
      <c r="B20" t="inlineStr">
        <is>
          <t>Economic vitality and productive context</t>
        </is>
      </c>
      <c r="C20" t="inlineStr">
        <is>
          <t>creative</t>
        </is>
      </c>
      <c r="D20" t="inlineStr">
        <is>
          <t>Competitive and Creative Vitality</t>
        </is>
      </c>
      <c r="E20" t="n">
        <v>20</v>
      </c>
      <c r="F20" t="n">
        <v>5</v>
      </c>
      <c r="G20" t="inlineStr">
        <is>
          <t>positive</t>
        </is>
      </c>
      <c r="H20" t="inlineStr">
        <is>
          <t>composite_scored</t>
        </is>
      </c>
      <c r="I20" t="inlineStr">
        <is>
          <t>core</t>
        </is>
      </c>
      <c r="J20" t="inlineStr">
        <is>
          <t>city_with_capped_country_context</t>
        </is>
      </c>
      <c r="K20" t="inlineStr">
        <is>
          <t>Tier 1 city investment signal + Tier 3 country macro context</t>
        </is>
      </c>
      <c r="L20" t="inlineStr">
        <is>
          <t>investment_signal_raw + gdp_per_capita_ppp_context + gdp_growth_context</t>
        </is>
      </c>
      <c r="M20" t="inlineStr">
        <is>
          <t>Combines 50% city investment signal, 30% GDP per capita PPP context, and 20% GDP growth context.</t>
        </is>
      </c>
    </row>
    <row r="21">
      <c r="A21" t="inlineStr">
        <is>
          <t>administrative_investment_friction</t>
        </is>
      </c>
      <c r="B21" t="inlineStr">
        <is>
          <t>Administrative and investment friction</t>
        </is>
      </c>
      <c r="C21" t="inlineStr">
        <is>
          <t>creative</t>
        </is>
      </c>
      <c r="D21" t="inlineStr">
        <is>
          <t>Competitive and Creative Vitality</t>
        </is>
      </c>
      <c r="E21" t="n">
        <v>20</v>
      </c>
      <c r="F21" t="n">
        <v>4</v>
      </c>
      <c r="G21" t="inlineStr">
        <is>
          <t>negative</t>
        </is>
      </c>
      <c r="H21" t="inlineStr">
        <is>
          <t>scored</t>
        </is>
      </c>
      <c r="I21" t="inlineStr">
        <is>
          <t>core</t>
        </is>
      </c>
      <c r="J21" t="inlineStr">
        <is>
          <t>city_or_metro_with_country_context</t>
        </is>
      </c>
      <c r="K21" t="inlineStr">
        <is>
          <t>Tier 1 city/metro &gt; Tier 2 subnational &gt; Tier 3 national/international &gt; Tier 4 audited secondary</t>
        </is>
      </c>
      <c r="L21" t="inlineStr">
        <is>
          <t>administrative_investment_friction_raw</t>
        </is>
      </c>
      <c r="M21" t="inlineStr">
        <is>
          <t>Higher time-cost and licensing burden score worse.</t>
        </is>
      </c>
    </row>
    <row r="22">
      <c r="A22" t="inlineStr">
        <is>
          <t>gini_coefficient_context</t>
        </is>
      </c>
      <c r="B22" t="inlineStr">
        <is>
          <t>Gini coefficient context</t>
        </is>
      </c>
      <c r="C22" t="inlineStr">
        <is>
          <t>capability</t>
        </is>
      </c>
      <c r="D22" t="inlineStr">
        <is>
          <t>Human Capability</t>
        </is>
      </c>
      <c r="E22" t="n">
        <v>18</v>
      </c>
      <c r="F22" t="n">
        <v>0</v>
      </c>
      <c r="G22" t="inlineStr">
        <is>
          <t>negative</t>
        </is>
      </c>
      <c r="H22" t="inlineStr">
        <is>
          <t>context_capped</t>
        </is>
      </c>
      <c r="I22" t="inlineStr">
        <is>
          <t>supporting</t>
        </is>
      </c>
      <c r="J22" t="inlineStr">
        <is>
          <t>country_context</t>
        </is>
      </c>
      <c r="K22" t="inlineStr">
        <is>
          <t>Tier 3 World Bank/national</t>
        </is>
      </c>
      <c r="L22" t="inlineStr">
        <is>
          <t>gini_coefficient_context</t>
        </is>
      </c>
      <c r="M22" t="inlineStr">
        <is>
          <t>Country-level inequality context used inside equal opportunity and distributional fairness.</t>
        </is>
      </c>
    </row>
    <row r="23">
      <c r="A23" t="inlineStr">
        <is>
          <t>gdp_per_capita_ppp_context</t>
        </is>
      </c>
      <c r="B23" t="inlineStr">
        <is>
          <t>GDP per capita PPP context</t>
        </is>
      </c>
      <c r="C23" t="inlineStr">
        <is>
          <t>creative</t>
        </is>
      </c>
      <c r="D23" t="inlineStr">
        <is>
          <t>Competitive and Creative Vitality</t>
        </is>
      </c>
      <c r="E23" t="n">
        <v>20</v>
      </c>
      <c r="F23" t="n">
        <v>0</v>
      </c>
      <c r="G23" t="inlineStr">
        <is>
          <t>positive</t>
        </is>
      </c>
      <c r="H23" t="inlineStr">
        <is>
          <t>context_capped</t>
        </is>
      </c>
      <c r="I23" t="inlineStr">
        <is>
          <t>supporting</t>
        </is>
      </c>
      <c r="J23" t="inlineStr">
        <is>
          <t>country_context</t>
        </is>
      </c>
      <c r="K23" t="inlineStr">
        <is>
          <t>Tier 3 World Bank/OECD</t>
        </is>
      </c>
      <c r="L23" t="inlineStr">
        <is>
          <t>gdp_per_capita_ppp_context</t>
        </is>
      </c>
      <c r="M23" t="inlineStr">
        <is>
          <t>Country-level macro context used as a capped term inside economic vitality.</t>
        </is>
      </c>
    </row>
    <row r="24">
      <c r="A24" t="inlineStr">
        <is>
          <t>gdp_growth_context</t>
        </is>
      </c>
      <c r="B24" t="inlineStr">
        <is>
          <t>GDP growth context</t>
        </is>
      </c>
      <c r="C24" t="inlineStr">
        <is>
          <t>creative</t>
        </is>
      </c>
      <c r="D24" t="inlineStr">
        <is>
          <t>Competitive and Creative Vitality</t>
        </is>
      </c>
      <c r="E24" t="n">
        <v>20</v>
      </c>
      <c r="F24" t="n">
        <v>0</v>
      </c>
      <c r="G24" t="inlineStr">
        <is>
          <t>positive</t>
        </is>
      </c>
      <c r="H24" t="inlineStr">
        <is>
          <t>context_capped</t>
        </is>
      </c>
      <c r="I24" t="inlineStr">
        <is>
          <t>supporting</t>
        </is>
      </c>
      <c r="J24" t="inlineStr">
        <is>
          <t>country_context</t>
        </is>
      </c>
      <c r="K24" t="inlineStr">
        <is>
          <t>Tier 3 World Bank/OECD</t>
        </is>
      </c>
      <c r="L24" t="inlineStr">
        <is>
          <t>gdp_growth_context</t>
        </is>
      </c>
      <c r="M24" t="inlineStr">
        <is>
          <t>Country-level macro momentum used as a capped term inside economic vitality.</t>
        </is>
      </c>
    </row>
    <row r="25">
      <c r="A25" t="inlineStr">
        <is>
          <t>visitor_flow_context</t>
        </is>
      </c>
      <c r="B25" t="inlineStr">
        <is>
          <t>Visitor flow context</t>
        </is>
      </c>
      <c r="C25" t="inlineStr">
        <is>
          <t>community</t>
        </is>
      </c>
      <c r="D25" t="inlineStr">
        <is>
          <t>Community and Openness</t>
        </is>
      </c>
      <c r="E25" t="n">
        <v>15</v>
      </c>
      <c r="F25" t="n">
        <v>0</v>
      </c>
      <c r="G25" t="inlineStr">
        <is>
          <t>contextual</t>
        </is>
      </c>
      <c r="H25" t="inlineStr">
        <is>
          <t>context_only</t>
        </is>
      </c>
      <c r="I25" t="inlineStr">
        <is>
          <t>supporting</t>
        </is>
      </c>
      <c r="J25" t="inlineStr">
        <is>
          <t>city_or_metro</t>
        </is>
      </c>
      <c r="K25" t="inlineStr">
        <is>
          <t>Tier 1 tourism/open mobility &gt; Tier 4 audited secondary</t>
        </is>
      </c>
      <c r="L25" t="inlineStr">
        <is>
          <t>visitor_flow_context_raw</t>
        </is>
      </c>
      <c r="M25" t="inlineStr">
        <is>
          <t>Visible on the workbook and leaderboard context layer but not scored directly.</t>
        </is>
      </c>
    </row>
  </sheetData>
  <autoFilter ref="A1:M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36" customWidth="1" min="3" max="3"/>
    <col width="22" customWidth="1" min="4" max="4"/>
    <col width="36" customWidth="1" min="5" max="5"/>
    <col width="12" customWidth="1" min="6" max="6"/>
    <col width="17" customWidth="1" min="7" max="7"/>
    <col width="36" customWidth="1" min="8" max="8"/>
  </cols>
  <sheetData>
    <row r="1">
      <c r="A1" s="6" t="inlineStr">
        <is>
          <t>city_id</t>
        </is>
      </c>
      <c r="B1" s="6" t="inlineStr">
        <is>
          <t>display_name</t>
        </is>
      </c>
      <c r="C1" s="6" t="inlineStr">
        <is>
          <t>fua_name</t>
        </is>
      </c>
      <c r="D1" s="6" t="inlineStr">
        <is>
          <t>country</t>
        </is>
      </c>
      <c r="E1" s="6" t="inlineStr">
        <is>
          <t>cohort</t>
        </is>
      </c>
      <c r="F1" s="6" t="inlineStr">
        <is>
          <t>city_type</t>
        </is>
      </c>
      <c r="G1" s="6" t="inlineStr">
        <is>
          <t>manifest_status</t>
        </is>
      </c>
      <c r="H1" s="6" t="inlineStr">
        <is>
          <t>inclusion_rationale</t>
        </is>
      </c>
    </row>
    <row r="2">
      <c r="A2" t="inlineStr">
        <is>
          <t>th-bangkok</t>
        </is>
      </c>
      <c r="B2" t="inlineStr">
        <is>
          <t>Bangkok</t>
        </is>
      </c>
      <c r="C2" t="inlineStr">
        <is>
          <t>Bangkok Metropolitan Region</t>
        </is>
      </c>
      <c r="D2" t="inlineStr">
        <is>
          <t>Thailand</t>
        </is>
      </c>
      <c r="E2" t="inlineStr">
        <is>
          <t>Southeast Asia</t>
        </is>
      </c>
      <c r="F2" t="inlineStr">
        <is>
          <t>primary</t>
        </is>
      </c>
      <c r="G2" t="inlineStr">
        <is>
          <t>locked</t>
        </is>
      </c>
      <c r="H2" t="inlineStr">
        <is>
          <t>User anchor and regional benchmark for hospitality, economic dynamism, and affordability-pressure tradeoffs.</t>
        </is>
      </c>
    </row>
    <row r="3">
      <c r="A3" t="inlineStr">
        <is>
          <t>sg-singapore</t>
        </is>
      </c>
      <c r="B3" t="inlineStr">
        <is>
          <t>Singapore</t>
        </is>
      </c>
      <c r="C3" t="inlineStr">
        <is>
          <t>Singapore</t>
        </is>
      </c>
      <c r="D3" t="inlineStr">
        <is>
          <t>Singapore</t>
        </is>
      </c>
      <c r="E3" t="inlineStr">
        <is>
          <t>Southeast Asia</t>
        </is>
      </c>
      <c r="F3" t="inlineStr">
        <is>
          <t>primary</t>
        </is>
      </c>
      <c r="G3" t="inlineStr">
        <is>
          <t>locked</t>
        </is>
      </c>
      <c r="H3" t="inlineStr">
        <is>
          <t>Global convenience benchmark included to test how systems quality interacts with pressure, cost, and meaning.</t>
        </is>
      </c>
    </row>
    <row r="4">
      <c r="A4" t="inlineStr">
        <is>
          <t>my-kuala-lumpur</t>
        </is>
      </c>
      <c r="B4" t="inlineStr">
        <is>
          <t>Kuala Lumpur</t>
        </is>
      </c>
      <c r="C4" t="inlineStr">
        <is>
          <t>Klang Valley</t>
        </is>
      </c>
      <c r="D4" t="inlineStr">
        <is>
          <t>Malaysia</t>
        </is>
      </c>
      <c r="E4" t="inlineStr">
        <is>
          <t>Southeast Asia</t>
        </is>
      </c>
      <c r="F4" t="inlineStr">
        <is>
          <t>primary</t>
        </is>
      </c>
      <c r="G4" t="inlineStr">
        <is>
          <t>locked</t>
        </is>
      </c>
      <c r="H4" t="inlineStr">
        <is>
          <t>User anchor and regional economic core with strong competitiveness, connectivity, and mixed affordability.</t>
        </is>
      </c>
    </row>
    <row r="5">
      <c r="A5" t="inlineStr">
        <is>
          <t>id-jakarta</t>
        </is>
      </c>
      <c r="B5" t="inlineStr">
        <is>
          <t>Jakarta</t>
        </is>
      </c>
      <c r="C5" t="inlineStr">
        <is>
          <t>Jakarta Metropolitan Area</t>
        </is>
      </c>
      <c r="D5" t="inlineStr">
        <is>
          <t>Indonesia</t>
        </is>
      </c>
      <c r="E5" t="inlineStr">
        <is>
          <t>Southeast Asia</t>
        </is>
      </c>
      <c r="F5" t="inlineStr">
        <is>
          <t>primary</t>
        </is>
      </c>
      <c r="G5" t="inlineStr">
        <is>
          <t>provisional</t>
        </is>
      </c>
      <c r="H5" t="inlineStr">
        <is>
          <t>Necessary Southeast Asian benchmark for scale, competitiveness, and infrastructure-pressure tradeoffs.</t>
        </is>
      </c>
    </row>
    <row r="6">
      <c r="A6" t="inlineStr">
        <is>
          <t>ph-makati</t>
        </is>
      </c>
      <c r="B6" t="inlineStr">
        <is>
          <t>Makati</t>
        </is>
      </c>
      <c r="C6" t="inlineStr">
        <is>
          <t>Metro Manila Core Business District</t>
        </is>
      </c>
      <c r="D6" t="inlineStr">
        <is>
          <t>Philippines</t>
        </is>
      </c>
      <c r="E6" t="inlineStr">
        <is>
          <t>Southeast Asia</t>
        </is>
      </c>
      <c r="F6" t="inlineStr">
        <is>
          <t>primary</t>
        </is>
      </c>
      <c r="G6" t="inlineStr">
        <is>
          <t>provisional</t>
        </is>
      </c>
      <c r="H6" t="inlineStr">
        <is>
          <t>Metro-core Philippine test case included for business density, services, and lived-affordability stress.</t>
        </is>
      </c>
    </row>
    <row r="7">
      <c r="A7" t="inlineStr">
        <is>
          <t>my-george-town</t>
        </is>
      </c>
      <c r="B7" t="inlineStr">
        <is>
          <t>George Town</t>
        </is>
      </c>
      <c r="C7" t="inlineStr">
        <is>
          <t>Penang Conurbation</t>
        </is>
      </c>
      <c r="D7" t="inlineStr">
        <is>
          <t>Malaysia</t>
        </is>
      </c>
      <c r="E7" t="inlineStr">
        <is>
          <t>Southeast Asia</t>
        </is>
      </c>
      <c r="F7" t="inlineStr">
        <is>
          <t>secondary</t>
        </is>
      </c>
      <c r="G7" t="inlineStr">
        <is>
          <t>locked</t>
        </is>
      </c>
      <c r="H7" t="inlineStr">
        <is>
          <t>User anchor for semiconductor economy, cultural texture, and secondary-city livability.</t>
        </is>
      </c>
    </row>
    <row r="8">
      <c r="A8" t="inlineStr">
        <is>
          <t>th-phuket</t>
        </is>
      </c>
      <c r="B8" t="inlineStr">
        <is>
          <t>Phuket</t>
        </is>
      </c>
      <c r="C8" t="inlineStr">
        <is>
          <t>Phuket Island Urban Area</t>
        </is>
      </c>
      <c r="D8" t="inlineStr">
        <is>
          <t>Thailand</t>
        </is>
      </c>
      <c r="E8" t="inlineStr">
        <is>
          <t>Southeast Asia</t>
        </is>
      </c>
      <c r="F8" t="inlineStr">
        <is>
          <t>secondary</t>
        </is>
      </c>
      <c r="G8" t="inlineStr">
        <is>
          <t>locked</t>
        </is>
      </c>
      <c r="H8" t="inlineStr">
        <is>
          <t>User anchor and tourism-livability stress test for cost, safety, and service quality.</t>
        </is>
      </c>
    </row>
    <row r="9">
      <c r="A9" t="inlineStr">
        <is>
          <t>th-chiang-mai</t>
        </is>
      </c>
      <c r="B9" t="inlineStr">
        <is>
          <t>Chiang Mai</t>
        </is>
      </c>
      <c r="C9" t="inlineStr">
        <is>
          <t>Chiang Mai Metropolitan Area</t>
        </is>
      </c>
      <c r="D9" t="inlineStr">
        <is>
          <t>Thailand</t>
        </is>
      </c>
      <c r="E9" t="inlineStr">
        <is>
          <t>Southeast Asia</t>
        </is>
      </c>
      <c r="F9" t="inlineStr">
        <is>
          <t>secondary</t>
        </is>
      </c>
      <c r="G9" t="inlineStr">
        <is>
          <t>locked</t>
        </is>
      </c>
      <c r="H9" t="inlineStr">
        <is>
          <t>User anchor for creativity, secondary-city ambition, and lifestyle viability.</t>
        </is>
      </c>
    </row>
    <row r="10">
      <c r="A10" t="inlineStr">
        <is>
          <t>my-kuching</t>
        </is>
      </c>
      <c r="B10" t="inlineStr">
        <is>
          <t>Kuching</t>
        </is>
      </c>
      <c r="C10" t="inlineStr">
        <is>
          <t>Greater Kuching</t>
        </is>
      </c>
      <c r="D10" t="inlineStr">
        <is>
          <t>Malaysia</t>
        </is>
      </c>
      <c r="E10" t="inlineStr">
        <is>
          <t>Southeast Asia</t>
        </is>
      </c>
      <c r="F10" t="inlineStr">
        <is>
          <t>secondary</t>
        </is>
      </c>
      <c r="G10" t="inlineStr">
        <is>
          <t>locked</t>
        </is>
      </c>
      <c r="H10" t="inlineStr">
        <is>
          <t>User anchor included as a calmer secondary-city comparator with strong everyday livability appeal.</t>
        </is>
      </c>
    </row>
    <row r="11">
      <c r="A11" t="inlineStr">
        <is>
          <t>th-hat-yai</t>
        </is>
      </c>
      <c r="B11" t="inlineStr">
        <is>
          <t>Hat Yai</t>
        </is>
      </c>
      <c r="C11" t="inlineStr">
        <is>
          <t>Hat Yai-Songkhla Urban Area</t>
        </is>
      </c>
      <c r="D11" t="inlineStr">
        <is>
          <t>Thailand</t>
        </is>
      </c>
      <c r="E11" t="inlineStr">
        <is>
          <t>Southeast Asia</t>
        </is>
      </c>
      <c r="F11" t="inlineStr">
        <is>
          <t>secondary</t>
        </is>
      </c>
      <c r="G11" t="inlineStr">
        <is>
          <t>provisional</t>
        </is>
      </c>
      <c r="H11" t="inlineStr">
        <is>
          <t>Southern Thai trade and services challenger included to test regional depth beyond capital-city bias.</t>
        </is>
      </c>
    </row>
    <row r="12">
      <c r="A12" t="inlineStr">
        <is>
          <t>tw-taipei</t>
        </is>
      </c>
      <c r="B12" t="inlineStr">
        <is>
          <t>Taipei</t>
        </is>
      </c>
      <c r="C12" t="inlineStr">
        <is>
          <t>Taipei-Keelung-Taoyuan Metropolitan Area</t>
        </is>
      </c>
      <c r="D12" t="inlineStr">
        <is>
          <t>Taiwan</t>
        </is>
      </c>
      <c r="E12" t="inlineStr">
        <is>
          <t>East Asia</t>
        </is>
      </c>
      <c r="F12" t="inlineStr">
        <is>
          <t>primary</t>
        </is>
      </c>
      <c r="G12" t="inlineStr">
        <is>
          <t>locked</t>
        </is>
      </c>
      <c r="H12" t="inlineStr">
        <is>
          <t>High-systems, high-street-life benchmark aligned with earlier SLIC discussion.</t>
        </is>
      </c>
    </row>
    <row r="13">
      <c r="A13" t="inlineStr">
        <is>
          <t>kr-busan</t>
        </is>
      </c>
      <c r="B13" t="inlineStr">
        <is>
          <t>Busan</t>
        </is>
      </c>
      <c r="C13" t="inlineStr">
        <is>
          <t>Greater Busan</t>
        </is>
      </c>
      <c r="D13" t="inlineStr">
        <is>
          <t>South Korea</t>
        </is>
      </c>
      <c r="E13" t="inlineStr">
        <is>
          <t>East Asia</t>
        </is>
      </c>
      <c r="F13" t="inlineStr">
        <is>
          <t>primary</t>
        </is>
      </c>
      <c r="G13" t="inlineStr">
        <is>
          <t>locked</t>
        </is>
      </c>
      <c r="H13" t="inlineStr">
        <is>
          <t>User anchor for second-city infrastructure quality, coastal livability, and economic competence.</t>
        </is>
      </c>
    </row>
    <row r="14">
      <c r="A14" t="inlineStr">
        <is>
          <t>cn-shanghai</t>
        </is>
      </c>
      <c r="B14" t="inlineStr">
        <is>
          <t>Shanghai</t>
        </is>
      </c>
      <c r="C14" t="inlineStr">
        <is>
          <t>Shanghai Metropolitan Area</t>
        </is>
      </c>
      <c r="D14" t="inlineStr">
        <is>
          <t>China</t>
        </is>
      </c>
      <c r="E14" t="inlineStr">
        <is>
          <t>East Asia</t>
        </is>
      </c>
      <c r="F14" t="inlineStr">
        <is>
          <t>primary</t>
        </is>
      </c>
      <c r="G14" t="inlineStr">
        <is>
          <t>provisional</t>
        </is>
      </c>
      <c r="H14" t="inlineStr">
        <is>
          <t>Economic gravity benchmark included to test how mega-city capability meets affordability and civic-pressure tradeoffs.</t>
        </is>
      </c>
    </row>
    <row r="15">
      <c r="A15" t="inlineStr">
        <is>
          <t>cn-shenzhen</t>
        </is>
      </c>
      <c r="B15" t="inlineStr">
        <is>
          <t>Shenzhen</t>
        </is>
      </c>
      <c r="C15" t="inlineStr">
        <is>
          <t>Shenzhen Metropolitan Area</t>
        </is>
      </c>
      <c r="D15" t="inlineStr">
        <is>
          <t>China</t>
        </is>
      </c>
      <c r="E15" t="inlineStr">
        <is>
          <t>East Asia</t>
        </is>
      </c>
      <c r="F15" t="inlineStr">
        <is>
          <t>primary</t>
        </is>
      </c>
      <c r="G15" t="inlineStr">
        <is>
          <t>provisional</t>
        </is>
      </c>
      <c r="H15" t="inlineStr">
        <is>
          <t>Innovation and manufacturing benchmark included for productive economic strength and high-pressure urban modernity.</t>
        </is>
      </c>
    </row>
    <row r="16">
      <c r="A16" t="inlineStr">
        <is>
          <t>jp-hiroshima</t>
        </is>
      </c>
      <c r="B16" t="inlineStr">
        <is>
          <t>Hiroshima</t>
        </is>
      </c>
      <c r="C16" t="inlineStr">
        <is>
          <t>Hiroshima Metropolitan Employment Area</t>
        </is>
      </c>
      <c r="D16" t="inlineStr">
        <is>
          <t>Japan</t>
        </is>
      </c>
      <c r="E16" t="inlineStr">
        <is>
          <t>East Asia</t>
        </is>
      </c>
      <c r="F16" t="inlineStr">
        <is>
          <t>primary</t>
        </is>
      </c>
      <c r="G16" t="inlineStr">
        <is>
          <t>provisional</t>
        </is>
      </c>
      <c r="H16" t="inlineStr">
        <is>
          <t>Provisional Japanese primary candidate with stronger everyday scale than megacity peers.</t>
        </is>
      </c>
    </row>
    <row r="17">
      <c r="A17" t="inlineStr">
        <is>
          <t>kr-jeju-city</t>
        </is>
      </c>
      <c r="B17" t="inlineStr">
        <is>
          <t>Jeju City</t>
        </is>
      </c>
      <c r="C17" t="inlineStr">
        <is>
          <t>Jeju Urban Area</t>
        </is>
      </c>
      <c r="D17" t="inlineStr">
        <is>
          <t>South Korea</t>
        </is>
      </c>
      <c r="E17" t="inlineStr">
        <is>
          <t>East Asia</t>
        </is>
      </c>
      <c r="F17" t="inlineStr">
        <is>
          <t>secondary</t>
        </is>
      </c>
      <c r="G17" t="inlineStr">
        <is>
          <t>locked</t>
        </is>
      </c>
      <c r="H17" t="inlineStr">
        <is>
          <t>User anchor for lifestyle quality, hospitality, and island-scale livability.</t>
        </is>
      </c>
    </row>
    <row r="18">
      <c r="A18" t="inlineStr">
        <is>
          <t>jp-fukuoka</t>
        </is>
      </c>
      <c r="B18" t="inlineStr">
        <is>
          <t>Fukuoka</t>
        </is>
      </c>
      <c r="C18" t="inlineStr">
        <is>
          <t>Fukuoka Metropolitan Area</t>
        </is>
      </c>
      <c r="D18" t="inlineStr">
        <is>
          <t>Japan</t>
        </is>
      </c>
      <c r="E18" t="inlineStr">
        <is>
          <t>East Asia</t>
        </is>
      </c>
      <c r="F18" t="inlineStr">
        <is>
          <t>secondary</t>
        </is>
      </c>
      <c r="G18" t="inlineStr">
        <is>
          <t>locked</t>
        </is>
      </c>
      <c r="H18" t="inlineStr">
        <is>
          <t>User anchor and strong challenger city for innovation, access, and livability balance.</t>
        </is>
      </c>
    </row>
    <row r="19">
      <c r="A19" t="inlineStr">
        <is>
          <t>jp-kobe</t>
        </is>
      </c>
      <c r="B19" t="inlineStr">
        <is>
          <t>Kobe</t>
        </is>
      </c>
      <c r="C19" t="inlineStr">
        <is>
          <t>Kobe Metropolitan Area</t>
        </is>
      </c>
      <c r="D19" t="inlineStr">
        <is>
          <t>Japan</t>
        </is>
      </c>
      <c r="E19" t="inlineStr">
        <is>
          <t>East Asia</t>
        </is>
      </c>
      <c r="F19" t="inlineStr">
        <is>
          <t>secondary</t>
        </is>
      </c>
      <c r="G19" t="inlineStr">
        <is>
          <t>locked</t>
        </is>
      </c>
      <c r="H19" t="inlineStr">
        <is>
          <t>User anchor included as a port-city benchmark with strong urban form and quality-of-life reputation.</t>
        </is>
      </c>
    </row>
    <row r="20">
      <c r="A20" t="inlineStr">
        <is>
          <t>jp-sapporo</t>
        </is>
      </c>
      <c r="B20" t="inlineStr">
        <is>
          <t>Sapporo</t>
        </is>
      </c>
      <c r="C20" t="inlineStr">
        <is>
          <t>Sapporo Metropolitan Area</t>
        </is>
      </c>
      <c r="D20" t="inlineStr">
        <is>
          <t>Japan</t>
        </is>
      </c>
      <c r="E20" t="inlineStr">
        <is>
          <t>East Asia</t>
        </is>
      </c>
      <c r="F20" t="inlineStr">
        <is>
          <t>secondary</t>
        </is>
      </c>
      <c r="G20" t="inlineStr">
        <is>
          <t>locked</t>
        </is>
      </c>
      <c r="H20" t="inlineStr">
        <is>
          <t>User anchor and climate-diversified challenger with strong everyday manageability.</t>
        </is>
      </c>
    </row>
    <row r="21">
      <c r="A21" t="inlineStr">
        <is>
          <t>cn-tianjin</t>
        </is>
      </c>
      <c r="B21" t="inlineStr">
        <is>
          <t>Tianjin</t>
        </is>
      </c>
      <c r="C21" t="inlineStr">
        <is>
          <t>Tianjin Metropolitan Area</t>
        </is>
      </c>
      <c r="D21" t="inlineStr">
        <is>
          <t>China</t>
        </is>
      </c>
      <c r="E21" t="inlineStr">
        <is>
          <t>East Asia</t>
        </is>
      </c>
      <c r="F21" t="inlineStr">
        <is>
          <t>secondary</t>
        </is>
      </c>
      <c r="G21" t="inlineStr">
        <is>
          <t>provisional</t>
        </is>
      </c>
      <c r="H21" t="inlineStr">
        <is>
          <t>Secondary East Asian challenger included for industrial relevance, port-city utility, and relief from capital-city prestige bias.</t>
        </is>
      </c>
    </row>
    <row r="22">
      <c r="A22" t="inlineStr">
        <is>
          <t>in-bengaluru</t>
        </is>
      </c>
      <c r="B22" t="inlineStr">
        <is>
          <t>Bengaluru</t>
        </is>
      </c>
      <c r="C22" t="inlineStr">
        <is>
          <t>Bengaluru Metropolitan Area</t>
        </is>
      </c>
      <c r="D22" t="inlineStr">
        <is>
          <t>India</t>
        </is>
      </c>
      <c r="E22" t="inlineStr">
        <is>
          <t>South Asia</t>
        </is>
      </c>
      <c r="F22" t="inlineStr">
        <is>
          <t>primary</t>
        </is>
      </c>
      <c r="G22" t="inlineStr">
        <is>
          <t>locked</t>
        </is>
      </c>
      <c r="H22" t="inlineStr">
        <is>
          <t>Primary South Asian innovation benchmark included despite affordability and infrastructure pressures.</t>
        </is>
      </c>
    </row>
    <row r="23">
      <c r="A23" t="inlineStr">
        <is>
          <t>in-hyderabad</t>
        </is>
      </c>
      <c r="B23" t="inlineStr">
        <is>
          <t>Hyderabad</t>
        </is>
      </c>
      <c r="C23" t="inlineStr">
        <is>
          <t>Hyderabad Metropolitan Region</t>
        </is>
      </c>
      <c r="D23" t="inlineStr">
        <is>
          <t>India</t>
        </is>
      </c>
      <c r="E23" t="inlineStr">
        <is>
          <t>South Asia</t>
        </is>
      </c>
      <c r="F23" t="inlineStr">
        <is>
          <t>primary</t>
        </is>
      </c>
      <c r="G23" t="inlineStr">
        <is>
          <t>locked</t>
        </is>
      </c>
      <c r="H23" t="inlineStr">
        <is>
          <t>Paired with Bengaluru as a competitiveness and opportunity benchmark for South Asia.</t>
        </is>
      </c>
    </row>
    <row r="24">
      <c r="A24" t="inlineStr">
        <is>
          <t>lk-colombo</t>
        </is>
      </c>
      <c r="B24" t="inlineStr">
        <is>
          <t>Colombo</t>
        </is>
      </c>
      <c r="C24" t="inlineStr">
        <is>
          <t>Colombo Metropolitan Region</t>
        </is>
      </c>
      <c r="D24" t="inlineStr">
        <is>
          <t>Sri Lanka</t>
        </is>
      </c>
      <c r="E24" t="inlineStr">
        <is>
          <t>South Asia</t>
        </is>
      </c>
      <c r="F24" t="inlineStr">
        <is>
          <t>primary</t>
        </is>
      </c>
      <c r="G24" t="inlineStr">
        <is>
          <t>locked</t>
        </is>
      </c>
      <c r="H24" t="inlineStr">
        <is>
          <t>Regional capital-city comparator with manageable scale and stronger coastal livability potential.</t>
        </is>
      </c>
    </row>
    <row r="25">
      <c r="A25" t="inlineStr">
        <is>
          <t>bd-dhaka</t>
        </is>
      </c>
      <c r="B25" t="inlineStr">
        <is>
          <t>Dhaka</t>
        </is>
      </c>
      <c r="C25" t="inlineStr">
        <is>
          <t>Dhaka Metropolitan Area</t>
        </is>
      </c>
      <c r="D25" t="inlineStr">
        <is>
          <t>Bangladesh</t>
        </is>
      </c>
      <c r="E25" t="inlineStr">
        <is>
          <t>South Asia</t>
        </is>
      </c>
      <c r="F25" t="inlineStr">
        <is>
          <t>primary</t>
        </is>
      </c>
      <c r="G25" t="inlineStr">
        <is>
          <t>provisional</t>
        </is>
      </c>
      <c r="H25" t="inlineStr">
        <is>
          <t>High-pressure megacity included provisionally as a contrast case inside the South Asian universe.</t>
        </is>
      </c>
    </row>
    <row r="26">
      <c r="A26" t="inlineStr">
        <is>
          <t>pk-karachi</t>
        </is>
      </c>
      <c r="B26" t="inlineStr">
        <is>
          <t>Karachi</t>
        </is>
      </c>
      <c r="C26" t="inlineStr">
        <is>
          <t>Karachi Metropolitan Area</t>
        </is>
      </c>
      <c r="D26" t="inlineStr">
        <is>
          <t>Pakistan</t>
        </is>
      </c>
      <c r="E26" t="inlineStr">
        <is>
          <t>South Asia</t>
        </is>
      </c>
      <c r="F26" t="inlineStr">
        <is>
          <t>primary</t>
        </is>
      </c>
      <c r="G26" t="inlineStr">
        <is>
          <t>provisional</t>
        </is>
      </c>
      <c r="H26" t="inlineStr">
        <is>
          <t>Provisional large-metro comparator included to keep the South Asian candidate field honest and broad.</t>
        </is>
      </c>
    </row>
    <row r="27">
      <c r="A27" t="inlineStr">
        <is>
          <t>pk-lahore</t>
        </is>
      </c>
      <c r="B27" t="inlineStr">
        <is>
          <t>Lahore</t>
        </is>
      </c>
      <c r="C27" t="inlineStr">
        <is>
          <t>Lahore Metropolitan Area</t>
        </is>
      </c>
      <c r="D27" t="inlineStr">
        <is>
          <t>Pakistan</t>
        </is>
      </c>
      <c r="E27" t="inlineStr">
        <is>
          <t>South Asia</t>
        </is>
      </c>
      <c r="F27" t="inlineStr">
        <is>
          <t>secondary</t>
        </is>
      </c>
      <c r="G27" t="inlineStr">
        <is>
          <t>locked</t>
        </is>
      </c>
      <c r="H27" t="inlineStr">
        <is>
          <t>Secondary challenger included for cultural weight and regional importance.</t>
        </is>
      </c>
    </row>
    <row r="28">
      <c r="A28" t="inlineStr">
        <is>
          <t>bd-chattogram</t>
        </is>
      </c>
      <c r="B28" t="inlineStr">
        <is>
          <t>Chattogram</t>
        </is>
      </c>
      <c r="C28" t="inlineStr">
        <is>
          <t>Chattogram Metropolitan Area</t>
        </is>
      </c>
      <c r="D28" t="inlineStr">
        <is>
          <t>Bangladesh</t>
        </is>
      </c>
      <c r="E28" t="inlineStr">
        <is>
          <t>South Asia</t>
        </is>
      </c>
      <c r="F28" t="inlineStr">
        <is>
          <t>secondary</t>
        </is>
      </c>
      <c r="G28" t="inlineStr">
        <is>
          <t>locked</t>
        </is>
      </c>
      <c r="H28" t="inlineStr">
        <is>
          <t>Secondary port-city comparator for industrial relevance and everyday-scale testing.</t>
        </is>
      </c>
    </row>
    <row r="29">
      <c r="A29" t="inlineStr">
        <is>
          <t>np-kathmandu</t>
        </is>
      </c>
      <c r="B29" t="inlineStr">
        <is>
          <t>Kathmandu</t>
        </is>
      </c>
      <c r="C29" t="inlineStr">
        <is>
          <t>Kathmandu Valley</t>
        </is>
      </c>
      <c r="D29" t="inlineStr">
        <is>
          <t>Nepal</t>
        </is>
      </c>
      <c r="E29" t="inlineStr">
        <is>
          <t>South Asia</t>
        </is>
      </c>
      <c r="F29" t="inlineStr">
        <is>
          <t>secondary</t>
        </is>
      </c>
      <c r="G29" t="inlineStr">
        <is>
          <t>provisional</t>
        </is>
      </c>
      <c r="H29" t="inlineStr">
        <is>
          <t>Provisional cultural and tourism-weighted challenger with strong environmental tradeoffs.</t>
        </is>
      </c>
    </row>
    <row r="30">
      <c r="A30" t="inlineStr">
        <is>
          <t>bt-thimphu</t>
        </is>
      </c>
      <c r="B30" t="inlineStr">
        <is>
          <t>Thimphu</t>
        </is>
      </c>
      <c r="C30" t="inlineStr">
        <is>
          <t>Thimphu Urban Area</t>
        </is>
      </c>
      <c r="D30" t="inlineStr">
        <is>
          <t>Bhutan</t>
        </is>
      </c>
      <c r="E30" t="inlineStr">
        <is>
          <t>South Asia</t>
        </is>
      </c>
      <c r="F30" t="inlineStr">
        <is>
          <t>secondary</t>
        </is>
      </c>
      <c r="G30" t="inlineStr">
        <is>
          <t>locked</t>
        </is>
      </c>
      <c r="H30" t="inlineStr">
        <is>
          <t>Smaller-scale South Asian challenger included for governance, environment, and lifestyle contrast.</t>
        </is>
      </c>
    </row>
    <row r="31">
      <c r="A31" t="inlineStr">
        <is>
          <t>mv-male</t>
        </is>
      </c>
      <c r="B31" t="inlineStr">
        <is>
          <t>Male</t>
        </is>
      </c>
      <c r="C31" t="inlineStr">
        <is>
          <t>Male Urban Region</t>
        </is>
      </c>
      <c r="D31" t="inlineStr">
        <is>
          <t>Maldives</t>
        </is>
      </c>
      <c r="E31" t="inlineStr">
        <is>
          <t>South Asia</t>
        </is>
      </c>
      <c r="F31" t="inlineStr">
        <is>
          <t>secondary</t>
        </is>
      </c>
      <c r="G31" t="inlineStr">
        <is>
          <t>locked</t>
        </is>
      </c>
      <c r="H31" t="inlineStr">
        <is>
          <t>Island-city comparator included for service quality, compactness, and extreme spatial constraints.</t>
        </is>
      </c>
    </row>
    <row r="32">
      <c r="A32" t="inlineStr">
        <is>
          <t>fr-paris</t>
        </is>
      </c>
      <c r="B32" t="inlineStr">
        <is>
          <t>Paris</t>
        </is>
      </c>
      <c r="C32" t="inlineStr">
        <is>
          <t>Paris Metropolitan Area</t>
        </is>
      </c>
      <c r="D32" t="inlineStr">
        <is>
          <t>France</t>
        </is>
      </c>
      <c r="E32" t="inlineStr">
        <is>
          <t>Western, Northern, and Southern Europe</t>
        </is>
      </c>
      <c r="F32" t="inlineStr">
        <is>
          <t>primary</t>
        </is>
      </c>
      <c r="G32" t="inlineStr">
        <is>
          <t>locked</t>
        </is>
      </c>
      <c r="H32" t="inlineStr">
        <is>
          <t>User anchor and global cultural capital included as a prestige city that SLIC can re-score through affordability and pressure.</t>
        </is>
      </c>
    </row>
    <row r="33">
      <c r="A33" t="inlineStr">
        <is>
          <t>at-vienna</t>
        </is>
      </c>
      <c r="B33" t="inlineStr">
        <is>
          <t>Vienna</t>
        </is>
      </c>
      <c r="C33" t="inlineStr">
        <is>
          <t>Vienna Metropolitan Area</t>
        </is>
      </c>
      <c r="D33" t="inlineStr">
        <is>
          <t>Austria</t>
        </is>
      </c>
      <c r="E33" t="inlineStr">
        <is>
          <t>Western, Northern, and Southern Europe</t>
        </is>
      </c>
      <c r="F33" t="inlineStr">
        <is>
          <t>primary</t>
        </is>
      </c>
      <c r="G33" t="inlineStr">
        <is>
          <t>locked</t>
        </is>
      </c>
      <c r="H33" t="inlineStr">
        <is>
          <t>User anchor included as a conventional benchmark that SLIC can test against pressure and creative vitality.</t>
        </is>
      </c>
    </row>
    <row r="34">
      <c r="A34" t="inlineStr">
        <is>
          <t>ch-zurich</t>
        </is>
      </c>
      <c r="B34" t="inlineStr">
        <is>
          <t>Zurich</t>
        </is>
      </c>
      <c r="C34" t="inlineStr">
        <is>
          <t>Zurich Metropolitan Area</t>
        </is>
      </c>
      <c r="D34" t="inlineStr">
        <is>
          <t>Switzerland</t>
        </is>
      </c>
      <c r="E34" t="inlineStr">
        <is>
          <t>Western, Northern, and Southern Europe</t>
        </is>
      </c>
      <c r="F34" t="inlineStr">
        <is>
          <t>primary</t>
        </is>
      </c>
      <c r="G34" t="inlineStr">
        <is>
          <t>locked</t>
        </is>
      </c>
      <c r="H34" t="inlineStr">
        <is>
          <t>High-convenience benchmark included so SLIC can visibly penalize cost where necessary.</t>
        </is>
      </c>
    </row>
    <row r="35">
      <c r="A35" t="inlineStr">
        <is>
          <t>nl-amsterdam</t>
        </is>
      </c>
      <c r="B35" t="inlineStr">
        <is>
          <t>Amsterdam</t>
        </is>
      </c>
      <c r="C35" t="inlineStr">
        <is>
          <t>Amsterdam Metropolitan Area</t>
        </is>
      </c>
      <c r="D35" t="inlineStr">
        <is>
          <t>Netherlands</t>
        </is>
      </c>
      <c r="E35" t="inlineStr">
        <is>
          <t>Western, Northern, and Southern Europe</t>
        </is>
      </c>
      <c r="F35" t="inlineStr">
        <is>
          <t>primary</t>
        </is>
      </c>
      <c r="G35" t="inlineStr">
        <is>
          <t>provisional</t>
        </is>
      </c>
      <c r="H35" t="inlineStr">
        <is>
          <t>Provisional benchmark for global talent pull, openness, and cost pressure.</t>
        </is>
      </c>
    </row>
    <row r="36">
      <c r="A36" t="inlineStr">
        <is>
          <t>dk-copenhagen</t>
        </is>
      </c>
      <c r="B36" t="inlineStr">
        <is>
          <t>Copenhagen</t>
        </is>
      </c>
      <c r="C36" t="inlineStr">
        <is>
          <t>Copenhagen Metropolitan Area</t>
        </is>
      </c>
      <c r="D36" t="inlineStr">
        <is>
          <t>Denmark</t>
        </is>
      </c>
      <c r="E36" t="inlineStr">
        <is>
          <t>Western, Northern, and Southern Europe</t>
        </is>
      </c>
      <c r="F36" t="inlineStr">
        <is>
          <t>primary</t>
        </is>
      </c>
      <c r="G36" t="inlineStr">
        <is>
          <t>provisional</t>
        </is>
      </c>
      <c r="H36" t="inlineStr">
        <is>
          <t>Provisional systems-quality comparator included for mobility, governance, and cost tradeoffs.</t>
        </is>
      </c>
    </row>
    <row r="37">
      <c r="A37" t="inlineStr">
        <is>
          <t>it-milan</t>
        </is>
      </c>
      <c r="B37" t="inlineStr">
        <is>
          <t>Milan</t>
        </is>
      </c>
      <c r="C37" t="inlineStr">
        <is>
          <t>Milan Metropolitan Area</t>
        </is>
      </c>
      <c r="D37" t="inlineStr">
        <is>
          <t>Italy</t>
        </is>
      </c>
      <c r="E37" t="inlineStr">
        <is>
          <t>Western, Northern, and Southern Europe</t>
        </is>
      </c>
      <c r="F37" t="inlineStr">
        <is>
          <t>primary</t>
        </is>
      </c>
      <c r="G37" t="inlineStr">
        <is>
          <t>provisional</t>
        </is>
      </c>
      <c r="H37" t="inlineStr">
        <is>
          <t>Italian economic benchmark included for productive depth, design-industry vitality, and high-pressure affordability tradeoffs.</t>
        </is>
      </c>
    </row>
    <row r="38">
      <c r="A38" t="inlineStr">
        <is>
          <t>at-graz</t>
        </is>
      </c>
      <c r="B38" t="inlineStr">
        <is>
          <t>Graz</t>
        </is>
      </c>
      <c r="C38" t="inlineStr">
        <is>
          <t>Graz Urban Region</t>
        </is>
      </c>
      <c r="D38" t="inlineStr">
        <is>
          <t>Austria</t>
        </is>
      </c>
      <c r="E38" t="inlineStr">
        <is>
          <t>Western, Northern, and Southern Europe</t>
        </is>
      </c>
      <c r="F38" t="inlineStr">
        <is>
          <t>secondary</t>
        </is>
      </c>
      <c r="G38" t="inlineStr">
        <is>
          <t>locked</t>
        </is>
      </c>
      <c r="H38" t="inlineStr">
        <is>
          <t>User anchor and secondary Austrian challenger with lower prestige bias than Vienna.</t>
        </is>
      </c>
    </row>
    <row r="39">
      <c r="A39" t="inlineStr">
        <is>
          <t>pt-porto</t>
        </is>
      </c>
      <c r="B39" t="inlineStr">
        <is>
          <t>Porto</t>
        </is>
      </c>
      <c r="C39" t="inlineStr">
        <is>
          <t>Porto Metropolitan Area</t>
        </is>
      </c>
      <c r="D39" t="inlineStr">
        <is>
          <t>Portugal</t>
        </is>
      </c>
      <c r="E39" t="inlineStr">
        <is>
          <t>Western, Northern, and Southern Europe</t>
        </is>
      </c>
      <c r="F39" t="inlineStr">
        <is>
          <t>secondary</t>
        </is>
      </c>
      <c r="G39" t="inlineStr">
        <is>
          <t>locked</t>
        </is>
      </c>
      <c r="H39" t="inlineStr">
        <is>
          <t>Secondary-city benchmark for cultural pull, walkability, and relative affordability.</t>
        </is>
      </c>
    </row>
    <row r="40">
      <c r="A40" t="inlineStr">
        <is>
          <t>pt-braga</t>
        </is>
      </c>
      <c r="B40" t="inlineStr">
        <is>
          <t>Braga</t>
        </is>
      </c>
      <c r="C40" t="inlineStr">
        <is>
          <t>Braga Urban Area</t>
        </is>
      </c>
      <c r="D40" t="inlineStr">
        <is>
          <t>Portugal</t>
        </is>
      </c>
      <c r="E40" t="inlineStr">
        <is>
          <t>Western, Northern, and Southern Europe</t>
        </is>
      </c>
      <c r="F40" t="inlineStr">
        <is>
          <t>secondary</t>
        </is>
      </c>
      <c r="G40" t="inlineStr">
        <is>
          <t>locked</t>
        </is>
      </c>
      <c r="H40" t="inlineStr">
        <is>
          <t>Secondary Portuguese challenger with strong everyday livability and university-city energy.</t>
        </is>
      </c>
    </row>
    <row r="41">
      <c r="A41" t="inlineStr">
        <is>
          <t>ee-tallinn</t>
        </is>
      </c>
      <c r="B41" t="inlineStr">
        <is>
          <t>Tallinn</t>
        </is>
      </c>
      <c r="C41" t="inlineStr">
        <is>
          <t>Tallinn Urban Area</t>
        </is>
      </c>
      <c r="D41" t="inlineStr">
        <is>
          <t>Estonia</t>
        </is>
      </c>
      <c r="E41" t="inlineStr">
        <is>
          <t>Western, Northern, and Southern Europe</t>
        </is>
      </c>
      <c r="F41" t="inlineStr">
        <is>
          <t>secondary</t>
        </is>
      </c>
      <c r="G41" t="inlineStr">
        <is>
          <t>locked</t>
        </is>
      </c>
      <c r="H41" t="inlineStr">
        <is>
          <t>Digitally competent northern-European challenger with manageable scale.</t>
        </is>
      </c>
    </row>
    <row r="42">
      <c r="A42" t="inlineStr">
        <is>
          <t>fi-helsinki</t>
        </is>
      </c>
      <c r="B42" t="inlineStr">
        <is>
          <t>Helsinki</t>
        </is>
      </c>
      <c r="C42" t="inlineStr">
        <is>
          <t>Helsinki Metropolitan Area</t>
        </is>
      </c>
      <c r="D42" t="inlineStr">
        <is>
          <t>Finland</t>
        </is>
      </c>
      <c r="E42" t="inlineStr">
        <is>
          <t>Western, Northern, and Southern Europe</t>
        </is>
      </c>
      <c r="F42" t="inlineStr">
        <is>
          <t>secondary</t>
        </is>
      </c>
      <c r="G42" t="inlineStr">
        <is>
          <t>provisional</t>
        </is>
      </c>
      <c r="H42" t="inlineStr">
        <is>
          <t>Provisional Nordic comparator included for systems quality, climate, and cost balance.</t>
        </is>
      </c>
    </row>
    <row r="43">
      <c r="A43" t="inlineStr">
        <is>
          <t>it-bologna</t>
        </is>
      </c>
      <c r="B43" t="inlineStr">
        <is>
          <t>Bologna</t>
        </is>
      </c>
      <c r="C43" t="inlineStr">
        <is>
          <t>Bologna Metropolitan Area</t>
        </is>
      </c>
      <c r="D43" t="inlineStr">
        <is>
          <t>Italy</t>
        </is>
      </c>
      <c r="E43" t="inlineStr">
        <is>
          <t>Western, Northern, and Southern Europe</t>
        </is>
      </c>
      <c r="F43" t="inlineStr">
        <is>
          <t>secondary</t>
        </is>
      </c>
      <c r="G43" t="inlineStr">
        <is>
          <t>provisional</t>
        </is>
      </c>
      <c r="H43" t="inlineStr">
        <is>
          <t>Italian secondary-city challenger included for university depth, civic texture, walkability, and manageable metropolitan scale.</t>
        </is>
      </c>
    </row>
    <row r="44">
      <c r="A44" t="inlineStr">
        <is>
          <t>ru-moscow</t>
        </is>
      </c>
      <c r="B44" t="inlineStr">
        <is>
          <t>Moscow</t>
        </is>
      </c>
      <c r="C44" t="inlineStr">
        <is>
          <t>Moscow Metropolitan Area</t>
        </is>
      </c>
      <c r="D44" t="inlineStr">
        <is>
          <t>Russia</t>
        </is>
      </c>
      <c r="E44" t="inlineStr">
        <is>
          <t>Southern/Eastern Europe and Eurasia</t>
        </is>
      </c>
      <c r="F44" t="inlineStr">
        <is>
          <t>primary</t>
        </is>
      </c>
      <c r="G44" t="inlineStr">
        <is>
          <t>locked</t>
        </is>
      </c>
      <c r="H44" t="inlineStr">
        <is>
          <t>User anchor included for scale, culture, infrastructure depth, and Eurasian comparability.</t>
        </is>
      </c>
    </row>
    <row r="45">
      <c r="A45" t="inlineStr">
        <is>
          <t>hu-budapest</t>
        </is>
      </c>
      <c r="B45" t="inlineStr">
        <is>
          <t>Budapest</t>
        </is>
      </c>
      <c r="C45" t="inlineStr">
        <is>
          <t>Budapest Metropolitan Area</t>
        </is>
      </c>
      <c r="D45" t="inlineStr">
        <is>
          <t>Hungary</t>
        </is>
      </c>
      <c r="E45" t="inlineStr">
        <is>
          <t>Southern/Eastern Europe and Eurasia</t>
        </is>
      </c>
      <c r="F45" t="inlineStr">
        <is>
          <t>primary</t>
        </is>
      </c>
      <c r="G45" t="inlineStr">
        <is>
          <t>locked</t>
        </is>
      </c>
      <c r="H45" t="inlineStr">
        <is>
          <t>User anchor with strong urban form, culture, and affordability relative to western peers.</t>
        </is>
      </c>
    </row>
    <row r="46">
      <c r="A46" t="inlineStr">
        <is>
          <t>pl-krakow</t>
        </is>
      </c>
      <c r="B46" t="inlineStr">
        <is>
          <t>Krakow</t>
        </is>
      </c>
      <c r="C46" t="inlineStr">
        <is>
          <t>Krakow Metropolitan Area</t>
        </is>
      </c>
      <c r="D46" t="inlineStr">
        <is>
          <t>Poland</t>
        </is>
      </c>
      <c r="E46" t="inlineStr">
        <is>
          <t>Southern/Eastern Europe and Eurasia</t>
        </is>
      </c>
      <c r="F46" t="inlineStr">
        <is>
          <t>primary</t>
        </is>
      </c>
      <c r="G46" t="inlineStr">
        <is>
          <t>locked</t>
        </is>
      </c>
      <c r="H46" t="inlineStr">
        <is>
          <t>User anchor and strong central-European benchmark for heritage, education, and secondary-scale quality.</t>
        </is>
      </c>
    </row>
    <row r="47">
      <c r="A47" t="inlineStr">
        <is>
          <t>ro-bucharest</t>
        </is>
      </c>
      <c r="B47" t="inlineStr">
        <is>
          <t>Bucharest</t>
        </is>
      </c>
      <c r="C47" t="inlineStr">
        <is>
          <t>Bucharest Metropolitan Area</t>
        </is>
      </c>
      <c r="D47" t="inlineStr">
        <is>
          <t>Romania</t>
        </is>
      </c>
      <c r="E47" t="inlineStr">
        <is>
          <t>Southern/Eastern Europe and Eurasia</t>
        </is>
      </c>
      <c r="F47" t="inlineStr">
        <is>
          <t>primary</t>
        </is>
      </c>
      <c r="G47" t="inlineStr">
        <is>
          <t>locked</t>
        </is>
      </c>
      <c r="H47" t="inlineStr">
        <is>
          <t>Regional capital included for affordability-competitiveness balance and infrastructure trajectory.</t>
        </is>
      </c>
    </row>
    <row r="48">
      <c r="A48" t="inlineStr">
        <is>
          <t>rs-belgrade</t>
        </is>
      </c>
      <c r="B48" t="inlineStr">
        <is>
          <t>Belgrade</t>
        </is>
      </c>
      <c r="C48" t="inlineStr">
        <is>
          <t>Belgrade Metropolitan Area</t>
        </is>
      </c>
      <c r="D48" t="inlineStr">
        <is>
          <t>Serbia</t>
        </is>
      </c>
      <c r="E48" t="inlineStr">
        <is>
          <t>Southern/Eastern Europe and Eurasia</t>
        </is>
      </c>
      <c r="F48" t="inlineStr">
        <is>
          <t>primary</t>
        </is>
      </c>
      <c r="G48" t="inlineStr">
        <is>
          <t>locked</t>
        </is>
      </c>
      <c r="H48" t="inlineStr">
        <is>
          <t>Regional challenger included for dynamism, hospitality, and lower-cost competitiveness.</t>
        </is>
      </c>
    </row>
    <row r="49">
      <c r="A49" t="inlineStr">
        <is>
          <t>ru-nizhny-novgorod</t>
        </is>
      </c>
      <c r="B49" t="inlineStr">
        <is>
          <t>Nizhny Novgorod</t>
        </is>
      </c>
      <c r="C49" t="inlineStr">
        <is>
          <t>Nizhny Novgorod Urban Agglomeration</t>
        </is>
      </c>
      <c r="D49" t="inlineStr">
        <is>
          <t>Russia</t>
        </is>
      </c>
      <c r="E49" t="inlineStr">
        <is>
          <t>Southern/Eastern Europe and Eurasia</t>
        </is>
      </c>
      <c r="F49" t="inlineStr">
        <is>
          <t>secondary</t>
        </is>
      </c>
      <c r="G49" t="inlineStr">
        <is>
          <t>provisional</t>
        </is>
      </c>
      <c r="H49" t="inlineStr">
        <is>
          <t>User-referenced Russian challenger included provisionally as a second-tier Eurasian comparator.</t>
        </is>
      </c>
    </row>
    <row r="50">
      <c r="A50" t="inlineStr">
        <is>
          <t>pl-katowice</t>
        </is>
      </c>
      <c r="B50" t="inlineStr">
        <is>
          <t>Katowice</t>
        </is>
      </c>
      <c r="C50" t="inlineStr">
        <is>
          <t>Upper Silesian Metropolitan Association</t>
        </is>
      </c>
      <c r="D50" t="inlineStr">
        <is>
          <t>Poland</t>
        </is>
      </c>
      <c r="E50" t="inlineStr">
        <is>
          <t>Southern/Eastern Europe and Eurasia</t>
        </is>
      </c>
      <c r="F50" t="inlineStr">
        <is>
          <t>secondary</t>
        </is>
      </c>
      <c r="G50" t="inlineStr">
        <is>
          <t>locked</t>
        </is>
      </c>
      <c r="H50" t="inlineStr">
        <is>
          <t>User anchor included for industrial-transition competitiveness and metro-scale livability.</t>
        </is>
      </c>
    </row>
    <row r="51">
      <c r="A51" t="inlineStr">
        <is>
          <t>pl-gdansk</t>
        </is>
      </c>
      <c r="B51" t="inlineStr">
        <is>
          <t>Gdansk</t>
        </is>
      </c>
      <c r="C51" t="inlineStr">
        <is>
          <t>Tricity Metropolitan Area</t>
        </is>
      </c>
      <c r="D51" t="inlineStr">
        <is>
          <t>Poland</t>
        </is>
      </c>
      <c r="E51" t="inlineStr">
        <is>
          <t>Southern/Eastern Europe and Eurasia</t>
        </is>
      </c>
      <c r="F51" t="inlineStr">
        <is>
          <t>secondary</t>
        </is>
      </c>
      <c r="G51" t="inlineStr">
        <is>
          <t>locked</t>
        </is>
      </c>
      <c r="H51" t="inlineStr">
        <is>
          <t>User anchor included for port-city vitality and Baltic urban quality.</t>
        </is>
      </c>
    </row>
    <row r="52">
      <c r="A52" t="inlineStr">
        <is>
          <t>pl-torun</t>
        </is>
      </c>
      <c r="B52" t="inlineStr">
        <is>
          <t>Torun</t>
        </is>
      </c>
      <c r="C52" t="inlineStr">
        <is>
          <t>Torun Urban Area</t>
        </is>
      </c>
      <c r="D52" t="inlineStr">
        <is>
          <t>Poland</t>
        </is>
      </c>
      <c r="E52" t="inlineStr">
        <is>
          <t>Southern/Eastern Europe and Eurasia</t>
        </is>
      </c>
      <c r="F52" t="inlineStr">
        <is>
          <t>secondary</t>
        </is>
      </c>
      <c r="G52" t="inlineStr">
        <is>
          <t>provisional</t>
        </is>
      </c>
      <c r="H52" t="inlineStr">
        <is>
          <t>User-referenced university-city challenger retained provisionally for follow-up data testing.</t>
        </is>
      </c>
    </row>
    <row r="53">
      <c r="A53" t="inlineStr">
        <is>
          <t>sk-bratislava</t>
        </is>
      </c>
      <c r="B53" t="inlineStr">
        <is>
          <t>Bratislava</t>
        </is>
      </c>
      <c r="C53" t="inlineStr">
        <is>
          <t>Bratislava Metropolitan Area</t>
        </is>
      </c>
      <c r="D53" t="inlineStr">
        <is>
          <t>Slovakia</t>
        </is>
      </c>
      <c r="E53" t="inlineStr">
        <is>
          <t>Southern/Eastern Europe and Eurasia</t>
        </is>
      </c>
      <c r="F53" t="inlineStr">
        <is>
          <t>secondary</t>
        </is>
      </c>
      <c r="G53" t="inlineStr">
        <is>
          <t>provisional</t>
        </is>
      </c>
      <c r="H53" t="inlineStr">
        <is>
          <t>Secondary central-European challenger included for affordability, cross-border access, and competitiveness.</t>
        </is>
      </c>
    </row>
    <row r="54">
      <c r="A54" t="inlineStr">
        <is>
          <t>us-chicago</t>
        </is>
      </c>
      <c r="B54" t="inlineStr">
        <is>
          <t>Chicago</t>
        </is>
      </c>
      <c r="C54" t="inlineStr">
        <is>
          <t>Chicago Metropolitan Area</t>
        </is>
      </c>
      <c r="D54" t="inlineStr">
        <is>
          <t>United States</t>
        </is>
      </c>
      <c r="E54" t="inlineStr">
        <is>
          <t>North America</t>
        </is>
      </c>
      <c r="F54" t="inlineStr">
        <is>
          <t>primary</t>
        </is>
      </c>
      <c r="G54" t="inlineStr">
        <is>
          <t>locked</t>
        </is>
      </c>
      <c r="H54" t="inlineStr">
        <is>
          <t>U.S. control city included for scale, connectivity, and relative affordability within the American field.</t>
        </is>
      </c>
    </row>
    <row r="55">
      <c r="A55" t="inlineStr">
        <is>
          <t>mx-mexico-city</t>
        </is>
      </c>
      <c r="B55" t="inlineStr">
        <is>
          <t>Mexico City</t>
        </is>
      </c>
      <c r="C55" t="inlineStr">
        <is>
          <t>Valley of Mexico Metropolitan Area</t>
        </is>
      </c>
      <c r="D55" t="inlineStr">
        <is>
          <t>Mexico</t>
        </is>
      </c>
      <c r="E55" t="inlineStr">
        <is>
          <t>North America</t>
        </is>
      </c>
      <c r="F55" t="inlineStr">
        <is>
          <t>primary</t>
        </is>
      </c>
      <c r="G55" t="inlineStr">
        <is>
          <t>locked</t>
        </is>
      </c>
      <c r="H55" t="inlineStr">
        <is>
          <t>North American megacity benchmark included for urban energy, culture, and affordability tension.</t>
        </is>
      </c>
    </row>
    <row r="56">
      <c r="A56" t="inlineStr">
        <is>
          <t>ca-toronto</t>
        </is>
      </c>
      <c r="B56" t="inlineStr">
        <is>
          <t>Toronto</t>
        </is>
      </c>
      <c r="C56" t="inlineStr">
        <is>
          <t>Greater Toronto Area</t>
        </is>
      </c>
      <c r="D56" t="inlineStr">
        <is>
          <t>Canada</t>
        </is>
      </c>
      <c r="E56" t="inlineStr">
        <is>
          <t>North America</t>
        </is>
      </c>
      <c r="F56" t="inlineStr">
        <is>
          <t>primary</t>
        </is>
      </c>
      <c r="G56" t="inlineStr">
        <is>
          <t>provisional</t>
        </is>
      </c>
      <c r="H56" t="inlineStr">
        <is>
          <t>High-cost North American comparator included to test whether strong services can offset pressure.</t>
        </is>
      </c>
    </row>
    <row r="57">
      <c r="A57" t="inlineStr">
        <is>
          <t>pa-panama-city</t>
        </is>
      </c>
      <c r="B57" t="inlineStr">
        <is>
          <t>Panama City</t>
        </is>
      </c>
      <c r="C57" t="inlineStr">
        <is>
          <t>Panama City Metropolitan Area</t>
        </is>
      </c>
      <c r="D57" t="inlineStr">
        <is>
          <t>Panama</t>
        </is>
      </c>
      <c r="E57" t="inlineStr">
        <is>
          <t>North America</t>
        </is>
      </c>
      <c r="F57" t="inlineStr">
        <is>
          <t>primary</t>
        </is>
      </c>
      <c r="G57" t="inlineStr">
        <is>
          <t>locked</t>
        </is>
      </c>
      <c r="H57" t="inlineStr">
        <is>
          <t>Regional gateway benchmark included for connectivity, investment, and logistics-driven vitality.</t>
        </is>
      </c>
    </row>
    <row r="58">
      <c r="A58" t="inlineStr">
        <is>
          <t>cr-san-jose</t>
        </is>
      </c>
      <c r="B58" t="inlineStr">
        <is>
          <t>San Jose</t>
        </is>
      </c>
      <c r="C58" t="inlineStr">
        <is>
          <t>Greater Metropolitan Area of Costa Rica</t>
        </is>
      </c>
      <c r="D58" t="inlineStr">
        <is>
          <t>Costa Rica</t>
        </is>
      </c>
      <c r="E58" t="inlineStr">
        <is>
          <t>North America</t>
        </is>
      </c>
      <c r="F58" t="inlineStr">
        <is>
          <t>primary</t>
        </is>
      </c>
      <c r="G58" t="inlineStr">
        <is>
          <t>locked</t>
        </is>
      </c>
      <c r="H58" t="inlineStr">
        <is>
          <t>Smaller North American capital benchmark included for education, healthcare, and relative stability.</t>
        </is>
      </c>
    </row>
    <row r="59">
      <c r="A59" t="inlineStr">
        <is>
          <t>us-pittsburgh</t>
        </is>
      </c>
      <c r="B59" t="inlineStr">
        <is>
          <t>Pittsburgh</t>
        </is>
      </c>
      <c r="C59" t="inlineStr">
        <is>
          <t>Pittsburgh Metropolitan Area</t>
        </is>
      </c>
      <c r="D59" t="inlineStr">
        <is>
          <t>United States</t>
        </is>
      </c>
      <c r="E59" t="inlineStr">
        <is>
          <t>North America</t>
        </is>
      </c>
      <c r="F59" t="inlineStr">
        <is>
          <t>secondary</t>
        </is>
      </c>
      <c r="G59" t="inlineStr">
        <is>
          <t>locked</t>
        </is>
      </c>
      <c r="H59" t="inlineStr">
        <is>
          <t>Secondary U.S. challenger included for education, healthcare, and value relative to coastal hubs.</t>
        </is>
      </c>
    </row>
    <row r="60">
      <c r="A60" t="inlineStr">
        <is>
          <t>ca-montreal</t>
        </is>
      </c>
      <c r="B60" t="inlineStr">
        <is>
          <t>Montreal</t>
        </is>
      </c>
      <c r="C60" t="inlineStr">
        <is>
          <t>Montreal Metropolitan Area</t>
        </is>
      </c>
      <c r="D60" t="inlineStr">
        <is>
          <t>Canada</t>
        </is>
      </c>
      <c r="E60" t="inlineStr">
        <is>
          <t>North America</t>
        </is>
      </c>
      <c r="F60" t="inlineStr">
        <is>
          <t>secondary</t>
        </is>
      </c>
      <c r="G60" t="inlineStr">
        <is>
          <t>locked</t>
        </is>
      </c>
      <c r="H60" t="inlineStr">
        <is>
          <t>Secondary Canadian benchmark with strong culture, transit, and urban texture.</t>
        </is>
      </c>
    </row>
    <row r="61">
      <c r="A61" t="inlineStr">
        <is>
          <t>mx-guadalajara</t>
        </is>
      </c>
      <c r="B61" t="inlineStr">
        <is>
          <t>Guadalajara</t>
        </is>
      </c>
      <c r="C61" t="inlineStr">
        <is>
          <t>Guadalajara Metropolitan Area</t>
        </is>
      </c>
      <c r="D61" t="inlineStr">
        <is>
          <t>Mexico</t>
        </is>
      </c>
      <c r="E61" t="inlineStr">
        <is>
          <t>North America</t>
        </is>
      </c>
      <c r="F61" t="inlineStr">
        <is>
          <t>secondary</t>
        </is>
      </c>
      <c r="G61" t="inlineStr">
        <is>
          <t>locked</t>
        </is>
      </c>
      <c r="H61" t="inlineStr">
        <is>
          <t>Secondary Mexican challenger for entrepreneurship, liveability, and cost competitiveness.</t>
        </is>
      </c>
    </row>
    <row r="62">
      <c r="A62" t="inlineStr">
        <is>
          <t>pr-san-juan</t>
        </is>
      </c>
      <c r="B62" t="inlineStr">
        <is>
          <t>San Juan</t>
        </is>
      </c>
      <c r="C62" t="inlineStr">
        <is>
          <t>San Juan Metropolitan Area</t>
        </is>
      </c>
      <c r="D62" t="inlineStr">
        <is>
          <t>Puerto Rico</t>
        </is>
      </c>
      <c r="E62" t="inlineStr">
        <is>
          <t>North America</t>
        </is>
      </c>
      <c r="F62" t="inlineStr">
        <is>
          <t>secondary</t>
        </is>
      </c>
      <c r="G62" t="inlineStr">
        <is>
          <t>provisional</t>
        </is>
      </c>
      <c r="H62" t="inlineStr">
        <is>
          <t>Caribbean urban challenger included provisionally for climate, connectivity, and services testing.</t>
        </is>
      </c>
    </row>
    <row r="63">
      <c r="A63" t="inlineStr">
        <is>
          <t>mx-merida</t>
        </is>
      </c>
      <c r="B63" t="inlineStr">
        <is>
          <t>Merida</t>
        </is>
      </c>
      <c r="C63" t="inlineStr">
        <is>
          <t>Merida Metropolitan Area</t>
        </is>
      </c>
      <c r="D63" t="inlineStr">
        <is>
          <t>Mexico</t>
        </is>
      </c>
      <c r="E63" t="inlineStr">
        <is>
          <t>North America</t>
        </is>
      </c>
      <c r="F63" t="inlineStr">
        <is>
          <t>secondary</t>
        </is>
      </c>
      <c r="G63" t="inlineStr">
        <is>
          <t>provisional</t>
        </is>
      </c>
      <c r="H63" t="inlineStr">
        <is>
          <t>Lower-pressure Mexican challenger included provisionally for safety and lifestyle contrast.</t>
        </is>
      </c>
    </row>
    <row r="64">
      <c r="A64" t="inlineStr">
        <is>
          <t>br-sao-paulo</t>
        </is>
      </c>
      <c r="B64" t="inlineStr">
        <is>
          <t>Sao Paulo</t>
        </is>
      </c>
      <c r="C64" t="inlineStr">
        <is>
          <t>Sao Paulo Metropolitan Area</t>
        </is>
      </c>
      <c r="D64" t="inlineStr">
        <is>
          <t>Brazil</t>
        </is>
      </c>
      <c r="E64" t="inlineStr">
        <is>
          <t>Latin America</t>
        </is>
      </c>
      <c r="F64" t="inlineStr">
        <is>
          <t>primary</t>
        </is>
      </c>
      <c r="G64" t="inlineStr">
        <is>
          <t>locked</t>
        </is>
      </c>
      <c r="H64" t="inlineStr">
        <is>
          <t>User anchor and Latin American scale benchmark for competitiveness and opportunity.</t>
        </is>
      </c>
    </row>
    <row r="65">
      <c r="A65" t="inlineStr">
        <is>
          <t>ar-buenos-aires</t>
        </is>
      </c>
      <c r="B65" t="inlineStr">
        <is>
          <t>Buenos Aires</t>
        </is>
      </c>
      <c r="C65" t="inlineStr">
        <is>
          <t>Greater Buenos Aires</t>
        </is>
      </c>
      <c r="D65" t="inlineStr">
        <is>
          <t>Argentina</t>
        </is>
      </c>
      <c r="E65" t="inlineStr">
        <is>
          <t>Latin America</t>
        </is>
      </c>
      <c r="F65" t="inlineStr">
        <is>
          <t>primary</t>
        </is>
      </c>
      <c r="G65" t="inlineStr">
        <is>
          <t>locked</t>
        </is>
      </c>
      <c r="H65" t="inlineStr">
        <is>
          <t>Primary benchmark for culture, human capital, and urban texture across Latin America.</t>
        </is>
      </c>
    </row>
    <row r="66">
      <c r="A66" t="inlineStr">
        <is>
          <t>cl-santiago</t>
        </is>
      </c>
      <c r="B66" t="inlineStr">
        <is>
          <t>Santiago</t>
        </is>
      </c>
      <c r="C66" t="inlineStr">
        <is>
          <t>Greater Santiago</t>
        </is>
      </c>
      <c r="D66" t="inlineStr">
        <is>
          <t>Chile</t>
        </is>
      </c>
      <c r="E66" t="inlineStr">
        <is>
          <t>Latin America</t>
        </is>
      </c>
      <c r="F66" t="inlineStr">
        <is>
          <t>primary</t>
        </is>
      </c>
      <c r="G66" t="inlineStr">
        <is>
          <t>locked</t>
        </is>
      </c>
      <c r="H66" t="inlineStr">
        <is>
          <t>Regional systems-quality benchmark included to compare efficiency against cost and social strain.</t>
        </is>
      </c>
    </row>
    <row r="67">
      <c r="A67" t="inlineStr">
        <is>
          <t>co-bogota</t>
        </is>
      </c>
      <c r="B67" t="inlineStr">
        <is>
          <t>Bogota</t>
        </is>
      </c>
      <c r="C67" t="inlineStr">
        <is>
          <t>Bogota Metropolitan Area</t>
        </is>
      </c>
      <c r="D67" t="inlineStr">
        <is>
          <t>Colombia</t>
        </is>
      </c>
      <c r="E67" t="inlineStr">
        <is>
          <t>Latin America</t>
        </is>
      </c>
      <c r="F67" t="inlineStr">
        <is>
          <t>primary</t>
        </is>
      </c>
      <c r="G67" t="inlineStr">
        <is>
          <t>locked</t>
        </is>
      </c>
      <c r="H67" t="inlineStr">
        <is>
          <t>Primary comparator for scale, transit reform, education, and competitiveness.</t>
        </is>
      </c>
    </row>
    <row r="68">
      <c r="A68" t="inlineStr">
        <is>
          <t>pe-lima</t>
        </is>
      </c>
      <c r="B68" t="inlineStr">
        <is>
          <t>Lima</t>
        </is>
      </c>
      <c r="C68" t="inlineStr">
        <is>
          <t>Lima Metropolitan Area</t>
        </is>
      </c>
      <c r="D68" t="inlineStr">
        <is>
          <t>Peru</t>
        </is>
      </c>
      <c r="E68" t="inlineStr">
        <is>
          <t>Latin America</t>
        </is>
      </c>
      <c r="F68" t="inlineStr">
        <is>
          <t>primary</t>
        </is>
      </c>
      <c r="G68" t="inlineStr">
        <is>
          <t>provisional</t>
        </is>
      </c>
      <c r="H68" t="inlineStr">
        <is>
          <t>Provisional Pacific-capital comparator included for scale and coastal livability tradeoffs.</t>
        </is>
      </c>
    </row>
    <row r="69">
      <c r="A69" t="inlineStr">
        <is>
          <t>br-curitiba</t>
        </is>
      </c>
      <c r="B69" t="inlineStr">
        <is>
          <t>Curitiba</t>
        </is>
      </c>
      <c r="C69" t="inlineStr">
        <is>
          <t>Curitiba Metropolitan Area</t>
        </is>
      </c>
      <c r="D69" t="inlineStr">
        <is>
          <t>Brazil</t>
        </is>
      </c>
      <c r="E69" t="inlineStr">
        <is>
          <t>Latin America</t>
        </is>
      </c>
      <c r="F69" t="inlineStr">
        <is>
          <t>secondary</t>
        </is>
      </c>
      <c r="G69" t="inlineStr">
        <is>
          <t>locked</t>
        </is>
      </c>
      <c r="H69" t="inlineStr">
        <is>
          <t>Secondary benchmark for planning reputation, mobility, and relative affordability.</t>
        </is>
      </c>
    </row>
    <row r="70">
      <c r="A70" t="inlineStr">
        <is>
          <t>co-medellin</t>
        </is>
      </c>
      <c r="B70" t="inlineStr">
        <is>
          <t>Medellin</t>
        </is>
      </c>
      <c r="C70" t="inlineStr">
        <is>
          <t>Aburra Valley Metropolitan Area</t>
        </is>
      </c>
      <c r="D70" t="inlineStr">
        <is>
          <t>Colombia</t>
        </is>
      </c>
      <c r="E70" t="inlineStr">
        <is>
          <t>Latin America</t>
        </is>
      </c>
      <c r="F70" t="inlineStr">
        <is>
          <t>secondary</t>
        </is>
      </c>
      <c r="G70" t="inlineStr">
        <is>
          <t>locked</t>
        </is>
      </c>
      <c r="H70" t="inlineStr">
        <is>
          <t>Secondary challenger for entrepreneurship, hillside transit, and urban transformation.</t>
        </is>
      </c>
    </row>
    <row r="71">
      <c r="A71" t="inlineStr">
        <is>
          <t>uy-montevideo</t>
        </is>
      </c>
      <c r="B71" t="inlineStr">
        <is>
          <t>Montevideo</t>
        </is>
      </c>
      <c r="C71" t="inlineStr">
        <is>
          <t>Montevideo Metropolitan Area</t>
        </is>
      </c>
      <c r="D71" t="inlineStr">
        <is>
          <t>Uruguay</t>
        </is>
      </c>
      <c r="E71" t="inlineStr">
        <is>
          <t>Latin America</t>
        </is>
      </c>
      <c r="F71" t="inlineStr">
        <is>
          <t>secondary</t>
        </is>
      </c>
      <c r="G71" t="inlineStr">
        <is>
          <t>locked</t>
        </is>
      </c>
      <c r="H71" t="inlineStr">
        <is>
          <t>Lower-pressure South American benchmark with strong civic and social indicators.</t>
        </is>
      </c>
    </row>
    <row r="72">
      <c r="A72" t="inlineStr">
        <is>
          <t>ar-cordoba</t>
        </is>
      </c>
      <c r="B72" t="inlineStr">
        <is>
          <t>Cordoba</t>
        </is>
      </c>
      <c r="C72" t="inlineStr">
        <is>
          <t>Cordoba Metropolitan Area</t>
        </is>
      </c>
      <c r="D72" t="inlineStr">
        <is>
          <t>Argentina</t>
        </is>
      </c>
      <c r="E72" t="inlineStr">
        <is>
          <t>Latin America</t>
        </is>
      </c>
      <c r="F72" t="inlineStr">
        <is>
          <t>secondary</t>
        </is>
      </c>
      <c r="G72" t="inlineStr">
        <is>
          <t>provisional</t>
        </is>
      </c>
      <c r="H72" t="inlineStr">
        <is>
          <t>Secondary Argentine challenger included provisionally for education, cost, and regional depth.</t>
        </is>
      </c>
    </row>
    <row r="73">
      <c r="A73" t="inlineStr">
        <is>
          <t>cl-valparaiso</t>
        </is>
      </c>
      <c r="B73" t="inlineStr">
        <is>
          <t>Valparaiso</t>
        </is>
      </c>
      <c r="C73" t="inlineStr">
        <is>
          <t>Greater Valparaiso</t>
        </is>
      </c>
      <c r="D73" t="inlineStr">
        <is>
          <t>Chile</t>
        </is>
      </c>
      <c r="E73" t="inlineStr">
        <is>
          <t>Latin America</t>
        </is>
      </c>
      <c r="F73" t="inlineStr">
        <is>
          <t>secondary</t>
        </is>
      </c>
      <c r="G73" t="inlineStr">
        <is>
          <t>provisional</t>
        </is>
      </c>
      <c r="H73" t="inlineStr">
        <is>
          <t>Port-city challenger included provisionally for culture and coastal public-life potential.</t>
        </is>
      </c>
    </row>
    <row r="74">
      <c r="A74" t="inlineStr">
        <is>
          <t>ae-dubai</t>
        </is>
      </c>
      <c r="B74" t="inlineStr">
        <is>
          <t>Dubai</t>
        </is>
      </c>
      <c r="C74" t="inlineStr">
        <is>
          <t>Dubai Metropolitan Area</t>
        </is>
      </c>
      <c r="D74" t="inlineStr">
        <is>
          <t>United Arab Emirates</t>
        </is>
      </c>
      <c r="E74" t="inlineStr">
        <is>
          <t>Middle East</t>
        </is>
      </c>
      <c r="F74" t="inlineStr">
        <is>
          <t>primary</t>
        </is>
      </c>
      <c r="G74" t="inlineStr">
        <is>
          <t>locked</t>
        </is>
      </c>
      <c r="H74" t="inlineStr">
        <is>
          <t>Regional convenience and connectivity benchmark included to test cost and social texture tradeoffs.</t>
        </is>
      </c>
    </row>
    <row r="75">
      <c r="A75" t="inlineStr">
        <is>
          <t>ae-abu-dhabi</t>
        </is>
      </c>
      <c r="B75" t="inlineStr">
        <is>
          <t>Abu Dhabi</t>
        </is>
      </c>
      <c r="C75" t="inlineStr">
        <is>
          <t>Abu Dhabi Metropolitan Area</t>
        </is>
      </c>
      <c r="D75" t="inlineStr">
        <is>
          <t>United Arab Emirates</t>
        </is>
      </c>
      <c r="E75" t="inlineStr">
        <is>
          <t>Middle East</t>
        </is>
      </c>
      <c r="F75" t="inlineStr">
        <is>
          <t>primary</t>
        </is>
      </c>
      <c r="G75" t="inlineStr">
        <is>
          <t>locked</t>
        </is>
      </c>
      <c r="H75" t="inlineStr">
        <is>
          <t>Systems-quality comparator with strong state capacity and high service competence.</t>
        </is>
      </c>
    </row>
    <row r="76">
      <c r="A76" t="inlineStr">
        <is>
          <t>qa-doha</t>
        </is>
      </c>
      <c r="B76" t="inlineStr">
        <is>
          <t>Doha</t>
        </is>
      </c>
      <c r="C76" t="inlineStr">
        <is>
          <t>Doha Metropolitan Area</t>
        </is>
      </c>
      <c r="D76" t="inlineStr">
        <is>
          <t>Qatar</t>
        </is>
      </c>
      <c r="E76" t="inlineStr">
        <is>
          <t>Middle East</t>
        </is>
      </c>
      <c r="F76" t="inlineStr">
        <is>
          <t>primary</t>
        </is>
      </c>
      <c r="G76" t="inlineStr">
        <is>
          <t>locked</t>
        </is>
      </c>
      <c r="H76" t="inlineStr">
        <is>
          <t>High-capacity Gulf benchmark included for infrastructure, safety, and cost testing.</t>
        </is>
      </c>
    </row>
    <row r="77">
      <c r="A77" t="inlineStr">
        <is>
          <t>sa-riyadh</t>
        </is>
      </c>
      <c r="B77" t="inlineStr">
        <is>
          <t>Riyadh</t>
        </is>
      </c>
      <c r="C77" t="inlineStr">
        <is>
          <t>Riyadh Metropolitan Area</t>
        </is>
      </c>
      <c r="D77" t="inlineStr">
        <is>
          <t>Saudi Arabia</t>
        </is>
      </c>
      <c r="E77" t="inlineStr">
        <is>
          <t>Middle East</t>
        </is>
      </c>
      <c r="F77" t="inlineStr">
        <is>
          <t>primary</t>
        </is>
      </c>
      <c r="G77" t="inlineStr">
        <is>
          <t>provisional</t>
        </is>
      </c>
      <c r="H77" t="inlineStr">
        <is>
          <t>Provisional primary comparator included for scale, investment, and administrative reform testing.</t>
        </is>
      </c>
    </row>
    <row r="78">
      <c r="A78" t="inlineStr">
        <is>
          <t>il-tel-aviv</t>
        </is>
      </c>
      <c r="B78" t="inlineStr">
        <is>
          <t>Tel Aviv</t>
        </is>
      </c>
      <c r="C78" t="inlineStr">
        <is>
          <t>Tel Aviv Metropolitan Area</t>
        </is>
      </c>
      <c r="D78" t="inlineStr">
        <is>
          <t>Israel</t>
        </is>
      </c>
      <c r="E78" t="inlineStr">
        <is>
          <t>Middle East</t>
        </is>
      </c>
      <c r="F78" t="inlineStr">
        <is>
          <t>primary</t>
        </is>
      </c>
      <c r="G78" t="inlineStr">
        <is>
          <t>provisional</t>
        </is>
      </c>
      <c r="H78" t="inlineStr">
        <is>
          <t>Provisional innovation benchmark included for startup intensity, openness, and high cost.</t>
        </is>
      </c>
    </row>
    <row r="79">
      <c r="A79" t="inlineStr">
        <is>
          <t>om-muscat</t>
        </is>
      </c>
      <c r="B79" t="inlineStr">
        <is>
          <t>Muscat</t>
        </is>
      </c>
      <c r="C79" t="inlineStr">
        <is>
          <t>Muscat Metropolitan Area</t>
        </is>
      </c>
      <c r="D79" t="inlineStr">
        <is>
          <t>Oman</t>
        </is>
      </c>
      <c r="E79" t="inlineStr">
        <is>
          <t>Middle East</t>
        </is>
      </c>
      <c r="F79" t="inlineStr">
        <is>
          <t>secondary</t>
        </is>
      </c>
      <c r="G79" t="inlineStr">
        <is>
          <t>locked</t>
        </is>
      </c>
      <c r="H79" t="inlineStr">
        <is>
          <t>Lower-pressure Gulf challenger with strong everyday service quality potential.</t>
        </is>
      </c>
    </row>
    <row r="80">
      <c r="A80" t="inlineStr">
        <is>
          <t>bh-manama</t>
        </is>
      </c>
      <c r="B80" t="inlineStr">
        <is>
          <t>Manama</t>
        </is>
      </c>
      <c r="C80" t="inlineStr">
        <is>
          <t>Greater Manama</t>
        </is>
      </c>
      <c r="D80" t="inlineStr">
        <is>
          <t>Bahrain</t>
        </is>
      </c>
      <c r="E80" t="inlineStr">
        <is>
          <t>Middle East</t>
        </is>
      </c>
      <c r="F80" t="inlineStr">
        <is>
          <t>secondary</t>
        </is>
      </c>
      <c r="G80" t="inlineStr">
        <is>
          <t>locked</t>
        </is>
      </c>
      <c r="H80" t="inlineStr">
        <is>
          <t>Secondary Gulf comparator for openness, compactness, and service-led economy.</t>
        </is>
      </c>
    </row>
    <row r="81">
      <c r="A81" t="inlineStr">
        <is>
          <t>sa-jeddah</t>
        </is>
      </c>
      <c r="B81" t="inlineStr">
        <is>
          <t>Jeddah</t>
        </is>
      </c>
      <c r="C81" t="inlineStr">
        <is>
          <t>Jeddah Metropolitan Area</t>
        </is>
      </c>
      <c r="D81" t="inlineStr">
        <is>
          <t>Saudi Arabia</t>
        </is>
      </c>
      <c r="E81" t="inlineStr">
        <is>
          <t>Middle East</t>
        </is>
      </c>
      <c r="F81" t="inlineStr">
        <is>
          <t>secondary</t>
        </is>
      </c>
      <c r="G81" t="inlineStr">
        <is>
          <t>locked</t>
        </is>
      </c>
      <c r="H81" t="inlineStr">
        <is>
          <t>Coastal Saudi challenger included for commerce, lifestyle, and second-city comparison.</t>
        </is>
      </c>
    </row>
    <row r="82">
      <c r="A82" t="inlineStr">
        <is>
          <t>kw-kuwait-city</t>
        </is>
      </c>
      <c r="B82" t="inlineStr">
        <is>
          <t>Kuwait City</t>
        </is>
      </c>
      <c r="C82" t="inlineStr">
        <is>
          <t>Kuwait Metropolitan Area</t>
        </is>
      </c>
      <c r="D82" t="inlineStr">
        <is>
          <t>Kuwait</t>
        </is>
      </c>
      <c r="E82" t="inlineStr">
        <is>
          <t>Middle East</t>
        </is>
      </c>
      <c r="F82" t="inlineStr">
        <is>
          <t>secondary</t>
        </is>
      </c>
      <c r="G82" t="inlineStr">
        <is>
          <t>locked</t>
        </is>
      </c>
      <c r="H82" t="inlineStr">
        <is>
          <t>Compact Gulf benchmark included for service quality and economic strength.</t>
        </is>
      </c>
    </row>
    <row r="83">
      <c r="A83" t="inlineStr">
        <is>
          <t>jo-amman</t>
        </is>
      </c>
      <c r="B83" t="inlineStr">
        <is>
          <t>Amman</t>
        </is>
      </c>
      <c r="C83" t="inlineStr">
        <is>
          <t>Greater Amman</t>
        </is>
      </c>
      <c r="D83" t="inlineStr">
        <is>
          <t>Jordan</t>
        </is>
      </c>
      <c r="E83" t="inlineStr">
        <is>
          <t>Middle East</t>
        </is>
      </c>
      <c r="F83" t="inlineStr">
        <is>
          <t>secondary</t>
        </is>
      </c>
      <c r="G83" t="inlineStr">
        <is>
          <t>provisional</t>
        </is>
      </c>
      <c r="H83" t="inlineStr">
        <is>
          <t>Provisional Levantine challenger included for education, services, and regional resilience.</t>
        </is>
      </c>
    </row>
    <row r="84">
      <c r="A84" t="inlineStr">
        <is>
          <t>za-cape-town</t>
        </is>
      </c>
      <c r="B84" t="inlineStr">
        <is>
          <t>Cape Town</t>
        </is>
      </c>
      <c r="C84" t="inlineStr">
        <is>
          <t>Cape Town Metropolitan Area</t>
        </is>
      </c>
      <c r="D84" t="inlineStr">
        <is>
          <t>South Africa</t>
        </is>
      </c>
      <c r="E84" t="inlineStr">
        <is>
          <t>Africa</t>
        </is>
      </c>
      <c r="F84" t="inlineStr">
        <is>
          <t>primary</t>
        </is>
      </c>
      <c r="G84" t="inlineStr">
        <is>
          <t>locked</t>
        </is>
      </c>
      <c r="H84" t="inlineStr">
        <is>
          <t>African benchmark for environment, urban form, and inequality tradeoffs.</t>
        </is>
      </c>
    </row>
    <row r="85">
      <c r="A85" t="inlineStr">
        <is>
          <t>za-johannesburg</t>
        </is>
      </c>
      <c r="B85" t="inlineStr">
        <is>
          <t>Johannesburg</t>
        </is>
      </c>
      <c r="C85" t="inlineStr">
        <is>
          <t>Johannesburg Metropolitan Area</t>
        </is>
      </c>
      <c r="D85" t="inlineStr">
        <is>
          <t>South Africa</t>
        </is>
      </c>
      <c r="E85" t="inlineStr">
        <is>
          <t>Africa</t>
        </is>
      </c>
      <c r="F85" t="inlineStr">
        <is>
          <t>primary</t>
        </is>
      </c>
      <c r="G85" t="inlineStr">
        <is>
          <t>provisional</t>
        </is>
      </c>
      <c r="H85" t="inlineStr">
        <is>
          <t>Provisional large-metro comparator included for competitiveness and safety-pressure contrasts.</t>
        </is>
      </c>
    </row>
    <row r="86">
      <c r="A86" t="inlineStr">
        <is>
          <t>ke-nairobi</t>
        </is>
      </c>
      <c r="B86" t="inlineStr">
        <is>
          <t>Nairobi</t>
        </is>
      </c>
      <c r="C86" t="inlineStr">
        <is>
          <t>Nairobi Metropolitan Area</t>
        </is>
      </c>
      <c r="D86" t="inlineStr">
        <is>
          <t>Kenya</t>
        </is>
      </c>
      <c r="E86" t="inlineStr">
        <is>
          <t>Africa</t>
        </is>
      </c>
      <c r="F86" t="inlineStr">
        <is>
          <t>primary</t>
        </is>
      </c>
      <c r="G86" t="inlineStr">
        <is>
          <t>locked</t>
        </is>
      </c>
      <c r="H86" t="inlineStr">
        <is>
          <t>Primary East African benchmark for entrepreneurship, services, and regional gravity.</t>
        </is>
      </c>
    </row>
    <row r="87">
      <c r="A87" t="inlineStr">
        <is>
          <t>rw-kigali</t>
        </is>
      </c>
      <c r="B87" t="inlineStr">
        <is>
          <t>Kigali</t>
        </is>
      </c>
      <c r="C87" t="inlineStr">
        <is>
          <t>Kigali Urban Area</t>
        </is>
      </c>
      <c r="D87" t="inlineStr">
        <is>
          <t>Rwanda</t>
        </is>
      </c>
      <c r="E87" t="inlineStr">
        <is>
          <t>Africa</t>
        </is>
      </c>
      <c r="F87" t="inlineStr">
        <is>
          <t>primary</t>
        </is>
      </c>
      <c r="G87" t="inlineStr">
        <is>
          <t>locked</t>
        </is>
      </c>
      <c r="H87" t="inlineStr">
        <is>
          <t>Primary challenger included for cleanliness, public order, and service reliability.</t>
        </is>
      </c>
    </row>
    <row r="88">
      <c r="A88" t="inlineStr">
        <is>
          <t>ma-casablanca</t>
        </is>
      </c>
      <c r="B88" t="inlineStr">
        <is>
          <t>Casablanca</t>
        </is>
      </c>
      <c r="C88" t="inlineStr">
        <is>
          <t>Casablanca Metropolitan Area</t>
        </is>
      </c>
      <c r="D88" t="inlineStr">
        <is>
          <t>Morocco</t>
        </is>
      </c>
      <c r="E88" t="inlineStr">
        <is>
          <t>Africa</t>
        </is>
      </c>
      <c r="F88" t="inlineStr">
        <is>
          <t>primary</t>
        </is>
      </c>
      <c r="G88" t="inlineStr">
        <is>
          <t>provisional</t>
        </is>
      </c>
      <c r="H88" t="inlineStr">
        <is>
          <t>Provisional north-African benchmark for scale, port economy, and urban vitality.</t>
        </is>
      </c>
    </row>
    <row r="89">
      <c r="A89" t="inlineStr">
        <is>
          <t>mu-port-louis</t>
        </is>
      </c>
      <c r="B89" t="inlineStr">
        <is>
          <t>Port Louis</t>
        </is>
      </c>
      <c r="C89" t="inlineStr">
        <is>
          <t>Port Louis Urban Area</t>
        </is>
      </c>
      <c r="D89" t="inlineStr">
        <is>
          <t>Mauritius</t>
        </is>
      </c>
      <c r="E89" t="inlineStr">
        <is>
          <t>Africa</t>
        </is>
      </c>
      <c r="F89" t="inlineStr">
        <is>
          <t>secondary</t>
        </is>
      </c>
      <c r="G89" t="inlineStr">
        <is>
          <t>locked</t>
        </is>
      </c>
      <c r="H89" t="inlineStr">
        <is>
          <t>Island-city challenger included for service quality, openness, and governance stability.</t>
        </is>
      </c>
    </row>
    <row r="90">
      <c r="A90" t="inlineStr">
        <is>
          <t>bw-gaborone</t>
        </is>
      </c>
      <c r="B90" t="inlineStr">
        <is>
          <t>Gaborone</t>
        </is>
      </c>
      <c r="C90" t="inlineStr">
        <is>
          <t>Greater Gaborone</t>
        </is>
      </c>
      <c r="D90" t="inlineStr">
        <is>
          <t>Botswana</t>
        </is>
      </c>
      <c r="E90" t="inlineStr">
        <is>
          <t>Africa</t>
        </is>
      </c>
      <c r="F90" t="inlineStr">
        <is>
          <t>secondary</t>
        </is>
      </c>
      <c r="G90" t="inlineStr">
        <is>
          <t>locked</t>
        </is>
      </c>
      <c r="H90" t="inlineStr">
        <is>
          <t>Lower-pressure southern-African challenger with cleaner administrative profile.</t>
        </is>
      </c>
    </row>
    <row r="91">
      <c r="A91" t="inlineStr">
        <is>
          <t>na-windhoek</t>
        </is>
      </c>
      <c r="B91" t="inlineStr">
        <is>
          <t>Windhoek</t>
        </is>
      </c>
      <c r="C91" t="inlineStr">
        <is>
          <t>Windhoek Urban Area</t>
        </is>
      </c>
      <c r="D91" t="inlineStr">
        <is>
          <t>Namibia</t>
        </is>
      </c>
      <c r="E91" t="inlineStr">
        <is>
          <t>Africa</t>
        </is>
      </c>
      <c r="F91" t="inlineStr">
        <is>
          <t>secondary</t>
        </is>
      </c>
      <c r="G91" t="inlineStr">
        <is>
          <t>locked</t>
        </is>
      </c>
      <c r="H91" t="inlineStr">
        <is>
          <t>Secondary challenger included for manageable scale and baseline service competence.</t>
        </is>
      </c>
    </row>
    <row r="92">
      <c r="A92" t="inlineStr">
        <is>
          <t>gh-accra</t>
        </is>
      </c>
      <c r="B92" t="inlineStr">
        <is>
          <t>Accra</t>
        </is>
      </c>
      <c r="C92" t="inlineStr">
        <is>
          <t>Greater Accra Metropolitan Area</t>
        </is>
      </c>
      <c r="D92" t="inlineStr">
        <is>
          <t>Ghana</t>
        </is>
      </c>
      <c r="E92" t="inlineStr">
        <is>
          <t>Africa</t>
        </is>
      </c>
      <c r="F92" t="inlineStr">
        <is>
          <t>secondary</t>
        </is>
      </c>
      <c r="G92" t="inlineStr">
        <is>
          <t>locked</t>
        </is>
      </c>
      <c r="H92" t="inlineStr">
        <is>
          <t>West African benchmark for talent, services, and regional connectivity.</t>
        </is>
      </c>
    </row>
    <row r="93">
      <c r="A93" t="inlineStr">
        <is>
          <t>sn-dakar</t>
        </is>
      </c>
      <c r="B93" t="inlineStr">
        <is>
          <t>Dakar</t>
        </is>
      </c>
      <c r="C93" t="inlineStr">
        <is>
          <t>Dakar Metropolitan Area</t>
        </is>
      </c>
      <c r="D93" t="inlineStr">
        <is>
          <t>Senegal</t>
        </is>
      </c>
      <c r="E93" t="inlineStr">
        <is>
          <t>Africa</t>
        </is>
      </c>
      <c r="F93" t="inlineStr">
        <is>
          <t>secondary</t>
        </is>
      </c>
      <c r="G93" t="inlineStr">
        <is>
          <t>provisional</t>
        </is>
      </c>
      <c r="H93" t="inlineStr">
        <is>
          <t>Provisional francophone west-African challenger with cultural and regional pull.</t>
        </is>
      </c>
    </row>
    <row r="94">
      <c r="A94" t="inlineStr">
        <is>
          <t>nz-auckland</t>
        </is>
      </c>
      <c r="B94" t="inlineStr">
        <is>
          <t>Auckland</t>
        </is>
      </c>
      <c r="C94" t="inlineStr">
        <is>
          <t>Auckland Metropolitan Area</t>
        </is>
      </c>
      <c r="D94" t="inlineStr">
        <is>
          <t>New Zealand</t>
        </is>
      </c>
      <c r="E94" t="inlineStr">
        <is>
          <t>Oceania</t>
        </is>
      </c>
      <c r="F94" t="inlineStr">
        <is>
          <t>primary</t>
        </is>
      </c>
      <c r="G94" t="inlineStr">
        <is>
          <t>locked</t>
        </is>
      </c>
      <c r="H94" t="inlineStr">
        <is>
          <t>Primary Oceanian benchmark for human-capital quality, openness, and cost pressure.</t>
        </is>
      </c>
    </row>
    <row r="95">
      <c r="A95" t="inlineStr">
        <is>
          <t>au-sydney</t>
        </is>
      </c>
      <c r="B95" t="inlineStr">
        <is>
          <t>Sydney</t>
        </is>
      </c>
      <c r="C95" t="inlineStr">
        <is>
          <t>Greater Sydney</t>
        </is>
      </c>
      <c r="D95" t="inlineStr">
        <is>
          <t>Australia</t>
        </is>
      </c>
      <c r="E95" t="inlineStr">
        <is>
          <t>Oceania</t>
        </is>
      </c>
      <c r="F95" t="inlineStr">
        <is>
          <t>primary</t>
        </is>
      </c>
      <c r="G95" t="inlineStr">
        <is>
          <t>provisional</t>
        </is>
      </c>
      <c r="H95" t="inlineStr">
        <is>
          <t>Global city control included so SLIC can test whether systems quality survives extreme cost pressure.</t>
        </is>
      </c>
    </row>
    <row r="96">
      <c r="A96" t="inlineStr">
        <is>
          <t>au-melbourne</t>
        </is>
      </c>
      <c r="B96" t="inlineStr">
        <is>
          <t>Melbourne</t>
        </is>
      </c>
      <c r="C96" t="inlineStr">
        <is>
          <t>Greater Melbourne</t>
        </is>
      </c>
      <c r="D96" t="inlineStr">
        <is>
          <t>Australia</t>
        </is>
      </c>
      <c r="E96" t="inlineStr">
        <is>
          <t>Oceania</t>
        </is>
      </c>
      <c r="F96" t="inlineStr">
        <is>
          <t>primary</t>
        </is>
      </c>
      <c r="G96" t="inlineStr">
        <is>
          <t>provisional</t>
        </is>
      </c>
      <c r="H96" t="inlineStr">
        <is>
          <t>Prestige benchmark included to compare mainstream rankings against SLIC's pressure logic.</t>
        </is>
      </c>
    </row>
    <row r="97">
      <c r="A97" t="inlineStr">
        <is>
          <t>au-brisbane</t>
        </is>
      </c>
      <c r="B97" t="inlineStr">
        <is>
          <t>Brisbane</t>
        </is>
      </c>
      <c r="C97" t="inlineStr">
        <is>
          <t>Greater Brisbane</t>
        </is>
      </c>
      <c r="D97" t="inlineStr">
        <is>
          <t>Australia</t>
        </is>
      </c>
      <c r="E97" t="inlineStr">
        <is>
          <t>Oceania</t>
        </is>
      </c>
      <c r="F97" t="inlineStr">
        <is>
          <t>primary</t>
        </is>
      </c>
      <c r="G97" t="inlineStr">
        <is>
          <t>locked</t>
        </is>
      </c>
      <c r="H97" t="inlineStr">
        <is>
          <t>Primary Australian challenger with lower cost pressure than Sydney and Melbourne.</t>
        </is>
      </c>
    </row>
    <row r="98">
      <c r="A98" t="inlineStr">
        <is>
          <t>nz-wellington</t>
        </is>
      </c>
      <c r="B98" t="inlineStr">
        <is>
          <t>Wellington</t>
        </is>
      </c>
      <c r="C98" t="inlineStr">
        <is>
          <t>Wellington Metropolitan Area</t>
        </is>
      </c>
      <c r="D98" t="inlineStr">
        <is>
          <t>New Zealand</t>
        </is>
      </c>
      <c r="E98" t="inlineStr">
        <is>
          <t>Oceania</t>
        </is>
      </c>
      <c r="F98" t="inlineStr">
        <is>
          <t>primary</t>
        </is>
      </c>
      <c r="G98" t="inlineStr">
        <is>
          <t>locked</t>
        </is>
      </c>
      <c r="H98" t="inlineStr">
        <is>
          <t>Compact capital benchmark included for services, education, and public-life quality.</t>
        </is>
      </c>
    </row>
    <row r="99">
      <c r="A99" t="inlineStr">
        <is>
          <t>au-perth</t>
        </is>
      </c>
      <c r="B99" t="inlineStr">
        <is>
          <t>Perth</t>
        </is>
      </c>
      <c r="C99" t="inlineStr">
        <is>
          <t>Greater Perth</t>
        </is>
      </c>
      <c r="D99" t="inlineStr">
        <is>
          <t>Australia</t>
        </is>
      </c>
      <c r="E99" t="inlineStr">
        <is>
          <t>Oceania</t>
        </is>
      </c>
      <c r="F99" t="inlineStr">
        <is>
          <t>secondary</t>
        </is>
      </c>
      <c r="G99" t="inlineStr">
        <is>
          <t>locked</t>
        </is>
      </c>
      <c r="H99" t="inlineStr">
        <is>
          <t>Western Australian challenger included for lifestyle, wages, and geographic isolation tradeoffs.</t>
        </is>
      </c>
    </row>
    <row r="100">
      <c r="A100" t="inlineStr">
        <is>
          <t>au-adelaide</t>
        </is>
      </c>
      <c r="B100" t="inlineStr">
        <is>
          <t>Adelaide</t>
        </is>
      </c>
      <c r="C100" t="inlineStr">
        <is>
          <t>Greater Adelaide</t>
        </is>
      </c>
      <c r="D100" t="inlineStr">
        <is>
          <t>Australia</t>
        </is>
      </c>
      <c r="E100" t="inlineStr">
        <is>
          <t>Oceania</t>
        </is>
      </c>
      <c r="F100" t="inlineStr">
        <is>
          <t>secondary</t>
        </is>
      </c>
      <c r="G100" t="inlineStr">
        <is>
          <t>locked</t>
        </is>
      </c>
      <c r="H100" t="inlineStr">
        <is>
          <t>Secondary challenger with strong everyday scale and relatively lower housing pressure.</t>
        </is>
      </c>
    </row>
    <row r="101">
      <c r="A101" t="inlineStr">
        <is>
          <t>au-hobart</t>
        </is>
      </c>
      <c r="B101" t="inlineStr">
        <is>
          <t>Hobart</t>
        </is>
      </c>
      <c r="C101" t="inlineStr">
        <is>
          <t>Greater Hobart</t>
        </is>
      </c>
      <c r="D101" t="inlineStr">
        <is>
          <t>Australia</t>
        </is>
      </c>
      <c r="E101" t="inlineStr">
        <is>
          <t>Oceania</t>
        </is>
      </c>
      <c r="F101" t="inlineStr">
        <is>
          <t>secondary</t>
        </is>
      </c>
      <c r="G101" t="inlineStr">
        <is>
          <t>locked</t>
        </is>
      </c>
      <c r="H101" t="inlineStr">
        <is>
          <t>Smaller-scale challenger included for lifestyle quality and public-environment strength.</t>
        </is>
      </c>
    </row>
    <row r="102">
      <c r="A102" t="inlineStr">
        <is>
          <t>nz-christchurch</t>
        </is>
      </c>
      <c r="B102" t="inlineStr">
        <is>
          <t>Christchurch</t>
        </is>
      </c>
      <c r="C102" t="inlineStr">
        <is>
          <t>Christchurch Metropolitan Area</t>
        </is>
      </c>
      <c r="D102" t="inlineStr">
        <is>
          <t>New Zealand</t>
        </is>
      </c>
      <c r="E102" t="inlineStr">
        <is>
          <t>Oceania</t>
        </is>
      </c>
      <c r="F102" t="inlineStr">
        <is>
          <t>secondary</t>
        </is>
      </c>
      <c r="G102" t="inlineStr">
        <is>
          <t>provisional</t>
        </is>
      </c>
      <c r="H102" t="inlineStr">
        <is>
          <t>Provisional challenger included for rebuild-era infrastructure and lower-pressure urban living.</t>
        </is>
      </c>
    </row>
    <row r="103">
      <c r="A103" t="inlineStr">
        <is>
          <t>fj-suva</t>
        </is>
      </c>
      <c r="B103" t="inlineStr">
        <is>
          <t>Suva</t>
        </is>
      </c>
      <c r="C103" t="inlineStr">
        <is>
          <t>Greater Suva</t>
        </is>
      </c>
      <c r="D103" t="inlineStr">
        <is>
          <t>Fiji</t>
        </is>
      </c>
      <c r="E103" t="inlineStr">
        <is>
          <t>Oceania</t>
        </is>
      </c>
      <c r="F103" t="inlineStr">
        <is>
          <t>secondary</t>
        </is>
      </c>
      <c r="G103" t="inlineStr">
        <is>
          <t>locked</t>
        </is>
      </c>
      <c r="H103" t="inlineStr">
        <is>
          <t>Pacific regional challenger included so Oceania is not reduced to Australia and New Zealand alone.</t>
        </is>
      </c>
    </row>
  </sheetData>
  <autoFilter ref="A1:H1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8" customWidth="1" min="4" max="4"/>
    <col width="25" customWidth="1" min="5" max="5"/>
    <col width="21" customWidth="1" min="6" max="6"/>
    <col width="22" customWidth="1" min="7" max="7"/>
    <col width="12" customWidth="1" min="8" max="8"/>
    <col width="13" customWidth="1" min="9" max="9"/>
    <col width="13" customWidth="1" min="10" max="10"/>
    <col width="36" customWidth="1" min="11" max="11"/>
  </cols>
  <sheetData>
    <row r="1">
      <c r="A1" s="6" t="inlineStr">
        <is>
          <t>country</t>
        </is>
      </c>
      <c r="B1" s="6" t="inlineStr">
        <is>
          <t>gdp_per_capita_ppp</t>
        </is>
      </c>
      <c r="C1" s="6" t="inlineStr">
        <is>
          <t>gdp_growth</t>
        </is>
      </c>
      <c r="D1" s="6" t="inlineStr">
        <is>
          <t>gini_coefficient</t>
        </is>
      </c>
      <c r="E1" s="6" t="inlineStr">
        <is>
          <t>ppp_private_consumption</t>
        </is>
      </c>
      <c r="F1" s="6" t="inlineStr">
        <is>
          <t>tax_rate_assumption</t>
        </is>
      </c>
      <c r="G1" s="6" t="inlineStr">
        <is>
          <t>household_debt_proxy</t>
        </is>
      </c>
      <c r="H1" s="6" t="inlineStr">
        <is>
          <t>source_url</t>
        </is>
      </c>
      <c r="I1" s="6" t="inlineStr">
        <is>
          <t>source_tier</t>
        </is>
      </c>
      <c r="J1" s="6" t="inlineStr">
        <is>
          <t>update_date</t>
        </is>
      </c>
      <c r="K1" s="6" t="inlineStr">
        <is>
          <t>notes</t>
        </is>
      </c>
    </row>
    <row r="2">
      <c r="A2" t="inlineStr">
        <is>
          <t>Thailand</t>
        </is>
      </c>
      <c r="B2" t="n">
        <v>24712.07</v>
      </c>
      <c r="C2" s="7" t="n">
        <v>2.5418</v>
      </c>
      <c r="D2" t="n">
        <v>33.5</v>
      </c>
      <c r="E2" t="n">
        <v>10.945576</v>
      </c>
      <c r="F2" s="7" t="n">
        <v>0.152577</v>
      </c>
      <c r="G2" t="n">
        <v>115.1054</v>
      </c>
      <c r="H2" t="inlineStr">
        <is>
          <t>https://api.worldbank.org/v2/country/THA/indicator/NY.GDP.PCAP.PP.CD?format=json&amp;mrv=30 | https://api.worldbank.org/v2/country/THA/indicator/NY.GDP.MKTP.KD.ZG?format=json&amp;mrv=30 | https://api.worldbank.org/v2/country/THA/indicator/SI.POV.GINI?format=json&amp;mrv=30 | +3 more</t>
        </is>
      </c>
      <c r="I2" t="inlineStr">
        <is>
          <t>Tier 3</t>
        </is>
      </c>
      <c r="J2" s="8" t="inlineStr">
        <is>
          <t>2024-12-31</t>
        </is>
      </c>
      <c r="K2" t="inlineStr">
        <is>
          <t>providers=world_bank; fields=gdp_per_capita_ppp, gdp_growth, gini_coefficient, ppp_private_consumption; +2 additional fields</t>
        </is>
      </c>
    </row>
    <row r="3">
      <c r="A3" t="inlineStr">
        <is>
          <t>Singapore</t>
        </is>
      </c>
      <c r="B3" t="n">
        <v>150689.3</v>
      </c>
      <c r="C3" s="7" t="n">
        <v>4.388</v>
      </c>
      <c r="E3" t="n">
        <v>1.04203</v>
      </c>
      <c r="F3" s="7" t="n">
        <v>0.141917</v>
      </c>
      <c r="G3" t="n">
        <v>129.1908</v>
      </c>
      <c r="H3" t="inlineStr">
        <is>
          <t>https://api.worldbank.org/v2/country/SGP/indicator/NY.GDP.PCAP.PP.CD?format=json&amp;mrv=30 | https://api.worldbank.org/v2/country/SGP/indicator/NY.GDP.MKTP.KD.ZG?format=json&amp;mrv=30 | https://api.worldbank.org/v2/country/SGP/indicator/PA.NUS.PRVT.PP?format=json&amp;mrv=30 | +2 more</t>
        </is>
      </c>
      <c r="I3" t="inlineStr">
        <is>
          <t>Tier 3</t>
        </is>
      </c>
      <c r="J3" s="8" t="inlineStr">
        <is>
          <t>2024-12-31</t>
        </is>
      </c>
      <c r="K3" t="inlineStr">
        <is>
          <t>providers=world_bank; fields=gdp_per_capita_ppp, gdp_growth, ppp_private_consumption, tax_rate_assumption; +1 additional fields</t>
        </is>
      </c>
    </row>
    <row r="4">
      <c r="A4" t="inlineStr">
        <is>
          <t>Malaysia</t>
        </is>
      </c>
      <c r="B4" t="n">
        <v>38779.28</v>
      </c>
      <c r="C4" s="7" t="n">
        <v>5.1055</v>
      </c>
      <c r="D4" t="n">
        <v>40.7</v>
      </c>
      <c r="E4" t="n">
        <v>1.449227</v>
      </c>
      <c r="F4" s="7" t="n">
        <v>0.125648</v>
      </c>
      <c r="G4" t="n">
        <v>116.0773</v>
      </c>
      <c r="H4" t="inlineStr">
        <is>
          <t>https://api.worldbank.org/v2/country/MYS/indicator/NY.GDP.PCAP.PP.CD?format=json&amp;mrv=30 | https://api.worldbank.org/v2/country/MYS/indicator/NY.GDP.MKTP.KD.ZG?format=json&amp;mrv=30 | https://api.worldbank.org/v2/country/MYS/indicator/SI.POV.GINI?format=json&amp;mrv=30 | +3 more</t>
        </is>
      </c>
      <c r="I4" t="inlineStr">
        <is>
          <t>Tier 3</t>
        </is>
      </c>
      <c r="J4" s="8" t="inlineStr">
        <is>
          <t>2024-12-31</t>
        </is>
      </c>
      <c r="K4" t="inlineStr">
        <is>
          <t>providers=world_bank; fields=gdp_per_capita_ppp, gdp_growth, gini_coefficient, ppp_private_consumption; +2 additional fields</t>
        </is>
      </c>
    </row>
    <row r="5">
      <c r="A5" t="inlineStr">
        <is>
          <t>Indonesia</t>
        </is>
      </c>
      <c r="B5" t="n">
        <v>16448.28</v>
      </c>
      <c r="C5" s="7" t="n">
        <v>5.0303</v>
      </c>
      <c r="D5" t="n">
        <v>34.9</v>
      </c>
      <c r="E5" t="n">
        <v>5104.98432</v>
      </c>
      <c r="F5" s="7" t="n">
        <v>0.110578</v>
      </c>
      <c r="G5" t="n">
        <v>31.7861</v>
      </c>
      <c r="H5" t="inlineStr">
        <is>
          <t>https://api.worldbank.org/v2/country/IDN/indicator/NY.GDP.PCAP.PP.CD?format=json&amp;mrv=30 | https://api.worldbank.org/v2/country/IDN/indicator/NY.GDP.MKTP.KD.ZG?format=json&amp;mrv=30 | https://api.worldbank.org/v2/country/IDN/indicator/SI.POV.GINI?format=json&amp;mrv=30 | +3 more</t>
        </is>
      </c>
      <c r="I5" t="inlineStr">
        <is>
          <t>Tier 3</t>
        </is>
      </c>
      <c r="J5" s="8" t="inlineStr">
        <is>
          <t>2024-12-31</t>
        </is>
      </c>
      <c r="K5" t="inlineStr">
        <is>
          <t>providers=world_bank; fields=gdp_per_capita_ppp, gdp_growth, gini_coefficient, ppp_private_consumption; +2 additional fields</t>
        </is>
      </c>
    </row>
    <row r="6">
      <c r="A6" t="inlineStr">
        <is>
          <t>Philippines</t>
        </is>
      </c>
      <c r="B6" t="n">
        <v>11794.14</v>
      </c>
      <c r="C6" s="7" t="n">
        <v>5.692</v>
      </c>
      <c r="D6" t="n">
        <v>39.3</v>
      </c>
      <c r="E6" t="n">
        <v>20.743506</v>
      </c>
      <c r="F6" s="7" t="n">
        <v>0.141044</v>
      </c>
      <c r="G6" t="n">
        <v>49.8137</v>
      </c>
      <c r="H6" t="inlineStr">
        <is>
          <t>https://api.worldbank.org/v2/country/PHL/indicator/NY.GDP.PCAP.PP.CD?format=json&amp;mrv=30 | https://api.worldbank.org/v2/country/PHL/indicator/NY.GDP.MKTP.KD.ZG?format=json&amp;mrv=30 | https://api.worldbank.org/v2/country/PHL/indicator/SI.POV.GINI?format=json&amp;mrv=30 | +3 more</t>
        </is>
      </c>
      <c r="I6" t="inlineStr">
        <is>
          <t>Tier 3</t>
        </is>
      </c>
      <c r="J6" s="8" t="inlineStr">
        <is>
          <t>2024-12-31</t>
        </is>
      </c>
      <c r="K6" t="inlineStr">
        <is>
          <t>providers=world_bank; fields=gdp_per_capita_ppp, gdp_growth, gini_coefficient, ppp_private_consumption; +2 additional fields</t>
        </is>
      </c>
    </row>
    <row r="7">
      <c r="A7" t="inlineStr">
        <is>
          <t>Taiwan</t>
        </is>
      </c>
      <c r="C7" s="7" t="inlineStr"/>
      <c r="F7" s="7" t="inlineStr"/>
      <c r="J7" s="8" t="inlineStr"/>
      <c r="K7" t="inlineStr">
        <is>
          <t>Populate official country context inputs before ranking.</t>
        </is>
      </c>
    </row>
    <row r="8">
      <c r="A8" t="inlineStr">
        <is>
          <t>South Korea</t>
        </is>
      </c>
      <c r="B8" t="n">
        <v>61051.35</v>
      </c>
      <c r="C8" s="7" t="n">
        <v>2.0036</v>
      </c>
      <c r="D8" t="n">
        <v>32.9</v>
      </c>
      <c r="E8" t="n">
        <v>872.468736</v>
      </c>
      <c r="F8" s="7" t="n">
        <v>0.145991</v>
      </c>
      <c r="G8" t="n">
        <v>160.3472</v>
      </c>
      <c r="H8" t="inlineStr">
        <is>
          <t>https://api.worldbank.org/v2/country/KOR/indicator/NY.GDP.PCAP.PP.CD?format=json&amp;mrv=30 | https://api.worldbank.org/v2/country/KOR/indicator/NY.GDP.MKTP.KD.ZG?format=json&amp;mrv=30 | https://api.worldbank.org/v2/country/KOR/indicator/SI.POV.GINI?format=json&amp;mrv=30 | +3 more</t>
        </is>
      </c>
      <c r="I8" t="inlineStr">
        <is>
          <t>Tier 3</t>
        </is>
      </c>
      <c r="J8" s="8" t="inlineStr">
        <is>
          <t>2024-12-31</t>
        </is>
      </c>
      <c r="K8" t="inlineStr">
        <is>
          <t>providers=world_bank; fields=gdp_per_capita_ppp, gdp_growth, gini_coefficient, ppp_private_consumption; +2 additional fields</t>
        </is>
      </c>
    </row>
    <row r="9">
      <c r="A9" t="inlineStr">
        <is>
          <t>China</t>
        </is>
      </c>
      <c r="B9" t="n">
        <v>27104.87</v>
      </c>
      <c r="C9" s="7" t="n">
        <v>4.9774</v>
      </c>
      <c r="D9" t="n">
        <v>36</v>
      </c>
      <c r="E9" t="n">
        <v>3.550789</v>
      </c>
      <c r="F9" s="7" t="n">
        <v>0.07638200000000001</v>
      </c>
      <c r="G9" t="n">
        <v>194.166</v>
      </c>
      <c r="H9" t="inlineStr">
        <is>
          <t>https://api.worldbank.org/v2/country/CHN/indicator/NY.GDP.PCAP.PP.CD?format=json&amp;mrv=30 | https://api.worldbank.org/v2/country/CHN/indicator/NY.GDP.MKTP.KD.ZG?format=json&amp;mrv=30 | https://api.worldbank.org/v2/country/CHN/indicator/SI.POV.GINI?format=json&amp;mrv=30 | +3 more</t>
        </is>
      </c>
      <c r="I9" t="inlineStr">
        <is>
          <t>Tier 3</t>
        </is>
      </c>
      <c r="J9" s="8" t="inlineStr">
        <is>
          <t>2024-12-31</t>
        </is>
      </c>
      <c r="K9" t="inlineStr">
        <is>
          <t>providers=world_bank; fields=gdp_per_capita_ppp, gdp_growth, gini_coefficient, ppp_private_consumption; +2 additional fields</t>
        </is>
      </c>
    </row>
    <row r="10">
      <c r="A10" t="inlineStr">
        <is>
          <t>Japan</t>
        </is>
      </c>
      <c r="B10" t="n">
        <v>52039.17</v>
      </c>
      <c r="C10" s="7" t="n">
        <v>0.1043</v>
      </c>
      <c r="D10" t="n">
        <v>32.3</v>
      </c>
      <c r="E10" t="n">
        <v>99.384798</v>
      </c>
      <c r="F10" s="7" t="inlineStr"/>
      <c r="G10" t="n">
        <v>123.1289</v>
      </c>
      <c r="H10" t="inlineStr">
        <is>
          <t>https://api.worldbank.org/v2/country/JPN/indicator/NY.GDP.PCAP.PP.CD?format=json&amp;mrv=30 | https://api.worldbank.org/v2/country/JPN/indicator/NY.GDP.MKTP.KD.ZG?format=json&amp;mrv=30 | https://api.worldbank.org/v2/country/JPN/indicator/SI.POV.GINI?format=json&amp;mrv=30 | +2 more</t>
        </is>
      </c>
      <c r="I10" t="inlineStr">
        <is>
          <t>Tier 3</t>
        </is>
      </c>
      <c r="J10" s="8" t="inlineStr">
        <is>
          <t>2024-12-31</t>
        </is>
      </c>
      <c r="K10" t="inlineStr">
        <is>
          <t>providers=world_bank; fields=gdp_per_capita_ppp, gdp_growth, gini_coefficient, ppp_private_consumption; +1 additional fields</t>
        </is>
      </c>
    </row>
    <row r="11">
      <c r="A11" t="inlineStr">
        <is>
          <t>India</t>
        </is>
      </c>
      <c r="B11" t="n">
        <v>11159.99</v>
      </c>
      <c r="C11" s="7" t="n">
        <v>6.4948</v>
      </c>
      <c r="D11" t="n">
        <v>25.5</v>
      </c>
      <c r="E11" t="n">
        <v>19.896916</v>
      </c>
      <c r="F11" s="7" t="n">
        <v>0.067344</v>
      </c>
      <c r="G11" t="n">
        <v>50.1422</v>
      </c>
      <c r="H11" t="inlineStr">
        <is>
          <t>https://api.worldbank.org/v2/country/IND/indicator/NY.GDP.PCAP.PP.CD?format=json&amp;mrv=30 | https://api.worldbank.org/v2/country/IND/indicator/NY.GDP.MKTP.KD.ZG?format=json&amp;mrv=30 | https://api.worldbank.org/v2/country/IND/indicator/SI.POV.GINI?format=json&amp;mrv=30 | +3 more</t>
        </is>
      </c>
      <c r="I11" t="inlineStr">
        <is>
          <t>Tier 3</t>
        </is>
      </c>
      <c r="J11" s="8" t="inlineStr">
        <is>
          <t>2024-12-31</t>
        </is>
      </c>
      <c r="K11" t="inlineStr">
        <is>
          <t>providers=world_bank; fields=gdp_per_capita_ppp, gdp_growth, gini_coefficient, ppp_private_consumption; +2 additional fields</t>
        </is>
      </c>
    </row>
    <row r="12">
      <c r="A12" t="inlineStr">
        <is>
          <t>Sri Lanka</t>
        </is>
      </c>
      <c r="B12" t="n">
        <v>15632.59</v>
      </c>
      <c r="C12" s="7" t="n">
        <v>5.0087</v>
      </c>
      <c r="D12" t="n">
        <v>37.7</v>
      </c>
      <c r="E12" t="n">
        <v>87.489315</v>
      </c>
      <c r="F12" s="7" t="n">
        <v>0.099219</v>
      </c>
      <c r="G12" t="n">
        <v>46.8716</v>
      </c>
      <c r="H12" t="inlineStr">
        <is>
          <t>https://api.worldbank.org/v2/country/LKA/indicator/NY.GDP.PCAP.PP.CD?format=json&amp;mrv=30 | https://api.worldbank.org/v2/country/LKA/indicator/NY.GDP.MKTP.KD.ZG?format=json&amp;mrv=30 | https://api.worldbank.org/v2/country/LKA/indicator/SI.POV.GINI?format=json&amp;mrv=30 | +3 more</t>
        </is>
      </c>
      <c r="I12" t="inlineStr">
        <is>
          <t>Tier 3</t>
        </is>
      </c>
      <c r="J12" s="8" t="inlineStr">
        <is>
          <t>2024-12-31</t>
        </is>
      </c>
      <c r="K12" t="inlineStr">
        <is>
          <t>providers=world_bank; fields=gdp_per_capita_ppp, gdp_growth, gini_coefficient, ppp_private_consumption; +2 additional fields</t>
        </is>
      </c>
    </row>
    <row r="13">
      <c r="A13" t="inlineStr">
        <is>
          <t>Bangladesh</t>
        </is>
      </c>
      <c r="B13" t="n">
        <v>9646.77</v>
      </c>
      <c r="C13" s="7" t="n">
        <v>4.2233</v>
      </c>
      <c r="D13" t="n">
        <v>30.9</v>
      </c>
      <c r="E13" t="n">
        <v>32.990539</v>
      </c>
      <c r="F13" s="7" t="n">
        <v>0.07642400000000001</v>
      </c>
      <c r="G13" t="n">
        <v>35.7061</v>
      </c>
      <c r="H13" t="inlineStr">
        <is>
          <t>https://api.worldbank.org/v2/country/BGD/indicator/NY.GDP.PCAP.PP.CD?format=json&amp;mrv=30 | https://api.worldbank.org/v2/country/BGD/indicator/NY.GDP.MKTP.KD.ZG?format=json&amp;mrv=30 | https://api.worldbank.org/v2/country/BGD/indicator/SI.POV.GINI?format=json&amp;mrv=30 | +3 more</t>
        </is>
      </c>
      <c r="I13" t="inlineStr">
        <is>
          <t>Tier 3</t>
        </is>
      </c>
      <c r="J13" s="8" t="inlineStr">
        <is>
          <t>2024-12-31</t>
        </is>
      </c>
      <c r="K13" t="inlineStr">
        <is>
          <t>providers=world_bank; fields=gdp_per_capita_ppp, gdp_growth, gini_coefficient, ppp_private_consumption; +2 additional fields</t>
        </is>
      </c>
    </row>
    <row r="14">
      <c r="A14" t="inlineStr">
        <is>
          <t>Pakistan</t>
        </is>
      </c>
      <c r="B14" t="n">
        <v>6252.12</v>
      </c>
      <c r="C14" s="7" t="n">
        <v>3.049</v>
      </c>
      <c r="D14" t="n">
        <v>29.6</v>
      </c>
      <c r="E14" t="n">
        <v>64.86099400000001</v>
      </c>
      <c r="F14" s="7" t="inlineStr"/>
      <c r="G14" t="n">
        <v>11.3901</v>
      </c>
      <c r="H14" t="inlineStr">
        <is>
          <t>https://api.worldbank.org/v2/country/PAK/indicator/NY.GDP.PCAP.PP.CD?format=json&amp;mrv=30 | https://api.worldbank.org/v2/country/PAK/indicator/NY.GDP.MKTP.KD.ZG?format=json&amp;mrv=30 | https://api.worldbank.org/v2/country/PAK/indicator/SI.POV.GINI?format=json&amp;mrv=30 | +2 more</t>
        </is>
      </c>
      <c r="I14" t="inlineStr">
        <is>
          <t>Tier 3</t>
        </is>
      </c>
      <c r="J14" s="8" t="inlineStr">
        <is>
          <t>2024-12-31</t>
        </is>
      </c>
      <c r="K14" t="inlineStr">
        <is>
          <t>providers=world_bank; fields=gdp_per_capita_ppp, gdp_growth, gini_coefficient, ppp_private_consumption; +1 additional fields</t>
        </is>
      </c>
    </row>
    <row r="15">
      <c r="A15" t="inlineStr">
        <is>
          <t>Nepal</t>
        </is>
      </c>
      <c r="B15" t="n">
        <v>5736.62</v>
      </c>
      <c r="C15" s="7" t="n">
        <v>3.6654</v>
      </c>
      <c r="D15" t="n">
        <v>30</v>
      </c>
      <c r="E15" t="n">
        <v>35.285741</v>
      </c>
      <c r="F15" s="7" t="n">
        <v>0.139449</v>
      </c>
      <c r="G15" t="n">
        <v>91.9385</v>
      </c>
      <c r="H15" t="inlineStr">
        <is>
          <t>https://api.worldbank.org/v2/country/NPL/indicator/NY.GDP.PCAP.PP.CD?format=json&amp;mrv=30 | https://api.worldbank.org/v2/country/NPL/indicator/NY.GDP.MKTP.KD.ZG?format=json&amp;mrv=30 | https://api.worldbank.org/v2/country/NPL/indicator/SI.POV.GINI?format=json&amp;mrv=30 | +3 more</t>
        </is>
      </c>
      <c r="I15" t="inlineStr">
        <is>
          <t>Tier 3</t>
        </is>
      </c>
      <c r="J15" s="8" t="inlineStr">
        <is>
          <t>2024-12-31</t>
        </is>
      </c>
      <c r="K15" t="inlineStr">
        <is>
          <t>providers=world_bank; fields=gdp_per_capita_ppp, gdp_growth, gini_coefficient, ppp_private_consumption; +2 additional fields</t>
        </is>
      </c>
    </row>
    <row r="16">
      <c r="A16" t="inlineStr">
        <is>
          <t>Bhutan</t>
        </is>
      </c>
      <c r="B16" t="n">
        <v>16215.15</v>
      </c>
      <c r="C16" s="7" t="n">
        <v>4.6322</v>
      </c>
      <c r="D16" t="n">
        <v>28.5</v>
      </c>
      <c r="E16" t="n">
        <v>20.878112</v>
      </c>
      <c r="F16" s="7" t="n">
        <v>0.122846</v>
      </c>
      <c r="G16" t="n">
        <v>51.8935</v>
      </c>
      <c r="H16" t="inlineStr">
        <is>
          <t>https://api.worldbank.org/v2/country/BTN/indicator/NY.GDP.PCAP.PP.CD?format=json&amp;mrv=30 | https://api.worldbank.org/v2/country/BTN/indicator/NY.GDP.MKTP.KD.ZG?format=json&amp;mrv=30 | https://api.worldbank.org/v2/country/BTN/indicator/SI.POV.GINI?format=json&amp;mrv=30 | +3 more</t>
        </is>
      </c>
      <c r="I16" t="inlineStr">
        <is>
          <t>Tier 3</t>
        </is>
      </c>
      <c r="J16" s="8" t="inlineStr">
        <is>
          <t>2024-12-31</t>
        </is>
      </c>
      <c r="K16" t="inlineStr">
        <is>
          <t>providers=world_bank; fields=gdp_per_capita_ppp, gdp_growth, gini_coefficient, ppp_private_consumption; +2 additional fields</t>
        </is>
      </c>
    </row>
    <row r="17">
      <c r="A17" t="inlineStr">
        <is>
          <t>Maldives</t>
        </is>
      </c>
      <c r="B17" t="n">
        <v>26182.78</v>
      </c>
      <c r="C17" s="7" t="n">
        <v>3.4944</v>
      </c>
      <c r="D17" t="n">
        <v>29.3</v>
      </c>
      <c r="E17" t="n">
        <v>9.455282</v>
      </c>
      <c r="F17" s="7" t="n">
        <v>0.194532</v>
      </c>
      <c r="G17" t="n">
        <v>31.5415</v>
      </c>
      <c r="H17" t="inlineStr">
        <is>
          <t>https://api.worldbank.org/v2/country/MDV/indicator/NY.GDP.PCAP.PP.CD?format=json&amp;mrv=30 | https://api.worldbank.org/v2/country/MDV/indicator/NY.GDP.MKTP.KD.ZG?format=json&amp;mrv=30 | https://api.worldbank.org/v2/country/MDV/indicator/SI.POV.GINI?format=json&amp;mrv=30 | +3 more</t>
        </is>
      </c>
      <c r="I17" t="inlineStr">
        <is>
          <t>Tier 3</t>
        </is>
      </c>
      <c r="J17" s="8" t="inlineStr">
        <is>
          <t>2024-12-31</t>
        </is>
      </c>
      <c r="K17" t="inlineStr">
        <is>
          <t>providers=world_bank; fields=gdp_per_capita_ppp, gdp_growth, gini_coefficient, ppp_private_consumption; +2 additional fields</t>
        </is>
      </c>
    </row>
    <row r="18">
      <c r="A18" t="inlineStr">
        <is>
          <t>France</t>
        </is>
      </c>
      <c r="B18" t="n">
        <v>62556.92</v>
      </c>
      <c r="C18" s="7" t="n">
        <v>1.1905</v>
      </c>
      <c r="D18" t="n">
        <v>31.8</v>
      </c>
      <c r="E18" t="n">
        <v>0.716934</v>
      </c>
      <c r="F18" s="7" t="n">
        <v>0.23077</v>
      </c>
      <c r="G18" t="n">
        <v>103.9081</v>
      </c>
      <c r="H18" t="inlineStr">
        <is>
          <t>https://api.worldbank.org/v2/country/FRA/indicator/NY.GDP.PCAP.PP.CD?format=json&amp;mrv=30 | https://api.worldbank.org/v2/country/FRA/indicator/NY.GDP.MKTP.KD.ZG?format=json&amp;mrv=30 | https://api.worldbank.org/v2/country/FRA/indicator/SI.POV.GINI?format=json&amp;mrv=30 | +3 more</t>
        </is>
      </c>
      <c r="I18" t="inlineStr">
        <is>
          <t>Tier 3</t>
        </is>
      </c>
      <c r="J18" s="8" t="inlineStr">
        <is>
          <t>2024-12-31</t>
        </is>
      </c>
      <c r="K18" t="inlineStr">
        <is>
          <t>providers=world_bank; fields=gdp_per_capita_ppp, gdp_growth, gini_coefficient, ppp_private_consumption; +2 additional fields</t>
        </is>
      </c>
    </row>
    <row r="19">
      <c r="A19" t="inlineStr">
        <is>
          <t>Austria</t>
        </is>
      </c>
      <c r="B19" t="n">
        <v>73911.44</v>
      </c>
      <c r="C19" s="7" t="n">
        <v>-0.6591</v>
      </c>
      <c r="D19" t="n">
        <v>31.2</v>
      </c>
      <c r="E19" t="n">
        <v>0.720487</v>
      </c>
      <c r="F19" s="7" t="n">
        <v>0.256407</v>
      </c>
      <c r="G19" t="n">
        <v>81.4953</v>
      </c>
      <c r="H19" t="inlineStr">
        <is>
          <t>https://api.worldbank.org/v2/country/AUT/indicator/NY.GDP.PCAP.PP.CD?format=json&amp;mrv=30 | https://api.worldbank.org/v2/country/AUT/indicator/NY.GDP.MKTP.KD.ZG?format=json&amp;mrv=30 | https://api.worldbank.org/v2/country/AUT/indicator/SI.POV.GINI?format=json&amp;mrv=30 | +3 more</t>
        </is>
      </c>
      <c r="I19" t="inlineStr">
        <is>
          <t>Tier 3</t>
        </is>
      </c>
      <c r="J19" s="8" t="inlineStr">
        <is>
          <t>2024-12-31</t>
        </is>
      </c>
      <c r="K19" t="inlineStr">
        <is>
          <t>providers=world_bank; fields=gdp_per_capita_ppp, gdp_growth, gini_coefficient, ppp_private_consumption; +2 additional fields</t>
        </is>
      </c>
    </row>
    <row r="20">
      <c r="A20" t="inlineStr">
        <is>
          <t>Switzerland</t>
        </is>
      </c>
      <c r="B20" t="n">
        <v>96497.69</v>
      </c>
      <c r="C20" s="7" t="n">
        <v>1.3023</v>
      </c>
      <c r="D20" t="n">
        <v>33.8</v>
      </c>
      <c r="E20" t="n">
        <v>1.062369</v>
      </c>
      <c r="F20" s="7" t="n">
        <v>0.090036</v>
      </c>
      <c r="G20" t="n">
        <v>170.3782</v>
      </c>
      <c r="H20" t="inlineStr">
        <is>
          <t>https://api.worldbank.org/v2/country/CHE/indicator/NY.GDP.PCAP.PP.CD?format=json&amp;mrv=30 | https://api.worldbank.org/v2/country/CHE/indicator/NY.GDP.MKTP.KD.ZG?format=json&amp;mrv=30 | https://api.worldbank.org/v2/country/CHE/indicator/SI.POV.GINI?format=json&amp;mrv=30 | +3 more</t>
        </is>
      </c>
      <c r="I20" t="inlineStr">
        <is>
          <t>Tier 3</t>
        </is>
      </c>
      <c r="J20" s="8" t="inlineStr">
        <is>
          <t>2024-12-31</t>
        </is>
      </c>
      <c r="K20" t="inlineStr">
        <is>
          <t>providers=world_bank; fields=gdp_per_capita_ppp, gdp_growth, gini_coefficient, ppp_private_consumption; +2 additional fields</t>
        </is>
      </c>
    </row>
    <row r="21">
      <c r="A21" t="inlineStr">
        <is>
          <t>Netherlands</t>
        </is>
      </c>
      <c r="B21" t="n">
        <v>86173.63</v>
      </c>
      <c r="C21" s="7" t="n">
        <v>1.081</v>
      </c>
      <c r="D21" t="n">
        <v>25.7</v>
      </c>
      <c r="E21" t="n">
        <v>0.74195</v>
      </c>
      <c r="F21" s="7" t="n">
        <v>0.25254</v>
      </c>
      <c r="G21" t="n">
        <v>82.3297</v>
      </c>
      <c r="H21" t="inlineStr">
        <is>
          <t>https://api.worldbank.org/v2/country/NLD/indicator/NY.GDP.PCAP.PP.CD?format=json&amp;mrv=30 | https://api.worldbank.org/v2/country/NLD/indicator/NY.GDP.MKTP.KD.ZG?format=json&amp;mrv=30 | https://api.worldbank.org/v2/country/NLD/indicator/SI.POV.GINI?format=json&amp;mrv=30 | +3 more</t>
        </is>
      </c>
      <c r="I21" t="inlineStr">
        <is>
          <t>Tier 3</t>
        </is>
      </c>
      <c r="J21" s="8" t="inlineStr">
        <is>
          <t>2024-12-31</t>
        </is>
      </c>
      <c r="K21" t="inlineStr">
        <is>
          <t>providers=world_bank; fields=gdp_per_capita_ppp, gdp_growth, gini_coefficient, ppp_private_consumption; +2 additional fields</t>
        </is>
      </c>
    </row>
    <row r="22">
      <c r="A22" t="inlineStr">
        <is>
          <t>Denmark</t>
        </is>
      </c>
      <c r="B22" t="n">
        <v>81878.23</v>
      </c>
      <c r="C22" s="7" t="n">
        <v>3.4778</v>
      </c>
      <c r="D22" t="n">
        <v>29.9</v>
      </c>
      <c r="E22" t="n">
        <v>6.764411</v>
      </c>
      <c r="F22" s="7" t="n">
        <v>0.315935</v>
      </c>
      <c r="G22" t="n">
        <v>144.0931</v>
      </c>
      <c r="H22" t="inlineStr">
        <is>
          <t>https://api.worldbank.org/v2/country/DNK/indicator/NY.GDP.PCAP.PP.CD?format=json&amp;mrv=30 | https://api.worldbank.org/v2/country/DNK/indicator/NY.GDP.MKTP.KD.ZG?format=json&amp;mrv=30 | https://api.worldbank.org/v2/country/DNK/indicator/SI.POV.GINI?format=json&amp;mrv=30 | +3 more</t>
        </is>
      </c>
      <c r="I22" t="inlineStr">
        <is>
          <t>Tier 3</t>
        </is>
      </c>
      <c r="J22" s="8" t="inlineStr">
        <is>
          <t>2024-12-31</t>
        </is>
      </c>
      <c r="K22" t="inlineStr">
        <is>
          <t>providers=world_bank; fields=gdp_per_capita_ppp, gdp_growth, gini_coefficient, ppp_private_consumption; +2 additional fields</t>
        </is>
      </c>
    </row>
    <row r="23">
      <c r="A23" t="inlineStr">
        <is>
          <t>Italy</t>
        </is>
      </c>
      <c r="B23" t="n">
        <v>62014.27</v>
      </c>
      <c r="C23" s="7" t="n">
        <v>0.6927</v>
      </c>
      <c r="D23" t="n">
        <v>34.3</v>
      </c>
      <c r="E23" t="n">
        <v>0.625157</v>
      </c>
      <c r="F23" s="7" t="n">
        <v>0.24708</v>
      </c>
      <c r="G23" t="n">
        <v>59.3116</v>
      </c>
      <c r="H23" t="inlineStr">
        <is>
          <t>https://api.worldbank.org/v2/country/ITA/indicator/NY.GDP.PCAP.PP.CD?format=json&amp;mrv=30 | https://api.worldbank.org/v2/country/ITA/indicator/NY.GDP.MKTP.KD.ZG?format=json&amp;mrv=30 | https://api.worldbank.org/v2/country/ITA/indicator/SI.POV.GINI?format=json&amp;mrv=30 | +3 more</t>
        </is>
      </c>
      <c r="I23" t="inlineStr">
        <is>
          <t>Tier 3</t>
        </is>
      </c>
      <c r="J23" s="8" t="inlineStr">
        <is>
          <t>2024-12-31</t>
        </is>
      </c>
      <c r="K23" t="inlineStr">
        <is>
          <t>providers=world_bank; fields=gdp_per_capita_ppp, gdp_growth, gini_coefficient, ppp_private_consumption; +2 additional fields</t>
        </is>
      </c>
    </row>
    <row r="24">
      <c r="A24" t="inlineStr">
        <is>
          <t>Portugal</t>
        </is>
      </c>
      <c r="B24" t="n">
        <v>51679.89</v>
      </c>
      <c r="C24" s="7" t="n">
        <v>2.1397</v>
      </c>
      <c r="D24" t="n">
        <v>33.9</v>
      </c>
      <c r="E24" t="n">
        <v>0.5587490000000001</v>
      </c>
      <c r="F24" s="7" t="n">
        <v>0.226188</v>
      </c>
      <c r="G24" t="n">
        <v>77.1375</v>
      </c>
      <c r="H24" t="inlineStr">
        <is>
          <t>https://api.worldbank.org/v2/country/PRT/indicator/NY.GDP.PCAP.PP.CD?format=json&amp;mrv=30 | https://api.worldbank.org/v2/country/PRT/indicator/NY.GDP.MKTP.KD.ZG?format=json&amp;mrv=30 | https://api.worldbank.org/v2/country/PRT/indicator/SI.POV.GINI?format=json&amp;mrv=30 | +3 more</t>
        </is>
      </c>
      <c r="I24" t="inlineStr">
        <is>
          <t>Tier 3</t>
        </is>
      </c>
      <c r="J24" s="8" t="inlineStr">
        <is>
          <t>2024-12-31</t>
        </is>
      </c>
      <c r="K24" t="inlineStr">
        <is>
          <t>providers=world_bank; fields=gdp_per_capita_ppp, gdp_growth, gini_coefficient, ppp_private_consumption; +2 additional fields</t>
        </is>
      </c>
    </row>
    <row r="25">
      <c r="A25" t="inlineStr">
        <is>
          <t>Estonia</t>
        </is>
      </c>
      <c r="B25" t="n">
        <v>49968.71</v>
      </c>
      <c r="C25" s="7" t="n">
        <v>-0.09</v>
      </c>
      <c r="D25" t="n">
        <v>30.7</v>
      </c>
      <c r="E25" t="n">
        <v>0.646078</v>
      </c>
      <c r="F25" s="7" t="n">
        <v>0.21329</v>
      </c>
      <c r="G25" t="n">
        <v>60.5329</v>
      </c>
      <c r="H25" t="inlineStr">
        <is>
          <t>https://api.worldbank.org/v2/country/EST/indicator/NY.GDP.PCAP.PP.CD?format=json&amp;mrv=30 | https://api.worldbank.org/v2/country/EST/indicator/NY.GDP.MKTP.KD.ZG?format=json&amp;mrv=30 | https://api.worldbank.org/v2/country/EST/indicator/SI.POV.GINI?format=json&amp;mrv=30 | +3 more</t>
        </is>
      </c>
      <c r="I25" t="inlineStr">
        <is>
          <t>Tier 3</t>
        </is>
      </c>
      <c r="J25" s="8" t="inlineStr">
        <is>
          <t>2024-12-31</t>
        </is>
      </c>
      <c r="K25" t="inlineStr">
        <is>
          <t>providers=world_bank; fields=gdp_per_capita_ppp, gdp_growth, gini_coefficient, ppp_private_consumption; +2 additional fields</t>
        </is>
      </c>
    </row>
    <row r="26">
      <c r="A26" t="inlineStr">
        <is>
          <t>Finland</t>
        </is>
      </c>
      <c r="B26" t="n">
        <v>65378.38</v>
      </c>
      <c r="C26" s="7" t="n">
        <v>0.4162</v>
      </c>
      <c r="D26" t="n">
        <v>27.4</v>
      </c>
      <c r="E26" t="n">
        <v>0.788236</v>
      </c>
      <c r="F26" s="7" t="n">
        <v>0.253757</v>
      </c>
      <c r="G26" t="n">
        <v>90.8647</v>
      </c>
      <c r="H26" t="inlineStr">
        <is>
          <t>https://api.worldbank.org/v2/country/FIN/indicator/NY.GDP.PCAP.PP.CD?format=json&amp;mrv=30 | https://api.worldbank.org/v2/country/FIN/indicator/NY.GDP.MKTP.KD.ZG?format=json&amp;mrv=30 | https://api.worldbank.org/v2/country/FIN/indicator/SI.POV.GINI?format=json&amp;mrv=30 | +3 more</t>
        </is>
      </c>
      <c r="I26" t="inlineStr">
        <is>
          <t>Tier 3</t>
        </is>
      </c>
      <c r="J26" s="8" t="inlineStr">
        <is>
          <t>2024-12-31</t>
        </is>
      </c>
      <c r="K26" t="inlineStr">
        <is>
          <t>providers=world_bank; fields=gdp_per_capita_ppp, gdp_growth, gini_coefficient, ppp_private_consumption; +2 additional fields</t>
        </is>
      </c>
    </row>
    <row r="27">
      <c r="A27" t="inlineStr">
        <is>
          <t>Russia</t>
        </is>
      </c>
      <c r="B27" t="n">
        <v>47404.96</v>
      </c>
      <c r="C27" s="7" t="n">
        <v>4.3444</v>
      </c>
      <c r="D27" t="n">
        <v>33</v>
      </c>
      <c r="E27" t="n">
        <v>29.049846</v>
      </c>
      <c r="F27" s="7" t="n">
        <v>0.120728</v>
      </c>
      <c r="G27" t="n">
        <v>54.6413</v>
      </c>
      <c r="H27" t="inlineStr">
        <is>
          <t>https://api.worldbank.org/v2/country/RUS/indicator/NY.GDP.PCAP.PP.CD?format=json&amp;mrv=30 | https://api.worldbank.org/v2/country/RUS/indicator/NY.GDP.MKTP.KD.ZG?format=json&amp;mrv=30 | https://api.worldbank.org/v2/country/RUS/indicator/SI.POV.GINI?format=json&amp;mrv=30 | +3 more</t>
        </is>
      </c>
      <c r="I27" t="inlineStr">
        <is>
          <t>Tier 3</t>
        </is>
      </c>
      <c r="J27" s="8" t="inlineStr">
        <is>
          <t>2024-12-31</t>
        </is>
      </c>
      <c r="K27" t="inlineStr">
        <is>
          <t>providers=world_bank; fields=gdp_per_capita_ppp, gdp_growth, gini_coefficient, ppp_private_consumption; +2 additional fields</t>
        </is>
      </c>
    </row>
    <row r="28">
      <c r="A28" t="inlineStr">
        <is>
          <t>Hungary</t>
        </is>
      </c>
      <c r="B28" t="n">
        <v>48552.47</v>
      </c>
      <c r="C28" s="7" t="n">
        <v>0.5601</v>
      </c>
      <c r="D28" t="n">
        <v>30.6</v>
      </c>
      <c r="E28" t="n">
        <v>189.314181</v>
      </c>
      <c r="F28" s="7" t="n">
        <v>0.234286</v>
      </c>
      <c r="G28" t="n">
        <v>32.1191</v>
      </c>
      <c r="H28" t="inlineStr">
        <is>
          <t>https://api.worldbank.org/v2/country/HUN/indicator/NY.GDP.PCAP.PP.CD?format=json&amp;mrv=30 | https://api.worldbank.org/v2/country/HUN/indicator/NY.GDP.MKTP.KD.ZG?format=json&amp;mrv=30 | https://api.worldbank.org/v2/country/HUN/indicator/SI.POV.GINI?format=json&amp;mrv=30 | +3 more</t>
        </is>
      </c>
      <c r="I28" t="inlineStr">
        <is>
          <t>Tier 3</t>
        </is>
      </c>
      <c r="J28" s="8" t="inlineStr">
        <is>
          <t>2024-12-31</t>
        </is>
      </c>
      <c r="K28" t="inlineStr">
        <is>
          <t>providers=world_bank; fields=gdp_per_capita_ppp, gdp_growth, gini_coefficient, ppp_private_consumption; +2 additional fields</t>
        </is>
      </c>
    </row>
    <row r="29">
      <c r="A29" t="inlineStr">
        <is>
          <t>Poland</t>
        </is>
      </c>
      <c r="B29" t="n">
        <v>51262.51</v>
      </c>
      <c r="C29" s="7" t="n">
        <v>3.0284</v>
      </c>
      <c r="D29" t="n">
        <v>28.5</v>
      </c>
      <c r="E29" t="n">
        <v>2.008043</v>
      </c>
      <c r="F29" s="7" t="n">
        <v>0.179988</v>
      </c>
      <c r="G29" t="n">
        <v>33.5851</v>
      </c>
      <c r="H29" t="inlineStr">
        <is>
          <t>https://api.worldbank.org/v2/country/POL/indicator/NY.GDP.PCAP.PP.CD?format=json&amp;mrv=30 | https://api.worldbank.org/v2/country/POL/indicator/NY.GDP.MKTP.KD.ZG?format=json&amp;mrv=30 | https://api.worldbank.org/v2/country/POL/indicator/SI.POV.GINI?format=json&amp;mrv=30 | +3 more</t>
        </is>
      </c>
      <c r="I29" t="inlineStr">
        <is>
          <t>Tier 3</t>
        </is>
      </c>
      <c r="J29" s="8" t="inlineStr">
        <is>
          <t>2024-12-31</t>
        </is>
      </c>
      <c r="K29" t="inlineStr">
        <is>
          <t>providers=world_bank; fields=gdp_per_capita_ppp, gdp_growth, gini_coefficient, ppp_private_consumption; +2 additional fields</t>
        </is>
      </c>
    </row>
    <row r="30">
      <c r="A30" t="inlineStr">
        <is>
          <t>Romania</t>
        </is>
      </c>
      <c r="B30" t="n">
        <v>49076.54</v>
      </c>
      <c r="C30" s="7" t="n">
        <v>0.916</v>
      </c>
      <c r="D30" t="n">
        <v>29.8</v>
      </c>
      <c r="E30" t="n">
        <v>2.056572</v>
      </c>
      <c r="F30" s="7" t="n">
        <v>0.162142</v>
      </c>
      <c r="G30" t="n">
        <v>22.7281</v>
      </c>
      <c r="H30" t="inlineStr">
        <is>
          <t>https://api.worldbank.org/v2/country/ROU/indicator/NY.GDP.PCAP.PP.CD?format=json&amp;mrv=30 | https://api.worldbank.org/v2/country/ROU/indicator/NY.GDP.MKTP.KD.ZG?format=json&amp;mrv=30 | https://api.worldbank.org/v2/country/ROU/indicator/SI.POV.GINI?format=json&amp;mrv=30 | +3 more</t>
        </is>
      </c>
      <c r="I30" t="inlineStr">
        <is>
          <t>Tier 3</t>
        </is>
      </c>
      <c r="J30" s="8" t="inlineStr">
        <is>
          <t>2024-12-31</t>
        </is>
      </c>
      <c r="K30" t="inlineStr">
        <is>
          <t>providers=world_bank; fields=gdp_per_capita_ppp, gdp_growth, gini_coefficient, ppp_private_consumption; +2 additional fields</t>
        </is>
      </c>
    </row>
    <row r="31">
      <c r="A31" t="inlineStr">
        <is>
          <t>Serbia</t>
        </is>
      </c>
      <c r="B31" t="n">
        <v>32832.18</v>
      </c>
      <c r="C31" s="7" t="n">
        <v>3.9499</v>
      </c>
      <c r="D31" t="n">
        <v>32.8</v>
      </c>
      <c r="E31" t="n">
        <v>50.584223</v>
      </c>
      <c r="F31" s="7" t="n">
        <v>0.23893</v>
      </c>
      <c r="G31" t="n">
        <v>32.6048</v>
      </c>
      <c r="H31" t="inlineStr">
        <is>
          <t>https://api.worldbank.org/v2/country/SRB/indicator/NY.GDP.PCAP.PP.CD?format=json&amp;mrv=30 | https://api.worldbank.org/v2/country/SRB/indicator/NY.GDP.MKTP.KD.ZG?format=json&amp;mrv=30 | https://api.worldbank.org/v2/country/SRB/indicator/SI.POV.GINI?format=json&amp;mrv=30 | +3 more</t>
        </is>
      </c>
      <c r="I31" t="inlineStr">
        <is>
          <t>Tier 3</t>
        </is>
      </c>
      <c r="J31" s="8" t="inlineStr">
        <is>
          <t>2024-12-31</t>
        </is>
      </c>
      <c r="K31" t="inlineStr">
        <is>
          <t>providers=world_bank; fields=gdp_per_capita_ppp, gdp_growth, gini_coefficient, ppp_private_consumption; +2 additional fields</t>
        </is>
      </c>
    </row>
    <row r="32">
      <c r="A32" t="inlineStr">
        <is>
          <t>Slovakia</t>
        </is>
      </c>
      <c r="B32" t="n">
        <v>48132.36</v>
      </c>
      <c r="C32" s="7" t="n">
        <v>1.9387</v>
      </c>
      <c r="D32" t="n">
        <v>23.8</v>
      </c>
      <c r="E32" t="n">
        <v>0.545311</v>
      </c>
      <c r="F32" s="7" t="n">
        <v>0.193079</v>
      </c>
      <c r="G32" t="n">
        <v>59.6386</v>
      </c>
      <c r="H32" t="inlineStr">
        <is>
          <t>https://api.worldbank.org/v2/country/SVK/indicator/NY.GDP.PCAP.PP.CD?format=json&amp;mrv=30 | https://api.worldbank.org/v2/country/SVK/indicator/NY.GDP.MKTP.KD.ZG?format=json&amp;mrv=30 | https://api.worldbank.org/v2/country/SVK/indicator/SI.POV.GINI?format=json&amp;mrv=30 | +3 more</t>
        </is>
      </c>
      <c r="I32" t="inlineStr">
        <is>
          <t>Tier 3</t>
        </is>
      </c>
      <c r="J32" s="8" t="inlineStr">
        <is>
          <t>2024-12-31</t>
        </is>
      </c>
      <c r="K32" t="inlineStr">
        <is>
          <t>providers=world_bank; fields=gdp_per_capita_ppp, gdp_growth, gini_coefficient, ppp_private_consumption; +2 additional fields</t>
        </is>
      </c>
    </row>
    <row r="33">
      <c r="A33" t="inlineStr">
        <is>
          <t>United States</t>
        </is>
      </c>
      <c r="B33" t="n">
        <v>85809.89999999999</v>
      </c>
      <c r="C33" s="7" t="n">
        <v>2.793</v>
      </c>
      <c r="D33" t="n">
        <v>41.8</v>
      </c>
      <c r="E33" t="n">
        <v>1</v>
      </c>
      <c r="F33" s="7" t="n">
        <v>0.108905</v>
      </c>
      <c r="G33" t="n">
        <v>46.8411</v>
      </c>
      <c r="H33" t="inlineStr">
        <is>
          <t>https://api.worldbank.org/v2/country/USA/indicator/NY.GDP.PCAP.PP.CD?format=json&amp;mrv=30 | https://api.worldbank.org/v2/country/USA/indicator/NY.GDP.MKTP.KD.ZG?format=json&amp;mrv=30 | https://api.worldbank.org/v2/country/USA/indicator/SI.POV.GINI?format=json&amp;mrv=30 | +3 more</t>
        </is>
      </c>
      <c r="I33" t="inlineStr">
        <is>
          <t>Tier 3</t>
        </is>
      </c>
      <c r="J33" s="8" t="inlineStr">
        <is>
          <t>2024-12-31</t>
        </is>
      </c>
      <c r="K33" t="inlineStr">
        <is>
          <t>providers=world_bank; fields=gdp_per_capita_ppp, gdp_growth, gini_coefficient, ppp_private_consumption; +2 additional fields</t>
        </is>
      </c>
    </row>
    <row r="34">
      <c r="A34" t="inlineStr">
        <is>
          <t>Mexico</t>
        </is>
      </c>
      <c r="B34" t="n">
        <v>26185.36</v>
      </c>
      <c r="C34" s="7" t="n">
        <v>1.4274</v>
      </c>
      <c r="D34" t="n">
        <v>43.5</v>
      </c>
      <c r="E34" t="n">
        <v>10.801299</v>
      </c>
      <c r="F34" s="7" t="n">
        <v>0.141936</v>
      </c>
      <c r="G34" t="n">
        <v>26.5628</v>
      </c>
      <c r="H34" t="inlineStr">
        <is>
          <t>https://api.worldbank.org/v2/country/MEX/indicator/NY.GDP.PCAP.PP.CD?format=json&amp;mrv=30 | https://api.worldbank.org/v2/country/MEX/indicator/NY.GDP.MKTP.KD.ZG?format=json&amp;mrv=30 | https://api.worldbank.org/v2/country/MEX/indicator/SI.POV.GINI?format=json&amp;mrv=30 | +3 more</t>
        </is>
      </c>
      <c r="I34" t="inlineStr">
        <is>
          <t>Tier 3</t>
        </is>
      </c>
      <c r="J34" s="8" t="inlineStr">
        <is>
          <t>2024-12-31</t>
        </is>
      </c>
      <c r="K34" t="inlineStr">
        <is>
          <t>providers=world_bank; fields=gdp_per_capita_ppp, gdp_growth, gini_coefficient, ppp_private_consumption; +2 additional fields</t>
        </is>
      </c>
    </row>
    <row r="35">
      <c r="A35" t="inlineStr">
        <is>
          <t>Canada</t>
        </is>
      </c>
      <c r="B35" t="n">
        <v>64610.38</v>
      </c>
      <c r="C35" s="7" t="n">
        <v>1.5548</v>
      </c>
      <c r="D35" t="n">
        <v>31.1</v>
      </c>
      <c r="E35" t="n">
        <v>1.240903</v>
      </c>
      <c r="F35" s="7" t="n">
        <v>0.142302</v>
      </c>
      <c r="G35" t="n">
        <v>124.0978</v>
      </c>
      <c r="H35" t="inlineStr">
        <is>
          <t>https://api.worldbank.org/v2/country/CAN/indicator/NY.GDP.PCAP.PP.CD?format=json&amp;mrv=30 | https://api.worldbank.org/v2/country/CAN/indicator/NY.GDP.MKTP.KD.ZG?format=json&amp;mrv=30 | https://api.worldbank.org/v2/country/CAN/indicator/SI.POV.GINI?format=json&amp;mrv=30 | +3 more</t>
        </is>
      </c>
      <c r="I35" t="inlineStr">
        <is>
          <t>Tier 3</t>
        </is>
      </c>
      <c r="J35" s="8" t="inlineStr">
        <is>
          <t>2024-12-31</t>
        </is>
      </c>
      <c r="K35" t="inlineStr">
        <is>
          <t>providers=world_bank; fields=gdp_per_capita_ppp, gdp_growth, gini_coefficient, ppp_private_consumption; +2 additional fields</t>
        </is>
      </c>
    </row>
    <row r="36">
      <c r="A36" t="inlineStr">
        <is>
          <t>Panama</t>
        </is>
      </c>
      <c r="B36" t="n">
        <v>41369.42</v>
      </c>
      <c r="C36" s="7" t="n">
        <v>2.7479</v>
      </c>
      <c r="D36" t="n">
        <v>49.7</v>
      </c>
      <c r="E36" t="n">
        <v>0.511074</v>
      </c>
      <c r="F36" s="7" t="n">
        <v>0.07460600000000001</v>
      </c>
      <c r="G36" t="n">
        <v>68.0947</v>
      </c>
      <c r="H36" t="inlineStr">
        <is>
          <t>https://api.worldbank.org/v2/country/PAN/indicator/NY.GDP.PCAP.PP.CD?format=json&amp;mrv=30 | https://api.worldbank.org/v2/country/PAN/indicator/NY.GDP.MKTP.KD.ZG?format=json&amp;mrv=30 | https://api.worldbank.org/v2/country/PAN/indicator/SI.POV.GINI?format=json&amp;mrv=30 | +3 more</t>
        </is>
      </c>
      <c r="I36" t="inlineStr">
        <is>
          <t>Tier 3</t>
        </is>
      </c>
      <c r="J36" s="8" t="inlineStr">
        <is>
          <t>2024-12-31</t>
        </is>
      </c>
      <c r="K36" t="inlineStr">
        <is>
          <t>providers=world_bank; fields=gdp_per_capita_ppp, gdp_growth, gini_coefficient, ppp_private_consumption; +2 additional fields</t>
        </is>
      </c>
    </row>
    <row r="37">
      <c r="A37" t="inlineStr">
        <is>
          <t>Costa Rica</t>
        </is>
      </c>
      <c r="B37" t="n">
        <v>31106.76</v>
      </c>
      <c r="C37" s="7" t="n">
        <v>4.3212</v>
      </c>
      <c r="D37" t="n">
        <v>45.8</v>
      </c>
      <c r="E37" t="n">
        <v>328.046587</v>
      </c>
      <c r="F37" s="7" t="n">
        <v>0.139115</v>
      </c>
      <c r="G37" t="n">
        <v>50.9742</v>
      </c>
      <c r="H37" t="inlineStr">
        <is>
          <t>https://api.worldbank.org/v2/country/CRI/indicator/NY.GDP.PCAP.PP.CD?format=json&amp;mrv=30 | https://api.worldbank.org/v2/country/CRI/indicator/NY.GDP.MKTP.KD.ZG?format=json&amp;mrv=30 | https://api.worldbank.org/v2/country/CRI/indicator/SI.POV.GINI?format=json&amp;mrv=30 | +3 more</t>
        </is>
      </c>
      <c r="I37" t="inlineStr">
        <is>
          <t>Tier 3</t>
        </is>
      </c>
      <c r="J37" s="8" t="inlineStr">
        <is>
          <t>2024-12-31</t>
        </is>
      </c>
      <c r="K37" t="inlineStr">
        <is>
          <t>providers=world_bank; fields=gdp_per_capita_ppp, gdp_growth, gini_coefficient, ppp_private_consumption; +2 additional fields</t>
        </is>
      </c>
    </row>
    <row r="38">
      <c r="A38" t="inlineStr">
        <is>
          <t>Puerto Rico</t>
        </is>
      </c>
      <c r="B38" t="n">
        <v>50247.85</v>
      </c>
      <c r="C38" s="7" t="n">
        <v>3.1771</v>
      </c>
      <c r="E38" t="n">
        <v>0.896932</v>
      </c>
      <c r="F38" s="7" t="inlineStr"/>
      <c r="H38" t="inlineStr">
        <is>
          <t>https://api.worldbank.org/v2/country/PRI/indicator/NY.GDP.PCAP.PP.CD?format=json&amp;mrv=30 | https://api.worldbank.org/v2/country/PRI/indicator/NY.GDP.MKTP.KD.ZG?format=json&amp;mrv=30 | https://api.worldbank.org/v2/country/PRI/indicator/PA.NUS.PRVT.PP?format=json&amp;mrv=30</t>
        </is>
      </c>
      <c r="I38" t="inlineStr">
        <is>
          <t>Tier 3</t>
        </is>
      </c>
      <c r="J38" s="8" t="inlineStr">
        <is>
          <t>2024-12-31</t>
        </is>
      </c>
      <c r="K38" t="inlineStr">
        <is>
          <t>providers=world_bank; fields=gdp_per_capita_ppp, gdp_growth, ppp_private_consumption</t>
        </is>
      </c>
    </row>
    <row r="39">
      <c r="A39" t="inlineStr">
        <is>
          <t>Brazil</t>
        </is>
      </c>
      <c r="B39" t="n">
        <v>22338.48</v>
      </c>
      <c r="C39" s="7" t="n">
        <v>3.4193</v>
      </c>
      <c r="D39" t="n">
        <v>51.6</v>
      </c>
      <c r="E39" t="n">
        <v>2.524497</v>
      </c>
      <c r="F39" s="7" t="n">
        <v>0.154102</v>
      </c>
      <c r="G39" t="n">
        <v>75.6164</v>
      </c>
      <c r="H39" t="inlineStr">
        <is>
          <t>https://api.worldbank.org/v2/country/BRA/indicator/NY.GDP.PCAP.PP.CD?format=json&amp;mrv=30 | https://api.worldbank.org/v2/country/BRA/indicator/NY.GDP.MKTP.KD.ZG?format=json&amp;mrv=30 | https://api.worldbank.org/v2/country/BRA/indicator/SI.POV.GINI?format=json&amp;mrv=30 | +3 more</t>
        </is>
      </c>
      <c r="I39" t="inlineStr">
        <is>
          <t>Tier 3</t>
        </is>
      </c>
      <c r="J39" s="8" t="inlineStr">
        <is>
          <t>2024-12-31</t>
        </is>
      </c>
      <c r="K39" t="inlineStr">
        <is>
          <t>providers=world_bank; fields=gdp_per_capita_ppp, gdp_growth, gini_coefficient, ppp_private_consumption; +2 additional fields</t>
        </is>
      </c>
    </row>
    <row r="40">
      <c r="A40" t="inlineStr">
        <is>
          <t>Argentina</t>
        </is>
      </c>
      <c r="B40" t="n">
        <v>30431.19</v>
      </c>
      <c r="C40" s="7" t="n">
        <v>-1.3429</v>
      </c>
      <c r="D40" t="n">
        <v>42.4</v>
      </c>
      <c r="E40" t="n">
        <v>42.98624</v>
      </c>
      <c r="F40" s="7" t="n">
        <v>0.099289</v>
      </c>
      <c r="G40" t="n">
        <v>13.0788</v>
      </c>
      <c r="H40" t="inlineStr">
        <is>
          <t>https://api.worldbank.org/v2/country/ARG/indicator/NY.GDP.PCAP.PP.CD?format=json&amp;mrv=30 | https://api.worldbank.org/v2/country/ARG/indicator/NY.GDP.MKTP.KD.ZG?format=json&amp;mrv=30 | https://api.worldbank.org/v2/country/ARG/indicator/SI.POV.GINI?format=json&amp;mrv=30 | +3 more</t>
        </is>
      </c>
      <c r="I40" t="inlineStr">
        <is>
          <t>Tier 3</t>
        </is>
      </c>
      <c r="J40" s="8" t="inlineStr">
        <is>
          <t>2024-12-31</t>
        </is>
      </c>
      <c r="K40" t="inlineStr">
        <is>
          <t>providers=world_bank; fields=gdp_per_capita_ppp, gdp_growth, gini_coefficient, ppp_private_consumption; +2 additional fields</t>
        </is>
      </c>
    </row>
    <row r="41">
      <c r="A41" t="inlineStr">
        <is>
          <t>Chile</t>
        </is>
      </c>
      <c r="B41" t="n">
        <v>36181.16</v>
      </c>
      <c r="C41" s="7" t="n">
        <v>2.6443</v>
      </c>
      <c r="D41" t="n">
        <v>43</v>
      </c>
      <c r="E41" t="n">
        <v>464.876032</v>
      </c>
      <c r="F41" s="7" t="n">
        <v>0.177194</v>
      </c>
      <c r="G41" t="n">
        <v>74.9355</v>
      </c>
      <c r="H41" t="inlineStr">
        <is>
          <t>https://api.worldbank.org/v2/country/CHL/indicator/NY.GDP.PCAP.PP.CD?format=json&amp;mrv=30 | https://api.worldbank.org/v2/country/CHL/indicator/NY.GDP.MKTP.KD.ZG?format=json&amp;mrv=30 | https://api.worldbank.org/v2/country/CHL/indicator/SI.POV.GINI?format=json&amp;mrv=30 | +3 more</t>
        </is>
      </c>
      <c r="I41" t="inlineStr">
        <is>
          <t>Tier 3</t>
        </is>
      </c>
      <c r="J41" s="8" t="inlineStr">
        <is>
          <t>2024-12-31</t>
        </is>
      </c>
      <c r="K41" t="inlineStr">
        <is>
          <t>providers=world_bank; fields=gdp_per_capita_ppp, gdp_growth, gini_coefficient, ppp_private_consumption; +2 additional fields</t>
        </is>
      </c>
    </row>
    <row r="42">
      <c r="A42" t="inlineStr">
        <is>
          <t>Colombia</t>
        </is>
      </c>
      <c r="B42" t="n">
        <v>22349.44</v>
      </c>
      <c r="C42" s="7" t="n">
        <v>1.5983</v>
      </c>
      <c r="D42" t="n">
        <v>53.9</v>
      </c>
      <c r="E42" t="n">
        <v>1542.193816</v>
      </c>
      <c r="F42" s="7" t="n">
        <v>0.152812</v>
      </c>
      <c r="G42" t="n">
        <v>39.5117</v>
      </c>
      <c r="H42" t="inlineStr">
        <is>
          <t>https://api.worldbank.org/v2/country/COL/indicator/NY.GDP.PCAP.PP.CD?format=json&amp;mrv=30 | https://api.worldbank.org/v2/country/COL/indicator/NY.GDP.MKTP.KD.ZG?format=json&amp;mrv=30 | https://api.worldbank.org/v2/country/COL/indicator/SI.POV.GINI?format=json&amp;mrv=30 | +3 more</t>
        </is>
      </c>
      <c r="I42" t="inlineStr">
        <is>
          <t>Tier 3</t>
        </is>
      </c>
      <c r="J42" s="8" t="inlineStr">
        <is>
          <t>2024-12-31</t>
        </is>
      </c>
      <c r="K42" t="inlineStr">
        <is>
          <t>providers=world_bank; fields=gdp_per_capita_ppp, gdp_growth, gini_coefficient, ppp_private_consumption; +2 additional fields</t>
        </is>
      </c>
    </row>
    <row r="43">
      <c r="A43" t="inlineStr">
        <is>
          <t>Peru</t>
        </is>
      </c>
      <c r="B43" t="n">
        <v>17802.42</v>
      </c>
      <c r="C43" s="7" t="n">
        <v>3.3039</v>
      </c>
      <c r="D43" t="n">
        <v>40.1</v>
      </c>
      <c r="E43" t="n">
        <v>1.94918</v>
      </c>
      <c r="F43" s="7" t="n">
        <v>0.159243</v>
      </c>
      <c r="G43" t="n">
        <v>45.668</v>
      </c>
      <c r="H43" t="inlineStr">
        <is>
          <t>https://api.worldbank.org/v2/country/PER/indicator/NY.GDP.PCAP.PP.CD?format=json&amp;mrv=30 | https://api.worldbank.org/v2/country/PER/indicator/NY.GDP.MKTP.KD.ZG?format=json&amp;mrv=30 | https://api.worldbank.org/v2/country/PER/indicator/SI.POV.GINI?format=json&amp;mrv=30 | +3 more</t>
        </is>
      </c>
      <c r="I43" t="inlineStr">
        <is>
          <t>Tier 3</t>
        </is>
      </c>
      <c r="J43" s="8" t="inlineStr">
        <is>
          <t>2024-12-31</t>
        </is>
      </c>
      <c r="K43" t="inlineStr">
        <is>
          <t>providers=world_bank; fields=gdp_per_capita_ppp, gdp_growth, gini_coefficient, ppp_private_consumption; +2 additional fields</t>
        </is>
      </c>
    </row>
    <row r="44">
      <c r="A44" t="inlineStr">
        <is>
          <t>Uruguay</t>
        </is>
      </c>
      <c r="B44" t="n">
        <v>36417.87</v>
      </c>
      <c r="C44" s="7" t="n">
        <v>3.1083</v>
      </c>
      <c r="D44" t="n">
        <v>40</v>
      </c>
      <c r="E44" t="n">
        <v>29.298217</v>
      </c>
      <c r="F44" s="7" t="n">
        <v>0.181624</v>
      </c>
      <c r="G44" t="n">
        <v>31.0608</v>
      </c>
      <c r="H44" t="inlineStr">
        <is>
          <t>https://api.worldbank.org/v2/country/URY/indicator/NY.GDP.PCAP.PP.CD?format=json&amp;mrv=30 | https://api.worldbank.org/v2/country/URY/indicator/NY.GDP.MKTP.KD.ZG?format=json&amp;mrv=30 | https://api.worldbank.org/v2/country/URY/indicator/SI.POV.GINI?format=json&amp;mrv=30 | +3 more</t>
        </is>
      </c>
      <c r="I44" t="inlineStr">
        <is>
          <t>Tier 3</t>
        </is>
      </c>
      <c r="J44" s="8" t="inlineStr">
        <is>
          <t>2024-12-31</t>
        </is>
      </c>
      <c r="K44" t="inlineStr">
        <is>
          <t>providers=world_bank; fields=gdp_per_capita_ppp, gdp_growth, gini_coefficient, ppp_private_consumption; +2 additional fields</t>
        </is>
      </c>
    </row>
    <row r="45">
      <c r="A45" t="inlineStr">
        <is>
          <t>United Arab Emirates</t>
        </is>
      </c>
      <c r="B45" t="n">
        <v>79228.74000000001</v>
      </c>
      <c r="C45" s="7" t="n">
        <v>3.9918</v>
      </c>
      <c r="D45" t="n">
        <v>26.4</v>
      </c>
      <c r="E45" t="n">
        <v>2.56311</v>
      </c>
      <c r="F45" s="7" t="n">
        <v>0.006475</v>
      </c>
      <c r="G45" t="n">
        <v>67.9658</v>
      </c>
      <c r="H45" t="inlineStr">
        <is>
          <t>https://api.worldbank.org/v2/country/ARE/indicator/NY.GDP.PCAP.PP.CD?format=json&amp;mrv=30 | https://api.worldbank.org/v2/country/ARE/indicator/NY.GDP.MKTP.KD.ZG?format=json&amp;mrv=30 | https://api.worldbank.org/v2/country/ARE/indicator/SI.POV.GINI?format=json&amp;mrv=30 | +3 more</t>
        </is>
      </c>
      <c r="I45" t="inlineStr">
        <is>
          <t>Tier 3</t>
        </is>
      </c>
      <c r="J45" s="8" t="inlineStr">
        <is>
          <t>2024-12-31</t>
        </is>
      </c>
      <c r="K45" t="inlineStr">
        <is>
          <t>providers=world_bank; fields=gdp_per_capita_ppp, gdp_growth, gini_coefficient, ppp_private_consumption; +2 additional fields</t>
        </is>
      </c>
    </row>
    <row r="46">
      <c r="A46" t="inlineStr">
        <is>
          <t>Qatar</t>
        </is>
      </c>
      <c r="B46" t="n">
        <v>126046.35</v>
      </c>
      <c r="C46" s="7" t="n">
        <v>2.3597</v>
      </c>
      <c r="D46" t="n">
        <v>35.1</v>
      </c>
      <c r="E46" t="n">
        <v>2.755487</v>
      </c>
      <c r="F46" s="7" t="inlineStr"/>
      <c r="G46" t="n">
        <v>118.8652</v>
      </c>
      <c r="H46" t="inlineStr">
        <is>
          <t>https://api.worldbank.org/v2/country/QAT/indicator/NY.GDP.PCAP.PP.CD?format=json&amp;mrv=30 | https://api.worldbank.org/v2/country/QAT/indicator/NY.GDP.MKTP.KD.ZG?format=json&amp;mrv=30 | https://api.worldbank.org/v2/country/QAT/indicator/SI.POV.GINI?format=json&amp;mrv=30 | +2 more</t>
        </is>
      </c>
      <c r="I46" t="inlineStr">
        <is>
          <t>Tier 3</t>
        </is>
      </c>
      <c r="J46" s="8" t="inlineStr">
        <is>
          <t>2024-12-31</t>
        </is>
      </c>
      <c r="K46" t="inlineStr">
        <is>
          <t>providers=world_bank; fields=gdp_per_capita_ppp, gdp_growth, gini_coefficient, ppp_private_consumption; +1 additional fields</t>
        </is>
      </c>
    </row>
    <row r="47">
      <c r="A47" t="inlineStr">
        <is>
          <t>Saudi Arabia</t>
        </is>
      </c>
      <c r="B47" t="n">
        <v>71375.37</v>
      </c>
      <c r="C47" s="7" t="n">
        <v>1.9965</v>
      </c>
      <c r="E47" t="n">
        <v>1.882361</v>
      </c>
      <c r="F47" s="7" t="n">
        <v>0.081847</v>
      </c>
      <c r="G47" t="n">
        <v>50.1376</v>
      </c>
      <c r="H47" t="inlineStr">
        <is>
          <t>https://api.worldbank.org/v2/country/SAU/indicator/NY.GDP.PCAP.PP.CD?format=json&amp;mrv=30 | https://api.worldbank.org/v2/country/SAU/indicator/NY.GDP.MKTP.KD.ZG?format=json&amp;mrv=30 | https://api.worldbank.org/v2/country/SAU/indicator/PA.NUS.PRVT.PP?format=json&amp;mrv=30 | +2 more</t>
        </is>
      </c>
      <c r="I47" t="inlineStr">
        <is>
          <t>Tier 3</t>
        </is>
      </c>
      <c r="J47" s="8" t="inlineStr">
        <is>
          <t>2024-12-31</t>
        </is>
      </c>
      <c r="K47" t="inlineStr">
        <is>
          <t>providers=world_bank; fields=gdp_per_capita_ppp, gdp_growth, ppp_private_consumption, tax_rate_assumption; +1 additional fields</t>
        </is>
      </c>
    </row>
    <row r="48">
      <c r="A48" t="inlineStr">
        <is>
          <t>Israel</t>
        </is>
      </c>
      <c r="B48" t="n">
        <v>57235.78</v>
      </c>
      <c r="C48" s="7" t="n">
        <v>0.872</v>
      </c>
      <c r="D48" t="n">
        <v>37.9</v>
      </c>
      <c r="E48" t="n">
        <v>3.607983</v>
      </c>
      <c r="F48" s="7" t="n">
        <v>0.221364</v>
      </c>
      <c r="G48" t="n">
        <v>69.7497</v>
      </c>
      <c r="H48" t="inlineStr">
        <is>
          <t>https://api.worldbank.org/v2/country/ISR/indicator/NY.GDP.PCAP.PP.CD?format=json&amp;mrv=30 | https://api.worldbank.org/v2/country/ISR/indicator/NY.GDP.MKTP.KD.ZG?format=json&amp;mrv=30 | https://api.worldbank.org/v2/country/ISR/indicator/SI.POV.GINI?format=json&amp;mrv=30 | +3 more</t>
        </is>
      </c>
      <c r="I48" t="inlineStr">
        <is>
          <t>Tier 3</t>
        </is>
      </c>
      <c r="J48" s="8" t="inlineStr">
        <is>
          <t>2024-12-31</t>
        </is>
      </c>
      <c r="K48" t="inlineStr">
        <is>
          <t>providers=world_bank; fields=gdp_per_capita_ppp, gdp_growth, gini_coefficient, ppp_private_consumption; +2 additional fields</t>
        </is>
      </c>
    </row>
    <row r="49">
      <c r="A49" t="inlineStr">
        <is>
          <t>Oman</t>
        </is>
      </c>
      <c r="B49" t="n">
        <v>41740.17</v>
      </c>
      <c r="C49" s="7" t="n">
        <v>1.6316</v>
      </c>
      <c r="E49" t="n">
        <v>0.184982</v>
      </c>
      <c r="F49" s="7" t="inlineStr"/>
      <c r="G49" t="n">
        <v>59.7083</v>
      </c>
      <c r="H49" t="inlineStr">
        <is>
          <t>https://api.worldbank.org/v2/country/OMN/indicator/NY.GDP.PCAP.PP.CD?format=json&amp;mrv=30 | https://api.worldbank.org/v2/country/OMN/indicator/NY.GDP.MKTP.KD.ZG?format=json&amp;mrv=30 | https://api.worldbank.org/v2/country/OMN/indicator/PA.NUS.PRVT.PP?format=json&amp;mrv=30 | +1 more</t>
        </is>
      </c>
      <c r="I49" t="inlineStr">
        <is>
          <t>Tier 3</t>
        </is>
      </c>
      <c r="J49" s="8" t="inlineStr">
        <is>
          <t>2024-12-31</t>
        </is>
      </c>
      <c r="K49" t="inlineStr">
        <is>
          <t>providers=world_bank; fields=gdp_per_capita_ppp, gdp_growth, ppp_private_consumption, household_debt_proxy</t>
        </is>
      </c>
    </row>
    <row r="50">
      <c r="A50" t="inlineStr">
        <is>
          <t>Bahrain</t>
        </is>
      </c>
      <c r="B50" t="n">
        <v>66941.24000000001</v>
      </c>
      <c r="C50" s="7" t="n">
        <v>2.6038</v>
      </c>
      <c r="E50" t="n">
        <v>0.188671</v>
      </c>
      <c r="F50" s="7" t="n">
        <v>0.028232</v>
      </c>
      <c r="G50" t="n">
        <v>70.5501</v>
      </c>
      <c r="H50" t="inlineStr">
        <is>
          <t>https://api.worldbank.org/v2/country/BHR/indicator/NY.GDP.PCAP.PP.CD?format=json&amp;mrv=30 | https://api.worldbank.org/v2/country/BHR/indicator/NY.GDP.MKTP.KD.ZG?format=json&amp;mrv=30 | https://api.worldbank.org/v2/country/BHR/indicator/PA.NUS.PRVT.PP?format=json&amp;mrv=30 | +2 more</t>
        </is>
      </c>
      <c r="I50" t="inlineStr">
        <is>
          <t>Tier 3</t>
        </is>
      </c>
      <c r="J50" s="8" t="inlineStr">
        <is>
          <t>2024-12-31</t>
        </is>
      </c>
      <c r="K50" t="inlineStr">
        <is>
          <t>providers=world_bank; fields=gdp_per_capita_ppp, gdp_growth, ppp_private_consumption, tax_rate_assumption; +1 additional fields</t>
        </is>
      </c>
    </row>
    <row r="51">
      <c r="A51" t="inlineStr">
        <is>
          <t>Kuwait</t>
        </is>
      </c>
      <c r="B51" t="n">
        <v>52443.6</v>
      </c>
      <c r="C51" s="7" t="n">
        <v>-2.5601</v>
      </c>
      <c r="E51" t="n">
        <v>0.183789</v>
      </c>
      <c r="F51" s="7" t="n">
        <v>0.014924</v>
      </c>
      <c r="G51" t="n">
        <v>4.3975</v>
      </c>
      <c r="H51" t="inlineStr">
        <is>
          <t>https://api.worldbank.org/v2/country/KWT/indicator/NY.GDP.PCAP.PP.CD?format=json&amp;mrv=30 | https://api.worldbank.org/v2/country/KWT/indicator/NY.GDP.MKTP.KD.ZG?format=json&amp;mrv=30 | https://api.worldbank.org/v2/country/KWT/indicator/PA.NUS.PRVT.PP?format=json&amp;mrv=30 | +2 more</t>
        </is>
      </c>
      <c r="I51" t="inlineStr">
        <is>
          <t>Tier 3</t>
        </is>
      </c>
      <c r="J51" s="8" t="inlineStr">
        <is>
          <t>2024-12-31</t>
        </is>
      </c>
      <c r="K51" t="inlineStr">
        <is>
          <t>providers=world_bank; fields=gdp_per_capita_ppp, gdp_growth, ppp_private_consumption, tax_rate_assumption; +1 additional fields</t>
        </is>
      </c>
    </row>
    <row r="52">
      <c r="A52" t="inlineStr">
        <is>
          <t>Jordan</t>
        </is>
      </c>
      <c r="B52" t="n">
        <v>10821.49</v>
      </c>
      <c r="C52" s="7" t="n">
        <v>2.4889</v>
      </c>
      <c r="D52" t="n">
        <v>33.7</v>
      </c>
      <c r="E52" t="n">
        <v>0.321203</v>
      </c>
      <c r="F52" s="7" t="n">
        <v>0.170491</v>
      </c>
      <c r="G52" t="n">
        <v>80.0729</v>
      </c>
      <c r="H52" t="inlineStr">
        <is>
          <t>https://api.worldbank.org/v2/country/JOR/indicator/NY.GDP.PCAP.PP.CD?format=json&amp;mrv=30 | https://api.worldbank.org/v2/country/JOR/indicator/NY.GDP.MKTP.KD.ZG?format=json&amp;mrv=30 | https://api.worldbank.org/v2/country/JOR/indicator/SI.POV.GINI?format=json&amp;mrv=30 | +3 more</t>
        </is>
      </c>
      <c r="I52" t="inlineStr">
        <is>
          <t>Tier 3</t>
        </is>
      </c>
      <c r="J52" s="8" t="inlineStr">
        <is>
          <t>2024-12-31</t>
        </is>
      </c>
      <c r="K52" t="inlineStr">
        <is>
          <t>providers=world_bank; fields=gdp_per_capita_ppp, gdp_growth, gini_coefficient, ppp_private_consumption; +2 additional fields</t>
        </is>
      </c>
    </row>
    <row r="53">
      <c r="A53" t="inlineStr">
        <is>
          <t>South Africa</t>
        </is>
      </c>
      <c r="B53" t="n">
        <v>15456.2</v>
      </c>
      <c r="C53" s="7" t="n">
        <v>0.5348000000000001</v>
      </c>
      <c r="D53" t="n">
        <v>63</v>
      </c>
      <c r="E53" t="n">
        <v>7.701915</v>
      </c>
      <c r="F53" s="7" t="n">
        <v>0.254005</v>
      </c>
      <c r="G53" t="n">
        <v>57.4717</v>
      </c>
      <c r="H53" t="inlineStr">
        <is>
          <t>https://api.worldbank.org/v2/country/ZAF/indicator/NY.GDP.PCAP.PP.CD?format=json&amp;mrv=30 | https://api.worldbank.org/v2/country/ZAF/indicator/NY.GDP.MKTP.KD.ZG?format=json&amp;mrv=30 | https://api.worldbank.org/v2/country/ZAF/indicator/SI.POV.GINI?format=json&amp;mrv=30 | +3 more</t>
        </is>
      </c>
      <c r="I53" t="inlineStr">
        <is>
          <t>Tier 3</t>
        </is>
      </c>
      <c r="J53" s="8" t="inlineStr">
        <is>
          <t>2024-12-31</t>
        </is>
      </c>
      <c r="K53" t="inlineStr">
        <is>
          <t>providers=world_bank; fields=gdp_per_capita_ppp, gdp_growth, gini_coefficient, ppp_private_consumption; +2 additional fields</t>
        </is>
      </c>
    </row>
    <row r="54">
      <c r="A54" t="inlineStr">
        <is>
          <t>Kenya</t>
        </is>
      </c>
      <c r="B54" t="n">
        <v>6644.13</v>
      </c>
      <c r="C54" s="7" t="n">
        <v>4.7247</v>
      </c>
      <c r="D54" t="n">
        <v>37.7</v>
      </c>
      <c r="E54" t="n">
        <v>44.391722</v>
      </c>
      <c r="F54" s="7" t="n">
        <v>0.140631</v>
      </c>
      <c r="G54" t="n">
        <v>31.7729</v>
      </c>
      <c r="H54" t="inlineStr">
        <is>
          <t>https://api.worldbank.org/v2/country/KEN/indicator/NY.GDP.PCAP.PP.CD?format=json&amp;mrv=30 | https://api.worldbank.org/v2/country/KEN/indicator/NY.GDP.MKTP.KD.ZG?format=json&amp;mrv=30 | https://api.worldbank.org/v2/country/KEN/indicator/SI.POV.GINI?format=json&amp;mrv=30 | +3 more</t>
        </is>
      </c>
      <c r="I54" t="inlineStr">
        <is>
          <t>Tier 3</t>
        </is>
      </c>
      <c r="J54" s="8" t="inlineStr">
        <is>
          <t>2024-12-31</t>
        </is>
      </c>
      <c r="K54" t="inlineStr">
        <is>
          <t>providers=world_bank; fields=gdp_per_capita_ppp, gdp_growth, gini_coefficient, ppp_private_consumption; +2 additional fields</t>
        </is>
      </c>
    </row>
    <row r="55">
      <c r="A55" t="inlineStr">
        <is>
          <t>Rwanda</t>
        </is>
      </c>
      <c r="B55" t="n">
        <v>3710.86</v>
      </c>
      <c r="C55" s="7" t="n">
        <v>8.890700000000001</v>
      </c>
      <c r="D55" t="n">
        <v>39.4</v>
      </c>
      <c r="E55" t="n">
        <v>361.39523</v>
      </c>
      <c r="F55" s="7" t="n">
        <v>0.135081</v>
      </c>
      <c r="G55" t="n">
        <v>22.5267</v>
      </c>
      <c r="H55" t="inlineStr">
        <is>
          <t>https://api.worldbank.org/v2/country/RWA/indicator/NY.GDP.PCAP.PP.CD?format=json&amp;mrv=30 | https://api.worldbank.org/v2/country/RWA/indicator/NY.GDP.MKTP.KD.ZG?format=json&amp;mrv=30 | https://api.worldbank.org/v2/country/RWA/indicator/SI.POV.GINI?format=json&amp;mrv=30 | +3 more</t>
        </is>
      </c>
      <c r="I55" t="inlineStr">
        <is>
          <t>Tier 3</t>
        </is>
      </c>
      <c r="J55" s="8" t="inlineStr">
        <is>
          <t>2024-12-31</t>
        </is>
      </c>
      <c r="K55" t="inlineStr">
        <is>
          <t>providers=world_bank; fields=gdp_per_capita_ppp, gdp_growth, gini_coefficient, ppp_private_consumption; +2 additional fields</t>
        </is>
      </c>
    </row>
    <row r="56">
      <c r="A56" t="inlineStr">
        <is>
          <t>Morocco</t>
        </is>
      </c>
      <c r="B56" t="n">
        <v>10415.12</v>
      </c>
      <c r="C56" s="7" t="n">
        <v>3.7934</v>
      </c>
      <c r="D56" t="n">
        <v>39.5</v>
      </c>
      <c r="E56" t="n">
        <v>4.038145</v>
      </c>
      <c r="F56" s="7" t="n">
        <v>0.207439</v>
      </c>
      <c r="G56" t="n">
        <v>54.7741</v>
      </c>
      <c r="H56" t="inlineStr">
        <is>
          <t>https://api.worldbank.org/v2/country/MAR/indicator/NY.GDP.PCAP.PP.CD?format=json&amp;mrv=30 | https://api.worldbank.org/v2/country/MAR/indicator/NY.GDP.MKTP.KD.ZG?format=json&amp;mrv=30 | https://api.worldbank.org/v2/country/MAR/indicator/SI.POV.GINI?format=json&amp;mrv=30 | +3 more</t>
        </is>
      </c>
      <c r="I56" t="inlineStr">
        <is>
          <t>Tier 3</t>
        </is>
      </c>
      <c r="J56" s="8" t="inlineStr">
        <is>
          <t>2024-12-31</t>
        </is>
      </c>
      <c r="K56" t="inlineStr">
        <is>
          <t>providers=world_bank; fields=gdp_per_capita_ppp, gdp_growth, gini_coefficient, ppp_private_consumption; +2 additional fields</t>
        </is>
      </c>
    </row>
    <row r="57">
      <c r="A57" t="inlineStr">
        <is>
          <t>Mauritius</t>
        </is>
      </c>
      <c r="B57" t="n">
        <v>31839.76</v>
      </c>
      <c r="C57" s="7" t="n">
        <v>4.9251</v>
      </c>
      <c r="D57" t="n">
        <v>36.8</v>
      </c>
      <c r="E57" t="n">
        <v>19.916335</v>
      </c>
      <c r="F57" s="7" t="n">
        <v>0.205324</v>
      </c>
      <c r="G57" t="n">
        <v>69.82210000000001</v>
      </c>
      <c r="H57" t="inlineStr">
        <is>
          <t>https://api.worldbank.org/v2/country/MUS/indicator/NY.GDP.PCAP.PP.CD?format=json&amp;mrv=30 | https://api.worldbank.org/v2/country/MUS/indicator/NY.GDP.MKTP.KD.ZG?format=json&amp;mrv=30 | https://api.worldbank.org/v2/country/MUS/indicator/SI.POV.GINI?format=json&amp;mrv=30 | +3 more</t>
        </is>
      </c>
      <c r="I57" t="inlineStr">
        <is>
          <t>Tier 3</t>
        </is>
      </c>
      <c r="J57" s="8" t="inlineStr">
        <is>
          <t>2024-12-31</t>
        </is>
      </c>
      <c r="K57" t="inlineStr">
        <is>
          <t>providers=world_bank; fields=gdp_per_capita_ppp, gdp_growth, gini_coefficient, ppp_private_consumption; +2 additional fields</t>
        </is>
      </c>
    </row>
    <row r="58">
      <c r="A58" t="inlineStr">
        <is>
          <t>Botswana</t>
        </is>
      </c>
      <c r="B58" t="n">
        <v>20538.13</v>
      </c>
      <c r="C58" s="7" t="n">
        <v>-2.9899</v>
      </c>
      <c r="D58" t="n">
        <v>54.9</v>
      </c>
      <c r="E58" t="n">
        <v>5.312715</v>
      </c>
      <c r="F58" s="7" t="n">
        <v>0.224882</v>
      </c>
      <c r="G58" t="n">
        <v>32.8462</v>
      </c>
      <c r="H58" t="inlineStr">
        <is>
          <t>https://api.worldbank.org/v2/country/BWA/indicator/NY.GDP.PCAP.PP.CD?format=json&amp;mrv=30 | https://api.worldbank.org/v2/country/BWA/indicator/NY.GDP.MKTP.KD.ZG?format=json&amp;mrv=30 | https://api.worldbank.org/v2/country/BWA/indicator/SI.POV.GINI?format=json&amp;mrv=30 | +3 more</t>
        </is>
      </c>
      <c r="I58" t="inlineStr">
        <is>
          <t>Tier 3</t>
        </is>
      </c>
      <c r="J58" s="8" t="inlineStr">
        <is>
          <t>2024-12-31</t>
        </is>
      </c>
      <c r="K58" t="inlineStr">
        <is>
          <t>providers=world_bank; fields=gdp_per_capita_ppp, gdp_growth, gini_coefficient, ppp_private_consumption; +2 additional fields</t>
        </is>
      </c>
    </row>
    <row r="59">
      <c r="A59" t="inlineStr">
        <is>
          <t>Namibia</t>
        </is>
      </c>
      <c r="B59" t="n">
        <v>11686.6</v>
      </c>
      <c r="C59" s="7" t="n">
        <v>3.7115</v>
      </c>
      <c r="D59" t="n">
        <v>59.1</v>
      </c>
      <c r="E59" t="n">
        <v>7.321244</v>
      </c>
      <c r="F59" s="7" t="n">
        <v>0.329629</v>
      </c>
      <c r="G59" t="n">
        <v>48.2075</v>
      </c>
      <c r="H59" t="inlineStr">
        <is>
          <t>https://api.worldbank.org/v2/country/NAM/indicator/NY.GDP.PCAP.PP.CD?format=json&amp;mrv=30 | https://api.worldbank.org/v2/country/NAM/indicator/NY.GDP.MKTP.KD.ZG?format=json&amp;mrv=30 | https://api.worldbank.org/v2/country/NAM/indicator/SI.POV.GINI?format=json&amp;mrv=30 | +3 more</t>
        </is>
      </c>
      <c r="I59" t="inlineStr">
        <is>
          <t>Tier 3</t>
        </is>
      </c>
      <c r="J59" s="8" t="inlineStr">
        <is>
          <t>2024-12-31</t>
        </is>
      </c>
      <c r="K59" t="inlineStr">
        <is>
          <t>providers=world_bank; fields=gdp_per_capita_ppp, gdp_growth, gini_coefficient, ppp_private_consumption; +2 additional fields</t>
        </is>
      </c>
    </row>
    <row r="60">
      <c r="A60" t="inlineStr">
        <is>
          <t>Ghana</t>
        </is>
      </c>
      <c r="B60" t="n">
        <v>8020</v>
      </c>
      <c r="C60" s="7" t="n">
        <v>5.5905</v>
      </c>
      <c r="D60" t="n">
        <v>43.5</v>
      </c>
      <c r="E60" t="n">
        <v>4.721006</v>
      </c>
      <c r="F60" s="7" t="n">
        <v>0.122975</v>
      </c>
      <c r="G60" t="n">
        <v>8.651199999999999</v>
      </c>
      <c r="H60" t="inlineStr">
        <is>
          <t>https://api.worldbank.org/v2/country/GHA/indicator/NY.GDP.PCAP.PP.CD?format=json&amp;mrv=30 | https://api.worldbank.org/v2/country/GHA/indicator/NY.GDP.MKTP.KD.ZG?format=json&amp;mrv=30 | https://api.worldbank.org/v2/country/GHA/indicator/SI.POV.GINI?format=json&amp;mrv=30 | +3 more</t>
        </is>
      </c>
      <c r="I60" t="inlineStr">
        <is>
          <t>Tier 3</t>
        </is>
      </c>
      <c r="J60" s="8" t="inlineStr">
        <is>
          <t>2024-12-31</t>
        </is>
      </c>
      <c r="K60" t="inlineStr">
        <is>
          <t>providers=world_bank; fields=gdp_per_capita_ppp, gdp_growth, gini_coefficient, ppp_private_consumption; +2 additional fields</t>
        </is>
      </c>
    </row>
    <row r="61">
      <c r="A61" t="inlineStr">
        <is>
          <t>Senegal</t>
        </is>
      </c>
      <c r="B61" t="n">
        <v>5070.65</v>
      </c>
      <c r="C61" s="7" t="n">
        <v>6.0606</v>
      </c>
      <c r="D61" t="n">
        <v>36.2</v>
      </c>
      <c r="E61" t="n">
        <v>229.280958</v>
      </c>
      <c r="F61" s="7" t="n">
        <v>0.195371</v>
      </c>
      <c r="G61" t="n">
        <v>29.205</v>
      </c>
      <c r="H61" t="inlineStr">
        <is>
          <t>https://api.worldbank.org/v2/country/SEN/indicator/NY.GDP.PCAP.PP.CD?format=json&amp;mrv=30 | https://api.worldbank.org/v2/country/SEN/indicator/NY.GDP.MKTP.KD.ZG?format=json&amp;mrv=30 | https://api.worldbank.org/v2/country/SEN/indicator/SI.POV.GINI?format=json&amp;mrv=30 | +3 more</t>
        </is>
      </c>
      <c r="I61" t="inlineStr">
        <is>
          <t>Tier 3</t>
        </is>
      </c>
      <c r="J61" s="8" t="inlineStr">
        <is>
          <t>2024-12-31</t>
        </is>
      </c>
      <c r="K61" t="inlineStr">
        <is>
          <t>providers=world_bank; fields=gdp_per_capita_ppp, gdp_growth, gini_coefficient, ppp_private_consumption; +2 additional fields</t>
        </is>
      </c>
    </row>
    <row r="62">
      <c r="A62" t="inlineStr">
        <is>
          <t>New Zealand</t>
        </is>
      </c>
      <c r="B62" t="n">
        <v>55551.14</v>
      </c>
      <c r="C62" s="7" t="n">
        <v>1.2886</v>
      </c>
      <c r="E62" t="n">
        <v>1.499938</v>
      </c>
      <c r="F62" s="7" t="n">
        <v>0.306678</v>
      </c>
      <c r="G62" t="n">
        <v>129.7971</v>
      </c>
      <c r="H62" t="inlineStr">
        <is>
          <t>https://api.worldbank.org/v2/country/NZL/indicator/NY.GDP.PCAP.PP.CD?format=json&amp;mrv=30 | https://api.worldbank.org/v2/country/NZL/indicator/NY.GDP.MKTP.KD.ZG?format=json&amp;mrv=30 | https://api.worldbank.org/v2/country/NZL/indicator/PA.NUS.PRVT.PP?format=json&amp;mrv=30 | +2 more</t>
        </is>
      </c>
      <c r="I62" t="inlineStr">
        <is>
          <t>Tier 3</t>
        </is>
      </c>
      <c r="J62" s="8" t="inlineStr">
        <is>
          <t>2024-12-31</t>
        </is>
      </c>
      <c r="K62" t="inlineStr">
        <is>
          <t>providers=world_bank; fields=gdp_per_capita_ppp, gdp_growth, ppp_private_consumption, tax_rate_assumption; +1 additional fields</t>
        </is>
      </c>
    </row>
    <row r="63">
      <c r="A63" t="inlineStr">
        <is>
          <t>Australia</t>
        </is>
      </c>
      <c r="B63" t="n">
        <v>72111.17999999999</v>
      </c>
      <c r="C63" s="7" t="n">
        <v>1.3734</v>
      </c>
      <c r="D63" t="n">
        <v>33.8</v>
      </c>
      <c r="E63" t="n">
        <v>1.427398</v>
      </c>
      <c r="F63" s="7" t="n">
        <v>0.235615</v>
      </c>
      <c r="G63" t="n">
        <v>129.3173</v>
      </c>
      <c r="H63" t="inlineStr">
        <is>
          <t>https://api.worldbank.org/v2/country/AUS/indicator/NY.GDP.PCAP.PP.CD?format=json&amp;mrv=30 | https://api.worldbank.org/v2/country/AUS/indicator/NY.GDP.MKTP.KD.ZG?format=json&amp;mrv=30 | https://api.worldbank.org/v2/country/AUS/indicator/SI.POV.GINI?format=json&amp;mrv=30 | +3 more</t>
        </is>
      </c>
      <c r="I63" t="inlineStr">
        <is>
          <t>Tier 3</t>
        </is>
      </c>
      <c r="J63" s="8" t="inlineStr">
        <is>
          <t>2024-12-31</t>
        </is>
      </c>
      <c r="K63" t="inlineStr">
        <is>
          <t>providers=world_bank; fields=gdp_per_capita_ppp, gdp_growth, gini_coefficient, ppp_private_consumption; +2 additional fields</t>
        </is>
      </c>
    </row>
    <row r="64">
      <c r="A64" t="inlineStr">
        <is>
          <t>Fiji</t>
        </is>
      </c>
      <c r="B64" t="n">
        <v>15450.3</v>
      </c>
      <c r="C64" s="7" t="n">
        <v>3.5309</v>
      </c>
      <c r="D64" t="n">
        <v>30.7</v>
      </c>
      <c r="E64" t="n">
        <v>0.910728</v>
      </c>
      <c r="F64" s="7" t="n">
        <v>0.20538</v>
      </c>
      <c r="G64" t="n">
        <v>75.99930000000001</v>
      </c>
      <c r="H64" t="inlineStr">
        <is>
          <t>https://api.worldbank.org/v2/country/FJI/indicator/NY.GDP.PCAP.PP.CD?format=json&amp;mrv=30 | https://api.worldbank.org/v2/country/FJI/indicator/NY.GDP.MKTP.KD.ZG?format=json&amp;mrv=30 | https://api.worldbank.org/v2/country/FJI/indicator/SI.POV.GINI?format=json&amp;mrv=30 | +3 more</t>
        </is>
      </c>
      <c r="I64" t="inlineStr">
        <is>
          <t>Tier 3</t>
        </is>
      </c>
      <c r="J64" s="8" t="inlineStr">
        <is>
          <t>2024-12-31</t>
        </is>
      </c>
      <c r="K64" t="inlineStr">
        <is>
          <t>providers=world_bank; fields=gdp_per_capita_ppp, gdp_growth, gini_coefficient, ppp_private_consumption; +2 additional fields</t>
        </is>
      </c>
    </row>
  </sheetData>
  <autoFilter ref="A1:K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103"/>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22" customWidth="1" min="3" max="3"/>
    <col width="30" customWidth="1" min="4" max="4"/>
    <col width="12" customWidth="1" min="5" max="5"/>
    <col width="17" customWidth="1" min="6" max="6"/>
    <col width="14" customWidth="1" min="7" max="7"/>
    <col width="12" customWidth="1" min="8" max="8"/>
    <col width="12" customWidth="1" min="9" max="9"/>
    <col width="14" customWidth="1" min="10" max="10"/>
    <col width="15" customWidth="1" min="11" max="11"/>
    <col width="12" customWidth="1" min="12" max="12"/>
    <col width="30" customWidth="1" min="13" max="13"/>
    <col width="20" customWidth="1" min="14" max="14"/>
    <col width="27" customWidth="1" min="15" max="15"/>
    <col width="30" customWidth="1" min="16" max="16"/>
    <col width="27" customWidth="1" min="17" max="17"/>
    <col width="27" customWidth="1" min="18" max="18"/>
    <col width="21" customWidth="1" min="19" max="19"/>
    <col width="28" customWidth="1" min="20" max="20"/>
    <col width="15" customWidth="1" min="21" max="21"/>
    <col width="30" customWidth="1" min="22" max="22"/>
    <col width="28" customWidth="1" min="23" max="23"/>
    <col width="24" customWidth="1" min="24" max="24"/>
    <col width="23" customWidth="1" min="25" max="25"/>
    <col width="23" customWidth="1" min="26" max="26"/>
    <col width="27" customWidth="1" min="27" max="27"/>
    <col width="25" customWidth="1" min="28" max="28"/>
    <col width="26" customWidth="1" min="29" max="29"/>
    <col width="30" customWidth="1" min="30" max="30"/>
    <col width="30" customWidth="1" min="31" max="31"/>
    <col width="23" customWidth="1" min="32" max="32"/>
    <col width="30" customWidth="1" min="33" max="33"/>
    <col width="26" customWidth="1" min="34" max="34"/>
    <col width="30" customWidth="1" min="35" max="35"/>
    <col width="30" customWidth="1" min="36" max="36"/>
    <col width="30" customWidth="1" min="37" max="37"/>
    <col width="30" customWidth="1" min="38" max="38"/>
    <col width="30" customWidth="1" min="39" max="39"/>
    <col width="30" customWidth="1" min="40" max="40"/>
    <col width="21" customWidth="1" min="41" max="41"/>
    <col width="22" customWidth="1" min="42" max="42"/>
    <col width="22" customWidth="1" min="43" max="43"/>
    <col width="16" customWidth="1" min="44" max="44"/>
    <col width="22" customWidth="1" min="45" max="45"/>
    <col width="23" customWidth="1" min="46" max="46"/>
    <col width="23" customWidth="1" min="47" max="47"/>
    <col width="17" customWidth="1" min="48" max="48"/>
    <col width="23" customWidth="1" min="49" max="49"/>
    <col width="24" customWidth="1" min="50" max="50"/>
    <col width="24" customWidth="1" min="51" max="51"/>
    <col width="18" customWidth="1" min="52" max="52"/>
    <col width="22" customWidth="1" min="53" max="53"/>
    <col width="23" customWidth="1" min="54" max="54"/>
    <col width="23" customWidth="1" min="55" max="55"/>
    <col width="17" customWidth="1" min="56" max="56"/>
    <col width="21" customWidth="1" min="57" max="57"/>
    <col width="22" customWidth="1" min="58" max="58"/>
    <col width="22" customWidth="1" min="59" max="59"/>
    <col width="16" customWidth="1" min="60" max="60"/>
  </cols>
  <sheetData>
    <row r="1">
      <c r="A1" s="6" t="inlineStr">
        <is>
          <t>city_id</t>
        </is>
      </c>
      <c r="B1" s="6" t="inlineStr">
        <is>
          <t>display_name</t>
        </is>
      </c>
      <c r="C1" s="6" t="inlineStr">
        <is>
          <t>country</t>
        </is>
      </c>
      <c r="D1" s="6" t="inlineStr">
        <is>
          <t>cohort</t>
        </is>
      </c>
      <c r="E1" s="6" t="inlineStr">
        <is>
          <t>city_type</t>
        </is>
      </c>
      <c r="F1" s="6" t="inlineStr">
        <is>
          <t>manifest_status</t>
        </is>
      </c>
      <c r="G1" s="6" t="inlineStr">
        <is>
          <t>gross_income</t>
        </is>
      </c>
      <c r="H1" s="6" t="inlineStr">
        <is>
          <t>rent</t>
        </is>
      </c>
      <c r="I1" s="6" t="inlineStr">
        <is>
          <t>utilities</t>
        </is>
      </c>
      <c r="J1" s="6" t="inlineStr">
        <is>
          <t>transit_cost</t>
        </is>
      </c>
      <c r="K1" s="6" t="inlineStr">
        <is>
          <t>internet_cost</t>
        </is>
      </c>
      <c r="L1" s="6" t="inlineStr">
        <is>
          <t>food_cost</t>
        </is>
      </c>
      <c r="M1" s="6" t="inlineStr">
        <is>
          <t>di_ppp_raw</t>
        </is>
      </c>
      <c r="N1" s="6" t="inlineStr">
        <is>
          <t>housing_burden_raw</t>
        </is>
      </c>
      <c r="O1" s="6" t="inlineStr">
        <is>
          <t>household_debt_burden_raw</t>
        </is>
      </c>
      <c r="P1" s="6" t="inlineStr">
        <is>
          <t>household_debt_effective_raw</t>
        </is>
      </c>
      <c r="Q1" s="6" t="inlineStr">
        <is>
          <t>working_time_pressure_raw</t>
        </is>
      </c>
      <c r="R1" s="6" t="inlineStr">
        <is>
          <t>suicide_mental_strain_raw</t>
        </is>
      </c>
      <c r="S1" s="6" t="inlineStr">
        <is>
          <t>personal_safety_raw</t>
        </is>
      </c>
      <c r="T1" s="6" t="inlineStr">
        <is>
          <t>transit_access_commute_raw</t>
        </is>
      </c>
      <c r="U1" s="6" t="inlineStr">
        <is>
          <t>clean_air_raw</t>
        </is>
      </c>
      <c r="V1" s="6" t="inlineStr">
        <is>
          <t>water_sanitation_utility_raw</t>
        </is>
      </c>
      <c r="W1" s="6" t="inlineStr">
        <is>
          <t>digital_infrastructure_raw</t>
        </is>
      </c>
      <c r="X1" s="6" t="inlineStr">
        <is>
          <t>healthcare_quality_raw</t>
        </is>
      </c>
      <c r="Y1" s="6" t="inlineStr">
        <is>
          <t>education_quality_raw</t>
        </is>
      </c>
      <c r="Z1" s="6" t="inlineStr">
        <is>
          <t>equal_opportunity_raw</t>
        </is>
      </c>
      <c r="AA1" s="6" t="inlineStr">
        <is>
          <t>hospitality_belonging_raw</t>
        </is>
      </c>
      <c r="AB1" s="6" t="inlineStr">
        <is>
          <t>tolerance_pluralism_raw</t>
        </is>
      </c>
      <c r="AC1" s="6" t="inlineStr">
        <is>
          <t>cultural_public_life_raw</t>
        </is>
      </c>
      <c r="AD1" s="6" t="inlineStr">
        <is>
          <t>entrepreneurial_dynamism_raw</t>
        </is>
      </c>
      <c r="AE1" s="6" t="inlineStr">
        <is>
          <t>innovation_research_intensity_raw</t>
        </is>
      </c>
      <c r="AF1" s="6" t="inlineStr">
        <is>
          <t>investment_signal_raw</t>
        </is>
      </c>
      <c r="AG1" s="6" t="inlineStr">
        <is>
          <t>administrative_investment_friction_raw</t>
        </is>
      </c>
      <c r="AH1" s="6" t="inlineStr">
        <is>
          <t>visitor_flow_context_raw</t>
        </is>
      </c>
      <c r="AI1" s="6" t="inlineStr">
        <is>
          <t>gdp_per_capita_ppp_context</t>
        </is>
      </c>
      <c r="AJ1" s="6" t="inlineStr">
        <is>
          <t>gdp_growth_context</t>
        </is>
      </c>
      <c r="AK1" s="6" t="inlineStr">
        <is>
          <t>gini_coefficient_context</t>
        </is>
      </c>
      <c r="AL1" s="6" t="inlineStr">
        <is>
          <t>ppp_private_consumption_context</t>
        </is>
      </c>
      <c r="AM1" s="6" t="inlineStr">
        <is>
          <t>tax_rate_context</t>
        </is>
      </c>
      <c r="AN1" s="6" t="inlineStr">
        <is>
          <t>household_debt_proxy_context</t>
        </is>
      </c>
      <c r="AO1" s="6" t="inlineStr">
        <is>
          <t>pressure_source_url</t>
        </is>
      </c>
      <c r="AP1" s="6" t="inlineStr">
        <is>
          <t>pressure_source_tier</t>
        </is>
      </c>
      <c r="AQ1" s="6" t="inlineStr">
        <is>
          <t>pressure_source_date</t>
        </is>
      </c>
      <c r="AR1" s="6" t="inlineStr">
        <is>
          <t>pressure_notes</t>
        </is>
      </c>
      <c r="AS1" s="6" t="inlineStr">
        <is>
          <t>viability_source_url</t>
        </is>
      </c>
      <c r="AT1" s="6" t="inlineStr">
        <is>
          <t>viability_source_tier</t>
        </is>
      </c>
      <c r="AU1" s="6" t="inlineStr">
        <is>
          <t>viability_source_date</t>
        </is>
      </c>
      <c r="AV1" s="6" t="inlineStr">
        <is>
          <t>viability_notes</t>
        </is>
      </c>
      <c r="AW1" s="6" t="inlineStr">
        <is>
          <t>capability_source_url</t>
        </is>
      </c>
      <c r="AX1" s="6" t="inlineStr">
        <is>
          <t>capability_source_tier</t>
        </is>
      </c>
      <c r="AY1" s="6" t="inlineStr">
        <is>
          <t>capability_source_date</t>
        </is>
      </c>
      <c r="AZ1" s="6" t="inlineStr">
        <is>
          <t>capability_notes</t>
        </is>
      </c>
      <c r="BA1" s="6" t="inlineStr">
        <is>
          <t>community_source_url</t>
        </is>
      </c>
      <c r="BB1" s="6" t="inlineStr">
        <is>
          <t>community_source_tier</t>
        </is>
      </c>
      <c r="BC1" s="6" t="inlineStr">
        <is>
          <t>community_source_date</t>
        </is>
      </c>
      <c r="BD1" s="6" t="inlineStr">
        <is>
          <t>community_notes</t>
        </is>
      </c>
      <c r="BE1" s="6" t="inlineStr">
        <is>
          <t>creative_source_url</t>
        </is>
      </c>
      <c r="BF1" s="6" t="inlineStr">
        <is>
          <t>creative_source_tier</t>
        </is>
      </c>
      <c r="BG1" s="6" t="inlineStr">
        <is>
          <t>creative_source_date</t>
        </is>
      </c>
      <c r="BH1" s="6" t="inlineStr">
        <is>
          <t>creative_notes</t>
        </is>
      </c>
    </row>
    <row r="2">
      <c r="A2" s="9" t="inlineStr">
        <is>
          <t>th-bangkok</t>
        </is>
      </c>
      <c r="B2" s="9" t="inlineStr">
        <is>
          <t>Bangkok</t>
        </is>
      </c>
      <c r="C2" s="9" t="inlineStr">
        <is>
          <t>Thailand</t>
        </is>
      </c>
      <c r="D2" s="9" t="inlineStr">
        <is>
          <t>Southeast Asia</t>
        </is>
      </c>
      <c r="E2" s="9" t="inlineStr">
        <is>
          <t>primary</t>
        </is>
      </c>
      <c r="F2" s="9" t="inlineStr">
        <is>
          <t>locked</t>
        </is>
      </c>
      <c r="G2" s="10" t="inlineStr"/>
      <c r="H2" s="10" t="inlineStr"/>
      <c r="I2" s="10" t="inlineStr"/>
      <c r="J2" s="10" t="inlineStr"/>
      <c r="K2" s="10" t="inlineStr"/>
      <c r="L2" s="10" t="inlineStr"/>
      <c r="M2" s="11">
        <f>IF(OR($G2="",$H2="",$I2="",$J2="",$K2="",$L2="",$AL2="",$AM2=""),"",((($G2*(1-$AM2))-$H2-$I2-$J2-$K2-$L2)/$AL2))</f>
        <v/>
      </c>
      <c r="N2" s="10" t="inlineStr"/>
      <c r="O2" s="10" t="inlineStr"/>
      <c r="P2" s="11">
        <f>IF($O2&lt;&gt;"",$O2,$AN2)</f>
        <v/>
      </c>
      <c r="Q2" s="10" t="inlineStr"/>
      <c r="R2" s="10" t="inlineStr"/>
      <c r="S2" s="10" t="inlineStr"/>
      <c r="T2" s="10" t="inlineStr"/>
      <c r="U2" s="10" t="inlineStr"/>
      <c r="V2" s="10" t="inlineStr"/>
      <c r="W2" s="10" t="inlineStr"/>
      <c r="X2" s="10" t="inlineStr"/>
      <c r="Y2" s="10" t="inlineStr"/>
      <c r="Z2" s="10" t="inlineStr"/>
      <c r="AA2" s="10" t="inlineStr"/>
      <c r="AB2" s="10" t="inlineStr"/>
      <c r="AC2" s="10" t="inlineStr"/>
      <c r="AD2" s="10" t="inlineStr"/>
      <c r="AE2" s="10" t="inlineStr"/>
      <c r="AF2" s="10" t="inlineStr"/>
      <c r="AG2" s="10" t="inlineStr"/>
      <c r="AH2" s="10" t="inlineStr"/>
      <c r="AI2" s="11">
        <f>IFERROR(INDEX(Country_Context!$B$2:$B$64,MATCH($C2,Country_Context!$A$2:$A$64,0)),"")</f>
        <v/>
      </c>
      <c r="AJ2" s="11">
        <f>IFERROR(INDEX(Country_Context!$C$2:$C$64,MATCH($C2,Country_Context!$A$2:$A$64,0)),"")</f>
        <v/>
      </c>
      <c r="AK2" s="11">
        <f>IFERROR(INDEX(Country_Context!$D$2:$D$64,MATCH($C2,Country_Context!$A$2:$A$64,0)),"")</f>
        <v/>
      </c>
      <c r="AL2" s="11">
        <f>IFERROR(INDEX(Country_Context!$E$2:$E$64,MATCH($C2,Country_Context!$A$2:$A$64,0)),"")</f>
        <v/>
      </c>
      <c r="AM2" s="11">
        <f>IFERROR(INDEX(Country_Context!$F$2:$F$64,MATCH($C2,Country_Context!$A$2:$A$64,0)),"")</f>
        <v/>
      </c>
      <c r="AN2" s="11">
        <f>IFERROR(INDEX(Country_Context!$G$2:$G$64,MATCH($C2,Country_Context!$A$2:$A$64,0)),"")</f>
        <v/>
      </c>
      <c r="AO2" s="12" t="inlineStr">
        <is>
          <t>https://api.worldbank.org/v2/country/THA/indicator/PA.NUS.PRVT.PP?format=json&amp;mrv=30 | https://api.worldbank.org/v2/country/THA/indicator/GC.TAX.TOTL.GD.ZS?format=json&amp;mrv=30 | https://api.worldbank.org/v2/country/THA/indicator/FD.AST.PRVT.GD.ZS?format=json&amp;mrv=30</t>
        </is>
      </c>
      <c r="AP2" s="12" t="inlineStr">
        <is>
          <t>Tier 3</t>
        </is>
      </c>
      <c r="AQ2" s="12" t="inlineStr">
        <is>
          <t>2024-12-31</t>
        </is>
      </c>
      <c r="AR2" s="12" t="inlineStr">
        <is>
          <t>providers=world_bank; fields=ppp_private_consumption, tax_rate_assumption, household_debt_proxy</t>
        </is>
      </c>
      <c r="AS2" s="12" t="inlineStr"/>
      <c r="AT2" s="12" t="inlineStr"/>
      <c r="AU2" s="12" t="inlineStr"/>
      <c r="AV2" s="12" t="inlineStr"/>
      <c r="AW2" s="12" t="inlineStr">
        <is>
          <t>https://api.worldbank.org/v2/country/THA/indicator/SI.POV.GINI?format=json&amp;mrv=30</t>
        </is>
      </c>
      <c r="AX2" s="12" t="inlineStr">
        <is>
          <t>Tier 3</t>
        </is>
      </c>
      <c r="AY2" s="12" t="inlineStr">
        <is>
          <t>2023-12-31</t>
        </is>
      </c>
      <c r="AZ2" s="12" t="inlineStr">
        <is>
          <t>providers=world_bank; fields=gini_coefficient</t>
        </is>
      </c>
      <c r="BA2" s="12" t="inlineStr"/>
      <c r="BB2" s="12" t="inlineStr"/>
      <c r="BC2" s="12" t="inlineStr"/>
      <c r="BD2" s="12" t="inlineStr"/>
      <c r="BE2" s="12" t="inlineStr">
        <is>
          <t>https://api.worldbank.org/v2/country/THA/indicator/NY.GDP.PCAP.PP.CD?format=json&amp;mrv=30 | https://api.worldbank.org/v2/country/THA/indicator/NY.GDP.MKTP.KD.ZG?format=json&amp;mrv=30</t>
        </is>
      </c>
      <c r="BF2" s="12" t="inlineStr">
        <is>
          <t>Tier 3</t>
        </is>
      </c>
      <c r="BG2" s="12" t="inlineStr">
        <is>
          <t>2024-12-31</t>
        </is>
      </c>
      <c r="BH2" s="12" t="inlineStr">
        <is>
          <t>providers=world_bank; fields=gdp_per_capita_ppp, gdp_growth</t>
        </is>
      </c>
    </row>
    <row r="3">
      <c r="A3" s="9" t="inlineStr">
        <is>
          <t>sg-singapore</t>
        </is>
      </c>
      <c r="B3" s="9" t="inlineStr">
        <is>
          <t>Singapore</t>
        </is>
      </c>
      <c r="C3" s="9" t="inlineStr">
        <is>
          <t>Singapore</t>
        </is>
      </c>
      <c r="D3" s="9" t="inlineStr">
        <is>
          <t>Southeast Asia</t>
        </is>
      </c>
      <c r="E3" s="9" t="inlineStr">
        <is>
          <t>primary</t>
        </is>
      </c>
      <c r="F3" s="9" t="inlineStr">
        <is>
          <t>locked</t>
        </is>
      </c>
      <c r="G3" s="10" t="inlineStr"/>
      <c r="H3" s="10" t="inlineStr"/>
      <c r="I3" s="10" t="inlineStr"/>
      <c r="J3" s="10" t="inlineStr"/>
      <c r="K3" s="10" t="inlineStr"/>
      <c r="L3" s="10" t="inlineStr"/>
      <c r="M3" s="11">
        <f>IF(OR($G3="",$H3="",$I3="",$J3="",$K3="",$L3="",$AL3="",$AM3=""),"",((($G3*(1-$AM3))-$H3-$I3-$J3-$K3-$L3)/$AL3))</f>
        <v/>
      </c>
      <c r="N3" s="10" t="inlineStr"/>
      <c r="O3" s="10" t="inlineStr"/>
      <c r="P3" s="11">
        <f>IF($O3&lt;&gt;"",$O3,$AN3)</f>
        <v/>
      </c>
      <c r="Q3" s="10" t="inlineStr"/>
      <c r="R3" s="10" t="inlineStr"/>
      <c r="S3" s="10" t="inlineStr"/>
      <c r="T3" s="10" t="inlineStr"/>
      <c r="U3" s="10" t="inlineStr"/>
      <c r="V3" s="10" t="inlineStr"/>
      <c r="W3" s="10" t="inlineStr"/>
      <c r="X3" s="10" t="inlineStr"/>
      <c r="Y3" s="10" t="inlineStr"/>
      <c r="Z3" s="10" t="inlineStr"/>
      <c r="AA3" s="10" t="inlineStr"/>
      <c r="AB3" s="10" t="inlineStr"/>
      <c r="AC3" s="10" t="inlineStr"/>
      <c r="AD3" s="10" t="inlineStr"/>
      <c r="AE3" s="10" t="inlineStr"/>
      <c r="AF3" s="10" t="inlineStr"/>
      <c r="AG3" s="10" t="inlineStr"/>
      <c r="AH3" s="10" t="inlineStr"/>
      <c r="AI3" s="11">
        <f>IFERROR(INDEX(Country_Context!$B$2:$B$64,MATCH($C3,Country_Context!$A$2:$A$64,0)),"")</f>
        <v/>
      </c>
      <c r="AJ3" s="11">
        <f>IFERROR(INDEX(Country_Context!$C$2:$C$64,MATCH($C3,Country_Context!$A$2:$A$64,0)),"")</f>
        <v/>
      </c>
      <c r="AK3" s="11">
        <f>IFERROR(INDEX(Country_Context!$D$2:$D$64,MATCH($C3,Country_Context!$A$2:$A$64,0)),"")</f>
        <v/>
      </c>
      <c r="AL3" s="11">
        <f>IFERROR(INDEX(Country_Context!$E$2:$E$64,MATCH($C3,Country_Context!$A$2:$A$64,0)),"")</f>
        <v/>
      </c>
      <c r="AM3" s="11">
        <f>IFERROR(INDEX(Country_Context!$F$2:$F$64,MATCH($C3,Country_Context!$A$2:$A$64,0)),"")</f>
        <v/>
      </c>
      <c r="AN3" s="11">
        <f>IFERROR(INDEX(Country_Context!$G$2:$G$64,MATCH($C3,Country_Context!$A$2:$A$64,0)),"")</f>
        <v/>
      </c>
      <c r="AO3" s="12" t="inlineStr">
        <is>
          <t>https://api.worldbank.org/v2/country/SGP/indicator/PA.NUS.PRVT.PP?format=json&amp;mrv=30 | https://api.worldbank.org/v2/country/SGP/indicator/GC.TAX.TOTL.GD.ZS?format=json&amp;mrv=30 | https://api.worldbank.org/v2/country/SGP/indicator/FD.AST.PRVT.GD.ZS?format=json&amp;mrv=30</t>
        </is>
      </c>
      <c r="AP3" s="12" t="inlineStr">
        <is>
          <t>Tier 3</t>
        </is>
      </c>
      <c r="AQ3" s="12" t="inlineStr">
        <is>
          <t>2024-12-31</t>
        </is>
      </c>
      <c r="AR3" s="12" t="inlineStr">
        <is>
          <t>providers=world_bank; fields=ppp_private_consumption, tax_rate_assumption, household_debt_proxy</t>
        </is>
      </c>
      <c r="AS3" s="12" t="inlineStr"/>
      <c r="AT3" s="12" t="inlineStr"/>
      <c r="AU3" s="12" t="inlineStr"/>
      <c r="AV3" s="12" t="inlineStr"/>
      <c r="AW3" s="12" t="inlineStr"/>
      <c r="AX3" s="12" t="inlineStr"/>
      <c r="AY3" s="12" t="inlineStr"/>
      <c r="AZ3" s="12" t="inlineStr"/>
      <c r="BA3" s="12" t="inlineStr"/>
      <c r="BB3" s="12" t="inlineStr"/>
      <c r="BC3" s="12" t="inlineStr"/>
      <c r="BD3" s="12" t="inlineStr"/>
      <c r="BE3" s="12" t="inlineStr">
        <is>
          <t>https://api.worldbank.org/v2/country/SGP/indicator/NY.GDP.PCAP.PP.CD?format=json&amp;mrv=30 | https://api.worldbank.org/v2/country/SGP/indicator/NY.GDP.MKTP.KD.ZG?format=json&amp;mrv=30</t>
        </is>
      </c>
      <c r="BF3" s="12" t="inlineStr">
        <is>
          <t>Tier 3</t>
        </is>
      </c>
      <c r="BG3" s="12" t="inlineStr">
        <is>
          <t>2024-12-31</t>
        </is>
      </c>
      <c r="BH3" s="12" t="inlineStr">
        <is>
          <t>providers=world_bank; fields=gdp_per_capita_ppp, gdp_growth</t>
        </is>
      </c>
    </row>
    <row r="4">
      <c r="A4" s="9" t="inlineStr">
        <is>
          <t>my-kuala-lumpur</t>
        </is>
      </c>
      <c r="B4" s="9" t="inlineStr">
        <is>
          <t>Kuala Lumpur</t>
        </is>
      </c>
      <c r="C4" s="9" t="inlineStr">
        <is>
          <t>Malaysia</t>
        </is>
      </c>
      <c r="D4" s="9" t="inlineStr">
        <is>
          <t>Southeast Asia</t>
        </is>
      </c>
      <c r="E4" s="9" t="inlineStr">
        <is>
          <t>primary</t>
        </is>
      </c>
      <c r="F4" s="9" t="inlineStr">
        <is>
          <t>locked</t>
        </is>
      </c>
      <c r="G4" s="10" t="inlineStr"/>
      <c r="H4" s="10" t="inlineStr"/>
      <c r="I4" s="10" t="inlineStr"/>
      <c r="J4" s="10" t="inlineStr"/>
      <c r="K4" s="10" t="inlineStr"/>
      <c r="L4" s="10" t="inlineStr"/>
      <c r="M4" s="11">
        <f>IF(OR($G4="",$H4="",$I4="",$J4="",$K4="",$L4="",$AL4="",$AM4=""),"",((($G4*(1-$AM4))-$H4-$I4-$J4-$K4-$L4)/$AL4))</f>
        <v/>
      </c>
      <c r="N4" s="10" t="inlineStr"/>
      <c r="O4" s="10" t="inlineStr"/>
      <c r="P4" s="11">
        <f>IF($O4&lt;&gt;"",$O4,$AN4)</f>
        <v/>
      </c>
      <c r="Q4" s="10" t="inlineStr"/>
      <c r="R4" s="10" t="inlineStr"/>
      <c r="S4" s="10" t="inlineStr"/>
      <c r="T4" s="10" t="inlineStr"/>
      <c r="U4" s="10" t="inlineStr"/>
      <c r="V4" s="10" t="inlineStr"/>
      <c r="W4" s="10" t="inlineStr"/>
      <c r="X4" s="10" t="inlineStr"/>
      <c r="Y4" s="10" t="inlineStr"/>
      <c r="Z4" s="10" t="inlineStr"/>
      <c r="AA4" s="10" t="inlineStr"/>
      <c r="AB4" s="10" t="inlineStr"/>
      <c r="AC4" s="10" t="inlineStr"/>
      <c r="AD4" s="10" t="inlineStr"/>
      <c r="AE4" s="10" t="inlineStr"/>
      <c r="AF4" s="10" t="inlineStr"/>
      <c r="AG4" s="10" t="inlineStr"/>
      <c r="AH4" s="10" t="inlineStr"/>
      <c r="AI4" s="11">
        <f>IFERROR(INDEX(Country_Context!$B$2:$B$64,MATCH($C4,Country_Context!$A$2:$A$64,0)),"")</f>
        <v/>
      </c>
      <c r="AJ4" s="11">
        <f>IFERROR(INDEX(Country_Context!$C$2:$C$64,MATCH($C4,Country_Context!$A$2:$A$64,0)),"")</f>
        <v/>
      </c>
      <c r="AK4" s="11">
        <f>IFERROR(INDEX(Country_Context!$D$2:$D$64,MATCH($C4,Country_Context!$A$2:$A$64,0)),"")</f>
        <v/>
      </c>
      <c r="AL4" s="11">
        <f>IFERROR(INDEX(Country_Context!$E$2:$E$64,MATCH($C4,Country_Context!$A$2:$A$64,0)),"")</f>
        <v/>
      </c>
      <c r="AM4" s="11">
        <f>IFERROR(INDEX(Country_Context!$F$2:$F$64,MATCH($C4,Country_Context!$A$2:$A$64,0)),"")</f>
        <v/>
      </c>
      <c r="AN4" s="11">
        <f>IFERROR(INDEX(Country_Context!$G$2:$G$64,MATCH($C4,Country_Context!$A$2:$A$64,0)),"")</f>
        <v/>
      </c>
      <c r="AO4" s="12" t="inlineStr">
        <is>
          <t>https://api.worldbank.org/v2/country/MYS/indicator/PA.NUS.PRVT.PP?format=json&amp;mrv=30 | https://api.worldbank.org/v2/country/MYS/indicator/GC.TAX.TOTL.GD.ZS?format=json&amp;mrv=30 | https://api.worldbank.org/v2/country/MYS/indicator/FD.AST.PRVT.GD.ZS?format=json&amp;mrv=30</t>
        </is>
      </c>
      <c r="AP4" s="12" t="inlineStr">
        <is>
          <t>Tier 3</t>
        </is>
      </c>
      <c r="AQ4" s="12" t="inlineStr">
        <is>
          <t>2024-12-31</t>
        </is>
      </c>
      <c r="AR4" s="12" t="inlineStr">
        <is>
          <t>providers=world_bank; fields=ppp_private_consumption, tax_rate_assumption, household_debt_proxy</t>
        </is>
      </c>
      <c r="AS4" s="12" t="inlineStr"/>
      <c r="AT4" s="12" t="inlineStr"/>
      <c r="AU4" s="12" t="inlineStr"/>
      <c r="AV4" s="12" t="inlineStr"/>
      <c r="AW4" s="12" t="inlineStr">
        <is>
          <t>https://api.worldbank.org/v2/country/MYS/indicator/SI.POV.GINI?format=json&amp;mrv=30</t>
        </is>
      </c>
      <c r="AX4" s="12" t="inlineStr">
        <is>
          <t>Tier 3</t>
        </is>
      </c>
      <c r="AY4" s="12" t="inlineStr">
        <is>
          <t>2021-12-31</t>
        </is>
      </c>
      <c r="AZ4" s="12" t="inlineStr">
        <is>
          <t>providers=world_bank; fields=gini_coefficient</t>
        </is>
      </c>
      <c r="BA4" s="12" t="inlineStr"/>
      <c r="BB4" s="12" t="inlineStr"/>
      <c r="BC4" s="12" t="inlineStr"/>
      <c r="BD4" s="12" t="inlineStr"/>
      <c r="BE4" s="12" t="inlineStr">
        <is>
          <t>https://api.worldbank.org/v2/country/MYS/indicator/NY.GDP.PCAP.PP.CD?format=json&amp;mrv=30 | https://api.worldbank.org/v2/country/MYS/indicator/NY.GDP.MKTP.KD.ZG?format=json&amp;mrv=30</t>
        </is>
      </c>
      <c r="BF4" s="12" t="inlineStr">
        <is>
          <t>Tier 3</t>
        </is>
      </c>
      <c r="BG4" s="12" t="inlineStr">
        <is>
          <t>2024-12-31</t>
        </is>
      </c>
      <c r="BH4" s="12" t="inlineStr">
        <is>
          <t>providers=world_bank; fields=gdp_per_capita_ppp, gdp_growth</t>
        </is>
      </c>
    </row>
    <row r="5">
      <c r="A5" s="9" t="inlineStr">
        <is>
          <t>id-jakarta</t>
        </is>
      </c>
      <c r="B5" s="9" t="inlineStr">
        <is>
          <t>Jakarta</t>
        </is>
      </c>
      <c r="C5" s="9" t="inlineStr">
        <is>
          <t>Indonesia</t>
        </is>
      </c>
      <c r="D5" s="9" t="inlineStr">
        <is>
          <t>Southeast Asia</t>
        </is>
      </c>
      <c r="E5" s="9" t="inlineStr">
        <is>
          <t>primary</t>
        </is>
      </c>
      <c r="F5" s="9" t="inlineStr">
        <is>
          <t>provisional</t>
        </is>
      </c>
      <c r="G5" s="10" t="inlineStr"/>
      <c r="H5" s="10" t="inlineStr"/>
      <c r="I5" s="10" t="inlineStr"/>
      <c r="J5" s="10" t="inlineStr"/>
      <c r="K5" s="10" t="inlineStr"/>
      <c r="L5" s="10" t="inlineStr"/>
      <c r="M5" s="11">
        <f>IF(OR($G5="",$H5="",$I5="",$J5="",$K5="",$L5="",$AL5="",$AM5=""),"",((($G5*(1-$AM5))-$H5-$I5-$J5-$K5-$L5)/$AL5))</f>
        <v/>
      </c>
      <c r="N5" s="10" t="inlineStr"/>
      <c r="O5" s="10" t="inlineStr"/>
      <c r="P5" s="11">
        <f>IF($O5&lt;&gt;"",$O5,$AN5)</f>
        <v/>
      </c>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1">
        <f>IFERROR(INDEX(Country_Context!$B$2:$B$64,MATCH($C5,Country_Context!$A$2:$A$64,0)),"")</f>
        <v/>
      </c>
      <c r="AJ5" s="11">
        <f>IFERROR(INDEX(Country_Context!$C$2:$C$64,MATCH($C5,Country_Context!$A$2:$A$64,0)),"")</f>
        <v/>
      </c>
      <c r="AK5" s="11">
        <f>IFERROR(INDEX(Country_Context!$D$2:$D$64,MATCH($C5,Country_Context!$A$2:$A$64,0)),"")</f>
        <v/>
      </c>
      <c r="AL5" s="11">
        <f>IFERROR(INDEX(Country_Context!$E$2:$E$64,MATCH($C5,Country_Context!$A$2:$A$64,0)),"")</f>
        <v/>
      </c>
      <c r="AM5" s="11">
        <f>IFERROR(INDEX(Country_Context!$F$2:$F$64,MATCH($C5,Country_Context!$A$2:$A$64,0)),"")</f>
        <v/>
      </c>
      <c r="AN5" s="11">
        <f>IFERROR(INDEX(Country_Context!$G$2:$G$64,MATCH($C5,Country_Context!$A$2:$A$64,0)),"")</f>
        <v/>
      </c>
      <c r="AO5" s="12" t="inlineStr">
        <is>
          <t>https://api.worldbank.org/v2/country/IDN/indicator/PA.NUS.PRVT.PP?format=json&amp;mrv=30 | https://api.worldbank.org/v2/country/IDN/indicator/GC.TAX.TOTL.GD.ZS?format=json&amp;mrv=30 | https://api.worldbank.org/v2/country/IDN/indicator/FD.AST.PRVT.GD.ZS?format=json&amp;mrv=30</t>
        </is>
      </c>
      <c r="AP5" s="12" t="inlineStr">
        <is>
          <t>Tier 3</t>
        </is>
      </c>
      <c r="AQ5" s="12" t="inlineStr">
        <is>
          <t>2024-12-31</t>
        </is>
      </c>
      <c r="AR5" s="12" t="inlineStr">
        <is>
          <t>providers=world_bank; fields=ppp_private_consumption, tax_rate_assumption, household_debt_proxy</t>
        </is>
      </c>
      <c r="AS5" s="12" t="inlineStr"/>
      <c r="AT5" s="12" t="inlineStr"/>
      <c r="AU5" s="12" t="inlineStr"/>
      <c r="AV5" s="12" t="inlineStr"/>
      <c r="AW5" s="12" t="inlineStr">
        <is>
          <t>https://api.worldbank.org/v2/country/IDN/indicator/SI.POV.GINI?format=json&amp;mrv=30</t>
        </is>
      </c>
      <c r="AX5" s="12" t="inlineStr">
        <is>
          <t>Tier 3</t>
        </is>
      </c>
      <c r="AY5" s="12" t="inlineStr">
        <is>
          <t>2024-12-31</t>
        </is>
      </c>
      <c r="AZ5" s="12" t="inlineStr">
        <is>
          <t>providers=world_bank; fields=gini_coefficient</t>
        </is>
      </c>
      <c r="BA5" s="12" t="inlineStr"/>
      <c r="BB5" s="12" t="inlineStr"/>
      <c r="BC5" s="12" t="inlineStr"/>
      <c r="BD5" s="12" t="inlineStr"/>
      <c r="BE5" s="12" t="inlineStr">
        <is>
          <t>https://api.worldbank.org/v2/country/IDN/indicator/NY.GDP.PCAP.PP.CD?format=json&amp;mrv=30 | https://api.worldbank.org/v2/country/IDN/indicator/NY.GDP.MKTP.KD.ZG?format=json&amp;mrv=30</t>
        </is>
      </c>
      <c r="BF5" s="12" t="inlineStr">
        <is>
          <t>Tier 3</t>
        </is>
      </c>
      <c r="BG5" s="12" t="inlineStr">
        <is>
          <t>2024-12-31</t>
        </is>
      </c>
      <c r="BH5" s="12" t="inlineStr">
        <is>
          <t>providers=world_bank; fields=gdp_per_capita_ppp, gdp_growth</t>
        </is>
      </c>
    </row>
    <row r="6">
      <c r="A6" s="9" t="inlineStr">
        <is>
          <t>ph-makati</t>
        </is>
      </c>
      <c r="B6" s="9" t="inlineStr">
        <is>
          <t>Makati</t>
        </is>
      </c>
      <c r="C6" s="9" t="inlineStr">
        <is>
          <t>Philippines</t>
        </is>
      </c>
      <c r="D6" s="9" t="inlineStr">
        <is>
          <t>Southeast Asia</t>
        </is>
      </c>
      <c r="E6" s="9" t="inlineStr">
        <is>
          <t>primary</t>
        </is>
      </c>
      <c r="F6" s="9" t="inlineStr">
        <is>
          <t>provisional</t>
        </is>
      </c>
      <c r="G6" s="10" t="inlineStr"/>
      <c r="H6" s="10" t="inlineStr"/>
      <c r="I6" s="10" t="inlineStr"/>
      <c r="J6" s="10" t="inlineStr"/>
      <c r="K6" s="10" t="inlineStr"/>
      <c r="L6" s="10" t="inlineStr"/>
      <c r="M6" s="11">
        <f>IF(OR($G6="",$H6="",$I6="",$J6="",$K6="",$L6="",$AL6="",$AM6=""),"",((($G6*(1-$AM6))-$H6-$I6-$J6-$K6-$L6)/$AL6))</f>
        <v/>
      </c>
      <c r="N6" s="10" t="inlineStr"/>
      <c r="O6" s="10" t="inlineStr"/>
      <c r="P6" s="11">
        <f>IF($O6&lt;&gt;"",$O6,$AN6)</f>
        <v/>
      </c>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1">
        <f>IFERROR(INDEX(Country_Context!$B$2:$B$64,MATCH($C6,Country_Context!$A$2:$A$64,0)),"")</f>
        <v/>
      </c>
      <c r="AJ6" s="11">
        <f>IFERROR(INDEX(Country_Context!$C$2:$C$64,MATCH($C6,Country_Context!$A$2:$A$64,0)),"")</f>
        <v/>
      </c>
      <c r="AK6" s="11">
        <f>IFERROR(INDEX(Country_Context!$D$2:$D$64,MATCH($C6,Country_Context!$A$2:$A$64,0)),"")</f>
        <v/>
      </c>
      <c r="AL6" s="11">
        <f>IFERROR(INDEX(Country_Context!$E$2:$E$64,MATCH($C6,Country_Context!$A$2:$A$64,0)),"")</f>
        <v/>
      </c>
      <c r="AM6" s="11">
        <f>IFERROR(INDEX(Country_Context!$F$2:$F$64,MATCH($C6,Country_Context!$A$2:$A$64,0)),"")</f>
        <v/>
      </c>
      <c r="AN6" s="11">
        <f>IFERROR(INDEX(Country_Context!$G$2:$G$64,MATCH($C6,Country_Context!$A$2:$A$64,0)),"")</f>
        <v/>
      </c>
      <c r="AO6" s="12" t="inlineStr">
        <is>
          <t>https://api.worldbank.org/v2/country/PHL/indicator/PA.NUS.PRVT.PP?format=json&amp;mrv=30 | https://api.worldbank.org/v2/country/PHL/indicator/GC.TAX.TOTL.GD.ZS?format=json&amp;mrv=30 | https://api.worldbank.org/v2/country/PHL/indicator/FD.AST.PRVT.GD.ZS?format=json&amp;mrv=30</t>
        </is>
      </c>
      <c r="AP6" s="12" t="inlineStr">
        <is>
          <t>Tier 3</t>
        </is>
      </c>
      <c r="AQ6" s="12" t="inlineStr">
        <is>
          <t>2024-12-31</t>
        </is>
      </c>
      <c r="AR6" s="12" t="inlineStr">
        <is>
          <t>providers=world_bank; fields=ppp_private_consumption, tax_rate_assumption, household_debt_proxy</t>
        </is>
      </c>
      <c r="AS6" s="12" t="inlineStr"/>
      <c r="AT6" s="12" t="inlineStr"/>
      <c r="AU6" s="12" t="inlineStr"/>
      <c r="AV6" s="12" t="inlineStr"/>
      <c r="AW6" s="12" t="inlineStr">
        <is>
          <t>https://api.worldbank.org/v2/country/PHL/indicator/SI.POV.GINI?format=json&amp;mrv=30</t>
        </is>
      </c>
      <c r="AX6" s="12" t="inlineStr">
        <is>
          <t>Tier 3</t>
        </is>
      </c>
      <c r="AY6" s="12" t="inlineStr">
        <is>
          <t>2023-12-31</t>
        </is>
      </c>
      <c r="AZ6" s="12" t="inlineStr">
        <is>
          <t>providers=world_bank; fields=gini_coefficient</t>
        </is>
      </c>
      <c r="BA6" s="12" t="inlineStr"/>
      <c r="BB6" s="12" t="inlineStr"/>
      <c r="BC6" s="12" t="inlineStr"/>
      <c r="BD6" s="12" t="inlineStr"/>
      <c r="BE6" s="12" t="inlineStr">
        <is>
          <t>https://api.worldbank.org/v2/country/PHL/indicator/NY.GDP.PCAP.PP.CD?format=json&amp;mrv=30 | https://api.worldbank.org/v2/country/PHL/indicator/NY.GDP.MKTP.KD.ZG?format=json&amp;mrv=30</t>
        </is>
      </c>
      <c r="BF6" s="12" t="inlineStr">
        <is>
          <t>Tier 3</t>
        </is>
      </c>
      <c r="BG6" s="12" t="inlineStr">
        <is>
          <t>2024-12-31</t>
        </is>
      </c>
      <c r="BH6" s="12" t="inlineStr">
        <is>
          <t>providers=world_bank; fields=gdp_per_capita_ppp, gdp_growth</t>
        </is>
      </c>
    </row>
    <row r="7">
      <c r="A7" s="9" t="inlineStr">
        <is>
          <t>my-george-town</t>
        </is>
      </c>
      <c r="B7" s="9" t="inlineStr">
        <is>
          <t>George Town</t>
        </is>
      </c>
      <c r="C7" s="9" t="inlineStr">
        <is>
          <t>Malaysia</t>
        </is>
      </c>
      <c r="D7" s="9" t="inlineStr">
        <is>
          <t>Southeast Asia</t>
        </is>
      </c>
      <c r="E7" s="9" t="inlineStr">
        <is>
          <t>secondary</t>
        </is>
      </c>
      <c r="F7" s="9" t="inlineStr">
        <is>
          <t>locked</t>
        </is>
      </c>
      <c r="G7" s="10" t="inlineStr"/>
      <c r="H7" s="10" t="inlineStr"/>
      <c r="I7" s="10" t="inlineStr"/>
      <c r="J7" s="10" t="inlineStr"/>
      <c r="K7" s="10" t="inlineStr"/>
      <c r="L7" s="10" t="inlineStr"/>
      <c r="M7" s="11">
        <f>IF(OR($G7="",$H7="",$I7="",$J7="",$K7="",$L7="",$AL7="",$AM7=""),"",((($G7*(1-$AM7))-$H7-$I7-$J7-$K7-$L7)/$AL7))</f>
        <v/>
      </c>
      <c r="N7" s="10" t="inlineStr"/>
      <c r="O7" s="10" t="inlineStr"/>
      <c r="P7" s="11">
        <f>IF($O7&lt;&gt;"",$O7,$AN7)</f>
        <v/>
      </c>
      <c r="Q7" s="10" t="inlineStr"/>
      <c r="R7" s="10" t="inlineStr"/>
      <c r="S7" s="10" t="inlineStr"/>
      <c r="T7" s="10" t="inlineStr"/>
      <c r="U7" s="10" t="inlineStr"/>
      <c r="V7" s="10" t="inlineStr"/>
      <c r="W7" s="10" t="inlineStr"/>
      <c r="X7" s="10" t="inlineStr"/>
      <c r="Y7" s="10" t="inlineStr"/>
      <c r="Z7" s="10" t="inlineStr"/>
      <c r="AA7" s="10" t="inlineStr"/>
      <c r="AB7" s="10" t="inlineStr"/>
      <c r="AC7" s="10" t="inlineStr"/>
      <c r="AD7" s="10" t="inlineStr"/>
      <c r="AE7" s="10" t="inlineStr"/>
      <c r="AF7" s="10" t="inlineStr"/>
      <c r="AG7" s="10" t="inlineStr"/>
      <c r="AH7" s="10" t="inlineStr"/>
      <c r="AI7" s="11">
        <f>IFERROR(INDEX(Country_Context!$B$2:$B$64,MATCH($C7,Country_Context!$A$2:$A$64,0)),"")</f>
        <v/>
      </c>
      <c r="AJ7" s="11">
        <f>IFERROR(INDEX(Country_Context!$C$2:$C$64,MATCH($C7,Country_Context!$A$2:$A$64,0)),"")</f>
        <v/>
      </c>
      <c r="AK7" s="11">
        <f>IFERROR(INDEX(Country_Context!$D$2:$D$64,MATCH($C7,Country_Context!$A$2:$A$64,0)),"")</f>
        <v/>
      </c>
      <c r="AL7" s="11">
        <f>IFERROR(INDEX(Country_Context!$E$2:$E$64,MATCH($C7,Country_Context!$A$2:$A$64,0)),"")</f>
        <v/>
      </c>
      <c r="AM7" s="11">
        <f>IFERROR(INDEX(Country_Context!$F$2:$F$64,MATCH($C7,Country_Context!$A$2:$A$64,0)),"")</f>
        <v/>
      </c>
      <c r="AN7" s="11">
        <f>IFERROR(INDEX(Country_Context!$G$2:$G$64,MATCH($C7,Country_Context!$A$2:$A$64,0)),"")</f>
        <v/>
      </c>
      <c r="AO7" s="12" t="inlineStr">
        <is>
          <t>https://api.worldbank.org/v2/country/MYS/indicator/PA.NUS.PRVT.PP?format=json&amp;mrv=30 | https://api.worldbank.org/v2/country/MYS/indicator/GC.TAX.TOTL.GD.ZS?format=json&amp;mrv=30 | https://api.worldbank.org/v2/country/MYS/indicator/FD.AST.PRVT.GD.ZS?format=json&amp;mrv=30</t>
        </is>
      </c>
      <c r="AP7" s="12" t="inlineStr">
        <is>
          <t>Tier 3</t>
        </is>
      </c>
      <c r="AQ7" s="12" t="inlineStr">
        <is>
          <t>2024-12-31</t>
        </is>
      </c>
      <c r="AR7" s="12" t="inlineStr">
        <is>
          <t>providers=world_bank; fields=ppp_private_consumption, tax_rate_assumption, household_debt_proxy</t>
        </is>
      </c>
      <c r="AS7" s="12" t="inlineStr"/>
      <c r="AT7" s="12" t="inlineStr"/>
      <c r="AU7" s="12" t="inlineStr"/>
      <c r="AV7" s="12" t="inlineStr"/>
      <c r="AW7" s="12" t="inlineStr">
        <is>
          <t>https://api.worldbank.org/v2/country/MYS/indicator/SI.POV.GINI?format=json&amp;mrv=30</t>
        </is>
      </c>
      <c r="AX7" s="12" t="inlineStr">
        <is>
          <t>Tier 3</t>
        </is>
      </c>
      <c r="AY7" s="12" t="inlineStr">
        <is>
          <t>2021-12-31</t>
        </is>
      </c>
      <c r="AZ7" s="12" t="inlineStr">
        <is>
          <t>providers=world_bank; fields=gini_coefficient</t>
        </is>
      </c>
      <c r="BA7" s="12" t="inlineStr"/>
      <c r="BB7" s="12" t="inlineStr"/>
      <c r="BC7" s="12" t="inlineStr"/>
      <c r="BD7" s="12" t="inlineStr"/>
      <c r="BE7" s="12" t="inlineStr">
        <is>
          <t>https://api.worldbank.org/v2/country/MYS/indicator/NY.GDP.PCAP.PP.CD?format=json&amp;mrv=30 | https://api.worldbank.org/v2/country/MYS/indicator/NY.GDP.MKTP.KD.ZG?format=json&amp;mrv=30</t>
        </is>
      </c>
      <c r="BF7" s="12" t="inlineStr">
        <is>
          <t>Tier 3</t>
        </is>
      </c>
      <c r="BG7" s="12" t="inlineStr">
        <is>
          <t>2024-12-31</t>
        </is>
      </c>
      <c r="BH7" s="12" t="inlineStr">
        <is>
          <t>providers=world_bank; fields=gdp_per_capita_ppp, gdp_growth</t>
        </is>
      </c>
    </row>
    <row r="8">
      <c r="A8" s="9" t="inlineStr">
        <is>
          <t>th-phuket</t>
        </is>
      </c>
      <c r="B8" s="9" t="inlineStr">
        <is>
          <t>Phuket</t>
        </is>
      </c>
      <c r="C8" s="9" t="inlineStr">
        <is>
          <t>Thailand</t>
        </is>
      </c>
      <c r="D8" s="9" t="inlineStr">
        <is>
          <t>Southeast Asia</t>
        </is>
      </c>
      <c r="E8" s="9" t="inlineStr">
        <is>
          <t>secondary</t>
        </is>
      </c>
      <c r="F8" s="9" t="inlineStr">
        <is>
          <t>locked</t>
        </is>
      </c>
      <c r="G8" s="10" t="inlineStr"/>
      <c r="H8" s="10" t="inlineStr"/>
      <c r="I8" s="10" t="inlineStr"/>
      <c r="J8" s="10" t="inlineStr"/>
      <c r="K8" s="10" t="inlineStr"/>
      <c r="L8" s="10" t="inlineStr"/>
      <c r="M8" s="11">
        <f>IF(OR($G8="",$H8="",$I8="",$J8="",$K8="",$L8="",$AL8="",$AM8=""),"",((($G8*(1-$AM8))-$H8-$I8-$J8-$K8-$L8)/$AL8))</f>
        <v/>
      </c>
      <c r="N8" s="10" t="inlineStr"/>
      <c r="O8" s="10" t="inlineStr"/>
      <c r="P8" s="11">
        <f>IF($O8&lt;&gt;"",$O8,$AN8)</f>
        <v/>
      </c>
      <c r="Q8" s="10" t="inlineStr"/>
      <c r="R8" s="10" t="inlineStr"/>
      <c r="S8" s="10" t="inlineStr"/>
      <c r="T8" s="10" t="inlineStr"/>
      <c r="U8" s="10" t="inlineStr"/>
      <c r="V8" s="10" t="inlineStr"/>
      <c r="W8" s="10" t="inlineStr"/>
      <c r="X8" s="10" t="inlineStr"/>
      <c r="Y8" s="10" t="inlineStr"/>
      <c r="Z8" s="10" t="inlineStr"/>
      <c r="AA8" s="10" t="inlineStr"/>
      <c r="AB8" s="10" t="inlineStr"/>
      <c r="AC8" s="10" t="inlineStr"/>
      <c r="AD8" s="10" t="inlineStr"/>
      <c r="AE8" s="10" t="inlineStr"/>
      <c r="AF8" s="10" t="inlineStr"/>
      <c r="AG8" s="10" t="inlineStr"/>
      <c r="AH8" s="10" t="inlineStr"/>
      <c r="AI8" s="11">
        <f>IFERROR(INDEX(Country_Context!$B$2:$B$64,MATCH($C8,Country_Context!$A$2:$A$64,0)),"")</f>
        <v/>
      </c>
      <c r="AJ8" s="11">
        <f>IFERROR(INDEX(Country_Context!$C$2:$C$64,MATCH($C8,Country_Context!$A$2:$A$64,0)),"")</f>
        <v/>
      </c>
      <c r="AK8" s="11">
        <f>IFERROR(INDEX(Country_Context!$D$2:$D$64,MATCH($C8,Country_Context!$A$2:$A$64,0)),"")</f>
        <v/>
      </c>
      <c r="AL8" s="11">
        <f>IFERROR(INDEX(Country_Context!$E$2:$E$64,MATCH($C8,Country_Context!$A$2:$A$64,0)),"")</f>
        <v/>
      </c>
      <c r="AM8" s="11">
        <f>IFERROR(INDEX(Country_Context!$F$2:$F$64,MATCH($C8,Country_Context!$A$2:$A$64,0)),"")</f>
        <v/>
      </c>
      <c r="AN8" s="11">
        <f>IFERROR(INDEX(Country_Context!$G$2:$G$64,MATCH($C8,Country_Context!$A$2:$A$64,0)),"")</f>
        <v/>
      </c>
      <c r="AO8" s="12" t="inlineStr">
        <is>
          <t>https://api.worldbank.org/v2/country/THA/indicator/PA.NUS.PRVT.PP?format=json&amp;mrv=30 | https://api.worldbank.org/v2/country/THA/indicator/GC.TAX.TOTL.GD.ZS?format=json&amp;mrv=30 | https://api.worldbank.org/v2/country/THA/indicator/FD.AST.PRVT.GD.ZS?format=json&amp;mrv=30</t>
        </is>
      </c>
      <c r="AP8" s="12" t="inlineStr">
        <is>
          <t>Tier 3</t>
        </is>
      </c>
      <c r="AQ8" s="12" t="inlineStr">
        <is>
          <t>2024-12-31</t>
        </is>
      </c>
      <c r="AR8" s="12" t="inlineStr">
        <is>
          <t>providers=world_bank; fields=ppp_private_consumption, tax_rate_assumption, household_debt_proxy</t>
        </is>
      </c>
      <c r="AS8" s="12" t="inlineStr"/>
      <c r="AT8" s="12" t="inlineStr"/>
      <c r="AU8" s="12" t="inlineStr"/>
      <c r="AV8" s="12" t="inlineStr"/>
      <c r="AW8" s="12" t="inlineStr">
        <is>
          <t>https://api.worldbank.org/v2/country/THA/indicator/SI.POV.GINI?format=json&amp;mrv=30</t>
        </is>
      </c>
      <c r="AX8" s="12" t="inlineStr">
        <is>
          <t>Tier 3</t>
        </is>
      </c>
      <c r="AY8" s="12" t="inlineStr">
        <is>
          <t>2023-12-31</t>
        </is>
      </c>
      <c r="AZ8" s="12" t="inlineStr">
        <is>
          <t>providers=world_bank; fields=gini_coefficient</t>
        </is>
      </c>
      <c r="BA8" s="12" t="inlineStr"/>
      <c r="BB8" s="12" t="inlineStr"/>
      <c r="BC8" s="12" t="inlineStr"/>
      <c r="BD8" s="12" t="inlineStr"/>
      <c r="BE8" s="12" t="inlineStr">
        <is>
          <t>https://api.worldbank.org/v2/country/THA/indicator/NY.GDP.PCAP.PP.CD?format=json&amp;mrv=30 | https://api.worldbank.org/v2/country/THA/indicator/NY.GDP.MKTP.KD.ZG?format=json&amp;mrv=30</t>
        </is>
      </c>
      <c r="BF8" s="12" t="inlineStr">
        <is>
          <t>Tier 3</t>
        </is>
      </c>
      <c r="BG8" s="12" t="inlineStr">
        <is>
          <t>2024-12-31</t>
        </is>
      </c>
      <c r="BH8" s="12" t="inlineStr">
        <is>
          <t>providers=world_bank; fields=gdp_per_capita_ppp, gdp_growth</t>
        </is>
      </c>
    </row>
    <row r="9">
      <c r="A9" s="9" t="inlineStr">
        <is>
          <t>th-chiang-mai</t>
        </is>
      </c>
      <c r="B9" s="9" t="inlineStr">
        <is>
          <t>Chiang Mai</t>
        </is>
      </c>
      <c r="C9" s="9" t="inlineStr">
        <is>
          <t>Thailand</t>
        </is>
      </c>
      <c r="D9" s="9" t="inlineStr">
        <is>
          <t>Southeast Asia</t>
        </is>
      </c>
      <c r="E9" s="9" t="inlineStr">
        <is>
          <t>secondary</t>
        </is>
      </c>
      <c r="F9" s="9" t="inlineStr">
        <is>
          <t>locked</t>
        </is>
      </c>
      <c r="G9" s="10" t="inlineStr"/>
      <c r="H9" s="10" t="inlineStr"/>
      <c r="I9" s="10" t="inlineStr"/>
      <c r="J9" s="10" t="inlineStr"/>
      <c r="K9" s="10" t="inlineStr"/>
      <c r="L9" s="10" t="inlineStr"/>
      <c r="M9" s="11">
        <f>IF(OR($G9="",$H9="",$I9="",$J9="",$K9="",$L9="",$AL9="",$AM9=""),"",((($G9*(1-$AM9))-$H9-$I9-$J9-$K9-$L9)/$AL9))</f>
        <v/>
      </c>
      <c r="N9" s="10" t="inlineStr"/>
      <c r="O9" s="10" t="inlineStr"/>
      <c r="P9" s="11">
        <f>IF($O9&lt;&gt;"",$O9,$AN9)</f>
        <v/>
      </c>
      <c r="Q9" s="10" t="inlineStr"/>
      <c r="R9" s="10" t="inlineStr"/>
      <c r="S9" s="10" t="inlineStr"/>
      <c r="T9" s="10" t="inlineStr"/>
      <c r="U9" s="10" t="inlineStr"/>
      <c r="V9" s="10" t="inlineStr"/>
      <c r="W9" s="10" t="inlineStr"/>
      <c r="X9" s="10" t="inlineStr"/>
      <c r="Y9" s="10" t="inlineStr"/>
      <c r="Z9" s="10" t="inlineStr"/>
      <c r="AA9" s="10" t="inlineStr"/>
      <c r="AB9" s="10" t="inlineStr"/>
      <c r="AC9" s="10" t="inlineStr"/>
      <c r="AD9" s="10" t="inlineStr"/>
      <c r="AE9" s="10" t="inlineStr"/>
      <c r="AF9" s="10" t="inlineStr"/>
      <c r="AG9" s="10" t="inlineStr"/>
      <c r="AH9" s="10" t="inlineStr"/>
      <c r="AI9" s="11">
        <f>IFERROR(INDEX(Country_Context!$B$2:$B$64,MATCH($C9,Country_Context!$A$2:$A$64,0)),"")</f>
        <v/>
      </c>
      <c r="AJ9" s="11">
        <f>IFERROR(INDEX(Country_Context!$C$2:$C$64,MATCH($C9,Country_Context!$A$2:$A$64,0)),"")</f>
        <v/>
      </c>
      <c r="AK9" s="11">
        <f>IFERROR(INDEX(Country_Context!$D$2:$D$64,MATCH($C9,Country_Context!$A$2:$A$64,0)),"")</f>
        <v/>
      </c>
      <c r="AL9" s="11">
        <f>IFERROR(INDEX(Country_Context!$E$2:$E$64,MATCH($C9,Country_Context!$A$2:$A$64,0)),"")</f>
        <v/>
      </c>
      <c r="AM9" s="11">
        <f>IFERROR(INDEX(Country_Context!$F$2:$F$64,MATCH($C9,Country_Context!$A$2:$A$64,0)),"")</f>
        <v/>
      </c>
      <c r="AN9" s="11">
        <f>IFERROR(INDEX(Country_Context!$G$2:$G$64,MATCH($C9,Country_Context!$A$2:$A$64,0)),"")</f>
        <v/>
      </c>
      <c r="AO9" s="12" t="inlineStr">
        <is>
          <t>https://api.worldbank.org/v2/country/THA/indicator/PA.NUS.PRVT.PP?format=json&amp;mrv=30 | https://api.worldbank.org/v2/country/THA/indicator/GC.TAX.TOTL.GD.ZS?format=json&amp;mrv=30 | https://api.worldbank.org/v2/country/THA/indicator/FD.AST.PRVT.GD.ZS?format=json&amp;mrv=30</t>
        </is>
      </c>
      <c r="AP9" s="12" t="inlineStr">
        <is>
          <t>Tier 3</t>
        </is>
      </c>
      <c r="AQ9" s="12" t="inlineStr">
        <is>
          <t>2024-12-31</t>
        </is>
      </c>
      <c r="AR9" s="12" t="inlineStr">
        <is>
          <t>providers=world_bank; fields=ppp_private_consumption, tax_rate_assumption, household_debt_proxy</t>
        </is>
      </c>
      <c r="AS9" s="12" t="inlineStr"/>
      <c r="AT9" s="12" t="inlineStr"/>
      <c r="AU9" s="12" t="inlineStr"/>
      <c r="AV9" s="12" t="inlineStr"/>
      <c r="AW9" s="12" t="inlineStr">
        <is>
          <t>https://api.worldbank.org/v2/country/THA/indicator/SI.POV.GINI?format=json&amp;mrv=30</t>
        </is>
      </c>
      <c r="AX9" s="12" t="inlineStr">
        <is>
          <t>Tier 3</t>
        </is>
      </c>
      <c r="AY9" s="12" t="inlineStr">
        <is>
          <t>2023-12-31</t>
        </is>
      </c>
      <c r="AZ9" s="12" t="inlineStr">
        <is>
          <t>providers=world_bank; fields=gini_coefficient</t>
        </is>
      </c>
      <c r="BA9" s="12" t="inlineStr"/>
      <c r="BB9" s="12" t="inlineStr"/>
      <c r="BC9" s="12" t="inlineStr"/>
      <c r="BD9" s="12" t="inlineStr"/>
      <c r="BE9" s="12" t="inlineStr">
        <is>
          <t>https://api.worldbank.org/v2/country/THA/indicator/NY.GDP.PCAP.PP.CD?format=json&amp;mrv=30 | https://api.worldbank.org/v2/country/THA/indicator/NY.GDP.MKTP.KD.ZG?format=json&amp;mrv=30</t>
        </is>
      </c>
      <c r="BF9" s="12" t="inlineStr">
        <is>
          <t>Tier 3</t>
        </is>
      </c>
      <c r="BG9" s="12" t="inlineStr">
        <is>
          <t>2024-12-31</t>
        </is>
      </c>
      <c r="BH9" s="12" t="inlineStr">
        <is>
          <t>providers=world_bank; fields=gdp_per_capita_ppp, gdp_growth</t>
        </is>
      </c>
    </row>
    <row r="10">
      <c r="A10" s="9" t="inlineStr">
        <is>
          <t>my-kuching</t>
        </is>
      </c>
      <c r="B10" s="9" t="inlineStr">
        <is>
          <t>Kuching</t>
        </is>
      </c>
      <c r="C10" s="9" t="inlineStr">
        <is>
          <t>Malaysia</t>
        </is>
      </c>
      <c r="D10" s="9" t="inlineStr">
        <is>
          <t>Southeast Asia</t>
        </is>
      </c>
      <c r="E10" s="9" t="inlineStr">
        <is>
          <t>secondary</t>
        </is>
      </c>
      <c r="F10" s="9" t="inlineStr">
        <is>
          <t>locked</t>
        </is>
      </c>
      <c r="G10" s="10" t="inlineStr"/>
      <c r="H10" s="10" t="inlineStr"/>
      <c r="I10" s="10" t="inlineStr"/>
      <c r="J10" s="10" t="inlineStr"/>
      <c r="K10" s="10" t="inlineStr"/>
      <c r="L10" s="10" t="inlineStr"/>
      <c r="M10" s="11">
        <f>IF(OR($G10="",$H10="",$I10="",$J10="",$K10="",$L10="",$AL10="",$AM10=""),"",((($G10*(1-$AM10))-$H10-$I10-$J10-$K10-$L10)/$AL10))</f>
        <v/>
      </c>
      <c r="N10" s="10" t="inlineStr"/>
      <c r="O10" s="10" t="inlineStr"/>
      <c r="P10" s="11">
        <f>IF($O10&lt;&gt;"",$O10,$AN10)</f>
        <v/>
      </c>
      <c r="Q10" s="10" t="inlineStr"/>
      <c r="R10" s="10" t="inlineStr"/>
      <c r="S10" s="10" t="inlineStr"/>
      <c r="T10" s="10" t="inlineStr"/>
      <c r="U10" s="10" t="inlineStr"/>
      <c r="V10" s="10" t="inlineStr"/>
      <c r="W10" s="10" t="inlineStr"/>
      <c r="X10" s="10" t="inlineStr"/>
      <c r="Y10" s="10" t="inlineStr"/>
      <c r="Z10" s="10" t="inlineStr"/>
      <c r="AA10" s="10" t="inlineStr"/>
      <c r="AB10" s="10" t="inlineStr"/>
      <c r="AC10" s="10" t="inlineStr"/>
      <c r="AD10" s="10" t="inlineStr"/>
      <c r="AE10" s="10" t="inlineStr"/>
      <c r="AF10" s="10" t="inlineStr"/>
      <c r="AG10" s="10" t="inlineStr"/>
      <c r="AH10" s="10" t="inlineStr"/>
      <c r="AI10" s="11">
        <f>IFERROR(INDEX(Country_Context!$B$2:$B$64,MATCH($C10,Country_Context!$A$2:$A$64,0)),"")</f>
        <v/>
      </c>
      <c r="AJ10" s="11">
        <f>IFERROR(INDEX(Country_Context!$C$2:$C$64,MATCH($C10,Country_Context!$A$2:$A$64,0)),"")</f>
        <v/>
      </c>
      <c r="AK10" s="11">
        <f>IFERROR(INDEX(Country_Context!$D$2:$D$64,MATCH($C10,Country_Context!$A$2:$A$64,0)),"")</f>
        <v/>
      </c>
      <c r="AL10" s="11">
        <f>IFERROR(INDEX(Country_Context!$E$2:$E$64,MATCH($C10,Country_Context!$A$2:$A$64,0)),"")</f>
        <v/>
      </c>
      <c r="AM10" s="11">
        <f>IFERROR(INDEX(Country_Context!$F$2:$F$64,MATCH($C10,Country_Context!$A$2:$A$64,0)),"")</f>
        <v/>
      </c>
      <c r="AN10" s="11">
        <f>IFERROR(INDEX(Country_Context!$G$2:$G$64,MATCH($C10,Country_Context!$A$2:$A$64,0)),"")</f>
        <v/>
      </c>
      <c r="AO10" s="12" t="inlineStr">
        <is>
          <t>https://api.worldbank.org/v2/country/MYS/indicator/PA.NUS.PRVT.PP?format=json&amp;mrv=30 | https://api.worldbank.org/v2/country/MYS/indicator/GC.TAX.TOTL.GD.ZS?format=json&amp;mrv=30 | https://api.worldbank.org/v2/country/MYS/indicator/FD.AST.PRVT.GD.ZS?format=json&amp;mrv=30</t>
        </is>
      </c>
      <c r="AP10" s="12" t="inlineStr">
        <is>
          <t>Tier 3</t>
        </is>
      </c>
      <c r="AQ10" s="12" t="inlineStr">
        <is>
          <t>2024-12-31</t>
        </is>
      </c>
      <c r="AR10" s="12" t="inlineStr">
        <is>
          <t>providers=world_bank; fields=ppp_private_consumption, tax_rate_assumption, household_debt_proxy</t>
        </is>
      </c>
      <c r="AS10" s="12" t="inlineStr"/>
      <c r="AT10" s="12" t="inlineStr"/>
      <c r="AU10" s="12" t="inlineStr"/>
      <c r="AV10" s="12" t="inlineStr"/>
      <c r="AW10" s="12" t="inlineStr">
        <is>
          <t>https://api.worldbank.org/v2/country/MYS/indicator/SI.POV.GINI?format=json&amp;mrv=30</t>
        </is>
      </c>
      <c r="AX10" s="12" t="inlineStr">
        <is>
          <t>Tier 3</t>
        </is>
      </c>
      <c r="AY10" s="12" t="inlineStr">
        <is>
          <t>2021-12-31</t>
        </is>
      </c>
      <c r="AZ10" s="12" t="inlineStr">
        <is>
          <t>providers=world_bank; fields=gini_coefficient</t>
        </is>
      </c>
      <c r="BA10" s="12" t="inlineStr"/>
      <c r="BB10" s="12" t="inlineStr"/>
      <c r="BC10" s="12" t="inlineStr"/>
      <c r="BD10" s="12" t="inlineStr"/>
      <c r="BE10" s="12" t="inlineStr">
        <is>
          <t>https://api.worldbank.org/v2/country/MYS/indicator/NY.GDP.PCAP.PP.CD?format=json&amp;mrv=30 | https://api.worldbank.org/v2/country/MYS/indicator/NY.GDP.MKTP.KD.ZG?format=json&amp;mrv=30</t>
        </is>
      </c>
      <c r="BF10" s="12" t="inlineStr">
        <is>
          <t>Tier 3</t>
        </is>
      </c>
      <c r="BG10" s="12" t="inlineStr">
        <is>
          <t>2024-12-31</t>
        </is>
      </c>
      <c r="BH10" s="12" t="inlineStr">
        <is>
          <t>providers=world_bank; fields=gdp_per_capita_ppp, gdp_growth</t>
        </is>
      </c>
    </row>
    <row r="11">
      <c r="A11" s="9" t="inlineStr">
        <is>
          <t>th-hat-yai</t>
        </is>
      </c>
      <c r="B11" s="9" t="inlineStr">
        <is>
          <t>Hat Yai</t>
        </is>
      </c>
      <c r="C11" s="9" t="inlineStr">
        <is>
          <t>Thailand</t>
        </is>
      </c>
      <c r="D11" s="9" t="inlineStr">
        <is>
          <t>Southeast Asia</t>
        </is>
      </c>
      <c r="E11" s="9" t="inlineStr">
        <is>
          <t>secondary</t>
        </is>
      </c>
      <c r="F11" s="9" t="inlineStr">
        <is>
          <t>provisional</t>
        </is>
      </c>
      <c r="G11" s="10" t="inlineStr"/>
      <c r="H11" s="10" t="inlineStr"/>
      <c r="I11" s="10" t="inlineStr"/>
      <c r="J11" s="10" t="inlineStr"/>
      <c r="K11" s="10" t="inlineStr"/>
      <c r="L11" s="10" t="inlineStr"/>
      <c r="M11" s="11">
        <f>IF(OR($G11="",$H11="",$I11="",$J11="",$K11="",$L11="",$AL11="",$AM11=""),"",((($G11*(1-$AM11))-$H11-$I11-$J11-$K11-$L11)/$AL11))</f>
        <v/>
      </c>
      <c r="N11" s="10" t="inlineStr"/>
      <c r="O11" s="10" t="inlineStr"/>
      <c r="P11" s="11">
        <f>IF($O11&lt;&gt;"",$O11,$AN11)</f>
        <v/>
      </c>
      <c r="Q11" s="10" t="inlineStr"/>
      <c r="R11" s="10" t="inlineStr"/>
      <c r="S11" s="10" t="inlineStr"/>
      <c r="T11" s="10" t="inlineStr"/>
      <c r="U11" s="10" t="inlineStr"/>
      <c r="V11" s="10" t="inlineStr"/>
      <c r="W11" s="10" t="inlineStr"/>
      <c r="X11" s="10" t="inlineStr"/>
      <c r="Y11" s="10" t="inlineStr"/>
      <c r="Z11" s="10" t="inlineStr"/>
      <c r="AA11" s="10" t="inlineStr"/>
      <c r="AB11" s="10" t="inlineStr"/>
      <c r="AC11" s="10" t="inlineStr"/>
      <c r="AD11" s="10" t="inlineStr"/>
      <c r="AE11" s="10" t="inlineStr"/>
      <c r="AF11" s="10" t="inlineStr"/>
      <c r="AG11" s="10" t="inlineStr"/>
      <c r="AH11" s="10" t="inlineStr"/>
      <c r="AI11" s="11">
        <f>IFERROR(INDEX(Country_Context!$B$2:$B$64,MATCH($C11,Country_Context!$A$2:$A$64,0)),"")</f>
        <v/>
      </c>
      <c r="AJ11" s="11">
        <f>IFERROR(INDEX(Country_Context!$C$2:$C$64,MATCH($C11,Country_Context!$A$2:$A$64,0)),"")</f>
        <v/>
      </c>
      <c r="AK11" s="11">
        <f>IFERROR(INDEX(Country_Context!$D$2:$D$64,MATCH($C11,Country_Context!$A$2:$A$64,0)),"")</f>
        <v/>
      </c>
      <c r="AL11" s="11">
        <f>IFERROR(INDEX(Country_Context!$E$2:$E$64,MATCH($C11,Country_Context!$A$2:$A$64,0)),"")</f>
        <v/>
      </c>
      <c r="AM11" s="11">
        <f>IFERROR(INDEX(Country_Context!$F$2:$F$64,MATCH($C11,Country_Context!$A$2:$A$64,0)),"")</f>
        <v/>
      </c>
      <c r="AN11" s="11">
        <f>IFERROR(INDEX(Country_Context!$G$2:$G$64,MATCH($C11,Country_Context!$A$2:$A$64,0)),"")</f>
        <v/>
      </c>
      <c r="AO11" s="12" t="inlineStr">
        <is>
          <t>https://api.worldbank.org/v2/country/THA/indicator/PA.NUS.PRVT.PP?format=json&amp;mrv=30 | https://api.worldbank.org/v2/country/THA/indicator/GC.TAX.TOTL.GD.ZS?format=json&amp;mrv=30 | https://api.worldbank.org/v2/country/THA/indicator/FD.AST.PRVT.GD.ZS?format=json&amp;mrv=30</t>
        </is>
      </c>
      <c r="AP11" s="12" t="inlineStr">
        <is>
          <t>Tier 3</t>
        </is>
      </c>
      <c r="AQ11" s="12" t="inlineStr">
        <is>
          <t>2024-12-31</t>
        </is>
      </c>
      <c r="AR11" s="12" t="inlineStr">
        <is>
          <t>providers=world_bank; fields=ppp_private_consumption, tax_rate_assumption, household_debt_proxy</t>
        </is>
      </c>
      <c r="AS11" s="12" t="inlineStr"/>
      <c r="AT11" s="12" t="inlineStr"/>
      <c r="AU11" s="12" t="inlineStr"/>
      <c r="AV11" s="12" t="inlineStr"/>
      <c r="AW11" s="12" t="inlineStr">
        <is>
          <t>https://api.worldbank.org/v2/country/THA/indicator/SI.POV.GINI?format=json&amp;mrv=30</t>
        </is>
      </c>
      <c r="AX11" s="12" t="inlineStr">
        <is>
          <t>Tier 3</t>
        </is>
      </c>
      <c r="AY11" s="12" t="inlineStr">
        <is>
          <t>2023-12-31</t>
        </is>
      </c>
      <c r="AZ11" s="12" t="inlineStr">
        <is>
          <t>providers=world_bank; fields=gini_coefficient</t>
        </is>
      </c>
      <c r="BA11" s="12" t="inlineStr"/>
      <c r="BB11" s="12" t="inlineStr"/>
      <c r="BC11" s="12" t="inlineStr"/>
      <c r="BD11" s="12" t="inlineStr"/>
      <c r="BE11" s="12" t="inlineStr">
        <is>
          <t>https://api.worldbank.org/v2/country/THA/indicator/NY.GDP.PCAP.PP.CD?format=json&amp;mrv=30 | https://api.worldbank.org/v2/country/THA/indicator/NY.GDP.MKTP.KD.ZG?format=json&amp;mrv=30</t>
        </is>
      </c>
      <c r="BF11" s="12" t="inlineStr">
        <is>
          <t>Tier 3</t>
        </is>
      </c>
      <c r="BG11" s="12" t="inlineStr">
        <is>
          <t>2024-12-31</t>
        </is>
      </c>
      <c r="BH11" s="12" t="inlineStr">
        <is>
          <t>providers=world_bank; fields=gdp_per_capita_ppp, gdp_growth</t>
        </is>
      </c>
    </row>
    <row r="12">
      <c r="A12" s="9" t="inlineStr">
        <is>
          <t>tw-taipei</t>
        </is>
      </c>
      <c r="B12" s="9" t="inlineStr">
        <is>
          <t>Taipei</t>
        </is>
      </c>
      <c r="C12" s="9" t="inlineStr">
        <is>
          <t>Taiwan</t>
        </is>
      </c>
      <c r="D12" s="9" t="inlineStr">
        <is>
          <t>East Asia</t>
        </is>
      </c>
      <c r="E12" s="9" t="inlineStr">
        <is>
          <t>primary</t>
        </is>
      </c>
      <c r="F12" s="9" t="inlineStr">
        <is>
          <t>locked</t>
        </is>
      </c>
      <c r="G12" s="10" t="inlineStr"/>
      <c r="H12" s="10" t="inlineStr"/>
      <c r="I12" s="10" t="inlineStr"/>
      <c r="J12" s="10" t="inlineStr"/>
      <c r="K12" s="10" t="inlineStr"/>
      <c r="L12" s="10" t="inlineStr"/>
      <c r="M12" s="11">
        <f>IF(OR($G12="",$H12="",$I12="",$J12="",$K12="",$L12="",$AL12="",$AM12=""),"",((($G12*(1-$AM12))-$H12-$I12-$J12-$K12-$L12)/$AL12))</f>
        <v/>
      </c>
      <c r="N12" s="10" t="inlineStr"/>
      <c r="O12" s="10" t="inlineStr"/>
      <c r="P12" s="11">
        <f>IF($O12&lt;&gt;"",$O12,$AN12)</f>
        <v/>
      </c>
      <c r="Q12" s="10" t="inlineStr"/>
      <c r="R12" s="10" t="inlineStr"/>
      <c r="S12" s="10" t="inlineStr"/>
      <c r="T12" s="10" t="inlineStr"/>
      <c r="U12" s="10" t="inlineStr"/>
      <c r="V12" s="10" t="inlineStr"/>
      <c r="W12" s="10" t="inlineStr"/>
      <c r="X12" s="10" t="inlineStr"/>
      <c r="Y12" s="10" t="inlineStr"/>
      <c r="Z12" s="10" t="inlineStr"/>
      <c r="AA12" s="10" t="inlineStr"/>
      <c r="AB12" s="10" t="inlineStr"/>
      <c r="AC12" s="10" t="inlineStr"/>
      <c r="AD12" s="10" t="inlineStr"/>
      <c r="AE12" s="10" t="inlineStr"/>
      <c r="AF12" s="10" t="inlineStr"/>
      <c r="AG12" s="10" t="inlineStr"/>
      <c r="AH12" s="10" t="inlineStr"/>
      <c r="AI12" s="11">
        <f>IFERROR(INDEX(Country_Context!$B$2:$B$64,MATCH($C12,Country_Context!$A$2:$A$64,0)),"")</f>
        <v/>
      </c>
      <c r="AJ12" s="11">
        <f>IFERROR(INDEX(Country_Context!$C$2:$C$64,MATCH($C12,Country_Context!$A$2:$A$64,0)),"")</f>
        <v/>
      </c>
      <c r="AK12" s="11">
        <f>IFERROR(INDEX(Country_Context!$D$2:$D$64,MATCH($C12,Country_Context!$A$2:$A$64,0)),"")</f>
        <v/>
      </c>
      <c r="AL12" s="11">
        <f>IFERROR(INDEX(Country_Context!$E$2:$E$64,MATCH($C12,Country_Context!$A$2:$A$64,0)),"")</f>
        <v/>
      </c>
      <c r="AM12" s="11">
        <f>IFERROR(INDEX(Country_Context!$F$2:$F$64,MATCH($C12,Country_Context!$A$2:$A$64,0)),"")</f>
        <v/>
      </c>
      <c r="AN12" s="11">
        <f>IFERROR(INDEX(Country_Context!$G$2:$G$64,MATCH($C12,Country_Context!$A$2:$A$64,0)),"")</f>
        <v/>
      </c>
      <c r="AO12" s="12" t="inlineStr"/>
      <c r="AP12" s="12" t="inlineStr"/>
      <c r="AQ12" s="12" t="inlineStr"/>
      <c r="AR12" s="12" t="inlineStr"/>
      <c r="AS12" s="12" t="inlineStr"/>
      <c r="AT12" s="12" t="inlineStr"/>
      <c r="AU12" s="12" t="inlineStr"/>
      <c r="AV12" s="12" t="inlineStr"/>
      <c r="AW12" s="12" t="inlineStr"/>
      <c r="AX12" s="12" t="inlineStr"/>
      <c r="AY12" s="12" t="inlineStr"/>
      <c r="AZ12" s="12" t="inlineStr"/>
      <c r="BA12" s="12" t="inlineStr"/>
      <c r="BB12" s="12" t="inlineStr"/>
      <c r="BC12" s="12" t="inlineStr"/>
      <c r="BD12" s="12" t="inlineStr"/>
      <c r="BE12" s="12" t="inlineStr"/>
      <c r="BF12" s="12" t="inlineStr"/>
      <c r="BG12" s="12" t="inlineStr"/>
      <c r="BH12" s="12" t="inlineStr"/>
    </row>
    <row r="13">
      <c r="A13" s="9" t="inlineStr">
        <is>
          <t>kr-busan</t>
        </is>
      </c>
      <c r="B13" s="9" t="inlineStr">
        <is>
          <t>Busan</t>
        </is>
      </c>
      <c r="C13" s="9" t="inlineStr">
        <is>
          <t>South Korea</t>
        </is>
      </c>
      <c r="D13" s="9" t="inlineStr">
        <is>
          <t>East Asia</t>
        </is>
      </c>
      <c r="E13" s="9" t="inlineStr">
        <is>
          <t>primary</t>
        </is>
      </c>
      <c r="F13" s="9" t="inlineStr">
        <is>
          <t>locked</t>
        </is>
      </c>
      <c r="G13" s="10" t="inlineStr"/>
      <c r="H13" s="10" t="inlineStr"/>
      <c r="I13" s="10" t="inlineStr"/>
      <c r="J13" s="10" t="inlineStr"/>
      <c r="K13" s="10" t="inlineStr"/>
      <c r="L13" s="10" t="inlineStr"/>
      <c r="M13" s="11">
        <f>IF(OR($G13="",$H13="",$I13="",$J13="",$K13="",$L13="",$AL13="",$AM13=""),"",((($G13*(1-$AM13))-$H13-$I13-$J13-$K13-$L13)/$AL13))</f>
        <v/>
      </c>
      <c r="N13" s="10" t="inlineStr"/>
      <c r="O13" s="10" t="inlineStr"/>
      <c r="P13" s="11">
        <f>IF($O13&lt;&gt;"",$O13,$AN13)</f>
        <v/>
      </c>
      <c r="Q13" s="10" t="inlineStr"/>
      <c r="R13" s="10" t="inlineStr"/>
      <c r="S13" s="10" t="inlineStr"/>
      <c r="T13" s="10" t="inlineStr"/>
      <c r="U13" s="10" t="inlineStr"/>
      <c r="V13" s="10" t="inlineStr"/>
      <c r="W13" s="10" t="inlineStr"/>
      <c r="X13" s="10" t="inlineStr"/>
      <c r="Y13" s="10" t="inlineStr"/>
      <c r="Z13" s="10" t="inlineStr"/>
      <c r="AA13" s="10" t="inlineStr"/>
      <c r="AB13" s="10" t="inlineStr"/>
      <c r="AC13" s="10" t="inlineStr"/>
      <c r="AD13" s="10" t="inlineStr"/>
      <c r="AE13" s="10" t="inlineStr"/>
      <c r="AF13" s="10" t="inlineStr"/>
      <c r="AG13" s="10" t="inlineStr"/>
      <c r="AH13" s="10" t="inlineStr"/>
      <c r="AI13" s="11">
        <f>IFERROR(INDEX(Country_Context!$B$2:$B$64,MATCH($C13,Country_Context!$A$2:$A$64,0)),"")</f>
        <v/>
      </c>
      <c r="AJ13" s="11">
        <f>IFERROR(INDEX(Country_Context!$C$2:$C$64,MATCH($C13,Country_Context!$A$2:$A$64,0)),"")</f>
        <v/>
      </c>
      <c r="AK13" s="11">
        <f>IFERROR(INDEX(Country_Context!$D$2:$D$64,MATCH($C13,Country_Context!$A$2:$A$64,0)),"")</f>
        <v/>
      </c>
      <c r="AL13" s="11">
        <f>IFERROR(INDEX(Country_Context!$E$2:$E$64,MATCH($C13,Country_Context!$A$2:$A$64,0)),"")</f>
        <v/>
      </c>
      <c r="AM13" s="11">
        <f>IFERROR(INDEX(Country_Context!$F$2:$F$64,MATCH($C13,Country_Context!$A$2:$A$64,0)),"")</f>
        <v/>
      </c>
      <c r="AN13" s="11">
        <f>IFERROR(INDEX(Country_Context!$G$2:$G$64,MATCH($C13,Country_Context!$A$2:$A$64,0)),"")</f>
        <v/>
      </c>
      <c r="AO13" s="12" t="inlineStr">
        <is>
          <t>https://api.worldbank.org/v2/country/KOR/indicator/PA.NUS.PRVT.PP?format=json&amp;mrv=30 | https://api.worldbank.org/v2/country/KOR/indicator/GC.TAX.TOTL.GD.ZS?format=json&amp;mrv=30 | https://api.worldbank.org/v2/country/KOR/indicator/FD.AST.PRVT.GD.ZS?format=json&amp;mrv=30</t>
        </is>
      </c>
      <c r="AP13" s="12" t="inlineStr">
        <is>
          <t>Tier 3</t>
        </is>
      </c>
      <c r="AQ13" s="12" t="inlineStr">
        <is>
          <t>2024-12-31</t>
        </is>
      </c>
      <c r="AR13" s="12" t="inlineStr">
        <is>
          <t>providers=world_bank; fields=ppp_private_consumption, tax_rate_assumption, household_debt_proxy</t>
        </is>
      </c>
      <c r="AS13" s="12" t="inlineStr"/>
      <c r="AT13" s="12" t="inlineStr"/>
      <c r="AU13" s="12" t="inlineStr"/>
      <c r="AV13" s="12" t="inlineStr"/>
      <c r="AW13" s="12" t="inlineStr">
        <is>
          <t>https://api.worldbank.org/v2/country/KOR/indicator/SI.POV.GINI?format=json&amp;mrv=30</t>
        </is>
      </c>
      <c r="AX13" s="12" t="inlineStr">
        <is>
          <t>Tier 3</t>
        </is>
      </c>
      <c r="AY13" s="12" t="inlineStr">
        <is>
          <t>2021-12-31</t>
        </is>
      </c>
      <c r="AZ13" s="12" t="inlineStr">
        <is>
          <t>providers=world_bank; fields=gini_coefficient</t>
        </is>
      </c>
      <c r="BA13" s="12" t="inlineStr"/>
      <c r="BB13" s="12" t="inlineStr"/>
      <c r="BC13" s="12" t="inlineStr"/>
      <c r="BD13" s="12" t="inlineStr"/>
      <c r="BE13" s="12" t="inlineStr">
        <is>
          <t>https://api.worldbank.org/v2/country/KOR/indicator/NY.GDP.PCAP.PP.CD?format=json&amp;mrv=30 | https://api.worldbank.org/v2/country/KOR/indicator/NY.GDP.MKTP.KD.ZG?format=json&amp;mrv=30</t>
        </is>
      </c>
      <c r="BF13" s="12" t="inlineStr">
        <is>
          <t>Tier 3</t>
        </is>
      </c>
      <c r="BG13" s="12" t="inlineStr">
        <is>
          <t>2024-12-31</t>
        </is>
      </c>
      <c r="BH13" s="12" t="inlineStr">
        <is>
          <t>providers=world_bank; fields=gdp_per_capita_ppp, gdp_growth</t>
        </is>
      </c>
    </row>
    <row r="14">
      <c r="A14" s="9" t="inlineStr">
        <is>
          <t>cn-shanghai</t>
        </is>
      </c>
      <c r="B14" s="9" t="inlineStr">
        <is>
          <t>Shanghai</t>
        </is>
      </c>
      <c r="C14" s="9" t="inlineStr">
        <is>
          <t>China</t>
        </is>
      </c>
      <c r="D14" s="9" t="inlineStr">
        <is>
          <t>East Asia</t>
        </is>
      </c>
      <c r="E14" s="9" t="inlineStr">
        <is>
          <t>primary</t>
        </is>
      </c>
      <c r="F14" s="9" t="inlineStr">
        <is>
          <t>provisional</t>
        </is>
      </c>
      <c r="G14" s="10" t="inlineStr"/>
      <c r="H14" s="10" t="inlineStr"/>
      <c r="I14" s="10" t="inlineStr"/>
      <c r="J14" s="10" t="inlineStr"/>
      <c r="K14" s="10" t="inlineStr"/>
      <c r="L14" s="10" t="inlineStr"/>
      <c r="M14" s="11">
        <f>IF(OR($G14="",$H14="",$I14="",$J14="",$K14="",$L14="",$AL14="",$AM14=""),"",((($G14*(1-$AM14))-$H14-$I14-$J14-$K14-$L14)/$AL14))</f>
        <v/>
      </c>
      <c r="N14" s="10" t="inlineStr"/>
      <c r="O14" s="10" t="inlineStr"/>
      <c r="P14" s="11">
        <f>IF($O14&lt;&gt;"",$O14,$AN14)</f>
        <v/>
      </c>
      <c r="Q14" s="10" t="inlineStr"/>
      <c r="R14" s="10" t="inlineStr"/>
      <c r="S14" s="10" t="inlineStr"/>
      <c r="T14" s="10" t="inlineStr"/>
      <c r="U14" s="10" t="inlineStr"/>
      <c r="V14" s="10" t="inlineStr"/>
      <c r="W14" s="10" t="inlineStr"/>
      <c r="X14" s="10" t="inlineStr"/>
      <c r="Y14" s="10" t="inlineStr"/>
      <c r="Z14" s="10" t="inlineStr"/>
      <c r="AA14" s="10" t="inlineStr"/>
      <c r="AB14" s="10" t="inlineStr"/>
      <c r="AC14" s="10" t="inlineStr"/>
      <c r="AD14" s="10" t="inlineStr"/>
      <c r="AE14" s="10" t="inlineStr"/>
      <c r="AF14" s="10" t="inlineStr"/>
      <c r="AG14" s="10" t="inlineStr"/>
      <c r="AH14" s="10" t="inlineStr"/>
      <c r="AI14" s="11">
        <f>IFERROR(INDEX(Country_Context!$B$2:$B$64,MATCH($C14,Country_Context!$A$2:$A$64,0)),"")</f>
        <v/>
      </c>
      <c r="AJ14" s="11">
        <f>IFERROR(INDEX(Country_Context!$C$2:$C$64,MATCH($C14,Country_Context!$A$2:$A$64,0)),"")</f>
        <v/>
      </c>
      <c r="AK14" s="11">
        <f>IFERROR(INDEX(Country_Context!$D$2:$D$64,MATCH($C14,Country_Context!$A$2:$A$64,0)),"")</f>
        <v/>
      </c>
      <c r="AL14" s="11">
        <f>IFERROR(INDEX(Country_Context!$E$2:$E$64,MATCH($C14,Country_Context!$A$2:$A$64,0)),"")</f>
        <v/>
      </c>
      <c r="AM14" s="11">
        <f>IFERROR(INDEX(Country_Context!$F$2:$F$64,MATCH($C14,Country_Context!$A$2:$A$64,0)),"")</f>
        <v/>
      </c>
      <c r="AN14" s="11">
        <f>IFERROR(INDEX(Country_Context!$G$2:$G$64,MATCH($C14,Country_Context!$A$2:$A$64,0)),"")</f>
        <v/>
      </c>
      <c r="AO14" s="12" t="inlineStr">
        <is>
          <t>https://api.worldbank.org/v2/country/CHN/indicator/PA.NUS.PRVT.PP?format=json&amp;mrv=30 | https://api.worldbank.org/v2/country/CHN/indicator/GC.TAX.TOTL.GD.ZS?format=json&amp;mrv=30 | https://api.worldbank.org/v2/country/CHN/indicator/FD.AST.PRVT.GD.ZS?format=json&amp;mrv=30</t>
        </is>
      </c>
      <c r="AP14" s="12" t="inlineStr">
        <is>
          <t>Tier 3</t>
        </is>
      </c>
      <c r="AQ14" s="12" t="inlineStr">
        <is>
          <t>2024-12-31</t>
        </is>
      </c>
      <c r="AR14" s="12" t="inlineStr">
        <is>
          <t>providers=world_bank; fields=ppp_private_consumption, tax_rate_assumption, household_debt_proxy</t>
        </is>
      </c>
      <c r="AS14" s="12" t="inlineStr"/>
      <c r="AT14" s="12" t="inlineStr"/>
      <c r="AU14" s="12" t="inlineStr"/>
      <c r="AV14" s="12" t="inlineStr"/>
      <c r="AW14" s="12" t="inlineStr">
        <is>
          <t>https://api.worldbank.org/v2/country/CHN/indicator/SI.POV.GINI?format=json&amp;mrv=30</t>
        </is>
      </c>
      <c r="AX14" s="12" t="inlineStr">
        <is>
          <t>Tier 3</t>
        </is>
      </c>
      <c r="AY14" s="12" t="inlineStr">
        <is>
          <t>2022-12-31</t>
        </is>
      </c>
      <c r="AZ14" s="12" t="inlineStr">
        <is>
          <t>providers=world_bank; fields=gini_coefficient</t>
        </is>
      </c>
      <c r="BA14" s="12" t="inlineStr"/>
      <c r="BB14" s="12" t="inlineStr"/>
      <c r="BC14" s="12" t="inlineStr"/>
      <c r="BD14" s="12" t="inlineStr"/>
      <c r="BE14" s="12" t="inlineStr">
        <is>
          <t>https://api.worldbank.org/v2/country/CHN/indicator/NY.GDP.PCAP.PP.CD?format=json&amp;mrv=30 | https://api.worldbank.org/v2/country/CHN/indicator/NY.GDP.MKTP.KD.ZG?format=json&amp;mrv=30</t>
        </is>
      </c>
      <c r="BF14" s="12" t="inlineStr">
        <is>
          <t>Tier 3</t>
        </is>
      </c>
      <c r="BG14" s="12" t="inlineStr">
        <is>
          <t>2024-12-31</t>
        </is>
      </c>
      <c r="BH14" s="12" t="inlineStr">
        <is>
          <t>providers=world_bank; fields=gdp_per_capita_ppp, gdp_growth</t>
        </is>
      </c>
    </row>
    <row r="15">
      <c r="A15" s="9" t="inlineStr">
        <is>
          <t>cn-shenzhen</t>
        </is>
      </c>
      <c r="B15" s="9" t="inlineStr">
        <is>
          <t>Shenzhen</t>
        </is>
      </c>
      <c r="C15" s="9" t="inlineStr">
        <is>
          <t>China</t>
        </is>
      </c>
      <c r="D15" s="9" t="inlineStr">
        <is>
          <t>East Asia</t>
        </is>
      </c>
      <c r="E15" s="9" t="inlineStr">
        <is>
          <t>primary</t>
        </is>
      </c>
      <c r="F15" s="9" t="inlineStr">
        <is>
          <t>provisional</t>
        </is>
      </c>
      <c r="G15" s="10" t="inlineStr"/>
      <c r="H15" s="10" t="inlineStr"/>
      <c r="I15" s="10" t="inlineStr"/>
      <c r="J15" s="10" t="inlineStr"/>
      <c r="K15" s="10" t="inlineStr"/>
      <c r="L15" s="10" t="inlineStr"/>
      <c r="M15" s="11">
        <f>IF(OR($G15="",$H15="",$I15="",$J15="",$K15="",$L15="",$AL15="",$AM15=""),"",((($G15*(1-$AM15))-$H15-$I15-$J15-$K15-$L15)/$AL15))</f>
        <v/>
      </c>
      <c r="N15" s="10" t="inlineStr"/>
      <c r="O15" s="10" t="inlineStr"/>
      <c r="P15" s="11">
        <f>IF($O15&lt;&gt;"",$O15,$AN15)</f>
        <v/>
      </c>
      <c r="Q15" s="10" t="inlineStr"/>
      <c r="R15" s="10" t="inlineStr"/>
      <c r="S15" s="10" t="inlineStr"/>
      <c r="T15" s="10" t="inlineStr"/>
      <c r="U15" s="10" t="inlineStr"/>
      <c r="V15" s="10" t="inlineStr"/>
      <c r="W15" s="10" t="inlineStr"/>
      <c r="X15" s="10" t="inlineStr"/>
      <c r="Y15" s="10" t="inlineStr"/>
      <c r="Z15" s="10" t="inlineStr"/>
      <c r="AA15" s="10" t="inlineStr"/>
      <c r="AB15" s="10" t="inlineStr"/>
      <c r="AC15" s="10" t="inlineStr"/>
      <c r="AD15" s="10" t="inlineStr"/>
      <c r="AE15" s="10" t="inlineStr"/>
      <c r="AF15" s="10" t="inlineStr"/>
      <c r="AG15" s="10" t="inlineStr"/>
      <c r="AH15" s="10" t="inlineStr"/>
      <c r="AI15" s="11">
        <f>IFERROR(INDEX(Country_Context!$B$2:$B$64,MATCH($C15,Country_Context!$A$2:$A$64,0)),"")</f>
        <v/>
      </c>
      <c r="AJ15" s="11">
        <f>IFERROR(INDEX(Country_Context!$C$2:$C$64,MATCH($C15,Country_Context!$A$2:$A$64,0)),"")</f>
        <v/>
      </c>
      <c r="AK15" s="11">
        <f>IFERROR(INDEX(Country_Context!$D$2:$D$64,MATCH($C15,Country_Context!$A$2:$A$64,0)),"")</f>
        <v/>
      </c>
      <c r="AL15" s="11">
        <f>IFERROR(INDEX(Country_Context!$E$2:$E$64,MATCH($C15,Country_Context!$A$2:$A$64,0)),"")</f>
        <v/>
      </c>
      <c r="AM15" s="11">
        <f>IFERROR(INDEX(Country_Context!$F$2:$F$64,MATCH($C15,Country_Context!$A$2:$A$64,0)),"")</f>
        <v/>
      </c>
      <c r="AN15" s="11">
        <f>IFERROR(INDEX(Country_Context!$G$2:$G$64,MATCH($C15,Country_Context!$A$2:$A$64,0)),"")</f>
        <v/>
      </c>
      <c r="AO15" s="12" t="inlineStr">
        <is>
          <t>https://api.worldbank.org/v2/country/CHN/indicator/PA.NUS.PRVT.PP?format=json&amp;mrv=30 | https://api.worldbank.org/v2/country/CHN/indicator/GC.TAX.TOTL.GD.ZS?format=json&amp;mrv=30 | https://api.worldbank.org/v2/country/CHN/indicator/FD.AST.PRVT.GD.ZS?format=json&amp;mrv=30</t>
        </is>
      </c>
      <c r="AP15" s="12" t="inlineStr">
        <is>
          <t>Tier 3</t>
        </is>
      </c>
      <c r="AQ15" s="12" t="inlineStr">
        <is>
          <t>2024-12-31</t>
        </is>
      </c>
      <c r="AR15" s="12" t="inlineStr">
        <is>
          <t>providers=world_bank; fields=ppp_private_consumption, tax_rate_assumption, household_debt_proxy</t>
        </is>
      </c>
      <c r="AS15" s="12" t="inlineStr"/>
      <c r="AT15" s="12" t="inlineStr"/>
      <c r="AU15" s="12" t="inlineStr"/>
      <c r="AV15" s="12" t="inlineStr"/>
      <c r="AW15" s="12" t="inlineStr">
        <is>
          <t>https://api.worldbank.org/v2/country/CHN/indicator/SI.POV.GINI?format=json&amp;mrv=30</t>
        </is>
      </c>
      <c r="AX15" s="12" t="inlineStr">
        <is>
          <t>Tier 3</t>
        </is>
      </c>
      <c r="AY15" s="12" t="inlineStr">
        <is>
          <t>2022-12-31</t>
        </is>
      </c>
      <c r="AZ15" s="12" t="inlineStr">
        <is>
          <t>providers=world_bank; fields=gini_coefficient</t>
        </is>
      </c>
      <c r="BA15" s="12" t="inlineStr"/>
      <c r="BB15" s="12" t="inlineStr"/>
      <c r="BC15" s="12" t="inlineStr"/>
      <c r="BD15" s="12" t="inlineStr"/>
      <c r="BE15" s="12" t="inlineStr">
        <is>
          <t>https://api.worldbank.org/v2/country/CHN/indicator/NY.GDP.PCAP.PP.CD?format=json&amp;mrv=30 | https://api.worldbank.org/v2/country/CHN/indicator/NY.GDP.MKTP.KD.ZG?format=json&amp;mrv=30</t>
        </is>
      </c>
      <c r="BF15" s="12" t="inlineStr">
        <is>
          <t>Tier 3</t>
        </is>
      </c>
      <c r="BG15" s="12" t="inlineStr">
        <is>
          <t>2024-12-31</t>
        </is>
      </c>
      <c r="BH15" s="12" t="inlineStr">
        <is>
          <t>providers=world_bank; fields=gdp_per_capita_ppp, gdp_growth</t>
        </is>
      </c>
    </row>
    <row r="16">
      <c r="A16" s="9" t="inlineStr">
        <is>
          <t>jp-hiroshima</t>
        </is>
      </c>
      <c r="B16" s="9" t="inlineStr">
        <is>
          <t>Hiroshima</t>
        </is>
      </c>
      <c r="C16" s="9" t="inlineStr">
        <is>
          <t>Japan</t>
        </is>
      </c>
      <c r="D16" s="9" t="inlineStr">
        <is>
          <t>East Asia</t>
        </is>
      </c>
      <c r="E16" s="9" t="inlineStr">
        <is>
          <t>primary</t>
        </is>
      </c>
      <c r="F16" s="9" t="inlineStr">
        <is>
          <t>provisional</t>
        </is>
      </c>
      <c r="G16" s="10" t="inlineStr"/>
      <c r="H16" s="10" t="inlineStr"/>
      <c r="I16" s="10" t="inlineStr"/>
      <c r="J16" s="10" t="inlineStr"/>
      <c r="K16" s="10" t="inlineStr"/>
      <c r="L16" s="10" t="inlineStr"/>
      <c r="M16" s="11">
        <f>IF(OR($G16="",$H16="",$I16="",$J16="",$K16="",$L16="",$AL16="",$AM16=""),"",((($G16*(1-$AM16))-$H16-$I16-$J16-$K16-$L16)/$AL16))</f>
        <v/>
      </c>
      <c r="N16" s="10" t="inlineStr"/>
      <c r="O16" s="10" t="inlineStr"/>
      <c r="P16" s="11">
        <f>IF($O16&lt;&gt;"",$O16,$AN16)</f>
        <v/>
      </c>
      <c r="Q16" s="10" t="inlineStr"/>
      <c r="R16" s="10" t="inlineStr"/>
      <c r="S16" s="10" t="inlineStr"/>
      <c r="T16" s="10" t="inlineStr"/>
      <c r="U16" s="10" t="inlineStr"/>
      <c r="V16" s="10" t="inlineStr"/>
      <c r="W16" s="10" t="inlineStr"/>
      <c r="X16" s="10" t="inlineStr"/>
      <c r="Y16" s="10" t="inlineStr"/>
      <c r="Z16" s="10" t="inlineStr"/>
      <c r="AA16" s="10" t="inlineStr"/>
      <c r="AB16" s="10" t="inlineStr"/>
      <c r="AC16" s="10" t="inlineStr"/>
      <c r="AD16" s="10" t="inlineStr"/>
      <c r="AE16" s="10" t="inlineStr"/>
      <c r="AF16" s="10" t="inlineStr"/>
      <c r="AG16" s="10" t="inlineStr"/>
      <c r="AH16" s="10" t="inlineStr"/>
      <c r="AI16" s="11">
        <f>IFERROR(INDEX(Country_Context!$B$2:$B$64,MATCH($C16,Country_Context!$A$2:$A$64,0)),"")</f>
        <v/>
      </c>
      <c r="AJ16" s="11">
        <f>IFERROR(INDEX(Country_Context!$C$2:$C$64,MATCH($C16,Country_Context!$A$2:$A$64,0)),"")</f>
        <v/>
      </c>
      <c r="AK16" s="11">
        <f>IFERROR(INDEX(Country_Context!$D$2:$D$64,MATCH($C16,Country_Context!$A$2:$A$64,0)),"")</f>
        <v/>
      </c>
      <c r="AL16" s="11">
        <f>IFERROR(INDEX(Country_Context!$E$2:$E$64,MATCH($C16,Country_Context!$A$2:$A$64,0)),"")</f>
        <v/>
      </c>
      <c r="AM16" s="11">
        <f>IFERROR(INDEX(Country_Context!$F$2:$F$64,MATCH($C16,Country_Context!$A$2:$A$64,0)),"")</f>
        <v/>
      </c>
      <c r="AN16" s="11">
        <f>IFERROR(INDEX(Country_Context!$G$2:$G$64,MATCH($C16,Country_Context!$A$2:$A$64,0)),"")</f>
        <v/>
      </c>
      <c r="AO16" s="12" t="inlineStr">
        <is>
          <t>https://api.worldbank.org/v2/country/JPN/indicator/PA.NUS.PRVT.PP?format=json&amp;mrv=30 | https://api.worldbank.org/v2/country/JPN/indicator/FD.AST.PRVT.GD.ZS?format=json&amp;mrv=30</t>
        </is>
      </c>
      <c r="AP16" s="12" t="inlineStr">
        <is>
          <t>Tier 3</t>
        </is>
      </c>
      <c r="AQ16" s="12" t="inlineStr">
        <is>
          <t>2024-12-31</t>
        </is>
      </c>
      <c r="AR16" s="12" t="inlineStr">
        <is>
          <t>providers=world_bank; fields=ppp_private_consumption, household_debt_proxy</t>
        </is>
      </c>
      <c r="AS16" s="12" t="inlineStr"/>
      <c r="AT16" s="12" t="inlineStr"/>
      <c r="AU16" s="12" t="inlineStr"/>
      <c r="AV16" s="12" t="inlineStr"/>
      <c r="AW16" s="12" t="inlineStr">
        <is>
          <t>https://api.worldbank.org/v2/country/JPN/indicator/SI.POV.GINI?format=json&amp;mrv=30</t>
        </is>
      </c>
      <c r="AX16" s="12" t="inlineStr">
        <is>
          <t>Tier 3</t>
        </is>
      </c>
      <c r="AY16" s="12" t="inlineStr">
        <is>
          <t>2020-12-31</t>
        </is>
      </c>
      <c r="AZ16" s="12" t="inlineStr">
        <is>
          <t>providers=world_bank; fields=gini_coefficient</t>
        </is>
      </c>
      <c r="BA16" s="12" t="inlineStr"/>
      <c r="BB16" s="12" t="inlineStr"/>
      <c r="BC16" s="12" t="inlineStr"/>
      <c r="BD16" s="12" t="inlineStr"/>
      <c r="BE16" s="12" t="inlineStr">
        <is>
          <t>https://api.worldbank.org/v2/country/JPN/indicator/NY.GDP.PCAP.PP.CD?format=json&amp;mrv=30 | https://api.worldbank.org/v2/country/JPN/indicator/NY.GDP.MKTP.KD.ZG?format=json&amp;mrv=30</t>
        </is>
      </c>
      <c r="BF16" s="12" t="inlineStr">
        <is>
          <t>Tier 3</t>
        </is>
      </c>
      <c r="BG16" s="12" t="inlineStr">
        <is>
          <t>2024-12-31</t>
        </is>
      </c>
      <c r="BH16" s="12" t="inlineStr">
        <is>
          <t>providers=world_bank; fields=gdp_per_capita_ppp, gdp_growth</t>
        </is>
      </c>
    </row>
    <row r="17">
      <c r="A17" s="9" t="inlineStr">
        <is>
          <t>kr-jeju-city</t>
        </is>
      </c>
      <c r="B17" s="9" t="inlineStr">
        <is>
          <t>Jeju City</t>
        </is>
      </c>
      <c r="C17" s="9" t="inlineStr">
        <is>
          <t>South Korea</t>
        </is>
      </c>
      <c r="D17" s="9" t="inlineStr">
        <is>
          <t>East Asia</t>
        </is>
      </c>
      <c r="E17" s="9" t="inlineStr">
        <is>
          <t>secondary</t>
        </is>
      </c>
      <c r="F17" s="9" t="inlineStr">
        <is>
          <t>locked</t>
        </is>
      </c>
      <c r="G17" s="10" t="inlineStr"/>
      <c r="H17" s="10" t="inlineStr"/>
      <c r="I17" s="10" t="inlineStr"/>
      <c r="J17" s="10" t="inlineStr"/>
      <c r="K17" s="10" t="inlineStr"/>
      <c r="L17" s="10" t="inlineStr"/>
      <c r="M17" s="11">
        <f>IF(OR($G17="",$H17="",$I17="",$J17="",$K17="",$L17="",$AL17="",$AM17=""),"",((($G17*(1-$AM17))-$H17-$I17-$J17-$K17-$L17)/$AL17))</f>
        <v/>
      </c>
      <c r="N17" s="10" t="inlineStr"/>
      <c r="O17" s="10" t="inlineStr"/>
      <c r="P17" s="11">
        <f>IF($O17&lt;&gt;"",$O17,$AN17)</f>
        <v/>
      </c>
      <c r="Q17" s="10" t="inlineStr"/>
      <c r="R17" s="10" t="inlineStr"/>
      <c r="S17" s="10" t="inlineStr"/>
      <c r="T17" s="10" t="inlineStr"/>
      <c r="U17" s="10" t="inlineStr"/>
      <c r="V17" s="10" t="inlineStr"/>
      <c r="W17" s="10" t="inlineStr"/>
      <c r="X17" s="10" t="inlineStr"/>
      <c r="Y17" s="10" t="inlineStr"/>
      <c r="Z17" s="10" t="inlineStr"/>
      <c r="AA17" s="10" t="inlineStr"/>
      <c r="AB17" s="10" t="inlineStr"/>
      <c r="AC17" s="10" t="inlineStr"/>
      <c r="AD17" s="10" t="inlineStr"/>
      <c r="AE17" s="10" t="inlineStr"/>
      <c r="AF17" s="10" t="inlineStr"/>
      <c r="AG17" s="10" t="inlineStr"/>
      <c r="AH17" s="10" t="inlineStr"/>
      <c r="AI17" s="11">
        <f>IFERROR(INDEX(Country_Context!$B$2:$B$64,MATCH($C17,Country_Context!$A$2:$A$64,0)),"")</f>
        <v/>
      </c>
      <c r="AJ17" s="11">
        <f>IFERROR(INDEX(Country_Context!$C$2:$C$64,MATCH($C17,Country_Context!$A$2:$A$64,0)),"")</f>
        <v/>
      </c>
      <c r="AK17" s="11">
        <f>IFERROR(INDEX(Country_Context!$D$2:$D$64,MATCH($C17,Country_Context!$A$2:$A$64,0)),"")</f>
        <v/>
      </c>
      <c r="AL17" s="11">
        <f>IFERROR(INDEX(Country_Context!$E$2:$E$64,MATCH($C17,Country_Context!$A$2:$A$64,0)),"")</f>
        <v/>
      </c>
      <c r="AM17" s="11">
        <f>IFERROR(INDEX(Country_Context!$F$2:$F$64,MATCH($C17,Country_Context!$A$2:$A$64,0)),"")</f>
        <v/>
      </c>
      <c r="AN17" s="11">
        <f>IFERROR(INDEX(Country_Context!$G$2:$G$64,MATCH($C17,Country_Context!$A$2:$A$64,0)),"")</f>
        <v/>
      </c>
      <c r="AO17" s="12" t="inlineStr">
        <is>
          <t>https://api.worldbank.org/v2/country/KOR/indicator/PA.NUS.PRVT.PP?format=json&amp;mrv=30 | https://api.worldbank.org/v2/country/KOR/indicator/GC.TAX.TOTL.GD.ZS?format=json&amp;mrv=30 | https://api.worldbank.org/v2/country/KOR/indicator/FD.AST.PRVT.GD.ZS?format=json&amp;mrv=30</t>
        </is>
      </c>
      <c r="AP17" s="12" t="inlineStr">
        <is>
          <t>Tier 3</t>
        </is>
      </c>
      <c r="AQ17" s="12" t="inlineStr">
        <is>
          <t>2024-12-31</t>
        </is>
      </c>
      <c r="AR17" s="12" t="inlineStr">
        <is>
          <t>providers=world_bank; fields=ppp_private_consumption, tax_rate_assumption, household_debt_proxy</t>
        </is>
      </c>
      <c r="AS17" s="12" t="inlineStr"/>
      <c r="AT17" s="12" t="inlineStr"/>
      <c r="AU17" s="12" t="inlineStr"/>
      <c r="AV17" s="12" t="inlineStr"/>
      <c r="AW17" s="12" t="inlineStr">
        <is>
          <t>https://api.worldbank.org/v2/country/KOR/indicator/SI.POV.GINI?format=json&amp;mrv=30</t>
        </is>
      </c>
      <c r="AX17" s="12" t="inlineStr">
        <is>
          <t>Tier 3</t>
        </is>
      </c>
      <c r="AY17" s="12" t="inlineStr">
        <is>
          <t>2021-12-31</t>
        </is>
      </c>
      <c r="AZ17" s="12" t="inlineStr">
        <is>
          <t>providers=world_bank; fields=gini_coefficient</t>
        </is>
      </c>
      <c r="BA17" s="12" t="inlineStr"/>
      <c r="BB17" s="12" t="inlineStr"/>
      <c r="BC17" s="12" t="inlineStr"/>
      <c r="BD17" s="12" t="inlineStr"/>
      <c r="BE17" s="12" t="inlineStr">
        <is>
          <t>https://api.worldbank.org/v2/country/KOR/indicator/NY.GDP.PCAP.PP.CD?format=json&amp;mrv=30 | https://api.worldbank.org/v2/country/KOR/indicator/NY.GDP.MKTP.KD.ZG?format=json&amp;mrv=30</t>
        </is>
      </c>
      <c r="BF17" s="12" t="inlineStr">
        <is>
          <t>Tier 3</t>
        </is>
      </c>
      <c r="BG17" s="12" t="inlineStr">
        <is>
          <t>2024-12-31</t>
        </is>
      </c>
      <c r="BH17" s="12" t="inlineStr">
        <is>
          <t>providers=world_bank; fields=gdp_per_capita_ppp, gdp_growth</t>
        </is>
      </c>
    </row>
    <row r="18">
      <c r="A18" s="9" t="inlineStr">
        <is>
          <t>jp-fukuoka</t>
        </is>
      </c>
      <c r="B18" s="9" t="inlineStr">
        <is>
          <t>Fukuoka</t>
        </is>
      </c>
      <c r="C18" s="9" t="inlineStr">
        <is>
          <t>Japan</t>
        </is>
      </c>
      <c r="D18" s="9" t="inlineStr">
        <is>
          <t>East Asia</t>
        </is>
      </c>
      <c r="E18" s="9" t="inlineStr">
        <is>
          <t>secondary</t>
        </is>
      </c>
      <c r="F18" s="9" t="inlineStr">
        <is>
          <t>locked</t>
        </is>
      </c>
      <c r="G18" s="10" t="inlineStr"/>
      <c r="H18" s="10" t="inlineStr"/>
      <c r="I18" s="10" t="inlineStr"/>
      <c r="J18" s="10" t="inlineStr"/>
      <c r="K18" s="10" t="inlineStr"/>
      <c r="L18" s="10" t="inlineStr"/>
      <c r="M18" s="11">
        <f>IF(OR($G18="",$H18="",$I18="",$J18="",$K18="",$L18="",$AL18="",$AM18=""),"",((($G18*(1-$AM18))-$H18-$I18-$J18-$K18-$L18)/$AL18))</f>
        <v/>
      </c>
      <c r="N18" s="10" t="inlineStr"/>
      <c r="O18" s="10" t="inlineStr"/>
      <c r="P18" s="11">
        <f>IF($O18&lt;&gt;"",$O18,$AN18)</f>
        <v/>
      </c>
      <c r="Q18" s="10" t="inlineStr"/>
      <c r="R18" s="10" t="inlineStr"/>
      <c r="S18" s="10" t="inlineStr"/>
      <c r="T18" s="10" t="inlineStr"/>
      <c r="U18" s="10" t="inlineStr"/>
      <c r="V18" s="10" t="inlineStr"/>
      <c r="W18" s="10" t="inlineStr"/>
      <c r="X18" s="10" t="inlineStr"/>
      <c r="Y18" s="10" t="inlineStr"/>
      <c r="Z18" s="10" t="inlineStr"/>
      <c r="AA18" s="10" t="inlineStr"/>
      <c r="AB18" s="10" t="inlineStr"/>
      <c r="AC18" s="10" t="inlineStr"/>
      <c r="AD18" s="10" t="inlineStr"/>
      <c r="AE18" s="10" t="inlineStr"/>
      <c r="AF18" s="10" t="inlineStr"/>
      <c r="AG18" s="10" t="inlineStr"/>
      <c r="AH18" s="10" t="inlineStr"/>
      <c r="AI18" s="11">
        <f>IFERROR(INDEX(Country_Context!$B$2:$B$64,MATCH($C18,Country_Context!$A$2:$A$64,0)),"")</f>
        <v/>
      </c>
      <c r="AJ18" s="11">
        <f>IFERROR(INDEX(Country_Context!$C$2:$C$64,MATCH($C18,Country_Context!$A$2:$A$64,0)),"")</f>
        <v/>
      </c>
      <c r="AK18" s="11">
        <f>IFERROR(INDEX(Country_Context!$D$2:$D$64,MATCH($C18,Country_Context!$A$2:$A$64,0)),"")</f>
        <v/>
      </c>
      <c r="AL18" s="11">
        <f>IFERROR(INDEX(Country_Context!$E$2:$E$64,MATCH($C18,Country_Context!$A$2:$A$64,0)),"")</f>
        <v/>
      </c>
      <c r="AM18" s="11">
        <f>IFERROR(INDEX(Country_Context!$F$2:$F$64,MATCH($C18,Country_Context!$A$2:$A$64,0)),"")</f>
        <v/>
      </c>
      <c r="AN18" s="11">
        <f>IFERROR(INDEX(Country_Context!$G$2:$G$64,MATCH($C18,Country_Context!$A$2:$A$64,0)),"")</f>
        <v/>
      </c>
      <c r="AO18" s="12" t="inlineStr">
        <is>
          <t>https://api.worldbank.org/v2/country/JPN/indicator/PA.NUS.PRVT.PP?format=json&amp;mrv=30 | https://api.worldbank.org/v2/country/JPN/indicator/FD.AST.PRVT.GD.ZS?format=json&amp;mrv=30</t>
        </is>
      </c>
      <c r="AP18" s="12" t="inlineStr">
        <is>
          <t>Tier 3</t>
        </is>
      </c>
      <c r="AQ18" s="12" t="inlineStr">
        <is>
          <t>2024-12-31</t>
        </is>
      </c>
      <c r="AR18" s="12" t="inlineStr">
        <is>
          <t>providers=world_bank; fields=ppp_private_consumption, household_debt_proxy</t>
        </is>
      </c>
      <c r="AS18" s="12" t="inlineStr"/>
      <c r="AT18" s="12" t="inlineStr"/>
      <c r="AU18" s="12" t="inlineStr"/>
      <c r="AV18" s="12" t="inlineStr"/>
      <c r="AW18" s="12" t="inlineStr">
        <is>
          <t>https://api.worldbank.org/v2/country/JPN/indicator/SI.POV.GINI?format=json&amp;mrv=30</t>
        </is>
      </c>
      <c r="AX18" s="12" t="inlineStr">
        <is>
          <t>Tier 3</t>
        </is>
      </c>
      <c r="AY18" s="12" t="inlineStr">
        <is>
          <t>2020-12-31</t>
        </is>
      </c>
      <c r="AZ18" s="12" t="inlineStr">
        <is>
          <t>providers=world_bank; fields=gini_coefficient</t>
        </is>
      </c>
      <c r="BA18" s="12" t="inlineStr"/>
      <c r="BB18" s="12" t="inlineStr"/>
      <c r="BC18" s="12" t="inlineStr"/>
      <c r="BD18" s="12" t="inlineStr"/>
      <c r="BE18" s="12" t="inlineStr">
        <is>
          <t>https://api.worldbank.org/v2/country/JPN/indicator/NY.GDP.PCAP.PP.CD?format=json&amp;mrv=30 | https://api.worldbank.org/v2/country/JPN/indicator/NY.GDP.MKTP.KD.ZG?format=json&amp;mrv=30</t>
        </is>
      </c>
      <c r="BF18" s="12" t="inlineStr">
        <is>
          <t>Tier 3</t>
        </is>
      </c>
      <c r="BG18" s="12" t="inlineStr">
        <is>
          <t>2024-12-31</t>
        </is>
      </c>
      <c r="BH18" s="12" t="inlineStr">
        <is>
          <t>providers=world_bank; fields=gdp_per_capita_ppp, gdp_growth</t>
        </is>
      </c>
    </row>
    <row r="19">
      <c r="A19" s="9" t="inlineStr">
        <is>
          <t>jp-kobe</t>
        </is>
      </c>
      <c r="B19" s="9" t="inlineStr">
        <is>
          <t>Kobe</t>
        </is>
      </c>
      <c r="C19" s="9" t="inlineStr">
        <is>
          <t>Japan</t>
        </is>
      </c>
      <c r="D19" s="9" t="inlineStr">
        <is>
          <t>East Asia</t>
        </is>
      </c>
      <c r="E19" s="9" t="inlineStr">
        <is>
          <t>secondary</t>
        </is>
      </c>
      <c r="F19" s="9" t="inlineStr">
        <is>
          <t>locked</t>
        </is>
      </c>
      <c r="G19" s="10" t="inlineStr"/>
      <c r="H19" s="10" t="inlineStr"/>
      <c r="I19" s="10" t="inlineStr"/>
      <c r="J19" s="10" t="inlineStr"/>
      <c r="K19" s="10" t="inlineStr"/>
      <c r="L19" s="10" t="inlineStr"/>
      <c r="M19" s="11">
        <f>IF(OR($G19="",$H19="",$I19="",$J19="",$K19="",$L19="",$AL19="",$AM19=""),"",((($G19*(1-$AM19))-$H19-$I19-$J19-$K19-$L19)/$AL19))</f>
        <v/>
      </c>
      <c r="N19" s="10" t="inlineStr"/>
      <c r="O19" s="10" t="inlineStr"/>
      <c r="P19" s="11">
        <f>IF($O19&lt;&gt;"",$O19,$AN19)</f>
        <v/>
      </c>
      <c r="Q19" s="10" t="inlineStr"/>
      <c r="R19" s="10" t="inlineStr"/>
      <c r="S19" s="10" t="inlineStr"/>
      <c r="T19" s="10" t="inlineStr"/>
      <c r="U19" s="10" t="inlineStr"/>
      <c r="V19" s="10" t="inlineStr"/>
      <c r="W19" s="10" t="inlineStr"/>
      <c r="X19" s="10" t="inlineStr"/>
      <c r="Y19" s="10" t="inlineStr"/>
      <c r="Z19" s="10" t="inlineStr"/>
      <c r="AA19" s="10" t="inlineStr"/>
      <c r="AB19" s="10" t="inlineStr"/>
      <c r="AC19" s="10" t="inlineStr"/>
      <c r="AD19" s="10" t="inlineStr"/>
      <c r="AE19" s="10" t="inlineStr"/>
      <c r="AF19" s="10" t="inlineStr"/>
      <c r="AG19" s="10" t="inlineStr"/>
      <c r="AH19" s="10" t="inlineStr"/>
      <c r="AI19" s="11">
        <f>IFERROR(INDEX(Country_Context!$B$2:$B$64,MATCH($C19,Country_Context!$A$2:$A$64,0)),"")</f>
        <v/>
      </c>
      <c r="AJ19" s="11">
        <f>IFERROR(INDEX(Country_Context!$C$2:$C$64,MATCH($C19,Country_Context!$A$2:$A$64,0)),"")</f>
        <v/>
      </c>
      <c r="AK19" s="11">
        <f>IFERROR(INDEX(Country_Context!$D$2:$D$64,MATCH($C19,Country_Context!$A$2:$A$64,0)),"")</f>
        <v/>
      </c>
      <c r="AL19" s="11">
        <f>IFERROR(INDEX(Country_Context!$E$2:$E$64,MATCH($C19,Country_Context!$A$2:$A$64,0)),"")</f>
        <v/>
      </c>
      <c r="AM19" s="11">
        <f>IFERROR(INDEX(Country_Context!$F$2:$F$64,MATCH($C19,Country_Context!$A$2:$A$64,0)),"")</f>
        <v/>
      </c>
      <c r="AN19" s="11">
        <f>IFERROR(INDEX(Country_Context!$G$2:$G$64,MATCH($C19,Country_Context!$A$2:$A$64,0)),"")</f>
        <v/>
      </c>
      <c r="AO19" s="12" t="inlineStr">
        <is>
          <t>https://api.worldbank.org/v2/country/JPN/indicator/PA.NUS.PRVT.PP?format=json&amp;mrv=30 | https://api.worldbank.org/v2/country/JPN/indicator/FD.AST.PRVT.GD.ZS?format=json&amp;mrv=30</t>
        </is>
      </c>
      <c r="AP19" s="12" t="inlineStr">
        <is>
          <t>Tier 3</t>
        </is>
      </c>
      <c r="AQ19" s="12" t="inlineStr">
        <is>
          <t>2024-12-31</t>
        </is>
      </c>
      <c r="AR19" s="12" t="inlineStr">
        <is>
          <t>providers=world_bank; fields=ppp_private_consumption, household_debt_proxy</t>
        </is>
      </c>
      <c r="AS19" s="12" t="inlineStr"/>
      <c r="AT19" s="12" t="inlineStr"/>
      <c r="AU19" s="12" t="inlineStr"/>
      <c r="AV19" s="12" t="inlineStr"/>
      <c r="AW19" s="12" t="inlineStr">
        <is>
          <t>https://api.worldbank.org/v2/country/JPN/indicator/SI.POV.GINI?format=json&amp;mrv=30</t>
        </is>
      </c>
      <c r="AX19" s="12" t="inlineStr">
        <is>
          <t>Tier 3</t>
        </is>
      </c>
      <c r="AY19" s="12" t="inlineStr">
        <is>
          <t>2020-12-31</t>
        </is>
      </c>
      <c r="AZ19" s="12" t="inlineStr">
        <is>
          <t>providers=world_bank; fields=gini_coefficient</t>
        </is>
      </c>
      <c r="BA19" s="12" t="inlineStr"/>
      <c r="BB19" s="12" t="inlineStr"/>
      <c r="BC19" s="12" t="inlineStr"/>
      <c r="BD19" s="12" t="inlineStr"/>
      <c r="BE19" s="12" t="inlineStr">
        <is>
          <t>https://api.worldbank.org/v2/country/JPN/indicator/NY.GDP.PCAP.PP.CD?format=json&amp;mrv=30 | https://api.worldbank.org/v2/country/JPN/indicator/NY.GDP.MKTP.KD.ZG?format=json&amp;mrv=30</t>
        </is>
      </c>
      <c r="BF19" s="12" t="inlineStr">
        <is>
          <t>Tier 3</t>
        </is>
      </c>
      <c r="BG19" s="12" t="inlineStr">
        <is>
          <t>2024-12-31</t>
        </is>
      </c>
      <c r="BH19" s="12" t="inlineStr">
        <is>
          <t>providers=world_bank; fields=gdp_per_capita_ppp, gdp_growth</t>
        </is>
      </c>
    </row>
    <row r="20">
      <c r="A20" s="9" t="inlineStr">
        <is>
          <t>jp-sapporo</t>
        </is>
      </c>
      <c r="B20" s="9" t="inlineStr">
        <is>
          <t>Sapporo</t>
        </is>
      </c>
      <c r="C20" s="9" t="inlineStr">
        <is>
          <t>Japan</t>
        </is>
      </c>
      <c r="D20" s="9" t="inlineStr">
        <is>
          <t>East Asia</t>
        </is>
      </c>
      <c r="E20" s="9" t="inlineStr">
        <is>
          <t>secondary</t>
        </is>
      </c>
      <c r="F20" s="9" t="inlineStr">
        <is>
          <t>locked</t>
        </is>
      </c>
      <c r="G20" s="10" t="inlineStr"/>
      <c r="H20" s="10" t="inlineStr"/>
      <c r="I20" s="10" t="inlineStr"/>
      <c r="J20" s="10" t="inlineStr"/>
      <c r="K20" s="10" t="inlineStr"/>
      <c r="L20" s="10" t="inlineStr"/>
      <c r="M20" s="11">
        <f>IF(OR($G20="",$H20="",$I20="",$J20="",$K20="",$L20="",$AL20="",$AM20=""),"",((($G20*(1-$AM20))-$H20-$I20-$J20-$K20-$L20)/$AL20))</f>
        <v/>
      </c>
      <c r="N20" s="10" t="inlineStr"/>
      <c r="O20" s="10" t="inlineStr"/>
      <c r="P20" s="11">
        <f>IF($O20&lt;&gt;"",$O20,$AN20)</f>
        <v/>
      </c>
      <c r="Q20" s="10" t="inlineStr"/>
      <c r="R20" s="10" t="inlineStr"/>
      <c r="S20" s="10" t="inlineStr"/>
      <c r="T20" s="10" t="inlineStr"/>
      <c r="U20" s="10" t="inlineStr"/>
      <c r="V20" s="10" t="inlineStr"/>
      <c r="W20" s="10" t="inlineStr"/>
      <c r="X20" s="10" t="inlineStr"/>
      <c r="Y20" s="10" t="inlineStr"/>
      <c r="Z20" s="10" t="inlineStr"/>
      <c r="AA20" s="10" t="inlineStr"/>
      <c r="AB20" s="10" t="inlineStr"/>
      <c r="AC20" s="10" t="inlineStr"/>
      <c r="AD20" s="10" t="inlineStr"/>
      <c r="AE20" s="10" t="inlineStr"/>
      <c r="AF20" s="10" t="inlineStr"/>
      <c r="AG20" s="10" t="inlineStr"/>
      <c r="AH20" s="10" t="inlineStr"/>
      <c r="AI20" s="11">
        <f>IFERROR(INDEX(Country_Context!$B$2:$B$64,MATCH($C20,Country_Context!$A$2:$A$64,0)),"")</f>
        <v/>
      </c>
      <c r="AJ20" s="11">
        <f>IFERROR(INDEX(Country_Context!$C$2:$C$64,MATCH($C20,Country_Context!$A$2:$A$64,0)),"")</f>
        <v/>
      </c>
      <c r="AK20" s="11">
        <f>IFERROR(INDEX(Country_Context!$D$2:$D$64,MATCH($C20,Country_Context!$A$2:$A$64,0)),"")</f>
        <v/>
      </c>
      <c r="AL20" s="11">
        <f>IFERROR(INDEX(Country_Context!$E$2:$E$64,MATCH($C20,Country_Context!$A$2:$A$64,0)),"")</f>
        <v/>
      </c>
      <c r="AM20" s="11">
        <f>IFERROR(INDEX(Country_Context!$F$2:$F$64,MATCH($C20,Country_Context!$A$2:$A$64,0)),"")</f>
        <v/>
      </c>
      <c r="AN20" s="11">
        <f>IFERROR(INDEX(Country_Context!$G$2:$G$64,MATCH($C20,Country_Context!$A$2:$A$64,0)),"")</f>
        <v/>
      </c>
      <c r="AO20" s="12" t="inlineStr">
        <is>
          <t>https://api.worldbank.org/v2/country/JPN/indicator/PA.NUS.PRVT.PP?format=json&amp;mrv=30 | https://api.worldbank.org/v2/country/JPN/indicator/FD.AST.PRVT.GD.ZS?format=json&amp;mrv=30</t>
        </is>
      </c>
      <c r="AP20" s="12" t="inlineStr">
        <is>
          <t>Tier 3</t>
        </is>
      </c>
      <c r="AQ20" s="12" t="inlineStr">
        <is>
          <t>2024-12-31</t>
        </is>
      </c>
      <c r="AR20" s="12" t="inlineStr">
        <is>
          <t>providers=world_bank; fields=ppp_private_consumption, household_debt_proxy</t>
        </is>
      </c>
      <c r="AS20" s="12" t="inlineStr"/>
      <c r="AT20" s="12" t="inlineStr"/>
      <c r="AU20" s="12" t="inlineStr"/>
      <c r="AV20" s="12" t="inlineStr"/>
      <c r="AW20" s="12" t="inlineStr">
        <is>
          <t>https://api.worldbank.org/v2/country/JPN/indicator/SI.POV.GINI?format=json&amp;mrv=30</t>
        </is>
      </c>
      <c r="AX20" s="12" t="inlineStr">
        <is>
          <t>Tier 3</t>
        </is>
      </c>
      <c r="AY20" s="12" t="inlineStr">
        <is>
          <t>2020-12-31</t>
        </is>
      </c>
      <c r="AZ20" s="12" t="inlineStr">
        <is>
          <t>providers=world_bank; fields=gini_coefficient</t>
        </is>
      </c>
      <c r="BA20" s="12" t="inlineStr"/>
      <c r="BB20" s="12" t="inlineStr"/>
      <c r="BC20" s="12" t="inlineStr"/>
      <c r="BD20" s="12" t="inlineStr"/>
      <c r="BE20" s="12" t="inlineStr">
        <is>
          <t>https://api.worldbank.org/v2/country/JPN/indicator/NY.GDP.PCAP.PP.CD?format=json&amp;mrv=30 | https://api.worldbank.org/v2/country/JPN/indicator/NY.GDP.MKTP.KD.ZG?format=json&amp;mrv=30</t>
        </is>
      </c>
      <c r="BF20" s="12" t="inlineStr">
        <is>
          <t>Tier 3</t>
        </is>
      </c>
      <c r="BG20" s="12" t="inlineStr">
        <is>
          <t>2024-12-31</t>
        </is>
      </c>
      <c r="BH20" s="12" t="inlineStr">
        <is>
          <t>providers=world_bank; fields=gdp_per_capita_ppp, gdp_growth</t>
        </is>
      </c>
    </row>
    <row r="21">
      <c r="A21" s="9" t="inlineStr">
        <is>
          <t>cn-tianjin</t>
        </is>
      </c>
      <c r="B21" s="9" t="inlineStr">
        <is>
          <t>Tianjin</t>
        </is>
      </c>
      <c r="C21" s="9" t="inlineStr">
        <is>
          <t>China</t>
        </is>
      </c>
      <c r="D21" s="9" t="inlineStr">
        <is>
          <t>East Asia</t>
        </is>
      </c>
      <c r="E21" s="9" t="inlineStr">
        <is>
          <t>secondary</t>
        </is>
      </c>
      <c r="F21" s="9" t="inlineStr">
        <is>
          <t>provisional</t>
        </is>
      </c>
      <c r="G21" s="10" t="inlineStr"/>
      <c r="H21" s="10" t="inlineStr"/>
      <c r="I21" s="10" t="inlineStr"/>
      <c r="J21" s="10" t="inlineStr"/>
      <c r="K21" s="10" t="inlineStr"/>
      <c r="L21" s="10" t="inlineStr"/>
      <c r="M21" s="11">
        <f>IF(OR($G21="",$H21="",$I21="",$J21="",$K21="",$L21="",$AL21="",$AM21=""),"",((($G21*(1-$AM21))-$H21-$I21-$J21-$K21-$L21)/$AL21))</f>
        <v/>
      </c>
      <c r="N21" s="10" t="inlineStr"/>
      <c r="O21" s="10" t="inlineStr"/>
      <c r="P21" s="11">
        <f>IF($O21&lt;&gt;"",$O21,$AN21)</f>
        <v/>
      </c>
      <c r="Q21" s="10" t="inlineStr"/>
      <c r="R21" s="10" t="inlineStr"/>
      <c r="S21" s="10" t="inlineStr"/>
      <c r="T21" s="10" t="inlineStr"/>
      <c r="U21" s="10" t="inlineStr"/>
      <c r="V21" s="10" t="inlineStr"/>
      <c r="W21" s="10" t="inlineStr"/>
      <c r="X21" s="10" t="inlineStr"/>
      <c r="Y21" s="10" t="inlineStr"/>
      <c r="Z21" s="10" t="inlineStr"/>
      <c r="AA21" s="10" t="inlineStr"/>
      <c r="AB21" s="10" t="inlineStr"/>
      <c r="AC21" s="10" t="inlineStr"/>
      <c r="AD21" s="10" t="inlineStr"/>
      <c r="AE21" s="10" t="inlineStr"/>
      <c r="AF21" s="10" t="inlineStr"/>
      <c r="AG21" s="10" t="inlineStr"/>
      <c r="AH21" s="10" t="inlineStr"/>
      <c r="AI21" s="11">
        <f>IFERROR(INDEX(Country_Context!$B$2:$B$64,MATCH($C21,Country_Context!$A$2:$A$64,0)),"")</f>
        <v/>
      </c>
      <c r="AJ21" s="11">
        <f>IFERROR(INDEX(Country_Context!$C$2:$C$64,MATCH($C21,Country_Context!$A$2:$A$64,0)),"")</f>
        <v/>
      </c>
      <c r="AK21" s="11">
        <f>IFERROR(INDEX(Country_Context!$D$2:$D$64,MATCH($C21,Country_Context!$A$2:$A$64,0)),"")</f>
        <v/>
      </c>
      <c r="AL21" s="11">
        <f>IFERROR(INDEX(Country_Context!$E$2:$E$64,MATCH($C21,Country_Context!$A$2:$A$64,0)),"")</f>
        <v/>
      </c>
      <c r="AM21" s="11">
        <f>IFERROR(INDEX(Country_Context!$F$2:$F$64,MATCH($C21,Country_Context!$A$2:$A$64,0)),"")</f>
        <v/>
      </c>
      <c r="AN21" s="11">
        <f>IFERROR(INDEX(Country_Context!$G$2:$G$64,MATCH($C21,Country_Context!$A$2:$A$64,0)),"")</f>
        <v/>
      </c>
      <c r="AO21" s="12" t="inlineStr">
        <is>
          <t>https://api.worldbank.org/v2/country/CHN/indicator/PA.NUS.PRVT.PP?format=json&amp;mrv=30 | https://api.worldbank.org/v2/country/CHN/indicator/GC.TAX.TOTL.GD.ZS?format=json&amp;mrv=30 | https://api.worldbank.org/v2/country/CHN/indicator/FD.AST.PRVT.GD.ZS?format=json&amp;mrv=30</t>
        </is>
      </c>
      <c r="AP21" s="12" t="inlineStr">
        <is>
          <t>Tier 3</t>
        </is>
      </c>
      <c r="AQ21" s="12" t="inlineStr">
        <is>
          <t>2024-12-31</t>
        </is>
      </c>
      <c r="AR21" s="12" t="inlineStr">
        <is>
          <t>providers=world_bank; fields=ppp_private_consumption, tax_rate_assumption, household_debt_proxy</t>
        </is>
      </c>
      <c r="AS21" s="12" t="inlineStr"/>
      <c r="AT21" s="12" t="inlineStr"/>
      <c r="AU21" s="12" t="inlineStr"/>
      <c r="AV21" s="12" t="inlineStr"/>
      <c r="AW21" s="12" t="inlineStr">
        <is>
          <t>https://api.worldbank.org/v2/country/CHN/indicator/SI.POV.GINI?format=json&amp;mrv=30</t>
        </is>
      </c>
      <c r="AX21" s="12" t="inlineStr">
        <is>
          <t>Tier 3</t>
        </is>
      </c>
      <c r="AY21" s="12" t="inlineStr">
        <is>
          <t>2022-12-31</t>
        </is>
      </c>
      <c r="AZ21" s="12" t="inlineStr">
        <is>
          <t>providers=world_bank; fields=gini_coefficient</t>
        </is>
      </c>
      <c r="BA21" s="12" t="inlineStr"/>
      <c r="BB21" s="12" t="inlineStr"/>
      <c r="BC21" s="12" t="inlineStr"/>
      <c r="BD21" s="12" t="inlineStr"/>
      <c r="BE21" s="12" t="inlineStr">
        <is>
          <t>https://api.worldbank.org/v2/country/CHN/indicator/NY.GDP.PCAP.PP.CD?format=json&amp;mrv=30 | https://api.worldbank.org/v2/country/CHN/indicator/NY.GDP.MKTP.KD.ZG?format=json&amp;mrv=30</t>
        </is>
      </c>
      <c r="BF21" s="12" t="inlineStr">
        <is>
          <t>Tier 3</t>
        </is>
      </c>
      <c r="BG21" s="12" t="inlineStr">
        <is>
          <t>2024-12-31</t>
        </is>
      </c>
      <c r="BH21" s="12" t="inlineStr">
        <is>
          <t>providers=world_bank; fields=gdp_per_capita_ppp, gdp_growth</t>
        </is>
      </c>
    </row>
    <row r="22">
      <c r="A22" s="9" t="inlineStr">
        <is>
          <t>in-bengaluru</t>
        </is>
      </c>
      <c r="B22" s="9" t="inlineStr">
        <is>
          <t>Bengaluru</t>
        </is>
      </c>
      <c r="C22" s="9" t="inlineStr">
        <is>
          <t>India</t>
        </is>
      </c>
      <c r="D22" s="9" t="inlineStr">
        <is>
          <t>South Asia</t>
        </is>
      </c>
      <c r="E22" s="9" t="inlineStr">
        <is>
          <t>primary</t>
        </is>
      </c>
      <c r="F22" s="9" t="inlineStr">
        <is>
          <t>locked</t>
        </is>
      </c>
      <c r="G22" s="10" t="inlineStr"/>
      <c r="H22" s="10" t="inlineStr"/>
      <c r="I22" s="10" t="inlineStr"/>
      <c r="J22" s="10" t="inlineStr"/>
      <c r="K22" s="10" t="inlineStr"/>
      <c r="L22" s="10" t="inlineStr"/>
      <c r="M22" s="11">
        <f>IF(OR($G22="",$H22="",$I22="",$J22="",$K22="",$L22="",$AL22="",$AM22=""),"",((($G22*(1-$AM22))-$H22-$I22-$J22-$K22-$L22)/$AL22))</f>
        <v/>
      </c>
      <c r="N22" s="10" t="inlineStr"/>
      <c r="O22" s="10" t="inlineStr"/>
      <c r="P22" s="11">
        <f>IF($O22&lt;&gt;"",$O22,$AN22)</f>
        <v/>
      </c>
      <c r="Q22" s="10" t="inlineStr"/>
      <c r="R22" s="10" t="inlineStr"/>
      <c r="S22" s="10" t="inlineStr"/>
      <c r="T22" s="10" t="inlineStr"/>
      <c r="U22" s="10" t="inlineStr"/>
      <c r="V22" s="10" t="inlineStr"/>
      <c r="W22" s="10" t="inlineStr"/>
      <c r="X22" s="10" t="inlineStr"/>
      <c r="Y22" s="10" t="inlineStr"/>
      <c r="Z22" s="10" t="inlineStr"/>
      <c r="AA22" s="10" t="inlineStr"/>
      <c r="AB22" s="10" t="inlineStr"/>
      <c r="AC22" s="10" t="inlineStr"/>
      <c r="AD22" s="10" t="inlineStr"/>
      <c r="AE22" s="10" t="inlineStr"/>
      <c r="AF22" s="10" t="inlineStr"/>
      <c r="AG22" s="10" t="inlineStr"/>
      <c r="AH22" s="10" t="inlineStr"/>
      <c r="AI22" s="11">
        <f>IFERROR(INDEX(Country_Context!$B$2:$B$64,MATCH($C22,Country_Context!$A$2:$A$64,0)),"")</f>
        <v/>
      </c>
      <c r="AJ22" s="11">
        <f>IFERROR(INDEX(Country_Context!$C$2:$C$64,MATCH($C22,Country_Context!$A$2:$A$64,0)),"")</f>
        <v/>
      </c>
      <c r="AK22" s="11">
        <f>IFERROR(INDEX(Country_Context!$D$2:$D$64,MATCH($C22,Country_Context!$A$2:$A$64,0)),"")</f>
        <v/>
      </c>
      <c r="AL22" s="11">
        <f>IFERROR(INDEX(Country_Context!$E$2:$E$64,MATCH($C22,Country_Context!$A$2:$A$64,0)),"")</f>
        <v/>
      </c>
      <c r="AM22" s="11">
        <f>IFERROR(INDEX(Country_Context!$F$2:$F$64,MATCH($C22,Country_Context!$A$2:$A$64,0)),"")</f>
        <v/>
      </c>
      <c r="AN22" s="11">
        <f>IFERROR(INDEX(Country_Context!$G$2:$G$64,MATCH($C22,Country_Context!$A$2:$A$64,0)),"")</f>
        <v/>
      </c>
      <c r="AO22" s="12" t="inlineStr">
        <is>
          <t>https://api.worldbank.org/v2/country/IND/indicator/PA.NUS.PRVT.PP?format=json&amp;mrv=30 | https://api.worldbank.org/v2/country/IND/indicator/GC.TAX.TOTL.GD.ZS?format=json&amp;mrv=30 | https://api.worldbank.org/v2/country/IND/indicator/FD.AST.PRVT.GD.ZS?format=json&amp;mrv=30</t>
        </is>
      </c>
      <c r="AP22" s="12" t="inlineStr">
        <is>
          <t>Tier 3</t>
        </is>
      </c>
      <c r="AQ22" s="12" t="inlineStr">
        <is>
          <t>2024-12-31</t>
        </is>
      </c>
      <c r="AR22" s="12" t="inlineStr">
        <is>
          <t>providers=world_bank; fields=ppp_private_consumption, tax_rate_assumption, household_debt_proxy</t>
        </is>
      </c>
      <c r="AS22" s="12" t="inlineStr"/>
      <c r="AT22" s="12" t="inlineStr"/>
      <c r="AU22" s="12" t="inlineStr"/>
      <c r="AV22" s="12" t="inlineStr"/>
      <c r="AW22" s="12" t="inlineStr">
        <is>
          <t>https://api.worldbank.org/v2/country/IND/indicator/SI.POV.GINI?format=json&amp;mrv=30</t>
        </is>
      </c>
      <c r="AX22" s="12" t="inlineStr">
        <is>
          <t>Tier 3</t>
        </is>
      </c>
      <c r="AY22" s="12" t="inlineStr">
        <is>
          <t>2022-12-31</t>
        </is>
      </c>
      <c r="AZ22" s="12" t="inlineStr">
        <is>
          <t>providers=world_bank; fields=gini_coefficient</t>
        </is>
      </c>
      <c r="BA22" s="12" t="inlineStr"/>
      <c r="BB22" s="12" t="inlineStr"/>
      <c r="BC22" s="12" t="inlineStr"/>
      <c r="BD22" s="12" t="inlineStr"/>
      <c r="BE22" s="12" t="inlineStr">
        <is>
          <t>https://api.worldbank.org/v2/country/IND/indicator/NY.GDP.PCAP.PP.CD?format=json&amp;mrv=30 | https://api.worldbank.org/v2/country/IND/indicator/NY.GDP.MKTP.KD.ZG?format=json&amp;mrv=30</t>
        </is>
      </c>
      <c r="BF22" s="12" t="inlineStr">
        <is>
          <t>Tier 3</t>
        </is>
      </c>
      <c r="BG22" s="12" t="inlineStr">
        <is>
          <t>2024-12-31</t>
        </is>
      </c>
      <c r="BH22" s="12" t="inlineStr">
        <is>
          <t>providers=world_bank; fields=gdp_per_capita_ppp, gdp_growth</t>
        </is>
      </c>
    </row>
    <row r="23">
      <c r="A23" s="9" t="inlineStr">
        <is>
          <t>in-hyderabad</t>
        </is>
      </c>
      <c r="B23" s="9" t="inlineStr">
        <is>
          <t>Hyderabad</t>
        </is>
      </c>
      <c r="C23" s="9" t="inlineStr">
        <is>
          <t>India</t>
        </is>
      </c>
      <c r="D23" s="9" t="inlineStr">
        <is>
          <t>South Asia</t>
        </is>
      </c>
      <c r="E23" s="9" t="inlineStr">
        <is>
          <t>primary</t>
        </is>
      </c>
      <c r="F23" s="9" t="inlineStr">
        <is>
          <t>locked</t>
        </is>
      </c>
      <c r="G23" s="10" t="inlineStr"/>
      <c r="H23" s="10" t="inlineStr"/>
      <c r="I23" s="10" t="inlineStr"/>
      <c r="J23" s="10" t="inlineStr"/>
      <c r="K23" s="10" t="inlineStr"/>
      <c r="L23" s="10" t="inlineStr"/>
      <c r="M23" s="11">
        <f>IF(OR($G23="",$H23="",$I23="",$J23="",$K23="",$L23="",$AL23="",$AM23=""),"",((($G23*(1-$AM23))-$H23-$I23-$J23-$K23-$L23)/$AL23))</f>
        <v/>
      </c>
      <c r="N23" s="10" t="inlineStr"/>
      <c r="O23" s="10" t="inlineStr"/>
      <c r="P23" s="11">
        <f>IF($O23&lt;&gt;"",$O23,$AN23)</f>
        <v/>
      </c>
      <c r="Q23" s="10" t="inlineStr"/>
      <c r="R23" s="10" t="inlineStr"/>
      <c r="S23" s="10" t="inlineStr"/>
      <c r="T23" s="10" t="inlineStr"/>
      <c r="U23" s="10" t="inlineStr"/>
      <c r="V23" s="10" t="inlineStr"/>
      <c r="W23" s="10" t="inlineStr"/>
      <c r="X23" s="10" t="inlineStr"/>
      <c r="Y23" s="10" t="inlineStr"/>
      <c r="Z23" s="10" t="inlineStr"/>
      <c r="AA23" s="10" t="inlineStr"/>
      <c r="AB23" s="10" t="inlineStr"/>
      <c r="AC23" s="10" t="inlineStr"/>
      <c r="AD23" s="10" t="inlineStr"/>
      <c r="AE23" s="10" t="inlineStr"/>
      <c r="AF23" s="10" t="inlineStr"/>
      <c r="AG23" s="10" t="inlineStr"/>
      <c r="AH23" s="10" t="inlineStr"/>
      <c r="AI23" s="11">
        <f>IFERROR(INDEX(Country_Context!$B$2:$B$64,MATCH($C23,Country_Context!$A$2:$A$64,0)),"")</f>
        <v/>
      </c>
      <c r="AJ23" s="11">
        <f>IFERROR(INDEX(Country_Context!$C$2:$C$64,MATCH($C23,Country_Context!$A$2:$A$64,0)),"")</f>
        <v/>
      </c>
      <c r="AK23" s="11">
        <f>IFERROR(INDEX(Country_Context!$D$2:$D$64,MATCH($C23,Country_Context!$A$2:$A$64,0)),"")</f>
        <v/>
      </c>
      <c r="AL23" s="11">
        <f>IFERROR(INDEX(Country_Context!$E$2:$E$64,MATCH($C23,Country_Context!$A$2:$A$64,0)),"")</f>
        <v/>
      </c>
      <c r="AM23" s="11">
        <f>IFERROR(INDEX(Country_Context!$F$2:$F$64,MATCH($C23,Country_Context!$A$2:$A$64,0)),"")</f>
        <v/>
      </c>
      <c r="AN23" s="11">
        <f>IFERROR(INDEX(Country_Context!$G$2:$G$64,MATCH($C23,Country_Context!$A$2:$A$64,0)),"")</f>
        <v/>
      </c>
      <c r="AO23" s="12" t="inlineStr">
        <is>
          <t>https://api.worldbank.org/v2/country/IND/indicator/PA.NUS.PRVT.PP?format=json&amp;mrv=30 | https://api.worldbank.org/v2/country/IND/indicator/GC.TAX.TOTL.GD.ZS?format=json&amp;mrv=30 | https://api.worldbank.org/v2/country/IND/indicator/FD.AST.PRVT.GD.ZS?format=json&amp;mrv=30</t>
        </is>
      </c>
      <c r="AP23" s="12" t="inlineStr">
        <is>
          <t>Tier 3</t>
        </is>
      </c>
      <c r="AQ23" s="12" t="inlineStr">
        <is>
          <t>2024-12-31</t>
        </is>
      </c>
      <c r="AR23" s="12" t="inlineStr">
        <is>
          <t>providers=world_bank; fields=ppp_private_consumption, tax_rate_assumption, household_debt_proxy</t>
        </is>
      </c>
      <c r="AS23" s="12" t="inlineStr"/>
      <c r="AT23" s="12" t="inlineStr"/>
      <c r="AU23" s="12" t="inlineStr"/>
      <c r="AV23" s="12" t="inlineStr"/>
      <c r="AW23" s="12" t="inlineStr">
        <is>
          <t>https://api.worldbank.org/v2/country/IND/indicator/SI.POV.GINI?format=json&amp;mrv=30</t>
        </is>
      </c>
      <c r="AX23" s="12" t="inlineStr">
        <is>
          <t>Tier 3</t>
        </is>
      </c>
      <c r="AY23" s="12" t="inlineStr">
        <is>
          <t>2022-12-31</t>
        </is>
      </c>
      <c r="AZ23" s="12" t="inlineStr">
        <is>
          <t>providers=world_bank; fields=gini_coefficient</t>
        </is>
      </c>
      <c r="BA23" s="12" t="inlineStr"/>
      <c r="BB23" s="12" t="inlineStr"/>
      <c r="BC23" s="12" t="inlineStr"/>
      <c r="BD23" s="12" t="inlineStr"/>
      <c r="BE23" s="12" t="inlineStr">
        <is>
          <t>https://api.worldbank.org/v2/country/IND/indicator/NY.GDP.PCAP.PP.CD?format=json&amp;mrv=30 | https://api.worldbank.org/v2/country/IND/indicator/NY.GDP.MKTP.KD.ZG?format=json&amp;mrv=30</t>
        </is>
      </c>
      <c r="BF23" s="12" t="inlineStr">
        <is>
          <t>Tier 3</t>
        </is>
      </c>
      <c r="BG23" s="12" t="inlineStr">
        <is>
          <t>2024-12-31</t>
        </is>
      </c>
      <c r="BH23" s="12" t="inlineStr">
        <is>
          <t>providers=world_bank; fields=gdp_per_capita_ppp, gdp_growth</t>
        </is>
      </c>
    </row>
    <row r="24">
      <c r="A24" s="9" t="inlineStr">
        <is>
          <t>lk-colombo</t>
        </is>
      </c>
      <c r="B24" s="9" t="inlineStr">
        <is>
          <t>Colombo</t>
        </is>
      </c>
      <c r="C24" s="9" t="inlineStr">
        <is>
          <t>Sri Lanka</t>
        </is>
      </c>
      <c r="D24" s="9" t="inlineStr">
        <is>
          <t>South Asia</t>
        </is>
      </c>
      <c r="E24" s="9" t="inlineStr">
        <is>
          <t>primary</t>
        </is>
      </c>
      <c r="F24" s="9" t="inlineStr">
        <is>
          <t>locked</t>
        </is>
      </c>
      <c r="G24" s="10" t="inlineStr"/>
      <c r="H24" s="10" t="inlineStr"/>
      <c r="I24" s="10" t="inlineStr"/>
      <c r="J24" s="10" t="inlineStr"/>
      <c r="K24" s="10" t="inlineStr"/>
      <c r="L24" s="10" t="inlineStr"/>
      <c r="M24" s="11">
        <f>IF(OR($G24="",$H24="",$I24="",$J24="",$K24="",$L24="",$AL24="",$AM24=""),"",((($G24*(1-$AM24))-$H24-$I24-$J24-$K24-$L24)/$AL24))</f>
        <v/>
      </c>
      <c r="N24" s="10" t="inlineStr"/>
      <c r="O24" s="10" t="inlineStr"/>
      <c r="P24" s="11">
        <f>IF($O24&lt;&gt;"",$O24,$AN24)</f>
        <v/>
      </c>
      <c r="Q24" s="10" t="inlineStr"/>
      <c r="R24" s="10" t="inlineStr"/>
      <c r="S24" s="10" t="inlineStr"/>
      <c r="T24" s="10" t="inlineStr"/>
      <c r="U24" s="10" t="inlineStr"/>
      <c r="V24" s="10" t="inlineStr"/>
      <c r="W24" s="10" t="inlineStr"/>
      <c r="X24" s="10" t="inlineStr"/>
      <c r="Y24" s="10" t="inlineStr"/>
      <c r="Z24" s="10" t="inlineStr"/>
      <c r="AA24" s="10" t="inlineStr"/>
      <c r="AB24" s="10" t="inlineStr"/>
      <c r="AC24" s="10" t="inlineStr"/>
      <c r="AD24" s="10" t="inlineStr"/>
      <c r="AE24" s="10" t="inlineStr"/>
      <c r="AF24" s="10" t="inlineStr"/>
      <c r="AG24" s="10" t="inlineStr"/>
      <c r="AH24" s="10" t="inlineStr"/>
      <c r="AI24" s="11">
        <f>IFERROR(INDEX(Country_Context!$B$2:$B$64,MATCH($C24,Country_Context!$A$2:$A$64,0)),"")</f>
        <v/>
      </c>
      <c r="AJ24" s="11">
        <f>IFERROR(INDEX(Country_Context!$C$2:$C$64,MATCH($C24,Country_Context!$A$2:$A$64,0)),"")</f>
        <v/>
      </c>
      <c r="AK24" s="11">
        <f>IFERROR(INDEX(Country_Context!$D$2:$D$64,MATCH($C24,Country_Context!$A$2:$A$64,0)),"")</f>
        <v/>
      </c>
      <c r="AL24" s="11">
        <f>IFERROR(INDEX(Country_Context!$E$2:$E$64,MATCH($C24,Country_Context!$A$2:$A$64,0)),"")</f>
        <v/>
      </c>
      <c r="AM24" s="11">
        <f>IFERROR(INDEX(Country_Context!$F$2:$F$64,MATCH($C24,Country_Context!$A$2:$A$64,0)),"")</f>
        <v/>
      </c>
      <c r="AN24" s="11">
        <f>IFERROR(INDEX(Country_Context!$G$2:$G$64,MATCH($C24,Country_Context!$A$2:$A$64,0)),"")</f>
        <v/>
      </c>
      <c r="AO24" s="12" t="inlineStr">
        <is>
          <t>https://api.worldbank.org/v2/country/LKA/indicator/PA.NUS.PRVT.PP?format=json&amp;mrv=30 | https://api.worldbank.org/v2/country/LKA/indicator/GC.TAX.TOTL.GD.ZS?format=json&amp;mrv=30 | https://api.worldbank.org/v2/country/LKA/indicator/FD.AST.PRVT.GD.ZS?format=json&amp;mrv=30</t>
        </is>
      </c>
      <c r="AP24" s="12" t="inlineStr">
        <is>
          <t>Tier 3</t>
        </is>
      </c>
      <c r="AQ24" s="12" t="inlineStr">
        <is>
          <t>2024-12-31</t>
        </is>
      </c>
      <c r="AR24" s="12" t="inlineStr">
        <is>
          <t>providers=world_bank; fields=ppp_private_consumption, tax_rate_assumption, household_debt_proxy</t>
        </is>
      </c>
      <c r="AS24" s="12" t="inlineStr"/>
      <c r="AT24" s="12" t="inlineStr"/>
      <c r="AU24" s="12" t="inlineStr"/>
      <c r="AV24" s="12" t="inlineStr"/>
      <c r="AW24" s="12" t="inlineStr">
        <is>
          <t>https://api.worldbank.org/v2/country/LKA/indicator/SI.POV.GINI?format=json&amp;mrv=30</t>
        </is>
      </c>
      <c r="AX24" s="12" t="inlineStr">
        <is>
          <t>Tier 3</t>
        </is>
      </c>
      <c r="AY24" s="12" t="inlineStr">
        <is>
          <t>2019-12-31</t>
        </is>
      </c>
      <c r="AZ24" s="12" t="inlineStr">
        <is>
          <t>providers=world_bank; fields=gini_coefficient</t>
        </is>
      </c>
      <c r="BA24" s="12" t="inlineStr"/>
      <c r="BB24" s="12" t="inlineStr"/>
      <c r="BC24" s="12" t="inlineStr"/>
      <c r="BD24" s="12" t="inlineStr"/>
      <c r="BE24" s="12" t="inlineStr">
        <is>
          <t>https://api.worldbank.org/v2/country/LKA/indicator/NY.GDP.PCAP.PP.CD?format=json&amp;mrv=30 | https://api.worldbank.org/v2/country/LKA/indicator/NY.GDP.MKTP.KD.ZG?format=json&amp;mrv=30</t>
        </is>
      </c>
      <c r="BF24" s="12" t="inlineStr">
        <is>
          <t>Tier 3</t>
        </is>
      </c>
      <c r="BG24" s="12" t="inlineStr">
        <is>
          <t>2024-12-31</t>
        </is>
      </c>
      <c r="BH24" s="12" t="inlineStr">
        <is>
          <t>providers=world_bank; fields=gdp_per_capita_ppp, gdp_growth</t>
        </is>
      </c>
    </row>
    <row r="25">
      <c r="A25" s="9" t="inlineStr">
        <is>
          <t>bd-dhaka</t>
        </is>
      </c>
      <c r="B25" s="9" t="inlineStr">
        <is>
          <t>Dhaka</t>
        </is>
      </c>
      <c r="C25" s="9" t="inlineStr">
        <is>
          <t>Bangladesh</t>
        </is>
      </c>
      <c r="D25" s="9" t="inlineStr">
        <is>
          <t>South Asia</t>
        </is>
      </c>
      <c r="E25" s="9" t="inlineStr">
        <is>
          <t>primary</t>
        </is>
      </c>
      <c r="F25" s="9" t="inlineStr">
        <is>
          <t>provisional</t>
        </is>
      </c>
      <c r="G25" s="10" t="inlineStr"/>
      <c r="H25" s="10" t="inlineStr"/>
      <c r="I25" s="10" t="inlineStr"/>
      <c r="J25" s="10" t="inlineStr"/>
      <c r="K25" s="10" t="inlineStr"/>
      <c r="L25" s="10" t="inlineStr"/>
      <c r="M25" s="11">
        <f>IF(OR($G25="",$H25="",$I25="",$J25="",$K25="",$L25="",$AL25="",$AM25=""),"",((($G25*(1-$AM25))-$H25-$I25-$J25-$K25-$L25)/$AL25))</f>
        <v/>
      </c>
      <c r="N25" s="10" t="inlineStr"/>
      <c r="O25" s="10" t="inlineStr"/>
      <c r="P25" s="11">
        <f>IF($O25&lt;&gt;"",$O25,$AN25)</f>
        <v/>
      </c>
      <c r="Q25" s="10" t="inlineStr"/>
      <c r="R25" s="10" t="inlineStr"/>
      <c r="S25" s="10" t="inlineStr"/>
      <c r="T25" s="10" t="inlineStr"/>
      <c r="U25" s="10" t="inlineStr"/>
      <c r="V25" s="10" t="inlineStr"/>
      <c r="W25" s="10" t="inlineStr"/>
      <c r="X25" s="10" t="inlineStr"/>
      <c r="Y25" s="10" t="inlineStr"/>
      <c r="Z25" s="10" t="inlineStr"/>
      <c r="AA25" s="10" t="inlineStr"/>
      <c r="AB25" s="10" t="inlineStr"/>
      <c r="AC25" s="10" t="inlineStr"/>
      <c r="AD25" s="10" t="inlineStr"/>
      <c r="AE25" s="10" t="inlineStr"/>
      <c r="AF25" s="10" t="inlineStr"/>
      <c r="AG25" s="10" t="inlineStr"/>
      <c r="AH25" s="10" t="inlineStr"/>
      <c r="AI25" s="11">
        <f>IFERROR(INDEX(Country_Context!$B$2:$B$64,MATCH($C25,Country_Context!$A$2:$A$64,0)),"")</f>
        <v/>
      </c>
      <c r="AJ25" s="11">
        <f>IFERROR(INDEX(Country_Context!$C$2:$C$64,MATCH($C25,Country_Context!$A$2:$A$64,0)),"")</f>
        <v/>
      </c>
      <c r="AK25" s="11">
        <f>IFERROR(INDEX(Country_Context!$D$2:$D$64,MATCH($C25,Country_Context!$A$2:$A$64,0)),"")</f>
        <v/>
      </c>
      <c r="AL25" s="11">
        <f>IFERROR(INDEX(Country_Context!$E$2:$E$64,MATCH($C25,Country_Context!$A$2:$A$64,0)),"")</f>
        <v/>
      </c>
      <c r="AM25" s="11">
        <f>IFERROR(INDEX(Country_Context!$F$2:$F$64,MATCH($C25,Country_Context!$A$2:$A$64,0)),"")</f>
        <v/>
      </c>
      <c r="AN25" s="11">
        <f>IFERROR(INDEX(Country_Context!$G$2:$G$64,MATCH($C25,Country_Context!$A$2:$A$64,0)),"")</f>
        <v/>
      </c>
      <c r="AO25" s="12" t="inlineStr">
        <is>
          <t>https://api.worldbank.org/v2/country/BGD/indicator/PA.NUS.PRVT.PP?format=json&amp;mrv=30 | https://api.worldbank.org/v2/country/BGD/indicator/GC.TAX.TOTL.GD.ZS?format=json&amp;mrv=30 | https://api.worldbank.org/v2/country/BGD/indicator/FD.AST.PRVT.GD.ZS?format=json&amp;mrv=30</t>
        </is>
      </c>
      <c r="AP25" s="12" t="inlineStr">
        <is>
          <t>Tier 3</t>
        </is>
      </c>
      <c r="AQ25" s="12" t="inlineStr">
        <is>
          <t>2024-12-31</t>
        </is>
      </c>
      <c r="AR25" s="12" t="inlineStr">
        <is>
          <t>providers=world_bank; fields=ppp_private_consumption, tax_rate_assumption, household_debt_proxy</t>
        </is>
      </c>
      <c r="AS25" s="12" t="inlineStr"/>
      <c r="AT25" s="12" t="inlineStr"/>
      <c r="AU25" s="12" t="inlineStr"/>
      <c r="AV25" s="12" t="inlineStr"/>
      <c r="AW25" s="12" t="inlineStr">
        <is>
          <t>https://api.worldbank.org/v2/country/BGD/indicator/SI.POV.GINI?format=json&amp;mrv=30</t>
        </is>
      </c>
      <c r="AX25" s="12" t="inlineStr">
        <is>
          <t>Tier 3</t>
        </is>
      </c>
      <c r="AY25" s="12" t="inlineStr">
        <is>
          <t>2022-12-31</t>
        </is>
      </c>
      <c r="AZ25" s="12" t="inlineStr">
        <is>
          <t>providers=world_bank; fields=gini_coefficient</t>
        </is>
      </c>
      <c r="BA25" s="12" t="inlineStr"/>
      <c r="BB25" s="12" t="inlineStr"/>
      <c r="BC25" s="12" t="inlineStr"/>
      <c r="BD25" s="12" t="inlineStr"/>
      <c r="BE25" s="12" t="inlineStr">
        <is>
          <t>https://api.worldbank.org/v2/country/BGD/indicator/NY.GDP.PCAP.PP.CD?format=json&amp;mrv=30 | https://api.worldbank.org/v2/country/BGD/indicator/NY.GDP.MKTP.KD.ZG?format=json&amp;mrv=30</t>
        </is>
      </c>
      <c r="BF25" s="12" t="inlineStr">
        <is>
          <t>Tier 3</t>
        </is>
      </c>
      <c r="BG25" s="12" t="inlineStr">
        <is>
          <t>2024-12-31</t>
        </is>
      </c>
      <c r="BH25" s="12" t="inlineStr">
        <is>
          <t>providers=world_bank; fields=gdp_per_capita_ppp, gdp_growth</t>
        </is>
      </c>
    </row>
    <row r="26">
      <c r="A26" s="9" t="inlineStr">
        <is>
          <t>pk-karachi</t>
        </is>
      </c>
      <c r="B26" s="9" t="inlineStr">
        <is>
          <t>Karachi</t>
        </is>
      </c>
      <c r="C26" s="9" t="inlineStr">
        <is>
          <t>Pakistan</t>
        </is>
      </c>
      <c r="D26" s="9" t="inlineStr">
        <is>
          <t>South Asia</t>
        </is>
      </c>
      <c r="E26" s="9" t="inlineStr">
        <is>
          <t>primary</t>
        </is>
      </c>
      <c r="F26" s="9" t="inlineStr">
        <is>
          <t>provisional</t>
        </is>
      </c>
      <c r="G26" s="10" t="inlineStr"/>
      <c r="H26" s="10" t="inlineStr"/>
      <c r="I26" s="10" t="inlineStr"/>
      <c r="J26" s="10" t="inlineStr"/>
      <c r="K26" s="10" t="inlineStr"/>
      <c r="L26" s="10" t="inlineStr"/>
      <c r="M26" s="11">
        <f>IF(OR($G26="",$H26="",$I26="",$J26="",$K26="",$L26="",$AL26="",$AM26=""),"",((($G26*(1-$AM26))-$H26-$I26-$J26-$K26-$L26)/$AL26))</f>
        <v/>
      </c>
      <c r="N26" s="10" t="inlineStr"/>
      <c r="O26" s="10" t="inlineStr"/>
      <c r="P26" s="11">
        <f>IF($O26&lt;&gt;"",$O26,$AN26)</f>
        <v/>
      </c>
      <c r="Q26" s="10" t="inlineStr"/>
      <c r="R26" s="10" t="inlineStr"/>
      <c r="S26" s="10" t="inlineStr"/>
      <c r="T26" s="10" t="inlineStr"/>
      <c r="U26" s="10" t="inlineStr"/>
      <c r="V26" s="10" t="inlineStr"/>
      <c r="W26" s="10" t="inlineStr"/>
      <c r="X26" s="10" t="inlineStr"/>
      <c r="Y26" s="10" t="inlineStr"/>
      <c r="Z26" s="10" t="inlineStr"/>
      <c r="AA26" s="10" t="inlineStr"/>
      <c r="AB26" s="10" t="inlineStr"/>
      <c r="AC26" s="10" t="inlineStr"/>
      <c r="AD26" s="10" t="inlineStr"/>
      <c r="AE26" s="10" t="inlineStr"/>
      <c r="AF26" s="10" t="inlineStr"/>
      <c r="AG26" s="10" t="inlineStr"/>
      <c r="AH26" s="10" t="inlineStr"/>
      <c r="AI26" s="11">
        <f>IFERROR(INDEX(Country_Context!$B$2:$B$64,MATCH($C26,Country_Context!$A$2:$A$64,0)),"")</f>
        <v/>
      </c>
      <c r="AJ26" s="11">
        <f>IFERROR(INDEX(Country_Context!$C$2:$C$64,MATCH($C26,Country_Context!$A$2:$A$64,0)),"")</f>
        <v/>
      </c>
      <c r="AK26" s="11">
        <f>IFERROR(INDEX(Country_Context!$D$2:$D$64,MATCH($C26,Country_Context!$A$2:$A$64,0)),"")</f>
        <v/>
      </c>
      <c r="AL26" s="11">
        <f>IFERROR(INDEX(Country_Context!$E$2:$E$64,MATCH($C26,Country_Context!$A$2:$A$64,0)),"")</f>
        <v/>
      </c>
      <c r="AM26" s="11">
        <f>IFERROR(INDEX(Country_Context!$F$2:$F$64,MATCH($C26,Country_Context!$A$2:$A$64,0)),"")</f>
        <v/>
      </c>
      <c r="AN26" s="11">
        <f>IFERROR(INDEX(Country_Context!$G$2:$G$64,MATCH($C26,Country_Context!$A$2:$A$64,0)),"")</f>
        <v/>
      </c>
      <c r="AO26" s="12" t="inlineStr">
        <is>
          <t>https://api.worldbank.org/v2/country/PAK/indicator/PA.NUS.PRVT.PP?format=json&amp;mrv=30 | https://api.worldbank.org/v2/country/PAK/indicator/FD.AST.PRVT.GD.ZS?format=json&amp;mrv=30</t>
        </is>
      </c>
      <c r="AP26" s="12" t="inlineStr">
        <is>
          <t>Tier 3</t>
        </is>
      </c>
      <c r="AQ26" s="12" t="inlineStr">
        <is>
          <t>2024-12-31</t>
        </is>
      </c>
      <c r="AR26" s="12" t="inlineStr">
        <is>
          <t>providers=world_bank; fields=ppp_private_consumption, household_debt_proxy</t>
        </is>
      </c>
      <c r="AS26" s="12" t="inlineStr"/>
      <c r="AT26" s="12" t="inlineStr"/>
      <c r="AU26" s="12" t="inlineStr"/>
      <c r="AV26" s="12" t="inlineStr"/>
      <c r="AW26" s="12" t="inlineStr">
        <is>
          <t>https://api.worldbank.org/v2/country/PAK/indicator/SI.POV.GINI?format=json&amp;mrv=30</t>
        </is>
      </c>
      <c r="AX26" s="12" t="inlineStr">
        <is>
          <t>Tier 3</t>
        </is>
      </c>
      <c r="AY26" s="12" t="inlineStr">
        <is>
          <t>2018-12-31</t>
        </is>
      </c>
      <c r="AZ26" s="12" t="inlineStr">
        <is>
          <t>providers=world_bank; fields=gini_coefficient</t>
        </is>
      </c>
      <c r="BA26" s="12" t="inlineStr"/>
      <c r="BB26" s="12" t="inlineStr"/>
      <c r="BC26" s="12" t="inlineStr"/>
      <c r="BD26" s="12" t="inlineStr"/>
      <c r="BE26" s="12" t="inlineStr">
        <is>
          <t>https://api.worldbank.org/v2/country/PAK/indicator/NY.GDP.PCAP.PP.CD?format=json&amp;mrv=30 | https://api.worldbank.org/v2/country/PAK/indicator/NY.GDP.MKTP.KD.ZG?format=json&amp;mrv=30</t>
        </is>
      </c>
      <c r="BF26" s="12" t="inlineStr">
        <is>
          <t>Tier 3</t>
        </is>
      </c>
      <c r="BG26" s="12" t="inlineStr">
        <is>
          <t>2024-12-31</t>
        </is>
      </c>
      <c r="BH26" s="12" t="inlineStr">
        <is>
          <t>providers=world_bank; fields=gdp_per_capita_ppp, gdp_growth</t>
        </is>
      </c>
    </row>
    <row r="27">
      <c r="A27" s="9" t="inlineStr">
        <is>
          <t>pk-lahore</t>
        </is>
      </c>
      <c r="B27" s="9" t="inlineStr">
        <is>
          <t>Lahore</t>
        </is>
      </c>
      <c r="C27" s="9" t="inlineStr">
        <is>
          <t>Pakistan</t>
        </is>
      </c>
      <c r="D27" s="9" t="inlineStr">
        <is>
          <t>South Asia</t>
        </is>
      </c>
      <c r="E27" s="9" t="inlineStr">
        <is>
          <t>secondary</t>
        </is>
      </c>
      <c r="F27" s="9" t="inlineStr">
        <is>
          <t>locked</t>
        </is>
      </c>
      <c r="G27" s="10" t="inlineStr"/>
      <c r="H27" s="10" t="inlineStr"/>
      <c r="I27" s="10" t="inlineStr"/>
      <c r="J27" s="10" t="inlineStr"/>
      <c r="K27" s="10" t="inlineStr"/>
      <c r="L27" s="10" t="inlineStr"/>
      <c r="M27" s="11">
        <f>IF(OR($G27="",$H27="",$I27="",$J27="",$K27="",$L27="",$AL27="",$AM27=""),"",((($G27*(1-$AM27))-$H27-$I27-$J27-$K27-$L27)/$AL27))</f>
        <v/>
      </c>
      <c r="N27" s="10" t="inlineStr"/>
      <c r="O27" s="10" t="inlineStr"/>
      <c r="P27" s="11">
        <f>IF($O27&lt;&gt;"",$O27,$AN27)</f>
        <v/>
      </c>
      <c r="Q27" s="10" t="inlineStr"/>
      <c r="R27" s="10" t="inlineStr"/>
      <c r="S27" s="10" t="inlineStr"/>
      <c r="T27" s="10" t="inlineStr"/>
      <c r="U27" s="10" t="inlineStr"/>
      <c r="V27" s="10" t="inlineStr"/>
      <c r="W27" s="10" t="inlineStr"/>
      <c r="X27" s="10" t="inlineStr"/>
      <c r="Y27" s="10" t="inlineStr"/>
      <c r="Z27" s="10" t="inlineStr"/>
      <c r="AA27" s="10" t="inlineStr"/>
      <c r="AB27" s="10" t="inlineStr"/>
      <c r="AC27" s="10" t="inlineStr"/>
      <c r="AD27" s="10" t="inlineStr"/>
      <c r="AE27" s="10" t="inlineStr"/>
      <c r="AF27" s="10" t="inlineStr"/>
      <c r="AG27" s="10" t="inlineStr"/>
      <c r="AH27" s="10" t="inlineStr"/>
      <c r="AI27" s="11">
        <f>IFERROR(INDEX(Country_Context!$B$2:$B$64,MATCH($C27,Country_Context!$A$2:$A$64,0)),"")</f>
        <v/>
      </c>
      <c r="AJ27" s="11">
        <f>IFERROR(INDEX(Country_Context!$C$2:$C$64,MATCH($C27,Country_Context!$A$2:$A$64,0)),"")</f>
        <v/>
      </c>
      <c r="AK27" s="11">
        <f>IFERROR(INDEX(Country_Context!$D$2:$D$64,MATCH($C27,Country_Context!$A$2:$A$64,0)),"")</f>
        <v/>
      </c>
      <c r="AL27" s="11">
        <f>IFERROR(INDEX(Country_Context!$E$2:$E$64,MATCH($C27,Country_Context!$A$2:$A$64,0)),"")</f>
        <v/>
      </c>
      <c r="AM27" s="11">
        <f>IFERROR(INDEX(Country_Context!$F$2:$F$64,MATCH($C27,Country_Context!$A$2:$A$64,0)),"")</f>
        <v/>
      </c>
      <c r="AN27" s="11">
        <f>IFERROR(INDEX(Country_Context!$G$2:$G$64,MATCH($C27,Country_Context!$A$2:$A$64,0)),"")</f>
        <v/>
      </c>
      <c r="AO27" s="12" t="inlineStr">
        <is>
          <t>https://api.worldbank.org/v2/country/PAK/indicator/PA.NUS.PRVT.PP?format=json&amp;mrv=30 | https://api.worldbank.org/v2/country/PAK/indicator/FD.AST.PRVT.GD.ZS?format=json&amp;mrv=30</t>
        </is>
      </c>
      <c r="AP27" s="12" t="inlineStr">
        <is>
          <t>Tier 3</t>
        </is>
      </c>
      <c r="AQ27" s="12" t="inlineStr">
        <is>
          <t>2024-12-31</t>
        </is>
      </c>
      <c r="AR27" s="12" t="inlineStr">
        <is>
          <t>providers=world_bank; fields=ppp_private_consumption, household_debt_proxy</t>
        </is>
      </c>
      <c r="AS27" s="12" t="inlineStr"/>
      <c r="AT27" s="12" t="inlineStr"/>
      <c r="AU27" s="12" t="inlineStr"/>
      <c r="AV27" s="12" t="inlineStr"/>
      <c r="AW27" s="12" t="inlineStr">
        <is>
          <t>https://api.worldbank.org/v2/country/PAK/indicator/SI.POV.GINI?format=json&amp;mrv=30</t>
        </is>
      </c>
      <c r="AX27" s="12" t="inlineStr">
        <is>
          <t>Tier 3</t>
        </is>
      </c>
      <c r="AY27" s="12" t="inlineStr">
        <is>
          <t>2018-12-31</t>
        </is>
      </c>
      <c r="AZ27" s="12" t="inlineStr">
        <is>
          <t>providers=world_bank; fields=gini_coefficient</t>
        </is>
      </c>
      <c r="BA27" s="12" t="inlineStr"/>
      <c r="BB27" s="12" t="inlineStr"/>
      <c r="BC27" s="12" t="inlineStr"/>
      <c r="BD27" s="12" t="inlineStr"/>
      <c r="BE27" s="12" t="inlineStr">
        <is>
          <t>https://api.worldbank.org/v2/country/PAK/indicator/NY.GDP.PCAP.PP.CD?format=json&amp;mrv=30 | https://api.worldbank.org/v2/country/PAK/indicator/NY.GDP.MKTP.KD.ZG?format=json&amp;mrv=30</t>
        </is>
      </c>
      <c r="BF27" s="12" t="inlineStr">
        <is>
          <t>Tier 3</t>
        </is>
      </c>
      <c r="BG27" s="12" t="inlineStr">
        <is>
          <t>2024-12-31</t>
        </is>
      </c>
      <c r="BH27" s="12" t="inlineStr">
        <is>
          <t>providers=world_bank; fields=gdp_per_capita_ppp, gdp_growth</t>
        </is>
      </c>
    </row>
    <row r="28">
      <c r="A28" s="9" t="inlineStr">
        <is>
          <t>bd-chattogram</t>
        </is>
      </c>
      <c r="B28" s="9" t="inlineStr">
        <is>
          <t>Chattogram</t>
        </is>
      </c>
      <c r="C28" s="9" t="inlineStr">
        <is>
          <t>Bangladesh</t>
        </is>
      </c>
      <c r="D28" s="9" t="inlineStr">
        <is>
          <t>South Asia</t>
        </is>
      </c>
      <c r="E28" s="9" t="inlineStr">
        <is>
          <t>secondary</t>
        </is>
      </c>
      <c r="F28" s="9" t="inlineStr">
        <is>
          <t>locked</t>
        </is>
      </c>
      <c r="G28" s="10" t="inlineStr"/>
      <c r="H28" s="10" t="inlineStr"/>
      <c r="I28" s="10" t="inlineStr"/>
      <c r="J28" s="10" t="inlineStr"/>
      <c r="K28" s="10" t="inlineStr"/>
      <c r="L28" s="10" t="inlineStr"/>
      <c r="M28" s="11">
        <f>IF(OR($G28="",$H28="",$I28="",$J28="",$K28="",$L28="",$AL28="",$AM28=""),"",((($G28*(1-$AM28))-$H28-$I28-$J28-$K28-$L28)/$AL28))</f>
        <v/>
      </c>
      <c r="N28" s="10" t="inlineStr"/>
      <c r="O28" s="10" t="inlineStr"/>
      <c r="P28" s="11">
        <f>IF($O28&lt;&gt;"",$O28,$AN28)</f>
        <v/>
      </c>
      <c r="Q28" s="10" t="inlineStr"/>
      <c r="R28" s="10" t="inlineStr"/>
      <c r="S28" s="10" t="inlineStr"/>
      <c r="T28" s="10" t="inlineStr"/>
      <c r="U28" s="10" t="inlineStr"/>
      <c r="V28" s="10" t="inlineStr"/>
      <c r="W28" s="10" t="inlineStr"/>
      <c r="X28" s="10" t="inlineStr"/>
      <c r="Y28" s="10" t="inlineStr"/>
      <c r="Z28" s="10" t="inlineStr"/>
      <c r="AA28" s="10" t="inlineStr"/>
      <c r="AB28" s="10" t="inlineStr"/>
      <c r="AC28" s="10" t="inlineStr"/>
      <c r="AD28" s="10" t="inlineStr"/>
      <c r="AE28" s="10" t="inlineStr"/>
      <c r="AF28" s="10" t="inlineStr"/>
      <c r="AG28" s="10" t="inlineStr"/>
      <c r="AH28" s="10" t="inlineStr"/>
      <c r="AI28" s="11">
        <f>IFERROR(INDEX(Country_Context!$B$2:$B$64,MATCH($C28,Country_Context!$A$2:$A$64,0)),"")</f>
        <v/>
      </c>
      <c r="AJ28" s="11">
        <f>IFERROR(INDEX(Country_Context!$C$2:$C$64,MATCH($C28,Country_Context!$A$2:$A$64,0)),"")</f>
        <v/>
      </c>
      <c r="AK28" s="11">
        <f>IFERROR(INDEX(Country_Context!$D$2:$D$64,MATCH($C28,Country_Context!$A$2:$A$64,0)),"")</f>
        <v/>
      </c>
      <c r="AL28" s="11">
        <f>IFERROR(INDEX(Country_Context!$E$2:$E$64,MATCH($C28,Country_Context!$A$2:$A$64,0)),"")</f>
        <v/>
      </c>
      <c r="AM28" s="11">
        <f>IFERROR(INDEX(Country_Context!$F$2:$F$64,MATCH($C28,Country_Context!$A$2:$A$64,0)),"")</f>
        <v/>
      </c>
      <c r="AN28" s="11">
        <f>IFERROR(INDEX(Country_Context!$G$2:$G$64,MATCH($C28,Country_Context!$A$2:$A$64,0)),"")</f>
        <v/>
      </c>
      <c r="AO28" s="12" t="inlineStr">
        <is>
          <t>https://api.worldbank.org/v2/country/BGD/indicator/PA.NUS.PRVT.PP?format=json&amp;mrv=30 | https://api.worldbank.org/v2/country/BGD/indicator/GC.TAX.TOTL.GD.ZS?format=json&amp;mrv=30 | https://api.worldbank.org/v2/country/BGD/indicator/FD.AST.PRVT.GD.ZS?format=json&amp;mrv=30</t>
        </is>
      </c>
      <c r="AP28" s="12" t="inlineStr">
        <is>
          <t>Tier 3</t>
        </is>
      </c>
      <c r="AQ28" s="12" t="inlineStr">
        <is>
          <t>2024-12-31</t>
        </is>
      </c>
      <c r="AR28" s="12" t="inlineStr">
        <is>
          <t>providers=world_bank; fields=ppp_private_consumption, tax_rate_assumption, household_debt_proxy</t>
        </is>
      </c>
      <c r="AS28" s="12" t="inlineStr"/>
      <c r="AT28" s="12" t="inlineStr"/>
      <c r="AU28" s="12" t="inlineStr"/>
      <c r="AV28" s="12" t="inlineStr"/>
      <c r="AW28" s="12" t="inlineStr">
        <is>
          <t>https://api.worldbank.org/v2/country/BGD/indicator/SI.POV.GINI?format=json&amp;mrv=30</t>
        </is>
      </c>
      <c r="AX28" s="12" t="inlineStr">
        <is>
          <t>Tier 3</t>
        </is>
      </c>
      <c r="AY28" s="12" t="inlineStr">
        <is>
          <t>2022-12-31</t>
        </is>
      </c>
      <c r="AZ28" s="12" t="inlineStr">
        <is>
          <t>providers=world_bank; fields=gini_coefficient</t>
        </is>
      </c>
      <c r="BA28" s="12" t="inlineStr"/>
      <c r="BB28" s="12" t="inlineStr"/>
      <c r="BC28" s="12" t="inlineStr"/>
      <c r="BD28" s="12" t="inlineStr"/>
      <c r="BE28" s="12" t="inlineStr">
        <is>
          <t>https://api.worldbank.org/v2/country/BGD/indicator/NY.GDP.PCAP.PP.CD?format=json&amp;mrv=30 | https://api.worldbank.org/v2/country/BGD/indicator/NY.GDP.MKTP.KD.ZG?format=json&amp;mrv=30</t>
        </is>
      </c>
      <c r="BF28" s="12" t="inlineStr">
        <is>
          <t>Tier 3</t>
        </is>
      </c>
      <c r="BG28" s="12" t="inlineStr">
        <is>
          <t>2024-12-31</t>
        </is>
      </c>
      <c r="BH28" s="12" t="inlineStr">
        <is>
          <t>providers=world_bank; fields=gdp_per_capita_ppp, gdp_growth</t>
        </is>
      </c>
    </row>
    <row r="29">
      <c r="A29" s="9" t="inlineStr">
        <is>
          <t>np-kathmandu</t>
        </is>
      </c>
      <c r="B29" s="9" t="inlineStr">
        <is>
          <t>Kathmandu</t>
        </is>
      </c>
      <c r="C29" s="9" t="inlineStr">
        <is>
          <t>Nepal</t>
        </is>
      </c>
      <c r="D29" s="9" t="inlineStr">
        <is>
          <t>South Asia</t>
        </is>
      </c>
      <c r="E29" s="9" t="inlineStr">
        <is>
          <t>secondary</t>
        </is>
      </c>
      <c r="F29" s="9" t="inlineStr">
        <is>
          <t>provisional</t>
        </is>
      </c>
      <c r="G29" s="10" t="inlineStr"/>
      <c r="H29" s="10" t="inlineStr"/>
      <c r="I29" s="10" t="inlineStr"/>
      <c r="J29" s="10" t="inlineStr"/>
      <c r="K29" s="10" t="inlineStr"/>
      <c r="L29" s="10" t="inlineStr"/>
      <c r="M29" s="11">
        <f>IF(OR($G29="",$H29="",$I29="",$J29="",$K29="",$L29="",$AL29="",$AM29=""),"",((($G29*(1-$AM29))-$H29-$I29-$J29-$K29-$L29)/$AL29))</f>
        <v/>
      </c>
      <c r="N29" s="10" t="inlineStr"/>
      <c r="O29" s="10" t="inlineStr"/>
      <c r="P29" s="11">
        <f>IF($O29&lt;&gt;"",$O29,$AN29)</f>
        <v/>
      </c>
      <c r="Q29" s="10" t="inlineStr"/>
      <c r="R29" s="10" t="inlineStr"/>
      <c r="S29" s="10" t="inlineStr"/>
      <c r="T29" s="10" t="inlineStr"/>
      <c r="U29" s="10" t="inlineStr"/>
      <c r="V29" s="10" t="inlineStr"/>
      <c r="W29" s="10" t="inlineStr"/>
      <c r="X29" s="10" t="inlineStr"/>
      <c r="Y29" s="10" t="inlineStr"/>
      <c r="Z29" s="10" t="inlineStr"/>
      <c r="AA29" s="10" t="inlineStr"/>
      <c r="AB29" s="10" t="inlineStr"/>
      <c r="AC29" s="10" t="inlineStr"/>
      <c r="AD29" s="10" t="inlineStr"/>
      <c r="AE29" s="10" t="inlineStr"/>
      <c r="AF29" s="10" t="inlineStr"/>
      <c r="AG29" s="10" t="inlineStr"/>
      <c r="AH29" s="10" t="inlineStr"/>
      <c r="AI29" s="11">
        <f>IFERROR(INDEX(Country_Context!$B$2:$B$64,MATCH($C29,Country_Context!$A$2:$A$64,0)),"")</f>
        <v/>
      </c>
      <c r="AJ29" s="11">
        <f>IFERROR(INDEX(Country_Context!$C$2:$C$64,MATCH($C29,Country_Context!$A$2:$A$64,0)),"")</f>
        <v/>
      </c>
      <c r="AK29" s="11">
        <f>IFERROR(INDEX(Country_Context!$D$2:$D$64,MATCH($C29,Country_Context!$A$2:$A$64,0)),"")</f>
        <v/>
      </c>
      <c r="AL29" s="11">
        <f>IFERROR(INDEX(Country_Context!$E$2:$E$64,MATCH($C29,Country_Context!$A$2:$A$64,0)),"")</f>
        <v/>
      </c>
      <c r="AM29" s="11">
        <f>IFERROR(INDEX(Country_Context!$F$2:$F$64,MATCH($C29,Country_Context!$A$2:$A$64,0)),"")</f>
        <v/>
      </c>
      <c r="AN29" s="11">
        <f>IFERROR(INDEX(Country_Context!$G$2:$G$64,MATCH($C29,Country_Context!$A$2:$A$64,0)),"")</f>
        <v/>
      </c>
      <c r="AO29" s="12" t="inlineStr">
        <is>
          <t>https://api.worldbank.org/v2/country/NPL/indicator/PA.NUS.PRVT.PP?format=json&amp;mrv=30 | https://api.worldbank.org/v2/country/NPL/indicator/GC.TAX.TOTL.GD.ZS?format=json&amp;mrv=30 | https://api.worldbank.org/v2/country/NPL/indicator/FD.AST.PRVT.GD.ZS?format=json&amp;mrv=30</t>
        </is>
      </c>
      <c r="AP29" s="12" t="inlineStr">
        <is>
          <t>Tier 3</t>
        </is>
      </c>
      <c r="AQ29" s="12" t="inlineStr">
        <is>
          <t>2024-12-31</t>
        </is>
      </c>
      <c r="AR29" s="12" t="inlineStr">
        <is>
          <t>providers=world_bank; fields=ppp_private_consumption, tax_rate_assumption, household_debt_proxy</t>
        </is>
      </c>
      <c r="AS29" s="12" t="inlineStr"/>
      <c r="AT29" s="12" t="inlineStr"/>
      <c r="AU29" s="12" t="inlineStr"/>
      <c r="AV29" s="12" t="inlineStr"/>
      <c r="AW29" s="12" t="inlineStr">
        <is>
          <t>https://api.worldbank.org/v2/country/NPL/indicator/SI.POV.GINI?format=json&amp;mrv=30</t>
        </is>
      </c>
      <c r="AX29" s="12" t="inlineStr">
        <is>
          <t>Tier 3</t>
        </is>
      </c>
      <c r="AY29" s="12" t="inlineStr">
        <is>
          <t>2022-12-31</t>
        </is>
      </c>
      <c r="AZ29" s="12" t="inlineStr">
        <is>
          <t>providers=world_bank; fields=gini_coefficient</t>
        </is>
      </c>
      <c r="BA29" s="12" t="inlineStr"/>
      <c r="BB29" s="12" t="inlineStr"/>
      <c r="BC29" s="12" t="inlineStr"/>
      <c r="BD29" s="12" t="inlineStr"/>
      <c r="BE29" s="12" t="inlineStr">
        <is>
          <t>https://api.worldbank.org/v2/country/NPL/indicator/NY.GDP.PCAP.PP.CD?format=json&amp;mrv=30 | https://api.worldbank.org/v2/country/NPL/indicator/NY.GDP.MKTP.KD.ZG?format=json&amp;mrv=30</t>
        </is>
      </c>
      <c r="BF29" s="12" t="inlineStr">
        <is>
          <t>Tier 3</t>
        </is>
      </c>
      <c r="BG29" s="12" t="inlineStr">
        <is>
          <t>2024-12-31</t>
        </is>
      </c>
      <c r="BH29" s="12" t="inlineStr">
        <is>
          <t>providers=world_bank; fields=gdp_per_capita_ppp, gdp_growth</t>
        </is>
      </c>
    </row>
    <row r="30">
      <c r="A30" s="9" t="inlineStr">
        <is>
          <t>bt-thimphu</t>
        </is>
      </c>
      <c r="B30" s="9" t="inlineStr">
        <is>
          <t>Thimphu</t>
        </is>
      </c>
      <c r="C30" s="9" t="inlineStr">
        <is>
          <t>Bhutan</t>
        </is>
      </c>
      <c r="D30" s="9" t="inlineStr">
        <is>
          <t>South Asia</t>
        </is>
      </c>
      <c r="E30" s="9" t="inlineStr">
        <is>
          <t>secondary</t>
        </is>
      </c>
      <c r="F30" s="9" t="inlineStr">
        <is>
          <t>locked</t>
        </is>
      </c>
      <c r="G30" s="10" t="inlineStr"/>
      <c r="H30" s="10" t="inlineStr"/>
      <c r="I30" s="10" t="inlineStr"/>
      <c r="J30" s="10" t="inlineStr"/>
      <c r="K30" s="10" t="inlineStr"/>
      <c r="L30" s="10" t="inlineStr"/>
      <c r="M30" s="11">
        <f>IF(OR($G30="",$H30="",$I30="",$J30="",$K30="",$L30="",$AL30="",$AM30=""),"",((($G30*(1-$AM30))-$H30-$I30-$J30-$K30-$L30)/$AL30))</f>
        <v/>
      </c>
      <c r="N30" s="10" t="inlineStr"/>
      <c r="O30" s="10" t="inlineStr"/>
      <c r="P30" s="11">
        <f>IF($O30&lt;&gt;"",$O30,$AN30)</f>
        <v/>
      </c>
      <c r="Q30" s="10" t="inlineStr"/>
      <c r="R30" s="10" t="inlineStr"/>
      <c r="S30" s="10" t="inlineStr"/>
      <c r="T30" s="10" t="inlineStr"/>
      <c r="U30" s="10" t="inlineStr"/>
      <c r="V30" s="10" t="inlineStr"/>
      <c r="W30" s="10" t="inlineStr"/>
      <c r="X30" s="10" t="inlineStr"/>
      <c r="Y30" s="10" t="inlineStr"/>
      <c r="Z30" s="10" t="inlineStr"/>
      <c r="AA30" s="10" t="inlineStr"/>
      <c r="AB30" s="10" t="inlineStr"/>
      <c r="AC30" s="10" t="inlineStr"/>
      <c r="AD30" s="10" t="inlineStr"/>
      <c r="AE30" s="10" t="inlineStr"/>
      <c r="AF30" s="10" t="inlineStr"/>
      <c r="AG30" s="10" t="inlineStr"/>
      <c r="AH30" s="10" t="inlineStr"/>
      <c r="AI30" s="11">
        <f>IFERROR(INDEX(Country_Context!$B$2:$B$64,MATCH($C30,Country_Context!$A$2:$A$64,0)),"")</f>
        <v/>
      </c>
      <c r="AJ30" s="11">
        <f>IFERROR(INDEX(Country_Context!$C$2:$C$64,MATCH($C30,Country_Context!$A$2:$A$64,0)),"")</f>
        <v/>
      </c>
      <c r="AK30" s="11">
        <f>IFERROR(INDEX(Country_Context!$D$2:$D$64,MATCH($C30,Country_Context!$A$2:$A$64,0)),"")</f>
        <v/>
      </c>
      <c r="AL30" s="11">
        <f>IFERROR(INDEX(Country_Context!$E$2:$E$64,MATCH($C30,Country_Context!$A$2:$A$64,0)),"")</f>
        <v/>
      </c>
      <c r="AM30" s="11">
        <f>IFERROR(INDEX(Country_Context!$F$2:$F$64,MATCH($C30,Country_Context!$A$2:$A$64,0)),"")</f>
        <v/>
      </c>
      <c r="AN30" s="11">
        <f>IFERROR(INDEX(Country_Context!$G$2:$G$64,MATCH($C30,Country_Context!$A$2:$A$64,0)),"")</f>
        <v/>
      </c>
      <c r="AO30" s="12" t="inlineStr">
        <is>
          <t>https://api.worldbank.org/v2/country/BTN/indicator/PA.NUS.PRVT.PP?format=json&amp;mrv=30 | https://api.worldbank.org/v2/country/BTN/indicator/GC.TAX.TOTL.GD.ZS?format=json&amp;mrv=30 | https://api.worldbank.org/v2/country/BTN/indicator/FD.AST.PRVT.GD.ZS?format=json&amp;mrv=30</t>
        </is>
      </c>
      <c r="AP30" s="12" t="inlineStr">
        <is>
          <t>Tier 3</t>
        </is>
      </c>
      <c r="AQ30" s="12" t="inlineStr">
        <is>
          <t>2024-12-31</t>
        </is>
      </c>
      <c r="AR30" s="12" t="inlineStr">
        <is>
          <t>providers=world_bank; fields=ppp_private_consumption, tax_rate_assumption, household_debt_proxy</t>
        </is>
      </c>
      <c r="AS30" s="12" t="inlineStr"/>
      <c r="AT30" s="12" t="inlineStr"/>
      <c r="AU30" s="12" t="inlineStr"/>
      <c r="AV30" s="12" t="inlineStr"/>
      <c r="AW30" s="12" t="inlineStr">
        <is>
          <t>https://api.worldbank.org/v2/country/BTN/indicator/SI.POV.GINI?format=json&amp;mrv=30</t>
        </is>
      </c>
      <c r="AX30" s="12" t="inlineStr">
        <is>
          <t>Tier 3</t>
        </is>
      </c>
      <c r="AY30" s="12" t="inlineStr">
        <is>
          <t>2022-12-31</t>
        </is>
      </c>
      <c r="AZ30" s="12" t="inlineStr">
        <is>
          <t>providers=world_bank; fields=gini_coefficient</t>
        </is>
      </c>
      <c r="BA30" s="12" t="inlineStr"/>
      <c r="BB30" s="12" t="inlineStr"/>
      <c r="BC30" s="12" t="inlineStr"/>
      <c r="BD30" s="12" t="inlineStr"/>
      <c r="BE30" s="12" t="inlineStr">
        <is>
          <t>https://api.worldbank.org/v2/country/BTN/indicator/NY.GDP.PCAP.PP.CD?format=json&amp;mrv=30 | https://api.worldbank.org/v2/country/BTN/indicator/NY.GDP.MKTP.KD.ZG?format=json&amp;mrv=30</t>
        </is>
      </c>
      <c r="BF30" s="12" t="inlineStr">
        <is>
          <t>Tier 3</t>
        </is>
      </c>
      <c r="BG30" s="12" t="inlineStr">
        <is>
          <t>2023-12-31</t>
        </is>
      </c>
      <c r="BH30" s="12" t="inlineStr">
        <is>
          <t>providers=world_bank; fields=gdp_per_capita_ppp, gdp_growth</t>
        </is>
      </c>
    </row>
    <row r="31">
      <c r="A31" s="9" t="inlineStr">
        <is>
          <t>mv-male</t>
        </is>
      </c>
      <c r="B31" s="9" t="inlineStr">
        <is>
          <t>Male</t>
        </is>
      </c>
      <c r="C31" s="9" t="inlineStr">
        <is>
          <t>Maldives</t>
        </is>
      </c>
      <c r="D31" s="9" t="inlineStr">
        <is>
          <t>South Asia</t>
        </is>
      </c>
      <c r="E31" s="9" t="inlineStr">
        <is>
          <t>secondary</t>
        </is>
      </c>
      <c r="F31" s="9" t="inlineStr">
        <is>
          <t>locked</t>
        </is>
      </c>
      <c r="G31" s="10" t="inlineStr"/>
      <c r="H31" s="10" t="inlineStr"/>
      <c r="I31" s="10" t="inlineStr"/>
      <c r="J31" s="10" t="inlineStr"/>
      <c r="K31" s="10" t="inlineStr"/>
      <c r="L31" s="10" t="inlineStr"/>
      <c r="M31" s="11">
        <f>IF(OR($G31="",$H31="",$I31="",$J31="",$K31="",$L31="",$AL31="",$AM31=""),"",((($G31*(1-$AM31))-$H31-$I31-$J31-$K31-$L31)/$AL31))</f>
        <v/>
      </c>
      <c r="N31" s="10" t="inlineStr"/>
      <c r="O31" s="10" t="inlineStr"/>
      <c r="P31" s="11">
        <f>IF($O31&lt;&gt;"",$O31,$AN31)</f>
        <v/>
      </c>
      <c r="Q31" s="10" t="inlineStr"/>
      <c r="R31" s="10" t="inlineStr"/>
      <c r="S31" s="10" t="inlineStr"/>
      <c r="T31" s="10" t="inlineStr"/>
      <c r="U31" s="10" t="inlineStr"/>
      <c r="V31" s="10" t="inlineStr"/>
      <c r="W31" s="10" t="inlineStr"/>
      <c r="X31" s="10" t="inlineStr"/>
      <c r="Y31" s="10" t="inlineStr"/>
      <c r="Z31" s="10" t="inlineStr"/>
      <c r="AA31" s="10" t="inlineStr"/>
      <c r="AB31" s="10" t="inlineStr"/>
      <c r="AC31" s="10" t="inlineStr"/>
      <c r="AD31" s="10" t="inlineStr"/>
      <c r="AE31" s="10" t="inlineStr"/>
      <c r="AF31" s="10" t="inlineStr"/>
      <c r="AG31" s="10" t="inlineStr"/>
      <c r="AH31" s="10" t="inlineStr"/>
      <c r="AI31" s="11">
        <f>IFERROR(INDEX(Country_Context!$B$2:$B$64,MATCH($C31,Country_Context!$A$2:$A$64,0)),"")</f>
        <v/>
      </c>
      <c r="AJ31" s="11">
        <f>IFERROR(INDEX(Country_Context!$C$2:$C$64,MATCH($C31,Country_Context!$A$2:$A$64,0)),"")</f>
        <v/>
      </c>
      <c r="AK31" s="11">
        <f>IFERROR(INDEX(Country_Context!$D$2:$D$64,MATCH($C31,Country_Context!$A$2:$A$64,0)),"")</f>
        <v/>
      </c>
      <c r="AL31" s="11">
        <f>IFERROR(INDEX(Country_Context!$E$2:$E$64,MATCH($C31,Country_Context!$A$2:$A$64,0)),"")</f>
        <v/>
      </c>
      <c r="AM31" s="11">
        <f>IFERROR(INDEX(Country_Context!$F$2:$F$64,MATCH($C31,Country_Context!$A$2:$A$64,0)),"")</f>
        <v/>
      </c>
      <c r="AN31" s="11">
        <f>IFERROR(INDEX(Country_Context!$G$2:$G$64,MATCH($C31,Country_Context!$A$2:$A$64,0)),"")</f>
        <v/>
      </c>
      <c r="AO31" s="12" t="inlineStr">
        <is>
          <t>https://api.worldbank.org/v2/country/MDV/indicator/PA.NUS.PRVT.PP?format=json&amp;mrv=30 | https://api.worldbank.org/v2/country/MDV/indicator/GC.TAX.TOTL.GD.ZS?format=json&amp;mrv=30 | https://api.worldbank.org/v2/country/MDV/indicator/FD.AST.PRVT.GD.ZS?format=json&amp;mrv=30</t>
        </is>
      </c>
      <c r="AP31" s="12" t="inlineStr">
        <is>
          <t>Tier 3</t>
        </is>
      </c>
      <c r="AQ31" s="12" t="inlineStr">
        <is>
          <t>2024-12-31</t>
        </is>
      </c>
      <c r="AR31" s="12" t="inlineStr">
        <is>
          <t>providers=world_bank; fields=ppp_private_consumption, tax_rate_assumption, household_debt_proxy</t>
        </is>
      </c>
      <c r="AS31" s="12" t="inlineStr"/>
      <c r="AT31" s="12" t="inlineStr"/>
      <c r="AU31" s="12" t="inlineStr"/>
      <c r="AV31" s="12" t="inlineStr"/>
      <c r="AW31" s="12" t="inlineStr">
        <is>
          <t>https://api.worldbank.org/v2/country/MDV/indicator/SI.POV.GINI?format=json&amp;mrv=30</t>
        </is>
      </c>
      <c r="AX31" s="12" t="inlineStr">
        <is>
          <t>Tier 3</t>
        </is>
      </c>
      <c r="AY31" s="12" t="inlineStr">
        <is>
          <t>2019-12-31</t>
        </is>
      </c>
      <c r="AZ31" s="12" t="inlineStr">
        <is>
          <t>providers=world_bank; fields=gini_coefficient</t>
        </is>
      </c>
      <c r="BA31" s="12" t="inlineStr"/>
      <c r="BB31" s="12" t="inlineStr"/>
      <c r="BC31" s="12" t="inlineStr"/>
      <c r="BD31" s="12" t="inlineStr"/>
      <c r="BE31" s="12" t="inlineStr">
        <is>
          <t>https://api.worldbank.org/v2/country/MDV/indicator/NY.GDP.PCAP.PP.CD?format=json&amp;mrv=30 | https://api.worldbank.org/v2/country/MDV/indicator/NY.GDP.MKTP.KD.ZG?format=json&amp;mrv=30</t>
        </is>
      </c>
      <c r="BF31" s="12" t="inlineStr">
        <is>
          <t>Tier 3</t>
        </is>
      </c>
      <c r="BG31" s="12" t="inlineStr">
        <is>
          <t>2024-12-31</t>
        </is>
      </c>
      <c r="BH31" s="12" t="inlineStr">
        <is>
          <t>providers=world_bank; fields=gdp_per_capita_ppp, gdp_growth</t>
        </is>
      </c>
    </row>
    <row r="32">
      <c r="A32" s="9" t="inlineStr">
        <is>
          <t>fr-paris</t>
        </is>
      </c>
      <c r="B32" s="9" t="inlineStr">
        <is>
          <t>Paris</t>
        </is>
      </c>
      <c r="C32" s="9" t="inlineStr">
        <is>
          <t>France</t>
        </is>
      </c>
      <c r="D32" s="9" t="inlineStr">
        <is>
          <t>Western, Northern, and Southern Europe</t>
        </is>
      </c>
      <c r="E32" s="9" t="inlineStr">
        <is>
          <t>primary</t>
        </is>
      </c>
      <c r="F32" s="9" t="inlineStr">
        <is>
          <t>locked</t>
        </is>
      </c>
      <c r="G32" s="10" t="inlineStr"/>
      <c r="H32" s="10" t="inlineStr"/>
      <c r="I32" s="10" t="inlineStr"/>
      <c r="J32" s="10" t="inlineStr"/>
      <c r="K32" s="10" t="inlineStr"/>
      <c r="L32" s="10" t="inlineStr"/>
      <c r="M32" s="11">
        <f>IF(OR($G32="",$H32="",$I32="",$J32="",$K32="",$L32="",$AL32="",$AM32=""),"",((($G32*(1-$AM32))-$H32-$I32-$J32-$K32-$L32)/$AL32))</f>
        <v/>
      </c>
      <c r="N32" s="10" t="inlineStr"/>
      <c r="O32" s="10" t="inlineStr"/>
      <c r="P32" s="11">
        <f>IF($O32&lt;&gt;"",$O32,$AN32)</f>
        <v/>
      </c>
      <c r="Q32" s="10" t="inlineStr"/>
      <c r="R32" s="10" t="inlineStr"/>
      <c r="S32" s="10" t="inlineStr"/>
      <c r="T32" s="10" t="inlineStr"/>
      <c r="U32" s="10" t="inlineStr"/>
      <c r="V32" s="10" t="inlineStr"/>
      <c r="W32" s="10" t="inlineStr"/>
      <c r="X32" s="10" t="inlineStr"/>
      <c r="Y32" s="10" t="inlineStr"/>
      <c r="Z32" s="10" t="inlineStr"/>
      <c r="AA32" s="10" t="inlineStr"/>
      <c r="AB32" s="10" t="inlineStr"/>
      <c r="AC32" s="10" t="inlineStr"/>
      <c r="AD32" s="10" t="inlineStr"/>
      <c r="AE32" s="10" t="inlineStr"/>
      <c r="AF32" s="10" t="inlineStr"/>
      <c r="AG32" s="10" t="inlineStr"/>
      <c r="AH32" s="10" t="inlineStr"/>
      <c r="AI32" s="11">
        <f>IFERROR(INDEX(Country_Context!$B$2:$B$64,MATCH($C32,Country_Context!$A$2:$A$64,0)),"")</f>
        <v/>
      </c>
      <c r="AJ32" s="11">
        <f>IFERROR(INDEX(Country_Context!$C$2:$C$64,MATCH($C32,Country_Context!$A$2:$A$64,0)),"")</f>
        <v/>
      </c>
      <c r="AK32" s="11">
        <f>IFERROR(INDEX(Country_Context!$D$2:$D$64,MATCH($C32,Country_Context!$A$2:$A$64,0)),"")</f>
        <v/>
      </c>
      <c r="AL32" s="11">
        <f>IFERROR(INDEX(Country_Context!$E$2:$E$64,MATCH($C32,Country_Context!$A$2:$A$64,0)),"")</f>
        <v/>
      </c>
      <c r="AM32" s="11">
        <f>IFERROR(INDEX(Country_Context!$F$2:$F$64,MATCH($C32,Country_Context!$A$2:$A$64,0)),"")</f>
        <v/>
      </c>
      <c r="AN32" s="11">
        <f>IFERROR(INDEX(Country_Context!$G$2:$G$64,MATCH($C32,Country_Context!$A$2:$A$64,0)),"")</f>
        <v/>
      </c>
      <c r="AO32" s="12" t="inlineStr">
        <is>
          <t>https://api.worldbank.org/v2/country/FRA/indicator/PA.NUS.PRVT.PP?format=json&amp;mrv=30 | https://api.worldbank.org/v2/country/FRA/indicator/GC.TAX.TOTL.GD.ZS?format=json&amp;mrv=30 | https://api.worldbank.org/v2/country/FRA/indicator/FD.AST.PRVT.GD.ZS?format=json&amp;mrv=30</t>
        </is>
      </c>
      <c r="AP32" s="12" t="inlineStr">
        <is>
          <t>Tier 3</t>
        </is>
      </c>
      <c r="AQ32" s="12" t="inlineStr">
        <is>
          <t>2024-12-31</t>
        </is>
      </c>
      <c r="AR32" s="12" t="inlineStr">
        <is>
          <t>providers=world_bank; fields=ppp_private_consumption, tax_rate_assumption, household_debt_proxy</t>
        </is>
      </c>
      <c r="AS32" s="12" t="inlineStr"/>
      <c r="AT32" s="12" t="inlineStr"/>
      <c r="AU32" s="12" t="inlineStr"/>
      <c r="AV32" s="12" t="inlineStr"/>
      <c r="AW32" s="12" t="inlineStr">
        <is>
          <t>https://api.worldbank.org/v2/country/FRA/indicator/SI.POV.GINI?format=json&amp;mrv=30</t>
        </is>
      </c>
      <c r="AX32" s="12" t="inlineStr">
        <is>
          <t>Tier 3</t>
        </is>
      </c>
      <c r="AY32" s="12" t="inlineStr">
        <is>
          <t>2023-12-31</t>
        </is>
      </c>
      <c r="AZ32" s="12" t="inlineStr">
        <is>
          <t>providers=world_bank; fields=gini_coefficient</t>
        </is>
      </c>
      <c r="BA32" s="12" t="inlineStr"/>
      <c r="BB32" s="12" t="inlineStr"/>
      <c r="BC32" s="12" t="inlineStr"/>
      <c r="BD32" s="12" t="inlineStr"/>
      <c r="BE32" s="12" t="inlineStr">
        <is>
          <t>https://api.worldbank.org/v2/country/FRA/indicator/NY.GDP.PCAP.PP.CD?format=json&amp;mrv=30 | https://api.worldbank.org/v2/country/FRA/indicator/NY.GDP.MKTP.KD.ZG?format=json&amp;mrv=30</t>
        </is>
      </c>
      <c r="BF32" s="12" t="inlineStr">
        <is>
          <t>Tier 3</t>
        </is>
      </c>
      <c r="BG32" s="12" t="inlineStr">
        <is>
          <t>2024-12-31</t>
        </is>
      </c>
      <c r="BH32" s="12" t="inlineStr">
        <is>
          <t>providers=world_bank; fields=gdp_per_capita_ppp, gdp_growth</t>
        </is>
      </c>
    </row>
    <row r="33">
      <c r="A33" s="9" t="inlineStr">
        <is>
          <t>at-vienna</t>
        </is>
      </c>
      <c r="B33" s="9" t="inlineStr">
        <is>
          <t>Vienna</t>
        </is>
      </c>
      <c r="C33" s="9" t="inlineStr">
        <is>
          <t>Austria</t>
        </is>
      </c>
      <c r="D33" s="9" t="inlineStr">
        <is>
          <t>Western, Northern, and Southern Europe</t>
        </is>
      </c>
      <c r="E33" s="9" t="inlineStr">
        <is>
          <t>primary</t>
        </is>
      </c>
      <c r="F33" s="9" t="inlineStr">
        <is>
          <t>locked</t>
        </is>
      </c>
      <c r="G33" s="10" t="inlineStr"/>
      <c r="H33" s="10" t="inlineStr"/>
      <c r="I33" s="10" t="inlineStr"/>
      <c r="J33" s="10" t="inlineStr"/>
      <c r="K33" s="10" t="inlineStr"/>
      <c r="L33" s="10" t="inlineStr"/>
      <c r="M33" s="11">
        <f>IF(OR($G33="",$H33="",$I33="",$J33="",$K33="",$L33="",$AL33="",$AM33=""),"",((($G33*(1-$AM33))-$H33-$I33-$J33-$K33-$L33)/$AL33))</f>
        <v/>
      </c>
      <c r="N33" s="10" t="inlineStr"/>
      <c r="O33" s="10" t="inlineStr"/>
      <c r="P33" s="11">
        <f>IF($O33&lt;&gt;"",$O33,$AN33)</f>
        <v/>
      </c>
      <c r="Q33" s="10" t="inlineStr"/>
      <c r="R33" s="10" t="inlineStr"/>
      <c r="S33" s="10" t="inlineStr"/>
      <c r="T33" s="10" t="inlineStr"/>
      <c r="U33" s="10" t="inlineStr"/>
      <c r="V33" s="10" t="inlineStr"/>
      <c r="W33" s="10" t="inlineStr"/>
      <c r="X33" s="10" t="inlineStr"/>
      <c r="Y33" s="10" t="inlineStr"/>
      <c r="Z33" s="10" t="inlineStr"/>
      <c r="AA33" s="10" t="inlineStr"/>
      <c r="AB33" s="10" t="inlineStr"/>
      <c r="AC33" s="10" t="inlineStr"/>
      <c r="AD33" s="10" t="inlineStr"/>
      <c r="AE33" s="10" t="inlineStr"/>
      <c r="AF33" s="10" t="inlineStr"/>
      <c r="AG33" s="10" t="inlineStr"/>
      <c r="AH33" s="10" t="inlineStr"/>
      <c r="AI33" s="11">
        <f>IFERROR(INDEX(Country_Context!$B$2:$B$64,MATCH($C33,Country_Context!$A$2:$A$64,0)),"")</f>
        <v/>
      </c>
      <c r="AJ33" s="11">
        <f>IFERROR(INDEX(Country_Context!$C$2:$C$64,MATCH($C33,Country_Context!$A$2:$A$64,0)),"")</f>
        <v/>
      </c>
      <c r="AK33" s="11">
        <f>IFERROR(INDEX(Country_Context!$D$2:$D$64,MATCH($C33,Country_Context!$A$2:$A$64,0)),"")</f>
        <v/>
      </c>
      <c r="AL33" s="11">
        <f>IFERROR(INDEX(Country_Context!$E$2:$E$64,MATCH($C33,Country_Context!$A$2:$A$64,0)),"")</f>
        <v/>
      </c>
      <c r="AM33" s="11">
        <f>IFERROR(INDEX(Country_Context!$F$2:$F$64,MATCH($C33,Country_Context!$A$2:$A$64,0)),"")</f>
        <v/>
      </c>
      <c r="AN33" s="11">
        <f>IFERROR(INDEX(Country_Context!$G$2:$G$64,MATCH($C33,Country_Context!$A$2:$A$64,0)),"")</f>
        <v/>
      </c>
      <c r="AO33" s="12" t="inlineStr">
        <is>
          <t>https://api.worldbank.org/v2/country/AUT/indicator/PA.NUS.PRVT.PP?format=json&amp;mrv=30 | https://api.worldbank.org/v2/country/AUT/indicator/GC.TAX.TOTL.GD.ZS?format=json&amp;mrv=30 | https://api.worldbank.org/v2/country/AUT/indicator/FD.AST.PRVT.GD.ZS?format=json&amp;mrv=30</t>
        </is>
      </c>
      <c r="AP33" s="12" t="inlineStr">
        <is>
          <t>Tier 3</t>
        </is>
      </c>
      <c r="AQ33" s="12" t="inlineStr">
        <is>
          <t>2024-12-31</t>
        </is>
      </c>
      <c r="AR33" s="12" t="inlineStr">
        <is>
          <t>providers=world_bank; fields=ppp_private_consumption, tax_rate_assumption, household_debt_proxy</t>
        </is>
      </c>
      <c r="AS33" s="12" t="inlineStr"/>
      <c r="AT33" s="12" t="inlineStr"/>
      <c r="AU33" s="12" t="inlineStr"/>
      <c r="AV33" s="12" t="inlineStr"/>
      <c r="AW33" s="12" t="inlineStr">
        <is>
          <t>https://api.worldbank.org/v2/country/AUT/indicator/SI.POV.GINI?format=json&amp;mrv=30</t>
        </is>
      </c>
      <c r="AX33" s="12" t="inlineStr">
        <is>
          <t>Tier 3</t>
        </is>
      </c>
      <c r="AY33" s="12" t="inlineStr">
        <is>
          <t>2023-12-31</t>
        </is>
      </c>
      <c r="AZ33" s="12" t="inlineStr">
        <is>
          <t>providers=world_bank; fields=gini_coefficient</t>
        </is>
      </c>
      <c r="BA33" s="12" t="inlineStr"/>
      <c r="BB33" s="12" t="inlineStr"/>
      <c r="BC33" s="12" t="inlineStr"/>
      <c r="BD33" s="12" t="inlineStr"/>
      <c r="BE33" s="12" t="inlineStr">
        <is>
          <t>https://api.worldbank.org/v2/country/AUT/indicator/NY.GDP.PCAP.PP.CD?format=json&amp;mrv=30 | https://api.worldbank.org/v2/country/AUT/indicator/NY.GDP.MKTP.KD.ZG?format=json&amp;mrv=30</t>
        </is>
      </c>
      <c r="BF33" s="12" t="inlineStr">
        <is>
          <t>Tier 3</t>
        </is>
      </c>
      <c r="BG33" s="12" t="inlineStr">
        <is>
          <t>2024-12-31</t>
        </is>
      </c>
      <c r="BH33" s="12" t="inlineStr">
        <is>
          <t>providers=world_bank; fields=gdp_per_capita_ppp, gdp_growth</t>
        </is>
      </c>
    </row>
    <row r="34">
      <c r="A34" s="9" t="inlineStr">
        <is>
          <t>ch-zurich</t>
        </is>
      </c>
      <c r="B34" s="9" t="inlineStr">
        <is>
          <t>Zurich</t>
        </is>
      </c>
      <c r="C34" s="9" t="inlineStr">
        <is>
          <t>Switzerland</t>
        </is>
      </c>
      <c r="D34" s="9" t="inlineStr">
        <is>
          <t>Western, Northern, and Southern Europe</t>
        </is>
      </c>
      <c r="E34" s="9" t="inlineStr">
        <is>
          <t>primary</t>
        </is>
      </c>
      <c r="F34" s="9" t="inlineStr">
        <is>
          <t>locked</t>
        </is>
      </c>
      <c r="G34" s="10" t="inlineStr"/>
      <c r="H34" s="10" t="inlineStr"/>
      <c r="I34" s="10" t="inlineStr"/>
      <c r="J34" s="10" t="inlineStr"/>
      <c r="K34" s="10" t="inlineStr"/>
      <c r="L34" s="10" t="inlineStr"/>
      <c r="M34" s="11">
        <f>IF(OR($G34="",$H34="",$I34="",$J34="",$K34="",$L34="",$AL34="",$AM34=""),"",((($G34*(1-$AM34))-$H34-$I34-$J34-$K34-$L34)/$AL34))</f>
        <v/>
      </c>
      <c r="N34" s="10" t="inlineStr"/>
      <c r="O34" s="10" t="inlineStr"/>
      <c r="P34" s="11">
        <f>IF($O34&lt;&gt;"",$O34,$AN34)</f>
        <v/>
      </c>
      <c r="Q34" s="10" t="inlineStr"/>
      <c r="R34" s="10" t="inlineStr"/>
      <c r="S34" s="10" t="inlineStr"/>
      <c r="T34" s="10" t="inlineStr"/>
      <c r="U34" s="10" t="inlineStr"/>
      <c r="V34" s="10" t="inlineStr"/>
      <c r="W34" s="10" t="inlineStr"/>
      <c r="X34" s="10" t="inlineStr"/>
      <c r="Y34" s="10" t="inlineStr"/>
      <c r="Z34" s="10" t="inlineStr"/>
      <c r="AA34" s="10" t="inlineStr"/>
      <c r="AB34" s="10" t="inlineStr"/>
      <c r="AC34" s="10" t="inlineStr"/>
      <c r="AD34" s="10" t="inlineStr"/>
      <c r="AE34" s="10" t="inlineStr"/>
      <c r="AF34" s="10" t="inlineStr"/>
      <c r="AG34" s="10" t="inlineStr"/>
      <c r="AH34" s="10" t="inlineStr"/>
      <c r="AI34" s="11">
        <f>IFERROR(INDEX(Country_Context!$B$2:$B$64,MATCH($C34,Country_Context!$A$2:$A$64,0)),"")</f>
        <v/>
      </c>
      <c r="AJ34" s="11">
        <f>IFERROR(INDEX(Country_Context!$C$2:$C$64,MATCH($C34,Country_Context!$A$2:$A$64,0)),"")</f>
        <v/>
      </c>
      <c r="AK34" s="11">
        <f>IFERROR(INDEX(Country_Context!$D$2:$D$64,MATCH($C34,Country_Context!$A$2:$A$64,0)),"")</f>
        <v/>
      </c>
      <c r="AL34" s="11">
        <f>IFERROR(INDEX(Country_Context!$E$2:$E$64,MATCH($C34,Country_Context!$A$2:$A$64,0)),"")</f>
        <v/>
      </c>
      <c r="AM34" s="11">
        <f>IFERROR(INDEX(Country_Context!$F$2:$F$64,MATCH($C34,Country_Context!$A$2:$A$64,0)),"")</f>
        <v/>
      </c>
      <c r="AN34" s="11">
        <f>IFERROR(INDEX(Country_Context!$G$2:$G$64,MATCH($C34,Country_Context!$A$2:$A$64,0)),"")</f>
        <v/>
      </c>
      <c r="AO34" s="12" t="inlineStr">
        <is>
          <t>https://api.worldbank.org/v2/country/CHE/indicator/PA.NUS.PRVT.PP?format=json&amp;mrv=30 | https://api.worldbank.org/v2/country/CHE/indicator/GC.TAX.TOTL.GD.ZS?format=json&amp;mrv=30 | https://api.worldbank.org/v2/country/CHE/indicator/FD.AST.PRVT.GD.ZS?format=json&amp;mrv=30</t>
        </is>
      </c>
      <c r="AP34" s="12" t="inlineStr">
        <is>
          <t>Tier 3</t>
        </is>
      </c>
      <c r="AQ34" s="12" t="inlineStr">
        <is>
          <t>2024-12-31</t>
        </is>
      </c>
      <c r="AR34" s="12" t="inlineStr">
        <is>
          <t>providers=world_bank; fields=ppp_private_consumption, tax_rate_assumption, household_debt_proxy</t>
        </is>
      </c>
      <c r="AS34" s="12" t="inlineStr"/>
      <c r="AT34" s="12" t="inlineStr"/>
      <c r="AU34" s="12" t="inlineStr"/>
      <c r="AV34" s="12" t="inlineStr"/>
      <c r="AW34" s="12" t="inlineStr">
        <is>
          <t>https://api.worldbank.org/v2/country/CHE/indicator/SI.POV.GINI?format=json&amp;mrv=30</t>
        </is>
      </c>
      <c r="AX34" s="12" t="inlineStr">
        <is>
          <t>Tier 3</t>
        </is>
      </c>
      <c r="AY34" s="12" t="inlineStr">
        <is>
          <t>2022-12-31</t>
        </is>
      </c>
      <c r="AZ34" s="12" t="inlineStr">
        <is>
          <t>providers=world_bank; fields=gini_coefficient</t>
        </is>
      </c>
      <c r="BA34" s="12" t="inlineStr"/>
      <c r="BB34" s="12" t="inlineStr"/>
      <c r="BC34" s="12" t="inlineStr"/>
      <c r="BD34" s="12" t="inlineStr"/>
      <c r="BE34" s="12" t="inlineStr">
        <is>
          <t>https://api.worldbank.org/v2/country/CHE/indicator/NY.GDP.PCAP.PP.CD?format=json&amp;mrv=30 | https://api.worldbank.org/v2/country/CHE/indicator/NY.GDP.MKTP.KD.ZG?format=json&amp;mrv=30</t>
        </is>
      </c>
      <c r="BF34" s="12" t="inlineStr">
        <is>
          <t>Tier 3</t>
        </is>
      </c>
      <c r="BG34" s="12" t="inlineStr">
        <is>
          <t>2024-12-31</t>
        </is>
      </c>
      <c r="BH34" s="12" t="inlineStr">
        <is>
          <t>providers=world_bank; fields=gdp_per_capita_ppp, gdp_growth</t>
        </is>
      </c>
    </row>
    <row r="35">
      <c r="A35" s="9" t="inlineStr">
        <is>
          <t>nl-amsterdam</t>
        </is>
      </c>
      <c r="B35" s="9" t="inlineStr">
        <is>
          <t>Amsterdam</t>
        </is>
      </c>
      <c r="C35" s="9" t="inlineStr">
        <is>
          <t>Netherlands</t>
        </is>
      </c>
      <c r="D35" s="9" t="inlineStr">
        <is>
          <t>Western, Northern, and Southern Europe</t>
        </is>
      </c>
      <c r="E35" s="9" t="inlineStr">
        <is>
          <t>primary</t>
        </is>
      </c>
      <c r="F35" s="9" t="inlineStr">
        <is>
          <t>provisional</t>
        </is>
      </c>
      <c r="G35" s="10" t="inlineStr"/>
      <c r="H35" s="10" t="inlineStr"/>
      <c r="I35" s="10" t="inlineStr"/>
      <c r="J35" s="10" t="inlineStr"/>
      <c r="K35" s="10" t="inlineStr"/>
      <c r="L35" s="10" t="inlineStr"/>
      <c r="M35" s="11">
        <f>IF(OR($G35="",$H35="",$I35="",$J35="",$K35="",$L35="",$AL35="",$AM35=""),"",((($G35*(1-$AM35))-$H35-$I35-$J35-$K35-$L35)/$AL35))</f>
        <v/>
      </c>
      <c r="N35" s="10" t="inlineStr"/>
      <c r="O35" s="10" t="inlineStr"/>
      <c r="P35" s="11">
        <f>IF($O35&lt;&gt;"",$O35,$AN35)</f>
        <v/>
      </c>
      <c r="Q35" s="10" t="inlineStr"/>
      <c r="R35" s="10" t="inlineStr"/>
      <c r="S35" s="10" t="inlineStr"/>
      <c r="T35" s="10" t="inlineStr"/>
      <c r="U35" s="10" t="inlineStr"/>
      <c r="V35" s="10" t="inlineStr"/>
      <c r="W35" s="10" t="inlineStr"/>
      <c r="X35" s="10" t="inlineStr"/>
      <c r="Y35" s="10" t="inlineStr"/>
      <c r="Z35" s="10" t="inlineStr"/>
      <c r="AA35" s="10" t="inlineStr"/>
      <c r="AB35" s="10" t="inlineStr"/>
      <c r="AC35" s="10" t="inlineStr"/>
      <c r="AD35" s="10" t="inlineStr"/>
      <c r="AE35" s="10" t="inlineStr"/>
      <c r="AF35" s="10" t="inlineStr"/>
      <c r="AG35" s="10" t="inlineStr"/>
      <c r="AH35" s="10" t="inlineStr"/>
      <c r="AI35" s="11">
        <f>IFERROR(INDEX(Country_Context!$B$2:$B$64,MATCH($C35,Country_Context!$A$2:$A$64,0)),"")</f>
        <v/>
      </c>
      <c r="AJ35" s="11">
        <f>IFERROR(INDEX(Country_Context!$C$2:$C$64,MATCH($C35,Country_Context!$A$2:$A$64,0)),"")</f>
        <v/>
      </c>
      <c r="AK35" s="11">
        <f>IFERROR(INDEX(Country_Context!$D$2:$D$64,MATCH($C35,Country_Context!$A$2:$A$64,0)),"")</f>
        <v/>
      </c>
      <c r="AL35" s="11">
        <f>IFERROR(INDEX(Country_Context!$E$2:$E$64,MATCH($C35,Country_Context!$A$2:$A$64,0)),"")</f>
        <v/>
      </c>
      <c r="AM35" s="11">
        <f>IFERROR(INDEX(Country_Context!$F$2:$F$64,MATCH($C35,Country_Context!$A$2:$A$64,0)),"")</f>
        <v/>
      </c>
      <c r="AN35" s="11">
        <f>IFERROR(INDEX(Country_Context!$G$2:$G$64,MATCH($C35,Country_Context!$A$2:$A$64,0)),"")</f>
        <v/>
      </c>
      <c r="AO35" s="12" t="inlineStr">
        <is>
          <t>https://api.worldbank.org/v2/country/NLD/indicator/PA.NUS.PRVT.PP?format=json&amp;mrv=30 | https://api.worldbank.org/v2/country/NLD/indicator/GC.TAX.TOTL.GD.ZS?format=json&amp;mrv=30 | https://api.worldbank.org/v2/country/NLD/indicator/FD.AST.PRVT.GD.ZS?format=json&amp;mrv=30</t>
        </is>
      </c>
      <c r="AP35" s="12" t="inlineStr">
        <is>
          <t>Tier 3</t>
        </is>
      </c>
      <c r="AQ35" s="12" t="inlineStr">
        <is>
          <t>2024-12-31</t>
        </is>
      </c>
      <c r="AR35" s="12" t="inlineStr">
        <is>
          <t>providers=world_bank; fields=ppp_private_consumption, tax_rate_assumption, household_debt_proxy</t>
        </is>
      </c>
      <c r="AS35" s="12" t="inlineStr"/>
      <c r="AT35" s="12" t="inlineStr"/>
      <c r="AU35" s="12" t="inlineStr"/>
      <c r="AV35" s="12" t="inlineStr"/>
      <c r="AW35" s="12" t="inlineStr">
        <is>
          <t>https://api.worldbank.org/v2/country/NLD/indicator/SI.POV.GINI?format=json&amp;mrv=30</t>
        </is>
      </c>
      <c r="AX35" s="12" t="inlineStr">
        <is>
          <t>Tier 3</t>
        </is>
      </c>
      <c r="AY35" s="12" t="inlineStr">
        <is>
          <t>2021-12-31</t>
        </is>
      </c>
      <c r="AZ35" s="12" t="inlineStr">
        <is>
          <t>providers=world_bank; fields=gini_coefficient</t>
        </is>
      </c>
      <c r="BA35" s="12" t="inlineStr"/>
      <c r="BB35" s="12" t="inlineStr"/>
      <c r="BC35" s="12" t="inlineStr"/>
      <c r="BD35" s="12" t="inlineStr"/>
      <c r="BE35" s="12" t="inlineStr">
        <is>
          <t>https://api.worldbank.org/v2/country/NLD/indicator/NY.GDP.PCAP.PP.CD?format=json&amp;mrv=30 | https://api.worldbank.org/v2/country/NLD/indicator/NY.GDP.MKTP.KD.ZG?format=json&amp;mrv=30</t>
        </is>
      </c>
      <c r="BF35" s="12" t="inlineStr">
        <is>
          <t>Tier 3</t>
        </is>
      </c>
      <c r="BG35" s="12" t="inlineStr">
        <is>
          <t>2024-12-31</t>
        </is>
      </c>
      <c r="BH35" s="12" t="inlineStr">
        <is>
          <t>providers=world_bank; fields=gdp_per_capita_ppp, gdp_growth</t>
        </is>
      </c>
    </row>
    <row r="36">
      <c r="A36" s="9" t="inlineStr">
        <is>
          <t>dk-copenhagen</t>
        </is>
      </c>
      <c r="B36" s="9" t="inlineStr">
        <is>
          <t>Copenhagen</t>
        </is>
      </c>
      <c r="C36" s="9" t="inlineStr">
        <is>
          <t>Denmark</t>
        </is>
      </c>
      <c r="D36" s="9" t="inlineStr">
        <is>
          <t>Western, Northern, and Southern Europe</t>
        </is>
      </c>
      <c r="E36" s="9" t="inlineStr">
        <is>
          <t>primary</t>
        </is>
      </c>
      <c r="F36" s="9" t="inlineStr">
        <is>
          <t>provisional</t>
        </is>
      </c>
      <c r="G36" s="10" t="inlineStr"/>
      <c r="H36" s="10" t="inlineStr"/>
      <c r="I36" s="10" t="inlineStr"/>
      <c r="J36" s="10" t="inlineStr"/>
      <c r="K36" s="10" t="inlineStr"/>
      <c r="L36" s="10" t="inlineStr"/>
      <c r="M36" s="11">
        <f>IF(OR($G36="",$H36="",$I36="",$J36="",$K36="",$L36="",$AL36="",$AM36=""),"",((($G36*(1-$AM36))-$H36-$I36-$J36-$K36-$L36)/$AL36))</f>
        <v/>
      </c>
      <c r="N36" s="10" t="inlineStr"/>
      <c r="O36" s="10" t="inlineStr"/>
      <c r="P36" s="11">
        <f>IF($O36&lt;&gt;"",$O36,$AN36)</f>
        <v/>
      </c>
      <c r="Q36" s="10" t="inlineStr"/>
      <c r="R36" s="10" t="inlineStr"/>
      <c r="S36" s="10" t="inlineStr"/>
      <c r="T36" s="10" t="inlineStr"/>
      <c r="U36" s="10" t="inlineStr"/>
      <c r="V36" s="10" t="inlineStr"/>
      <c r="W36" s="10" t="inlineStr"/>
      <c r="X36" s="10" t="inlineStr"/>
      <c r="Y36" s="10" t="inlineStr"/>
      <c r="Z36" s="10" t="inlineStr"/>
      <c r="AA36" s="10" t="inlineStr"/>
      <c r="AB36" s="10" t="inlineStr"/>
      <c r="AC36" s="10" t="inlineStr"/>
      <c r="AD36" s="10" t="inlineStr"/>
      <c r="AE36" s="10" t="inlineStr"/>
      <c r="AF36" s="10" t="inlineStr"/>
      <c r="AG36" s="10" t="inlineStr"/>
      <c r="AH36" s="10" t="inlineStr"/>
      <c r="AI36" s="11">
        <f>IFERROR(INDEX(Country_Context!$B$2:$B$64,MATCH($C36,Country_Context!$A$2:$A$64,0)),"")</f>
        <v/>
      </c>
      <c r="AJ36" s="11">
        <f>IFERROR(INDEX(Country_Context!$C$2:$C$64,MATCH($C36,Country_Context!$A$2:$A$64,0)),"")</f>
        <v/>
      </c>
      <c r="AK36" s="11">
        <f>IFERROR(INDEX(Country_Context!$D$2:$D$64,MATCH($C36,Country_Context!$A$2:$A$64,0)),"")</f>
        <v/>
      </c>
      <c r="AL36" s="11">
        <f>IFERROR(INDEX(Country_Context!$E$2:$E$64,MATCH($C36,Country_Context!$A$2:$A$64,0)),"")</f>
        <v/>
      </c>
      <c r="AM36" s="11">
        <f>IFERROR(INDEX(Country_Context!$F$2:$F$64,MATCH($C36,Country_Context!$A$2:$A$64,0)),"")</f>
        <v/>
      </c>
      <c r="AN36" s="11">
        <f>IFERROR(INDEX(Country_Context!$G$2:$G$64,MATCH($C36,Country_Context!$A$2:$A$64,0)),"")</f>
        <v/>
      </c>
      <c r="AO36" s="12" t="inlineStr">
        <is>
          <t>https://api.worldbank.org/v2/country/DNK/indicator/PA.NUS.PRVT.PP?format=json&amp;mrv=30 | https://api.worldbank.org/v2/country/DNK/indicator/GC.TAX.TOTL.GD.ZS?format=json&amp;mrv=30 | https://api.worldbank.org/v2/country/DNK/indicator/FD.AST.PRVT.GD.ZS?format=json&amp;mrv=30</t>
        </is>
      </c>
      <c r="AP36" s="12" t="inlineStr">
        <is>
          <t>Tier 3</t>
        </is>
      </c>
      <c r="AQ36" s="12" t="inlineStr">
        <is>
          <t>2024-12-31</t>
        </is>
      </c>
      <c r="AR36" s="12" t="inlineStr">
        <is>
          <t>providers=world_bank; fields=ppp_private_consumption, tax_rate_assumption, household_debt_proxy</t>
        </is>
      </c>
      <c r="AS36" s="12" t="inlineStr"/>
      <c r="AT36" s="12" t="inlineStr"/>
      <c r="AU36" s="12" t="inlineStr"/>
      <c r="AV36" s="12" t="inlineStr"/>
      <c r="AW36" s="12" t="inlineStr">
        <is>
          <t>https://api.worldbank.org/v2/country/DNK/indicator/SI.POV.GINI?format=json&amp;mrv=30</t>
        </is>
      </c>
      <c r="AX36" s="12" t="inlineStr">
        <is>
          <t>Tier 3</t>
        </is>
      </c>
      <c r="AY36" s="12" t="inlineStr">
        <is>
          <t>2023-12-31</t>
        </is>
      </c>
      <c r="AZ36" s="12" t="inlineStr">
        <is>
          <t>providers=world_bank; fields=gini_coefficient</t>
        </is>
      </c>
      <c r="BA36" s="12" t="inlineStr"/>
      <c r="BB36" s="12" t="inlineStr"/>
      <c r="BC36" s="12" t="inlineStr"/>
      <c r="BD36" s="12" t="inlineStr"/>
      <c r="BE36" s="12" t="inlineStr">
        <is>
          <t>https://api.worldbank.org/v2/country/DNK/indicator/NY.GDP.PCAP.PP.CD?format=json&amp;mrv=30 | https://api.worldbank.org/v2/country/DNK/indicator/NY.GDP.MKTP.KD.ZG?format=json&amp;mrv=30</t>
        </is>
      </c>
      <c r="BF36" s="12" t="inlineStr">
        <is>
          <t>Tier 3</t>
        </is>
      </c>
      <c r="BG36" s="12" t="inlineStr">
        <is>
          <t>2024-12-31</t>
        </is>
      </c>
      <c r="BH36" s="12" t="inlineStr">
        <is>
          <t>providers=world_bank; fields=gdp_per_capita_ppp, gdp_growth</t>
        </is>
      </c>
    </row>
    <row r="37">
      <c r="A37" s="9" t="inlineStr">
        <is>
          <t>it-milan</t>
        </is>
      </c>
      <c r="B37" s="9" t="inlineStr">
        <is>
          <t>Milan</t>
        </is>
      </c>
      <c r="C37" s="9" t="inlineStr">
        <is>
          <t>Italy</t>
        </is>
      </c>
      <c r="D37" s="9" t="inlineStr">
        <is>
          <t>Western, Northern, and Southern Europe</t>
        </is>
      </c>
      <c r="E37" s="9" t="inlineStr">
        <is>
          <t>primary</t>
        </is>
      </c>
      <c r="F37" s="9" t="inlineStr">
        <is>
          <t>provisional</t>
        </is>
      </c>
      <c r="G37" s="10" t="n">
        <v>39023.18</v>
      </c>
      <c r="H37" s="10" t="inlineStr"/>
      <c r="I37" s="10" t="inlineStr"/>
      <c r="J37" s="10" t="n">
        <v>330</v>
      </c>
      <c r="K37" s="10" t="inlineStr"/>
      <c r="L37" s="10" t="inlineStr"/>
      <c r="M37" s="11">
        <f>IF(OR($G37="",$H37="",$I37="",$J37="",$K37="",$L37="",$AL37="",$AM37=""),"",((($G37*(1-$AM37))-$H37-$I37-$J37-$K37-$L37)/$AL37))</f>
        <v/>
      </c>
      <c r="N37" s="10" t="inlineStr"/>
      <c r="O37" s="10" t="inlineStr"/>
      <c r="P37" s="11">
        <f>IF($O37&lt;&gt;"",$O37,$AN37)</f>
        <v/>
      </c>
      <c r="Q37" s="10" t="inlineStr"/>
      <c r="R37" s="10" t="inlineStr"/>
      <c r="S37" s="10" t="n">
        <v>102.95</v>
      </c>
      <c r="T37" s="10" t="n">
        <v>75.43000000000001</v>
      </c>
      <c r="U37" s="10" t="n">
        <v>21</v>
      </c>
      <c r="V37" s="10" t="inlineStr"/>
      <c r="W37" s="10" t="inlineStr"/>
      <c r="X37" s="10" t="n">
        <v>6.45</v>
      </c>
      <c r="Y37" s="10" t="inlineStr"/>
      <c r="Z37" s="10" t="inlineStr"/>
      <c r="AA37" s="10" t="inlineStr"/>
      <c r="AB37" s="10" t="inlineStr"/>
      <c r="AC37" s="10" t="inlineStr"/>
      <c r="AD37" s="10" t="n">
        <v>135.84</v>
      </c>
      <c r="AE37" s="10" t="inlineStr"/>
      <c r="AF37" s="10" t="inlineStr"/>
      <c r="AG37" s="10" t="inlineStr"/>
      <c r="AH37" s="10" t="n">
        <v>16491113</v>
      </c>
      <c r="AI37" s="11">
        <f>IFERROR(INDEX(Country_Context!$B$2:$B$64,MATCH($C37,Country_Context!$A$2:$A$64,0)),"")</f>
        <v/>
      </c>
      <c r="AJ37" s="11">
        <f>IFERROR(INDEX(Country_Context!$C$2:$C$64,MATCH($C37,Country_Context!$A$2:$A$64,0)),"")</f>
        <v/>
      </c>
      <c r="AK37" s="11">
        <f>IFERROR(INDEX(Country_Context!$D$2:$D$64,MATCH($C37,Country_Context!$A$2:$A$64,0)),"")</f>
        <v/>
      </c>
      <c r="AL37" s="11">
        <f>IFERROR(INDEX(Country_Context!$E$2:$E$64,MATCH($C37,Country_Context!$A$2:$A$64,0)),"")</f>
        <v/>
      </c>
      <c r="AM37" s="11">
        <f>IFERROR(INDEX(Country_Context!$F$2:$F$64,MATCH($C37,Country_Context!$A$2:$A$64,0)),"")</f>
        <v/>
      </c>
      <c r="AN37" s="11">
        <f>IFERROR(INDEX(Country_Context!$G$2:$G$64,MATCH($C37,Country_Context!$A$2:$A$64,0)),"")</f>
        <v/>
      </c>
      <c r="AO37" s="12" t="inlineStr">
        <is>
          <t>https://dati.comune.milano.it/dataset/edfe847d-05f1-4d25-ba44-283d22b1ec73/resource/76b54f5a-24a6-4f7f-a3a9-a6152d8da601/download/redditi_e_principali_variabili_irpef_su_base_comunale_csv_2023.csv | https://www.atm.it/en/ViaggiaConNoi/Abbonamenti/Pages/Tipologie.aspx | https://api.worldbank.org/v2/country/ITA/indicator/PA.NUS.PRVT.PP?format=json&amp;mrv=30 | +2 more</t>
        </is>
      </c>
      <c r="AP37" s="12" t="inlineStr">
        <is>
          <t>Tier 1, Tier 3</t>
        </is>
      </c>
      <c r="AQ37" s="12" t="inlineStr">
        <is>
          <t>2026-03-12</t>
        </is>
      </c>
      <c r="AR37" s="12" t="inlineStr">
        <is>
          <t>providers=comune_milano_open_data, atm_milano, world_bank; fields=gross_income, transit_cost, ppp_private_consumption, tax_rate_assumption; +1 additional fields</t>
        </is>
      </c>
      <c r="AS37" s="12" t="inlineStr">
        <is>
          <t>https://dati.comune.milano.it/dataset/34e2d2af-5c3b-4768-918b-ab7e5c0d15da/resource/8b03b9f2-f2d7-4408-b439-bc6efc093cff/download/ds564_reati_denunciati_2004_2023.csv | https://dati.comune.milano.it/dataset/0ac0f655-1858-410a-9873-70fd057ef65d/resource/39d6ef17-8882-49b6-b2de-dd4a8486d923/download/ds393_popolazione_pendolari_movimenti_interni_mezzo_tempo_orario_uscita_genere__2011c.csv | https://www.arpalombardia.it/agenda/notizie/2026/qualita-dell-aria-prosegue-il-miglioramento-anche-nell-anno-2025/</t>
        </is>
      </c>
      <c r="AT37" s="12" t="inlineStr">
        <is>
          <t>Tier 1, Tier 2</t>
        </is>
      </c>
      <c r="AU37" s="12" t="inlineStr">
        <is>
          <t>2026-03-12</t>
        </is>
      </c>
      <c r="AV37" s="12" t="inlineStr">
        <is>
          <t>providers=comune_milano_open_data, arpa_lombardia; fields=personal_safety_raw, transit_access_commute_raw, clean_air_raw</t>
        </is>
      </c>
      <c r="AW37" s="12" t="inlineStr">
        <is>
          <t>https://dati.comune.milano.it/dataset/71477d58-03a6-468b-81de-b168a264c82c/resource/7632c319-4a2a-4ab5-a39d-74d6ecc7323d/download/ds683_posti_letto_strutture_milano_010925_.csv | https://api.worldbank.org/v2/country/ITA/indicator/SI.POV.GINI?format=json&amp;mrv=30</t>
        </is>
      </c>
      <c r="AX37" s="12" t="inlineStr">
        <is>
          <t>Tier 1, Tier 3</t>
        </is>
      </c>
      <c r="AY37" s="12" t="inlineStr">
        <is>
          <t>2026-03-12</t>
        </is>
      </c>
      <c r="AZ37" s="12" t="inlineStr">
        <is>
          <t>providers=comune_milano_open_data, world_bank; fields=healthcare_quality_raw, gini_coefficient</t>
        </is>
      </c>
      <c r="BA37" s="12" t="inlineStr"/>
      <c r="BB37" s="12" t="inlineStr"/>
      <c r="BC37" s="12" t="inlineStr"/>
      <c r="BD37" s="12" t="inlineStr"/>
      <c r="BE37" s="12" t="inlineStr">
        <is>
          <t>https://dati.comune.milano.it/dataset/8d8a4d19-0004-48a8-9425-e892deffde10/resource/68ebcbed-a736-4f0a-b654-17232b18deb0/download/ds691_imprese.csv | https://dati.comune.milano.it/dataset/645e64c2-0a51-4823-8a40-633cc162b4af/resource/89f7c6c4-fd98-4e5e-8e9a-041b92bac9d8/download/ds215_presenze_mensili-1.csv | https://api.worldbank.org/v2/country/ITA/indicator/NY.GDP.PCAP.PP.CD?format=json&amp;mrv=30 | +1 more</t>
        </is>
      </c>
      <c r="BF37" s="12" t="inlineStr">
        <is>
          <t>Tier 1, Tier 3</t>
        </is>
      </c>
      <c r="BG37" s="12" t="inlineStr">
        <is>
          <t>2026-03-12</t>
        </is>
      </c>
      <c r="BH37" s="12" t="inlineStr">
        <is>
          <t>providers=comune_milano_open_data, world_bank; fields=entrepreneurial_dynamism_raw, visitor_flow_context_raw, gdp_per_capita_ppp, gdp_growth</t>
        </is>
      </c>
    </row>
    <row r="38">
      <c r="A38" s="9" t="inlineStr">
        <is>
          <t>at-graz</t>
        </is>
      </c>
      <c r="B38" s="9" t="inlineStr">
        <is>
          <t>Graz</t>
        </is>
      </c>
      <c r="C38" s="9" t="inlineStr">
        <is>
          <t>Austria</t>
        </is>
      </c>
      <c r="D38" s="9" t="inlineStr">
        <is>
          <t>Western, Northern, and Southern Europe</t>
        </is>
      </c>
      <c r="E38" s="9" t="inlineStr">
        <is>
          <t>secondary</t>
        </is>
      </c>
      <c r="F38" s="9" t="inlineStr">
        <is>
          <t>locked</t>
        </is>
      </c>
      <c r="G38" s="10" t="inlineStr"/>
      <c r="H38" s="10" t="inlineStr"/>
      <c r="I38" s="10" t="inlineStr"/>
      <c r="J38" s="10" t="inlineStr"/>
      <c r="K38" s="10" t="inlineStr"/>
      <c r="L38" s="10" t="inlineStr"/>
      <c r="M38" s="11">
        <f>IF(OR($G38="",$H38="",$I38="",$J38="",$K38="",$L38="",$AL38="",$AM38=""),"",((($G38*(1-$AM38))-$H38-$I38-$J38-$K38-$L38)/$AL38))</f>
        <v/>
      </c>
      <c r="N38" s="10" t="inlineStr"/>
      <c r="O38" s="10" t="inlineStr"/>
      <c r="P38" s="11">
        <f>IF($O38&lt;&gt;"",$O38,$AN38)</f>
        <v/>
      </c>
      <c r="Q38" s="10" t="inlineStr"/>
      <c r="R38" s="10" t="inlineStr"/>
      <c r="S38" s="10" t="inlineStr"/>
      <c r="T38" s="10" t="inlineStr"/>
      <c r="U38" s="10" t="inlineStr"/>
      <c r="V38" s="10" t="inlineStr"/>
      <c r="W38" s="10" t="inlineStr"/>
      <c r="X38" s="10" t="inlineStr"/>
      <c r="Y38" s="10" t="inlineStr"/>
      <c r="Z38" s="10" t="inlineStr"/>
      <c r="AA38" s="10" t="inlineStr"/>
      <c r="AB38" s="10" t="inlineStr"/>
      <c r="AC38" s="10" t="inlineStr"/>
      <c r="AD38" s="10" t="inlineStr"/>
      <c r="AE38" s="10" t="inlineStr"/>
      <c r="AF38" s="10" t="inlineStr"/>
      <c r="AG38" s="10" t="inlineStr"/>
      <c r="AH38" s="10" t="inlineStr"/>
      <c r="AI38" s="11">
        <f>IFERROR(INDEX(Country_Context!$B$2:$B$64,MATCH($C38,Country_Context!$A$2:$A$64,0)),"")</f>
        <v/>
      </c>
      <c r="AJ38" s="11">
        <f>IFERROR(INDEX(Country_Context!$C$2:$C$64,MATCH($C38,Country_Context!$A$2:$A$64,0)),"")</f>
        <v/>
      </c>
      <c r="AK38" s="11">
        <f>IFERROR(INDEX(Country_Context!$D$2:$D$64,MATCH($C38,Country_Context!$A$2:$A$64,0)),"")</f>
        <v/>
      </c>
      <c r="AL38" s="11">
        <f>IFERROR(INDEX(Country_Context!$E$2:$E$64,MATCH($C38,Country_Context!$A$2:$A$64,0)),"")</f>
        <v/>
      </c>
      <c r="AM38" s="11">
        <f>IFERROR(INDEX(Country_Context!$F$2:$F$64,MATCH($C38,Country_Context!$A$2:$A$64,0)),"")</f>
        <v/>
      </c>
      <c r="AN38" s="11">
        <f>IFERROR(INDEX(Country_Context!$G$2:$G$64,MATCH($C38,Country_Context!$A$2:$A$64,0)),"")</f>
        <v/>
      </c>
      <c r="AO38" s="12" t="inlineStr">
        <is>
          <t>https://api.worldbank.org/v2/country/AUT/indicator/PA.NUS.PRVT.PP?format=json&amp;mrv=30 | https://api.worldbank.org/v2/country/AUT/indicator/GC.TAX.TOTL.GD.ZS?format=json&amp;mrv=30 | https://api.worldbank.org/v2/country/AUT/indicator/FD.AST.PRVT.GD.ZS?format=json&amp;mrv=30</t>
        </is>
      </c>
      <c r="AP38" s="12" t="inlineStr">
        <is>
          <t>Tier 3</t>
        </is>
      </c>
      <c r="AQ38" s="12" t="inlineStr">
        <is>
          <t>2024-12-31</t>
        </is>
      </c>
      <c r="AR38" s="12" t="inlineStr">
        <is>
          <t>providers=world_bank; fields=ppp_private_consumption, tax_rate_assumption, household_debt_proxy</t>
        </is>
      </c>
      <c r="AS38" s="12" t="inlineStr"/>
      <c r="AT38" s="12" t="inlineStr"/>
      <c r="AU38" s="12" t="inlineStr"/>
      <c r="AV38" s="12" t="inlineStr"/>
      <c r="AW38" s="12" t="inlineStr">
        <is>
          <t>https://api.worldbank.org/v2/country/AUT/indicator/SI.POV.GINI?format=json&amp;mrv=30</t>
        </is>
      </c>
      <c r="AX38" s="12" t="inlineStr">
        <is>
          <t>Tier 3</t>
        </is>
      </c>
      <c r="AY38" s="12" t="inlineStr">
        <is>
          <t>2023-12-31</t>
        </is>
      </c>
      <c r="AZ38" s="12" t="inlineStr">
        <is>
          <t>providers=world_bank; fields=gini_coefficient</t>
        </is>
      </c>
      <c r="BA38" s="12" t="inlineStr"/>
      <c r="BB38" s="12" t="inlineStr"/>
      <c r="BC38" s="12" t="inlineStr"/>
      <c r="BD38" s="12" t="inlineStr"/>
      <c r="BE38" s="12" t="inlineStr">
        <is>
          <t>https://api.worldbank.org/v2/country/AUT/indicator/NY.GDP.PCAP.PP.CD?format=json&amp;mrv=30 | https://api.worldbank.org/v2/country/AUT/indicator/NY.GDP.MKTP.KD.ZG?format=json&amp;mrv=30</t>
        </is>
      </c>
      <c r="BF38" s="12" t="inlineStr">
        <is>
          <t>Tier 3</t>
        </is>
      </c>
      <c r="BG38" s="12" t="inlineStr">
        <is>
          <t>2024-12-31</t>
        </is>
      </c>
      <c r="BH38" s="12" t="inlineStr">
        <is>
          <t>providers=world_bank; fields=gdp_per_capita_ppp, gdp_growth</t>
        </is>
      </c>
    </row>
    <row r="39">
      <c r="A39" s="9" t="inlineStr">
        <is>
          <t>pt-porto</t>
        </is>
      </c>
      <c r="B39" s="9" t="inlineStr">
        <is>
          <t>Porto</t>
        </is>
      </c>
      <c r="C39" s="9" t="inlineStr">
        <is>
          <t>Portugal</t>
        </is>
      </c>
      <c r="D39" s="9" t="inlineStr">
        <is>
          <t>Western, Northern, and Southern Europe</t>
        </is>
      </c>
      <c r="E39" s="9" t="inlineStr">
        <is>
          <t>secondary</t>
        </is>
      </c>
      <c r="F39" s="9" t="inlineStr">
        <is>
          <t>locked</t>
        </is>
      </c>
      <c r="G39" s="10" t="inlineStr"/>
      <c r="H39" s="10" t="inlineStr"/>
      <c r="I39" s="10" t="inlineStr"/>
      <c r="J39" s="10" t="inlineStr"/>
      <c r="K39" s="10" t="inlineStr"/>
      <c r="L39" s="10" t="inlineStr"/>
      <c r="M39" s="11">
        <f>IF(OR($G39="",$H39="",$I39="",$J39="",$K39="",$L39="",$AL39="",$AM39=""),"",((($G39*(1-$AM39))-$H39-$I39-$J39-$K39-$L39)/$AL39))</f>
        <v/>
      </c>
      <c r="N39" s="10" t="inlineStr"/>
      <c r="O39" s="10" t="inlineStr"/>
      <c r="P39" s="11">
        <f>IF($O39&lt;&gt;"",$O39,$AN39)</f>
        <v/>
      </c>
      <c r="Q39" s="10" t="inlineStr"/>
      <c r="R39" s="10" t="inlineStr"/>
      <c r="S39" s="10" t="inlineStr"/>
      <c r="T39" s="10" t="inlineStr"/>
      <c r="U39" s="10" t="inlineStr"/>
      <c r="V39" s="10" t="inlineStr"/>
      <c r="W39" s="10" t="inlineStr"/>
      <c r="X39" s="10" t="inlineStr"/>
      <c r="Y39" s="10" t="inlineStr"/>
      <c r="Z39" s="10" t="inlineStr"/>
      <c r="AA39" s="10" t="inlineStr"/>
      <c r="AB39" s="10" t="inlineStr"/>
      <c r="AC39" s="10" t="inlineStr"/>
      <c r="AD39" s="10" t="inlineStr"/>
      <c r="AE39" s="10" t="inlineStr"/>
      <c r="AF39" s="10" t="inlineStr"/>
      <c r="AG39" s="10" t="inlineStr"/>
      <c r="AH39" s="10" t="inlineStr"/>
      <c r="AI39" s="11">
        <f>IFERROR(INDEX(Country_Context!$B$2:$B$64,MATCH($C39,Country_Context!$A$2:$A$64,0)),"")</f>
        <v/>
      </c>
      <c r="AJ39" s="11">
        <f>IFERROR(INDEX(Country_Context!$C$2:$C$64,MATCH($C39,Country_Context!$A$2:$A$64,0)),"")</f>
        <v/>
      </c>
      <c r="AK39" s="11">
        <f>IFERROR(INDEX(Country_Context!$D$2:$D$64,MATCH($C39,Country_Context!$A$2:$A$64,0)),"")</f>
        <v/>
      </c>
      <c r="AL39" s="11">
        <f>IFERROR(INDEX(Country_Context!$E$2:$E$64,MATCH($C39,Country_Context!$A$2:$A$64,0)),"")</f>
        <v/>
      </c>
      <c r="AM39" s="11">
        <f>IFERROR(INDEX(Country_Context!$F$2:$F$64,MATCH($C39,Country_Context!$A$2:$A$64,0)),"")</f>
        <v/>
      </c>
      <c r="AN39" s="11">
        <f>IFERROR(INDEX(Country_Context!$G$2:$G$64,MATCH($C39,Country_Context!$A$2:$A$64,0)),"")</f>
        <v/>
      </c>
      <c r="AO39" s="12" t="inlineStr">
        <is>
          <t>https://api.worldbank.org/v2/country/PRT/indicator/PA.NUS.PRVT.PP?format=json&amp;mrv=30 | https://api.worldbank.org/v2/country/PRT/indicator/GC.TAX.TOTL.GD.ZS?format=json&amp;mrv=30 | https://api.worldbank.org/v2/country/PRT/indicator/FD.AST.PRVT.GD.ZS?format=json&amp;mrv=30</t>
        </is>
      </c>
      <c r="AP39" s="12" t="inlineStr">
        <is>
          <t>Tier 3</t>
        </is>
      </c>
      <c r="AQ39" s="12" t="inlineStr">
        <is>
          <t>2024-12-31</t>
        </is>
      </c>
      <c r="AR39" s="12" t="inlineStr">
        <is>
          <t>providers=world_bank; fields=ppp_private_consumption, tax_rate_assumption, household_debt_proxy</t>
        </is>
      </c>
      <c r="AS39" s="12" t="inlineStr"/>
      <c r="AT39" s="12" t="inlineStr"/>
      <c r="AU39" s="12" t="inlineStr"/>
      <c r="AV39" s="12" t="inlineStr"/>
      <c r="AW39" s="12" t="inlineStr">
        <is>
          <t>https://api.worldbank.org/v2/country/PRT/indicator/SI.POV.GINI?format=json&amp;mrv=30</t>
        </is>
      </c>
      <c r="AX39" s="12" t="inlineStr">
        <is>
          <t>Tier 3</t>
        </is>
      </c>
      <c r="AY39" s="12" t="inlineStr">
        <is>
          <t>2023-12-31</t>
        </is>
      </c>
      <c r="AZ39" s="12" t="inlineStr">
        <is>
          <t>providers=world_bank; fields=gini_coefficient</t>
        </is>
      </c>
      <c r="BA39" s="12" t="inlineStr"/>
      <c r="BB39" s="12" t="inlineStr"/>
      <c r="BC39" s="12" t="inlineStr"/>
      <c r="BD39" s="12" t="inlineStr"/>
      <c r="BE39" s="12" t="inlineStr">
        <is>
          <t>https://api.worldbank.org/v2/country/PRT/indicator/NY.GDP.PCAP.PP.CD?format=json&amp;mrv=30 | https://api.worldbank.org/v2/country/PRT/indicator/NY.GDP.MKTP.KD.ZG?format=json&amp;mrv=30</t>
        </is>
      </c>
      <c r="BF39" s="12" t="inlineStr">
        <is>
          <t>Tier 3</t>
        </is>
      </c>
      <c r="BG39" s="12" t="inlineStr">
        <is>
          <t>2024-12-31</t>
        </is>
      </c>
      <c r="BH39" s="12" t="inlineStr">
        <is>
          <t>providers=world_bank; fields=gdp_per_capita_ppp, gdp_growth</t>
        </is>
      </c>
    </row>
    <row r="40">
      <c r="A40" s="9" t="inlineStr">
        <is>
          <t>pt-braga</t>
        </is>
      </c>
      <c r="B40" s="9" t="inlineStr">
        <is>
          <t>Braga</t>
        </is>
      </c>
      <c r="C40" s="9" t="inlineStr">
        <is>
          <t>Portugal</t>
        </is>
      </c>
      <c r="D40" s="9" t="inlineStr">
        <is>
          <t>Western, Northern, and Southern Europe</t>
        </is>
      </c>
      <c r="E40" s="9" t="inlineStr">
        <is>
          <t>secondary</t>
        </is>
      </c>
      <c r="F40" s="9" t="inlineStr">
        <is>
          <t>locked</t>
        </is>
      </c>
      <c r="G40" s="10" t="inlineStr"/>
      <c r="H40" s="10" t="inlineStr"/>
      <c r="I40" s="10" t="inlineStr"/>
      <c r="J40" s="10" t="inlineStr"/>
      <c r="K40" s="10" t="inlineStr"/>
      <c r="L40" s="10" t="inlineStr"/>
      <c r="M40" s="11">
        <f>IF(OR($G40="",$H40="",$I40="",$J40="",$K40="",$L40="",$AL40="",$AM40=""),"",((($G40*(1-$AM40))-$H40-$I40-$J40-$K40-$L40)/$AL40))</f>
        <v/>
      </c>
      <c r="N40" s="10" t="inlineStr"/>
      <c r="O40" s="10" t="inlineStr"/>
      <c r="P40" s="11">
        <f>IF($O40&lt;&gt;"",$O40,$AN40)</f>
        <v/>
      </c>
      <c r="Q40" s="10" t="inlineStr"/>
      <c r="R40" s="10" t="inlineStr"/>
      <c r="S40" s="10" t="inlineStr"/>
      <c r="T40" s="10" t="inlineStr"/>
      <c r="U40" s="10" t="inlineStr"/>
      <c r="V40" s="10" t="inlineStr"/>
      <c r="W40" s="10" t="inlineStr"/>
      <c r="X40" s="10" t="inlineStr"/>
      <c r="Y40" s="10" t="inlineStr"/>
      <c r="Z40" s="10" t="inlineStr"/>
      <c r="AA40" s="10" t="inlineStr"/>
      <c r="AB40" s="10" t="inlineStr"/>
      <c r="AC40" s="10" t="inlineStr"/>
      <c r="AD40" s="10" t="inlineStr"/>
      <c r="AE40" s="10" t="inlineStr"/>
      <c r="AF40" s="10" t="inlineStr"/>
      <c r="AG40" s="10" t="inlineStr"/>
      <c r="AH40" s="10" t="inlineStr"/>
      <c r="AI40" s="11">
        <f>IFERROR(INDEX(Country_Context!$B$2:$B$64,MATCH($C40,Country_Context!$A$2:$A$64,0)),"")</f>
        <v/>
      </c>
      <c r="AJ40" s="11">
        <f>IFERROR(INDEX(Country_Context!$C$2:$C$64,MATCH($C40,Country_Context!$A$2:$A$64,0)),"")</f>
        <v/>
      </c>
      <c r="AK40" s="11">
        <f>IFERROR(INDEX(Country_Context!$D$2:$D$64,MATCH($C40,Country_Context!$A$2:$A$64,0)),"")</f>
        <v/>
      </c>
      <c r="AL40" s="11">
        <f>IFERROR(INDEX(Country_Context!$E$2:$E$64,MATCH($C40,Country_Context!$A$2:$A$64,0)),"")</f>
        <v/>
      </c>
      <c r="AM40" s="11">
        <f>IFERROR(INDEX(Country_Context!$F$2:$F$64,MATCH($C40,Country_Context!$A$2:$A$64,0)),"")</f>
        <v/>
      </c>
      <c r="AN40" s="11">
        <f>IFERROR(INDEX(Country_Context!$G$2:$G$64,MATCH($C40,Country_Context!$A$2:$A$64,0)),"")</f>
        <v/>
      </c>
      <c r="AO40" s="12" t="inlineStr">
        <is>
          <t>https://api.worldbank.org/v2/country/PRT/indicator/PA.NUS.PRVT.PP?format=json&amp;mrv=30 | https://api.worldbank.org/v2/country/PRT/indicator/GC.TAX.TOTL.GD.ZS?format=json&amp;mrv=30 | https://api.worldbank.org/v2/country/PRT/indicator/FD.AST.PRVT.GD.ZS?format=json&amp;mrv=30</t>
        </is>
      </c>
      <c r="AP40" s="12" t="inlineStr">
        <is>
          <t>Tier 3</t>
        </is>
      </c>
      <c r="AQ40" s="12" t="inlineStr">
        <is>
          <t>2024-12-31</t>
        </is>
      </c>
      <c r="AR40" s="12" t="inlineStr">
        <is>
          <t>providers=world_bank; fields=ppp_private_consumption, tax_rate_assumption, household_debt_proxy</t>
        </is>
      </c>
      <c r="AS40" s="12" t="inlineStr"/>
      <c r="AT40" s="12" t="inlineStr"/>
      <c r="AU40" s="12" t="inlineStr"/>
      <c r="AV40" s="12" t="inlineStr"/>
      <c r="AW40" s="12" t="inlineStr">
        <is>
          <t>https://api.worldbank.org/v2/country/PRT/indicator/SI.POV.GINI?format=json&amp;mrv=30</t>
        </is>
      </c>
      <c r="AX40" s="12" t="inlineStr">
        <is>
          <t>Tier 3</t>
        </is>
      </c>
      <c r="AY40" s="12" t="inlineStr">
        <is>
          <t>2023-12-31</t>
        </is>
      </c>
      <c r="AZ40" s="12" t="inlineStr">
        <is>
          <t>providers=world_bank; fields=gini_coefficient</t>
        </is>
      </c>
      <c r="BA40" s="12" t="inlineStr"/>
      <c r="BB40" s="12" t="inlineStr"/>
      <c r="BC40" s="12" t="inlineStr"/>
      <c r="BD40" s="12" t="inlineStr"/>
      <c r="BE40" s="12" t="inlineStr">
        <is>
          <t>https://api.worldbank.org/v2/country/PRT/indicator/NY.GDP.PCAP.PP.CD?format=json&amp;mrv=30 | https://api.worldbank.org/v2/country/PRT/indicator/NY.GDP.MKTP.KD.ZG?format=json&amp;mrv=30</t>
        </is>
      </c>
      <c r="BF40" s="12" t="inlineStr">
        <is>
          <t>Tier 3</t>
        </is>
      </c>
      <c r="BG40" s="12" t="inlineStr">
        <is>
          <t>2024-12-31</t>
        </is>
      </c>
      <c r="BH40" s="12" t="inlineStr">
        <is>
          <t>providers=world_bank; fields=gdp_per_capita_ppp, gdp_growth</t>
        </is>
      </c>
    </row>
    <row r="41">
      <c r="A41" s="9" t="inlineStr">
        <is>
          <t>ee-tallinn</t>
        </is>
      </c>
      <c r="B41" s="9" t="inlineStr">
        <is>
          <t>Tallinn</t>
        </is>
      </c>
      <c r="C41" s="9" t="inlineStr">
        <is>
          <t>Estonia</t>
        </is>
      </c>
      <c r="D41" s="9" t="inlineStr">
        <is>
          <t>Western, Northern, and Southern Europe</t>
        </is>
      </c>
      <c r="E41" s="9" t="inlineStr">
        <is>
          <t>secondary</t>
        </is>
      </c>
      <c r="F41" s="9" t="inlineStr">
        <is>
          <t>locked</t>
        </is>
      </c>
      <c r="G41" s="10" t="inlineStr"/>
      <c r="H41" s="10" t="inlineStr"/>
      <c r="I41" s="10" t="inlineStr"/>
      <c r="J41" s="10" t="inlineStr"/>
      <c r="K41" s="10" t="inlineStr"/>
      <c r="L41" s="10" t="inlineStr"/>
      <c r="M41" s="11">
        <f>IF(OR($G41="",$H41="",$I41="",$J41="",$K41="",$L41="",$AL41="",$AM41=""),"",((($G41*(1-$AM41))-$H41-$I41-$J41-$K41-$L41)/$AL41))</f>
        <v/>
      </c>
      <c r="N41" s="10" t="inlineStr"/>
      <c r="O41" s="10" t="inlineStr"/>
      <c r="P41" s="11">
        <f>IF($O41&lt;&gt;"",$O41,$AN41)</f>
        <v/>
      </c>
      <c r="Q41" s="10" t="inlineStr"/>
      <c r="R41" s="10" t="inlineStr"/>
      <c r="S41" s="10" t="inlineStr"/>
      <c r="T41" s="10" t="inlineStr"/>
      <c r="U41" s="10" t="inlineStr"/>
      <c r="V41" s="10" t="inlineStr"/>
      <c r="W41" s="10" t="inlineStr"/>
      <c r="X41" s="10" t="inlineStr"/>
      <c r="Y41" s="10" t="inlineStr"/>
      <c r="Z41" s="10" t="inlineStr"/>
      <c r="AA41" s="10" t="inlineStr"/>
      <c r="AB41" s="10" t="inlineStr"/>
      <c r="AC41" s="10" t="inlineStr"/>
      <c r="AD41" s="10" t="inlineStr"/>
      <c r="AE41" s="10" t="inlineStr"/>
      <c r="AF41" s="10" t="inlineStr"/>
      <c r="AG41" s="10" t="inlineStr"/>
      <c r="AH41" s="10" t="inlineStr"/>
      <c r="AI41" s="11">
        <f>IFERROR(INDEX(Country_Context!$B$2:$B$64,MATCH($C41,Country_Context!$A$2:$A$64,0)),"")</f>
        <v/>
      </c>
      <c r="AJ41" s="11">
        <f>IFERROR(INDEX(Country_Context!$C$2:$C$64,MATCH($C41,Country_Context!$A$2:$A$64,0)),"")</f>
        <v/>
      </c>
      <c r="AK41" s="11">
        <f>IFERROR(INDEX(Country_Context!$D$2:$D$64,MATCH($C41,Country_Context!$A$2:$A$64,0)),"")</f>
        <v/>
      </c>
      <c r="AL41" s="11">
        <f>IFERROR(INDEX(Country_Context!$E$2:$E$64,MATCH($C41,Country_Context!$A$2:$A$64,0)),"")</f>
        <v/>
      </c>
      <c r="AM41" s="11">
        <f>IFERROR(INDEX(Country_Context!$F$2:$F$64,MATCH($C41,Country_Context!$A$2:$A$64,0)),"")</f>
        <v/>
      </c>
      <c r="AN41" s="11">
        <f>IFERROR(INDEX(Country_Context!$G$2:$G$64,MATCH($C41,Country_Context!$A$2:$A$64,0)),"")</f>
        <v/>
      </c>
      <c r="AO41" s="12" t="inlineStr">
        <is>
          <t>https://api.worldbank.org/v2/country/EST/indicator/PA.NUS.PRVT.PP?format=json&amp;mrv=30 | https://api.worldbank.org/v2/country/EST/indicator/GC.TAX.TOTL.GD.ZS?format=json&amp;mrv=30 | https://api.worldbank.org/v2/country/EST/indicator/FD.AST.PRVT.GD.ZS?format=json&amp;mrv=30</t>
        </is>
      </c>
      <c r="AP41" s="12" t="inlineStr">
        <is>
          <t>Tier 3</t>
        </is>
      </c>
      <c r="AQ41" s="12" t="inlineStr">
        <is>
          <t>2024-12-31</t>
        </is>
      </c>
      <c r="AR41" s="12" t="inlineStr">
        <is>
          <t>providers=world_bank; fields=ppp_private_consumption, tax_rate_assumption, household_debt_proxy</t>
        </is>
      </c>
      <c r="AS41" s="12" t="inlineStr"/>
      <c r="AT41" s="12" t="inlineStr"/>
      <c r="AU41" s="12" t="inlineStr"/>
      <c r="AV41" s="12" t="inlineStr"/>
      <c r="AW41" s="12" t="inlineStr">
        <is>
          <t>https://api.worldbank.org/v2/country/EST/indicator/SI.POV.GINI?format=json&amp;mrv=30</t>
        </is>
      </c>
      <c r="AX41" s="12" t="inlineStr">
        <is>
          <t>Tier 3</t>
        </is>
      </c>
      <c r="AY41" s="12" t="inlineStr">
        <is>
          <t>2023-12-31</t>
        </is>
      </c>
      <c r="AZ41" s="12" t="inlineStr">
        <is>
          <t>providers=world_bank; fields=gini_coefficient</t>
        </is>
      </c>
      <c r="BA41" s="12" t="inlineStr"/>
      <c r="BB41" s="12" t="inlineStr"/>
      <c r="BC41" s="12" t="inlineStr"/>
      <c r="BD41" s="12" t="inlineStr"/>
      <c r="BE41" s="12" t="inlineStr">
        <is>
          <t>https://api.worldbank.org/v2/country/EST/indicator/NY.GDP.PCAP.PP.CD?format=json&amp;mrv=30 | https://api.worldbank.org/v2/country/EST/indicator/NY.GDP.MKTP.KD.ZG?format=json&amp;mrv=30</t>
        </is>
      </c>
      <c r="BF41" s="12" t="inlineStr">
        <is>
          <t>Tier 3</t>
        </is>
      </c>
      <c r="BG41" s="12" t="inlineStr">
        <is>
          <t>2024-12-31</t>
        </is>
      </c>
      <c r="BH41" s="12" t="inlineStr">
        <is>
          <t>providers=world_bank; fields=gdp_per_capita_ppp, gdp_growth</t>
        </is>
      </c>
    </row>
    <row r="42">
      <c r="A42" s="9" t="inlineStr">
        <is>
          <t>fi-helsinki</t>
        </is>
      </c>
      <c r="B42" s="9" t="inlineStr">
        <is>
          <t>Helsinki</t>
        </is>
      </c>
      <c r="C42" s="9" t="inlineStr">
        <is>
          <t>Finland</t>
        </is>
      </c>
      <c r="D42" s="9" t="inlineStr">
        <is>
          <t>Western, Northern, and Southern Europe</t>
        </is>
      </c>
      <c r="E42" s="9" t="inlineStr">
        <is>
          <t>secondary</t>
        </is>
      </c>
      <c r="F42" s="9" t="inlineStr">
        <is>
          <t>provisional</t>
        </is>
      </c>
      <c r="G42" s="10" t="inlineStr"/>
      <c r="H42" s="10" t="inlineStr"/>
      <c r="I42" s="10" t="inlineStr"/>
      <c r="J42" s="10" t="inlineStr"/>
      <c r="K42" s="10" t="inlineStr"/>
      <c r="L42" s="10" t="inlineStr"/>
      <c r="M42" s="11">
        <f>IF(OR($G42="",$H42="",$I42="",$J42="",$K42="",$L42="",$AL42="",$AM42=""),"",((($G42*(1-$AM42))-$H42-$I42-$J42-$K42-$L42)/$AL42))</f>
        <v/>
      </c>
      <c r="N42" s="10" t="inlineStr"/>
      <c r="O42" s="10" t="inlineStr"/>
      <c r="P42" s="11">
        <f>IF($O42&lt;&gt;"",$O42,$AN42)</f>
        <v/>
      </c>
      <c r="Q42" s="10" t="inlineStr"/>
      <c r="R42" s="10" t="inlineStr"/>
      <c r="S42" s="10" t="inlineStr"/>
      <c r="T42" s="10" t="inlineStr"/>
      <c r="U42" s="10" t="inlineStr"/>
      <c r="V42" s="10" t="inlineStr"/>
      <c r="W42" s="10" t="inlineStr"/>
      <c r="X42" s="10" t="inlineStr"/>
      <c r="Y42" s="10" t="inlineStr"/>
      <c r="Z42" s="10" t="inlineStr"/>
      <c r="AA42" s="10" t="inlineStr"/>
      <c r="AB42" s="10" t="inlineStr"/>
      <c r="AC42" s="10" t="inlineStr"/>
      <c r="AD42" s="10" t="inlineStr"/>
      <c r="AE42" s="10" t="inlineStr"/>
      <c r="AF42" s="10" t="inlineStr"/>
      <c r="AG42" s="10" t="inlineStr"/>
      <c r="AH42" s="10" t="inlineStr"/>
      <c r="AI42" s="11">
        <f>IFERROR(INDEX(Country_Context!$B$2:$B$64,MATCH($C42,Country_Context!$A$2:$A$64,0)),"")</f>
        <v/>
      </c>
      <c r="AJ42" s="11">
        <f>IFERROR(INDEX(Country_Context!$C$2:$C$64,MATCH($C42,Country_Context!$A$2:$A$64,0)),"")</f>
        <v/>
      </c>
      <c r="AK42" s="11">
        <f>IFERROR(INDEX(Country_Context!$D$2:$D$64,MATCH($C42,Country_Context!$A$2:$A$64,0)),"")</f>
        <v/>
      </c>
      <c r="AL42" s="11">
        <f>IFERROR(INDEX(Country_Context!$E$2:$E$64,MATCH($C42,Country_Context!$A$2:$A$64,0)),"")</f>
        <v/>
      </c>
      <c r="AM42" s="11">
        <f>IFERROR(INDEX(Country_Context!$F$2:$F$64,MATCH($C42,Country_Context!$A$2:$A$64,0)),"")</f>
        <v/>
      </c>
      <c r="AN42" s="11">
        <f>IFERROR(INDEX(Country_Context!$G$2:$G$64,MATCH($C42,Country_Context!$A$2:$A$64,0)),"")</f>
        <v/>
      </c>
      <c r="AO42" s="12" t="inlineStr">
        <is>
          <t>https://api.worldbank.org/v2/country/FIN/indicator/PA.NUS.PRVT.PP?format=json&amp;mrv=30 | https://api.worldbank.org/v2/country/FIN/indicator/GC.TAX.TOTL.GD.ZS?format=json&amp;mrv=30 | https://api.worldbank.org/v2/country/FIN/indicator/FD.AST.PRVT.GD.ZS?format=json&amp;mrv=30</t>
        </is>
      </c>
      <c r="AP42" s="12" t="inlineStr">
        <is>
          <t>Tier 3</t>
        </is>
      </c>
      <c r="AQ42" s="12" t="inlineStr">
        <is>
          <t>2024-12-31</t>
        </is>
      </c>
      <c r="AR42" s="12" t="inlineStr">
        <is>
          <t>providers=world_bank; fields=ppp_private_consumption, tax_rate_assumption, household_debt_proxy</t>
        </is>
      </c>
      <c r="AS42" s="12" t="inlineStr"/>
      <c r="AT42" s="12" t="inlineStr"/>
      <c r="AU42" s="12" t="inlineStr"/>
      <c r="AV42" s="12" t="inlineStr"/>
      <c r="AW42" s="12" t="inlineStr">
        <is>
          <t>https://api.worldbank.org/v2/country/FIN/indicator/SI.POV.GINI?format=json&amp;mrv=30</t>
        </is>
      </c>
      <c r="AX42" s="12" t="inlineStr">
        <is>
          <t>Tier 3</t>
        </is>
      </c>
      <c r="AY42" s="12" t="inlineStr">
        <is>
          <t>2023-12-31</t>
        </is>
      </c>
      <c r="AZ42" s="12" t="inlineStr">
        <is>
          <t>providers=world_bank; fields=gini_coefficient</t>
        </is>
      </c>
      <c r="BA42" s="12" t="inlineStr"/>
      <c r="BB42" s="12" t="inlineStr"/>
      <c r="BC42" s="12" t="inlineStr"/>
      <c r="BD42" s="12" t="inlineStr"/>
      <c r="BE42" s="12" t="inlineStr">
        <is>
          <t>https://api.worldbank.org/v2/country/FIN/indicator/NY.GDP.PCAP.PP.CD?format=json&amp;mrv=30 | https://api.worldbank.org/v2/country/FIN/indicator/NY.GDP.MKTP.KD.ZG?format=json&amp;mrv=30</t>
        </is>
      </c>
      <c r="BF42" s="12" t="inlineStr">
        <is>
          <t>Tier 3</t>
        </is>
      </c>
      <c r="BG42" s="12" t="inlineStr">
        <is>
          <t>2024-12-31</t>
        </is>
      </c>
      <c r="BH42" s="12" t="inlineStr">
        <is>
          <t>providers=world_bank; fields=gdp_per_capita_ppp, gdp_growth</t>
        </is>
      </c>
    </row>
    <row r="43">
      <c r="A43" s="9" t="inlineStr">
        <is>
          <t>it-bologna</t>
        </is>
      </c>
      <c r="B43" s="9" t="inlineStr">
        <is>
          <t>Bologna</t>
        </is>
      </c>
      <c r="C43" s="9" t="inlineStr">
        <is>
          <t>Italy</t>
        </is>
      </c>
      <c r="D43" s="9" t="inlineStr">
        <is>
          <t>Western, Northern, and Southern Europe</t>
        </is>
      </c>
      <c r="E43" s="9" t="inlineStr">
        <is>
          <t>secondary</t>
        </is>
      </c>
      <c r="F43" s="9" t="inlineStr">
        <is>
          <t>provisional</t>
        </is>
      </c>
      <c r="G43" s="10" t="inlineStr"/>
      <c r="H43" s="10" t="inlineStr"/>
      <c r="I43" s="10" t="inlineStr"/>
      <c r="J43" s="10" t="inlineStr"/>
      <c r="K43" s="10" t="inlineStr"/>
      <c r="L43" s="10" t="inlineStr"/>
      <c r="M43" s="11">
        <f>IF(OR($G43="",$H43="",$I43="",$J43="",$K43="",$L43="",$AL43="",$AM43=""),"",((($G43*(1-$AM43))-$H43-$I43-$J43-$K43-$L43)/$AL43))</f>
        <v/>
      </c>
      <c r="N43" s="10" t="inlineStr"/>
      <c r="O43" s="10" t="inlineStr"/>
      <c r="P43" s="11">
        <f>IF($O43&lt;&gt;"",$O43,$AN43)</f>
        <v/>
      </c>
      <c r="Q43" s="10" t="inlineStr"/>
      <c r="R43" s="10" t="inlineStr"/>
      <c r="S43" s="10" t="inlineStr"/>
      <c r="T43" s="10" t="inlineStr"/>
      <c r="U43" s="10" t="inlineStr"/>
      <c r="V43" s="10" t="inlineStr"/>
      <c r="W43" s="10" t="inlineStr"/>
      <c r="X43" s="10" t="inlineStr"/>
      <c r="Y43" s="10" t="inlineStr"/>
      <c r="Z43" s="10" t="inlineStr"/>
      <c r="AA43" s="10" t="inlineStr"/>
      <c r="AB43" s="10" t="inlineStr"/>
      <c r="AC43" s="10" t="inlineStr"/>
      <c r="AD43" s="10" t="inlineStr"/>
      <c r="AE43" s="10" t="inlineStr"/>
      <c r="AF43" s="10" t="inlineStr"/>
      <c r="AG43" s="10" t="inlineStr"/>
      <c r="AH43" s="10" t="inlineStr"/>
      <c r="AI43" s="11">
        <f>IFERROR(INDEX(Country_Context!$B$2:$B$64,MATCH($C43,Country_Context!$A$2:$A$64,0)),"")</f>
        <v/>
      </c>
      <c r="AJ43" s="11">
        <f>IFERROR(INDEX(Country_Context!$C$2:$C$64,MATCH($C43,Country_Context!$A$2:$A$64,0)),"")</f>
        <v/>
      </c>
      <c r="AK43" s="11">
        <f>IFERROR(INDEX(Country_Context!$D$2:$D$64,MATCH($C43,Country_Context!$A$2:$A$64,0)),"")</f>
        <v/>
      </c>
      <c r="AL43" s="11">
        <f>IFERROR(INDEX(Country_Context!$E$2:$E$64,MATCH($C43,Country_Context!$A$2:$A$64,0)),"")</f>
        <v/>
      </c>
      <c r="AM43" s="11">
        <f>IFERROR(INDEX(Country_Context!$F$2:$F$64,MATCH($C43,Country_Context!$A$2:$A$64,0)),"")</f>
        <v/>
      </c>
      <c r="AN43" s="11">
        <f>IFERROR(INDEX(Country_Context!$G$2:$G$64,MATCH($C43,Country_Context!$A$2:$A$64,0)),"")</f>
        <v/>
      </c>
      <c r="AO43" s="12" t="inlineStr">
        <is>
          <t>https://api.worldbank.org/v2/country/ITA/indicator/PA.NUS.PRVT.PP?format=json&amp;mrv=30 | https://api.worldbank.org/v2/country/ITA/indicator/GC.TAX.TOTL.GD.ZS?format=json&amp;mrv=30 | https://api.worldbank.org/v2/country/ITA/indicator/FD.AST.PRVT.GD.ZS?format=json&amp;mrv=30</t>
        </is>
      </c>
      <c r="AP43" s="12" t="inlineStr">
        <is>
          <t>Tier 3</t>
        </is>
      </c>
      <c r="AQ43" s="12" t="inlineStr">
        <is>
          <t>2024-12-31</t>
        </is>
      </c>
      <c r="AR43" s="12" t="inlineStr">
        <is>
          <t>providers=world_bank; fields=ppp_private_consumption, tax_rate_assumption, household_debt_proxy</t>
        </is>
      </c>
      <c r="AS43" s="12" t="inlineStr"/>
      <c r="AT43" s="12" t="inlineStr"/>
      <c r="AU43" s="12" t="inlineStr"/>
      <c r="AV43" s="12" t="inlineStr"/>
      <c r="AW43" s="12" t="inlineStr">
        <is>
          <t>https://api.worldbank.org/v2/country/ITA/indicator/SI.POV.GINI?format=json&amp;mrv=30</t>
        </is>
      </c>
      <c r="AX43" s="12" t="inlineStr">
        <is>
          <t>Tier 3</t>
        </is>
      </c>
      <c r="AY43" s="12" t="inlineStr">
        <is>
          <t>2023-12-31</t>
        </is>
      </c>
      <c r="AZ43" s="12" t="inlineStr">
        <is>
          <t>providers=world_bank; fields=gini_coefficient</t>
        </is>
      </c>
      <c r="BA43" s="12" t="inlineStr"/>
      <c r="BB43" s="12" t="inlineStr"/>
      <c r="BC43" s="12" t="inlineStr"/>
      <c r="BD43" s="12" t="inlineStr"/>
      <c r="BE43" s="12" t="inlineStr">
        <is>
          <t>https://api.worldbank.org/v2/country/ITA/indicator/NY.GDP.PCAP.PP.CD?format=json&amp;mrv=30 | https://api.worldbank.org/v2/country/ITA/indicator/NY.GDP.MKTP.KD.ZG?format=json&amp;mrv=30</t>
        </is>
      </c>
      <c r="BF43" s="12" t="inlineStr">
        <is>
          <t>Tier 3</t>
        </is>
      </c>
      <c r="BG43" s="12" t="inlineStr">
        <is>
          <t>2024-12-31</t>
        </is>
      </c>
      <c r="BH43" s="12" t="inlineStr">
        <is>
          <t>providers=world_bank; fields=gdp_per_capita_ppp, gdp_growth</t>
        </is>
      </c>
    </row>
    <row r="44">
      <c r="A44" s="9" t="inlineStr">
        <is>
          <t>ru-moscow</t>
        </is>
      </c>
      <c r="B44" s="9" t="inlineStr">
        <is>
          <t>Moscow</t>
        </is>
      </c>
      <c r="C44" s="9" t="inlineStr">
        <is>
          <t>Russia</t>
        </is>
      </c>
      <c r="D44" s="9" t="inlineStr">
        <is>
          <t>Southern/Eastern Europe and Eurasia</t>
        </is>
      </c>
      <c r="E44" s="9" t="inlineStr">
        <is>
          <t>primary</t>
        </is>
      </c>
      <c r="F44" s="9" t="inlineStr">
        <is>
          <t>locked</t>
        </is>
      </c>
      <c r="G44" s="10" t="inlineStr"/>
      <c r="H44" s="10" t="inlineStr"/>
      <c r="I44" s="10" t="inlineStr"/>
      <c r="J44" s="10" t="inlineStr"/>
      <c r="K44" s="10" t="inlineStr"/>
      <c r="L44" s="10" t="inlineStr"/>
      <c r="M44" s="11">
        <f>IF(OR($G44="",$H44="",$I44="",$J44="",$K44="",$L44="",$AL44="",$AM44=""),"",((($G44*(1-$AM44))-$H44-$I44-$J44-$K44-$L44)/$AL44))</f>
        <v/>
      </c>
      <c r="N44" s="10" t="inlineStr"/>
      <c r="O44" s="10" t="inlineStr"/>
      <c r="P44" s="11">
        <f>IF($O44&lt;&gt;"",$O44,$AN44)</f>
        <v/>
      </c>
      <c r="Q44" s="10" t="inlineStr"/>
      <c r="R44" s="10" t="inlineStr"/>
      <c r="S44" s="10" t="inlineStr"/>
      <c r="T44" s="10" t="inlineStr"/>
      <c r="U44" s="10" t="inlineStr"/>
      <c r="V44" s="10" t="inlineStr"/>
      <c r="W44" s="10" t="inlineStr"/>
      <c r="X44" s="10" t="inlineStr"/>
      <c r="Y44" s="10" t="inlineStr"/>
      <c r="Z44" s="10" t="inlineStr"/>
      <c r="AA44" s="10" t="inlineStr"/>
      <c r="AB44" s="10" t="inlineStr"/>
      <c r="AC44" s="10" t="inlineStr"/>
      <c r="AD44" s="10" t="inlineStr"/>
      <c r="AE44" s="10" t="inlineStr"/>
      <c r="AF44" s="10" t="inlineStr"/>
      <c r="AG44" s="10" t="inlineStr"/>
      <c r="AH44" s="10" t="inlineStr"/>
      <c r="AI44" s="11">
        <f>IFERROR(INDEX(Country_Context!$B$2:$B$64,MATCH($C44,Country_Context!$A$2:$A$64,0)),"")</f>
        <v/>
      </c>
      <c r="AJ44" s="11">
        <f>IFERROR(INDEX(Country_Context!$C$2:$C$64,MATCH($C44,Country_Context!$A$2:$A$64,0)),"")</f>
        <v/>
      </c>
      <c r="AK44" s="11">
        <f>IFERROR(INDEX(Country_Context!$D$2:$D$64,MATCH($C44,Country_Context!$A$2:$A$64,0)),"")</f>
        <v/>
      </c>
      <c r="AL44" s="11">
        <f>IFERROR(INDEX(Country_Context!$E$2:$E$64,MATCH($C44,Country_Context!$A$2:$A$64,0)),"")</f>
        <v/>
      </c>
      <c r="AM44" s="11">
        <f>IFERROR(INDEX(Country_Context!$F$2:$F$64,MATCH($C44,Country_Context!$A$2:$A$64,0)),"")</f>
        <v/>
      </c>
      <c r="AN44" s="11">
        <f>IFERROR(INDEX(Country_Context!$G$2:$G$64,MATCH($C44,Country_Context!$A$2:$A$64,0)),"")</f>
        <v/>
      </c>
      <c r="AO44" s="12" t="inlineStr">
        <is>
          <t>https://api.worldbank.org/v2/country/RUS/indicator/PA.NUS.PRVT.PP?format=json&amp;mrv=30 | https://api.worldbank.org/v2/country/RUS/indicator/GC.TAX.TOTL.GD.ZS?format=json&amp;mrv=30 | https://api.worldbank.org/v2/country/RUS/indicator/FD.AST.PRVT.GD.ZS?format=json&amp;mrv=30</t>
        </is>
      </c>
      <c r="AP44" s="12" t="inlineStr">
        <is>
          <t>Tier 3</t>
        </is>
      </c>
      <c r="AQ44" s="12" t="inlineStr">
        <is>
          <t>2024-12-31</t>
        </is>
      </c>
      <c r="AR44" s="12" t="inlineStr">
        <is>
          <t>providers=world_bank; fields=ppp_private_consumption, tax_rate_assumption, household_debt_proxy</t>
        </is>
      </c>
      <c r="AS44" s="12" t="inlineStr"/>
      <c r="AT44" s="12" t="inlineStr"/>
      <c r="AU44" s="12" t="inlineStr"/>
      <c r="AV44" s="12" t="inlineStr"/>
      <c r="AW44" s="12" t="inlineStr">
        <is>
          <t>https://api.worldbank.org/v2/country/RUS/indicator/SI.POV.GINI?format=json&amp;mrv=30</t>
        </is>
      </c>
      <c r="AX44" s="12" t="inlineStr">
        <is>
          <t>Tier 3</t>
        </is>
      </c>
      <c r="AY44" s="12" t="inlineStr">
        <is>
          <t>2023-12-31</t>
        </is>
      </c>
      <c r="AZ44" s="12" t="inlineStr">
        <is>
          <t>providers=world_bank; fields=gini_coefficient</t>
        </is>
      </c>
      <c r="BA44" s="12" t="inlineStr"/>
      <c r="BB44" s="12" t="inlineStr"/>
      <c r="BC44" s="12" t="inlineStr"/>
      <c r="BD44" s="12" t="inlineStr"/>
      <c r="BE44" s="12" t="inlineStr">
        <is>
          <t>https://api.worldbank.org/v2/country/RUS/indicator/NY.GDP.PCAP.PP.CD?format=json&amp;mrv=30 | https://api.worldbank.org/v2/country/RUS/indicator/NY.GDP.MKTP.KD.ZG?format=json&amp;mrv=30</t>
        </is>
      </c>
      <c r="BF44" s="12" t="inlineStr">
        <is>
          <t>Tier 3</t>
        </is>
      </c>
      <c r="BG44" s="12" t="inlineStr">
        <is>
          <t>2024-12-31</t>
        </is>
      </c>
      <c r="BH44" s="12" t="inlineStr">
        <is>
          <t>providers=world_bank; fields=gdp_per_capita_ppp, gdp_growth</t>
        </is>
      </c>
    </row>
    <row r="45">
      <c r="A45" s="9" t="inlineStr">
        <is>
          <t>hu-budapest</t>
        </is>
      </c>
      <c r="B45" s="9" t="inlineStr">
        <is>
          <t>Budapest</t>
        </is>
      </c>
      <c r="C45" s="9" t="inlineStr">
        <is>
          <t>Hungary</t>
        </is>
      </c>
      <c r="D45" s="9" t="inlineStr">
        <is>
          <t>Southern/Eastern Europe and Eurasia</t>
        </is>
      </c>
      <c r="E45" s="9" t="inlineStr">
        <is>
          <t>primary</t>
        </is>
      </c>
      <c r="F45" s="9" t="inlineStr">
        <is>
          <t>locked</t>
        </is>
      </c>
      <c r="G45" s="10" t="inlineStr"/>
      <c r="H45" s="10" t="inlineStr"/>
      <c r="I45" s="10" t="inlineStr"/>
      <c r="J45" s="10" t="inlineStr"/>
      <c r="K45" s="10" t="inlineStr"/>
      <c r="L45" s="10" t="inlineStr"/>
      <c r="M45" s="11">
        <f>IF(OR($G45="",$H45="",$I45="",$J45="",$K45="",$L45="",$AL45="",$AM45=""),"",((($G45*(1-$AM45))-$H45-$I45-$J45-$K45-$L45)/$AL45))</f>
        <v/>
      </c>
      <c r="N45" s="10" t="inlineStr"/>
      <c r="O45" s="10" t="inlineStr"/>
      <c r="P45" s="11">
        <f>IF($O45&lt;&gt;"",$O45,$AN45)</f>
        <v/>
      </c>
      <c r="Q45" s="10" t="inlineStr"/>
      <c r="R45" s="10" t="inlineStr"/>
      <c r="S45" s="10" t="inlineStr"/>
      <c r="T45" s="10" t="inlineStr"/>
      <c r="U45" s="10" t="inlineStr"/>
      <c r="V45" s="10" t="inlineStr"/>
      <c r="W45" s="10" t="inlineStr"/>
      <c r="X45" s="10" t="inlineStr"/>
      <c r="Y45" s="10" t="inlineStr"/>
      <c r="Z45" s="10" t="inlineStr"/>
      <c r="AA45" s="10" t="inlineStr"/>
      <c r="AB45" s="10" t="inlineStr"/>
      <c r="AC45" s="10" t="inlineStr"/>
      <c r="AD45" s="10" t="inlineStr"/>
      <c r="AE45" s="10" t="inlineStr"/>
      <c r="AF45" s="10" t="inlineStr"/>
      <c r="AG45" s="10" t="inlineStr"/>
      <c r="AH45" s="10" t="inlineStr"/>
      <c r="AI45" s="11">
        <f>IFERROR(INDEX(Country_Context!$B$2:$B$64,MATCH($C45,Country_Context!$A$2:$A$64,0)),"")</f>
        <v/>
      </c>
      <c r="AJ45" s="11">
        <f>IFERROR(INDEX(Country_Context!$C$2:$C$64,MATCH($C45,Country_Context!$A$2:$A$64,0)),"")</f>
        <v/>
      </c>
      <c r="AK45" s="11">
        <f>IFERROR(INDEX(Country_Context!$D$2:$D$64,MATCH($C45,Country_Context!$A$2:$A$64,0)),"")</f>
        <v/>
      </c>
      <c r="AL45" s="11">
        <f>IFERROR(INDEX(Country_Context!$E$2:$E$64,MATCH($C45,Country_Context!$A$2:$A$64,0)),"")</f>
        <v/>
      </c>
      <c r="AM45" s="11">
        <f>IFERROR(INDEX(Country_Context!$F$2:$F$64,MATCH($C45,Country_Context!$A$2:$A$64,0)),"")</f>
        <v/>
      </c>
      <c r="AN45" s="11">
        <f>IFERROR(INDEX(Country_Context!$G$2:$G$64,MATCH($C45,Country_Context!$A$2:$A$64,0)),"")</f>
        <v/>
      </c>
      <c r="AO45" s="12" t="inlineStr">
        <is>
          <t>https://api.worldbank.org/v2/country/HUN/indicator/PA.NUS.PRVT.PP?format=json&amp;mrv=30 | https://api.worldbank.org/v2/country/HUN/indicator/GC.TAX.TOTL.GD.ZS?format=json&amp;mrv=30 | https://api.worldbank.org/v2/country/HUN/indicator/FD.AST.PRVT.GD.ZS?format=json&amp;mrv=30</t>
        </is>
      </c>
      <c r="AP45" s="12" t="inlineStr">
        <is>
          <t>Tier 3</t>
        </is>
      </c>
      <c r="AQ45" s="12" t="inlineStr">
        <is>
          <t>2024-12-31</t>
        </is>
      </c>
      <c r="AR45" s="12" t="inlineStr">
        <is>
          <t>providers=world_bank; fields=ppp_private_consumption, tax_rate_assumption, household_debt_proxy</t>
        </is>
      </c>
      <c r="AS45" s="12" t="inlineStr"/>
      <c r="AT45" s="12" t="inlineStr"/>
      <c r="AU45" s="12" t="inlineStr"/>
      <c r="AV45" s="12" t="inlineStr"/>
      <c r="AW45" s="12" t="inlineStr">
        <is>
          <t>https://api.worldbank.org/v2/country/HUN/indicator/SI.POV.GINI?format=json&amp;mrv=30</t>
        </is>
      </c>
      <c r="AX45" s="12" t="inlineStr">
        <is>
          <t>Tier 3</t>
        </is>
      </c>
      <c r="AY45" s="12" t="inlineStr">
        <is>
          <t>2017-12-31</t>
        </is>
      </c>
      <c r="AZ45" s="12" t="inlineStr">
        <is>
          <t>providers=world_bank; fields=gini_coefficient</t>
        </is>
      </c>
      <c r="BA45" s="12" t="inlineStr"/>
      <c r="BB45" s="12" t="inlineStr"/>
      <c r="BC45" s="12" t="inlineStr"/>
      <c r="BD45" s="12" t="inlineStr"/>
      <c r="BE45" s="12" t="inlineStr">
        <is>
          <t>https://api.worldbank.org/v2/country/HUN/indicator/NY.GDP.PCAP.PP.CD?format=json&amp;mrv=30 | https://api.worldbank.org/v2/country/HUN/indicator/NY.GDP.MKTP.KD.ZG?format=json&amp;mrv=30</t>
        </is>
      </c>
      <c r="BF45" s="12" t="inlineStr">
        <is>
          <t>Tier 3</t>
        </is>
      </c>
      <c r="BG45" s="12" t="inlineStr">
        <is>
          <t>2024-12-31</t>
        </is>
      </c>
      <c r="BH45" s="12" t="inlineStr">
        <is>
          <t>providers=world_bank; fields=gdp_per_capita_ppp, gdp_growth</t>
        </is>
      </c>
    </row>
    <row r="46">
      <c r="A46" s="9" t="inlineStr">
        <is>
          <t>pl-krakow</t>
        </is>
      </c>
      <c r="B46" s="9" t="inlineStr">
        <is>
          <t>Krakow</t>
        </is>
      </c>
      <c r="C46" s="9" t="inlineStr">
        <is>
          <t>Poland</t>
        </is>
      </c>
      <c r="D46" s="9" t="inlineStr">
        <is>
          <t>Southern/Eastern Europe and Eurasia</t>
        </is>
      </c>
      <c r="E46" s="9" t="inlineStr">
        <is>
          <t>primary</t>
        </is>
      </c>
      <c r="F46" s="9" t="inlineStr">
        <is>
          <t>locked</t>
        </is>
      </c>
      <c r="G46" s="10" t="inlineStr"/>
      <c r="H46" s="10" t="inlineStr"/>
      <c r="I46" s="10" t="inlineStr"/>
      <c r="J46" s="10" t="inlineStr"/>
      <c r="K46" s="10" t="inlineStr"/>
      <c r="L46" s="10" t="inlineStr"/>
      <c r="M46" s="11">
        <f>IF(OR($G46="",$H46="",$I46="",$J46="",$K46="",$L46="",$AL46="",$AM46=""),"",((($G46*(1-$AM46))-$H46-$I46-$J46-$K46-$L46)/$AL46))</f>
        <v/>
      </c>
      <c r="N46" s="10" t="inlineStr"/>
      <c r="O46" s="10" t="inlineStr"/>
      <c r="P46" s="11">
        <f>IF($O46&lt;&gt;"",$O46,$AN46)</f>
        <v/>
      </c>
      <c r="Q46" s="10" t="inlineStr"/>
      <c r="R46" s="10" t="inlineStr"/>
      <c r="S46" s="10" t="inlineStr"/>
      <c r="T46" s="10" t="inlineStr"/>
      <c r="U46" s="10" t="inlineStr"/>
      <c r="V46" s="10" t="inlineStr"/>
      <c r="W46" s="10" t="inlineStr"/>
      <c r="X46" s="10" t="inlineStr"/>
      <c r="Y46" s="10" t="inlineStr"/>
      <c r="Z46" s="10" t="inlineStr"/>
      <c r="AA46" s="10" t="inlineStr"/>
      <c r="AB46" s="10" t="inlineStr"/>
      <c r="AC46" s="10" t="inlineStr"/>
      <c r="AD46" s="10" t="inlineStr"/>
      <c r="AE46" s="10" t="inlineStr"/>
      <c r="AF46" s="10" t="inlineStr"/>
      <c r="AG46" s="10" t="inlineStr"/>
      <c r="AH46" s="10" t="inlineStr"/>
      <c r="AI46" s="11">
        <f>IFERROR(INDEX(Country_Context!$B$2:$B$64,MATCH($C46,Country_Context!$A$2:$A$64,0)),"")</f>
        <v/>
      </c>
      <c r="AJ46" s="11">
        <f>IFERROR(INDEX(Country_Context!$C$2:$C$64,MATCH($C46,Country_Context!$A$2:$A$64,0)),"")</f>
        <v/>
      </c>
      <c r="AK46" s="11">
        <f>IFERROR(INDEX(Country_Context!$D$2:$D$64,MATCH($C46,Country_Context!$A$2:$A$64,0)),"")</f>
        <v/>
      </c>
      <c r="AL46" s="11">
        <f>IFERROR(INDEX(Country_Context!$E$2:$E$64,MATCH($C46,Country_Context!$A$2:$A$64,0)),"")</f>
        <v/>
      </c>
      <c r="AM46" s="11">
        <f>IFERROR(INDEX(Country_Context!$F$2:$F$64,MATCH($C46,Country_Context!$A$2:$A$64,0)),"")</f>
        <v/>
      </c>
      <c r="AN46" s="11">
        <f>IFERROR(INDEX(Country_Context!$G$2:$G$64,MATCH($C46,Country_Context!$A$2:$A$64,0)),"")</f>
        <v/>
      </c>
      <c r="AO46" s="12" t="inlineStr">
        <is>
          <t>https://api.worldbank.org/v2/country/POL/indicator/PA.NUS.PRVT.PP?format=json&amp;mrv=30 | https://api.worldbank.org/v2/country/POL/indicator/GC.TAX.TOTL.GD.ZS?format=json&amp;mrv=30 | https://api.worldbank.org/v2/country/POL/indicator/FD.AST.PRVT.GD.ZS?format=json&amp;mrv=30</t>
        </is>
      </c>
      <c r="AP46" s="12" t="inlineStr">
        <is>
          <t>Tier 3</t>
        </is>
      </c>
      <c r="AQ46" s="12" t="inlineStr">
        <is>
          <t>2024-12-31</t>
        </is>
      </c>
      <c r="AR46" s="12" t="inlineStr">
        <is>
          <t>providers=world_bank; fields=ppp_private_consumption, tax_rate_assumption, household_debt_proxy</t>
        </is>
      </c>
      <c r="AS46" s="12" t="inlineStr"/>
      <c r="AT46" s="12" t="inlineStr"/>
      <c r="AU46" s="12" t="inlineStr"/>
      <c r="AV46" s="12" t="inlineStr"/>
      <c r="AW46" s="12" t="inlineStr">
        <is>
          <t>https://api.worldbank.org/v2/country/POL/indicator/SI.POV.GINI?format=json&amp;mrv=30</t>
        </is>
      </c>
      <c r="AX46" s="12" t="inlineStr">
        <is>
          <t>Tier 3</t>
        </is>
      </c>
      <c r="AY46" s="12" t="inlineStr">
        <is>
          <t>2023-12-31</t>
        </is>
      </c>
      <c r="AZ46" s="12" t="inlineStr">
        <is>
          <t>providers=world_bank; fields=gini_coefficient</t>
        </is>
      </c>
      <c r="BA46" s="12" t="inlineStr"/>
      <c r="BB46" s="12" t="inlineStr"/>
      <c r="BC46" s="12" t="inlineStr"/>
      <c r="BD46" s="12" t="inlineStr"/>
      <c r="BE46" s="12" t="inlineStr">
        <is>
          <t>https://api.worldbank.org/v2/country/POL/indicator/NY.GDP.PCAP.PP.CD?format=json&amp;mrv=30 | https://api.worldbank.org/v2/country/POL/indicator/NY.GDP.MKTP.KD.ZG?format=json&amp;mrv=30</t>
        </is>
      </c>
      <c r="BF46" s="12" t="inlineStr">
        <is>
          <t>Tier 3</t>
        </is>
      </c>
      <c r="BG46" s="12" t="inlineStr">
        <is>
          <t>2024-12-31</t>
        </is>
      </c>
      <c r="BH46" s="12" t="inlineStr">
        <is>
          <t>providers=world_bank; fields=gdp_per_capita_ppp, gdp_growth</t>
        </is>
      </c>
    </row>
    <row r="47">
      <c r="A47" s="9" t="inlineStr">
        <is>
          <t>ro-bucharest</t>
        </is>
      </c>
      <c r="B47" s="9" t="inlineStr">
        <is>
          <t>Bucharest</t>
        </is>
      </c>
      <c r="C47" s="9" t="inlineStr">
        <is>
          <t>Romania</t>
        </is>
      </c>
      <c r="D47" s="9" t="inlineStr">
        <is>
          <t>Southern/Eastern Europe and Eurasia</t>
        </is>
      </c>
      <c r="E47" s="9" t="inlineStr">
        <is>
          <t>primary</t>
        </is>
      </c>
      <c r="F47" s="9" t="inlineStr">
        <is>
          <t>locked</t>
        </is>
      </c>
      <c r="G47" s="10" t="inlineStr"/>
      <c r="H47" s="10" t="inlineStr"/>
      <c r="I47" s="10" t="inlineStr"/>
      <c r="J47" s="10" t="inlineStr"/>
      <c r="K47" s="10" t="inlineStr"/>
      <c r="L47" s="10" t="inlineStr"/>
      <c r="M47" s="11">
        <f>IF(OR($G47="",$H47="",$I47="",$J47="",$K47="",$L47="",$AL47="",$AM47=""),"",((($G47*(1-$AM47))-$H47-$I47-$J47-$K47-$L47)/$AL47))</f>
        <v/>
      </c>
      <c r="N47" s="10" t="inlineStr"/>
      <c r="O47" s="10" t="inlineStr"/>
      <c r="P47" s="11">
        <f>IF($O47&lt;&gt;"",$O47,$AN47)</f>
        <v/>
      </c>
      <c r="Q47" s="10" t="inlineStr"/>
      <c r="R47" s="10" t="inlineStr"/>
      <c r="S47" s="10" t="inlineStr"/>
      <c r="T47" s="10" t="inlineStr"/>
      <c r="U47" s="10" t="inlineStr"/>
      <c r="V47" s="10" t="inlineStr"/>
      <c r="W47" s="10" t="inlineStr"/>
      <c r="X47" s="10" t="inlineStr"/>
      <c r="Y47" s="10" t="inlineStr"/>
      <c r="Z47" s="10" t="inlineStr"/>
      <c r="AA47" s="10" t="inlineStr"/>
      <c r="AB47" s="10" t="inlineStr"/>
      <c r="AC47" s="10" t="inlineStr"/>
      <c r="AD47" s="10" t="inlineStr"/>
      <c r="AE47" s="10" t="inlineStr"/>
      <c r="AF47" s="10" t="inlineStr"/>
      <c r="AG47" s="10" t="inlineStr"/>
      <c r="AH47" s="10" t="inlineStr"/>
      <c r="AI47" s="11">
        <f>IFERROR(INDEX(Country_Context!$B$2:$B$64,MATCH($C47,Country_Context!$A$2:$A$64,0)),"")</f>
        <v/>
      </c>
      <c r="AJ47" s="11">
        <f>IFERROR(INDEX(Country_Context!$C$2:$C$64,MATCH($C47,Country_Context!$A$2:$A$64,0)),"")</f>
        <v/>
      </c>
      <c r="AK47" s="11">
        <f>IFERROR(INDEX(Country_Context!$D$2:$D$64,MATCH($C47,Country_Context!$A$2:$A$64,0)),"")</f>
        <v/>
      </c>
      <c r="AL47" s="11">
        <f>IFERROR(INDEX(Country_Context!$E$2:$E$64,MATCH($C47,Country_Context!$A$2:$A$64,0)),"")</f>
        <v/>
      </c>
      <c r="AM47" s="11">
        <f>IFERROR(INDEX(Country_Context!$F$2:$F$64,MATCH($C47,Country_Context!$A$2:$A$64,0)),"")</f>
        <v/>
      </c>
      <c r="AN47" s="11">
        <f>IFERROR(INDEX(Country_Context!$G$2:$G$64,MATCH($C47,Country_Context!$A$2:$A$64,0)),"")</f>
        <v/>
      </c>
      <c r="AO47" s="12" t="inlineStr">
        <is>
          <t>https://api.worldbank.org/v2/country/ROU/indicator/PA.NUS.PRVT.PP?format=json&amp;mrv=30 | https://api.worldbank.org/v2/country/ROU/indicator/GC.TAX.TOTL.GD.ZS?format=json&amp;mrv=30 | https://api.worldbank.org/v2/country/ROU/indicator/FD.AST.PRVT.GD.ZS?format=json&amp;mrv=30</t>
        </is>
      </c>
      <c r="AP47" s="12" t="inlineStr">
        <is>
          <t>Tier 3</t>
        </is>
      </c>
      <c r="AQ47" s="12" t="inlineStr">
        <is>
          <t>2024-12-31</t>
        </is>
      </c>
      <c r="AR47" s="12" t="inlineStr">
        <is>
          <t>providers=world_bank; fields=ppp_private_consumption, tax_rate_assumption, household_debt_proxy</t>
        </is>
      </c>
      <c r="AS47" s="12" t="inlineStr"/>
      <c r="AT47" s="12" t="inlineStr"/>
      <c r="AU47" s="12" t="inlineStr"/>
      <c r="AV47" s="12" t="inlineStr"/>
      <c r="AW47" s="12" t="inlineStr">
        <is>
          <t>https://api.worldbank.org/v2/country/ROU/indicator/SI.POV.GINI?format=json&amp;mrv=30</t>
        </is>
      </c>
      <c r="AX47" s="12" t="inlineStr">
        <is>
          <t>Tier 3</t>
        </is>
      </c>
      <c r="AY47" s="12" t="inlineStr">
        <is>
          <t>2023-12-31</t>
        </is>
      </c>
      <c r="AZ47" s="12" t="inlineStr">
        <is>
          <t>providers=world_bank; fields=gini_coefficient</t>
        </is>
      </c>
      <c r="BA47" s="12" t="inlineStr"/>
      <c r="BB47" s="12" t="inlineStr"/>
      <c r="BC47" s="12" t="inlineStr"/>
      <c r="BD47" s="12" t="inlineStr"/>
      <c r="BE47" s="12" t="inlineStr">
        <is>
          <t>https://api.worldbank.org/v2/country/ROU/indicator/NY.GDP.PCAP.PP.CD?format=json&amp;mrv=30 | https://api.worldbank.org/v2/country/ROU/indicator/NY.GDP.MKTP.KD.ZG?format=json&amp;mrv=30</t>
        </is>
      </c>
      <c r="BF47" s="12" t="inlineStr">
        <is>
          <t>Tier 3</t>
        </is>
      </c>
      <c r="BG47" s="12" t="inlineStr">
        <is>
          <t>2024-12-31</t>
        </is>
      </c>
      <c r="BH47" s="12" t="inlineStr">
        <is>
          <t>providers=world_bank; fields=gdp_per_capita_ppp, gdp_growth</t>
        </is>
      </c>
    </row>
    <row r="48">
      <c r="A48" s="9" t="inlineStr">
        <is>
          <t>rs-belgrade</t>
        </is>
      </c>
      <c r="B48" s="9" t="inlineStr">
        <is>
          <t>Belgrade</t>
        </is>
      </c>
      <c r="C48" s="9" t="inlineStr">
        <is>
          <t>Serbia</t>
        </is>
      </c>
      <c r="D48" s="9" t="inlineStr">
        <is>
          <t>Southern/Eastern Europe and Eurasia</t>
        </is>
      </c>
      <c r="E48" s="9" t="inlineStr">
        <is>
          <t>primary</t>
        </is>
      </c>
      <c r="F48" s="9" t="inlineStr">
        <is>
          <t>locked</t>
        </is>
      </c>
      <c r="G48" s="10" t="inlineStr"/>
      <c r="H48" s="10" t="inlineStr"/>
      <c r="I48" s="10" t="inlineStr"/>
      <c r="J48" s="10" t="inlineStr"/>
      <c r="K48" s="10" t="inlineStr"/>
      <c r="L48" s="10" t="inlineStr"/>
      <c r="M48" s="11">
        <f>IF(OR($G48="",$H48="",$I48="",$J48="",$K48="",$L48="",$AL48="",$AM48=""),"",((($G48*(1-$AM48))-$H48-$I48-$J48-$K48-$L48)/$AL48))</f>
        <v/>
      </c>
      <c r="N48" s="10" t="inlineStr"/>
      <c r="O48" s="10" t="inlineStr"/>
      <c r="P48" s="11">
        <f>IF($O48&lt;&gt;"",$O48,$AN48)</f>
        <v/>
      </c>
      <c r="Q48" s="10" t="inlineStr"/>
      <c r="R48" s="10" t="inlineStr"/>
      <c r="S48" s="10" t="inlineStr"/>
      <c r="T48" s="10" t="inlineStr"/>
      <c r="U48" s="10" t="inlineStr"/>
      <c r="V48" s="10" t="inlineStr"/>
      <c r="W48" s="10" t="inlineStr"/>
      <c r="X48" s="10" t="inlineStr"/>
      <c r="Y48" s="10" t="inlineStr"/>
      <c r="Z48" s="10" t="inlineStr"/>
      <c r="AA48" s="10" t="inlineStr"/>
      <c r="AB48" s="10" t="inlineStr"/>
      <c r="AC48" s="10" t="inlineStr"/>
      <c r="AD48" s="10" t="inlineStr"/>
      <c r="AE48" s="10" t="inlineStr"/>
      <c r="AF48" s="10" t="inlineStr"/>
      <c r="AG48" s="10" t="inlineStr"/>
      <c r="AH48" s="10" t="inlineStr"/>
      <c r="AI48" s="11">
        <f>IFERROR(INDEX(Country_Context!$B$2:$B$64,MATCH($C48,Country_Context!$A$2:$A$64,0)),"")</f>
        <v/>
      </c>
      <c r="AJ48" s="11">
        <f>IFERROR(INDEX(Country_Context!$C$2:$C$64,MATCH($C48,Country_Context!$A$2:$A$64,0)),"")</f>
        <v/>
      </c>
      <c r="AK48" s="11">
        <f>IFERROR(INDEX(Country_Context!$D$2:$D$64,MATCH($C48,Country_Context!$A$2:$A$64,0)),"")</f>
        <v/>
      </c>
      <c r="AL48" s="11">
        <f>IFERROR(INDEX(Country_Context!$E$2:$E$64,MATCH($C48,Country_Context!$A$2:$A$64,0)),"")</f>
        <v/>
      </c>
      <c r="AM48" s="11">
        <f>IFERROR(INDEX(Country_Context!$F$2:$F$64,MATCH($C48,Country_Context!$A$2:$A$64,0)),"")</f>
        <v/>
      </c>
      <c r="AN48" s="11">
        <f>IFERROR(INDEX(Country_Context!$G$2:$G$64,MATCH($C48,Country_Context!$A$2:$A$64,0)),"")</f>
        <v/>
      </c>
      <c r="AO48" s="12" t="inlineStr">
        <is>
          <t>https://api.worldbank.org/v2/country/SRB/indicator/PA.NUS.PRVT.PP?format=json&amp;mrv=30 | https://api.worldbank.org/v2/country/SRB/indicator/GC.TAX.TOTL.GD.ZS?format=json&amp;mrv=30 | https://api.worldbank.org/v2/country/SRB/indicator/FD.AST.PRVT.GD.ZS?format=json&amp;mrv=30</t>
        </is>
      </c>
      <c r="AP48" s="12" t="inlineStr">
        <is>
          <t>Tier 3</t>
        </is>
      </c>
      <c r="AQ48" s="12" t="inlineStr">
        <is>
          <t>2024-12-31</t>
        </is>
      </c>
      <c r="AR48" s="12" t="inlineStr">
        <is>
          <t>providers=world_bank; fields=ppp_private_consumption, tax_rate_assumption, household_debt_proxy</t>
        </is>
      </c>
      <c r="AS48" s="12" t="inlineStr"/>
      <c r="AT48" s="12" t="inlineStr"/>
      <c r="AU48" s="12" t="inlineStr"/>
      <c r="AV48" s="12" t="inlineStr"/>
      <c r="AW48" s="12" t="inlineStr">
        <is>
          <t>https://api.worldbank.org/v2/country/SRB/indicator/SI.POV.GINI?format=json&amp;mrv=30</t>
        </is>
      </c>
      <c r="AX48" s="12" t="inlineStr">
        <is>
          <t>Tier 3</t>
        </is>
      </c>
      <c r="AY48" s="12" t="inlineStr">
        <is>
          <t>2022-12-31</t>
        </is>
      </c>
      <c r="AZ48" s="12" t="inlineStr">
        <is>
          <t>providers=world_bank; fields=gini_coefficient</t>
        </is>
      </c>
      <c r="BA48" s="12" t="inlineStr"/>
      <c r="BB48" s="12" t="inlineStr"/>
      <c r="BC48" s="12" t="inlineStr"/>
      <c r="BD48" s="12" t="inlineStr"/>
      <c r="BE48" s="12" t="inlineStr">
        <is>
          <t>https://api.worldbank.org/v2/country/SRB/indicator/NY.GDP.PCAP.PP.CD?format=json&amp;mrv=30 | https://api.worldbank.org/v2/country/SRB/indicator/NY.GDP.MKTP.KD.ZG?format=json&amp;mrv=30</t>
        </is>
      </c>
      <c r="BF48" s="12" t="inlineStr">
        <is>
          <t>Tier 3</t>
        </is>
      </c>
      <c r="BG48" s="12" t="inlineStr">
        <is>
          <t>2024-12-31</t>
        </is>
      </c>
      <c r="BH48" s="12" t="inlineStr">
        <is>
          <t>providers=world_bank; fields=gdp_per_capita_ppp, gdp_growth</t>
        </is>
      </c>
    </row>
    <row r="49">
      <c r="A49" s="9" t="inlineStr">
        <is>
          <t>ru-nizhny-novgorod</t>
        </is>
      </c>
      <c r="B49" s="9" t="inlineStr">
        <is>
          <t>Nizhny Novgorod</t>
        </is>
      </c>
      <c r="C49" s="9" t="inlineStr">
        <is>
          <t>Russia</t>
        </is>
      </c>
      <c r="D49" s="9" t="inlineStr">
        <is>
          <t>Southern/Eastern Europe and Eurasia</t>
        </is>
      </c>
      <c r="E49" s="9" t="inlineStr">
        <is>
          <t>secondary</t>
        </is>
      </c>
      <c r="F49" s="9" t="inlineStr">
        <is>
          <t>provisional</t>
        </is>
      </c>
      <c r="G49" s="10" t="inlineStr"/>
      <c r="H49" s="10" t="inlineStr"/>
      <c r="I49" s="10" t="inlineStr"/>
      <c r="J49" s="10" t="inlineStr"/>
      <c r="K49" s="10" t="inlineStr"/>
      <c r="L49" s="10" t="inlineStr"/>
      <c r="M49" s="11">
        <f>IF(OR($G49="",$H49="",$I49="",$J49="",$K49="",$L49="",$AL49="",$AM49=""),"",((($G49*(1-$AM49))-$H49-$I49-$J49-$K49-$L49)/$AL49))</f>
        <v/>
      </c>
      <c r="N49" s="10" t="inlineStr"/>
      <c r="O49" s="10" t="inlineStr"/>
      <c r="P49" s="11">
        <f>IF($O49&lt;&gt;"",$O49,$AN49)</f>
        <v/>
      </c>
      <c r="Q49" s="10" t="inlineStr"/>
      <c r="R49" s="10" t="inlineStr"/>
      <c r="S49" s="10" t="inlineStr"/>
      <c r="T49" s="10" t="inlineStr"/>
      <c r="U49" s="10" t="inlineStr"/>
      <c r="V49" s="10" t="inlineStr"/>
      <c r="W49" s="10" t="inlineStr"/>
      <c r="X49" s="10" t="inlineStr"/>
      <c r="Y49" s="10" t="inlineStr"/>
      <c r="Z49" s="10" t="inlineStr"/>
      <c r="AA49" s="10" t="inlineStr"/>
      <c r="AB49" s="10" t="inlineStr"/>
      <c r="AC49" s="10" t="inlineStr"/>
      <c r="AD49" s="10" t="inlineStr"/>
      <c r="AE49" s="10" t="inlineStr"/>
      <c r="AF49" s="10" t="inlineStr"/>
      <c r="AG49" s="10" t="inlineStr"/>
      <c r="AH49" s="10" t="inlineStr"/>
      <c r="AI49" s="11">
        <f>IFERROR(INDEX(Country_Context!$B$2:$B$64,MATCH($C49,Country_Context!$A$2:$A$64,0)),"")</f>
        <v/>
      </c>
      <c r="AJ49" s="11">
        <f>IFERROR(INDEX(Country_Context!$C$2:$C$64,MATCH($C49,Country_Context!$A$2:$A$64,0)),"")</f>
        <v/>
      </c>
      <c r="AK49" s="11">
        <f>IFERROR(INDEX(Country_Context!$D$2:$D$64,MATCH($C49,Country_Context!$A$2:$A$64,0)),"")</f>
        <v/>
      </c>
      <c r="AL49" s="11">
        <f>IFERROR(INDEX(Country_Context!$E$2:$E$64,MATCH($C49,Country_Context!$A$2:$A$64,0)),"")</f>
        <v/>
      </c>
      <c r="AM49" s="11">
        <f>IFERROR(INDEX(Country_Context!$F$2:$F$64,MATCH($C49,Country_Context!$A$2:$A$64,0)),"")</f>
        <v/>
      </c>
      <c r="AN49" s="11">
        <f>IFERROR(INDEX(Country_Context!$G$2:$G$64,MATCH($C49,Country_Context!$A$2:$A$64,0)),"")</f>
        <v/>
      </c>
      <c r="AO49" s="12" t="inlineStr">
        <is>
          <t>https://api.worldbank.org/v2/country/RUS/indicator/PA.NUS.PRVT.PP?format=json&amp;mrv=30 | https://api.worldbank.org/v2/country/RUS/indicator/GC.TAX.TOTL.GD.ZS?format=json&amp;mrv=30 | https://api.worldbank.org/v2/country/RUS/indicator/FD.AST.PRVT.GD.ZS?format=json&amp;mrv=30</t>
        </is>
      </c>
      <c r="AP49" s="12" t="inlineStr">
        <is>
          <t>Tier 3</t>
        </is>
      </c>
      <c r="AQ49" s="12" t="inlineStr">
        <is>
          <t>2024-12-31</t>
        </is>
      </c>
      <c r="AR49" s="12" t="inlineStr">
        <is>
          <t>providers=world_bank; fields=ppp_private_consumption, tax_rate_assumption, household_debt_proxy</t>
        </is>
      </c>
      <c r="AS49" s="12" t="inlineStr"/>
      <c r="AT49" s="12" t="inlineStr"/>
      <c r="AU49" s="12" t="inlineStr"/>
      <c r="AV49" s="12" t="inlineStr"/>
      <c r="AW49" s="12" t="inlineStr">
        <is>
          <t>https://api.worldbank.org/v2/country/RUS/indicator/SI.POV.GINI?format=json&amp;mrv=30</t>
        </is>
      </c>
      <c r="AX49" s="12" t="inlineStr">
        <is>
          <t>Tier 3</t>
        </is>
      </c>
      <c r="AY49" s="12" t="inlineStr">
        <is>
          <t>2023-12-31</t>
        </is>
      </c>
      <c r="AZ49" s="12" t="inlineStr">
        <is>
          <t>providers=world_bank; fields=gini_coefficient</t>
        </is>
      </c>
      <c r="BA49" s="12" t="inlineStr"/>
      <c r="BB49" s="12" t="inlineStr"/>
      <c r="BC49" s="12" t="inlineStr"/>
      <c r="BD49" s="12" t="inlineStr"/>
      <c r="BE49" s="12" t="inlineStr">
        <is>
          <t>https://api.worldbank.org/v2/country/RUS/indicator/NY.GDP.PCAP.PP.CD?format=json&amp;mrv=30 | https://api.worldbank.org/v2/country/RUS/indicator/NY.GDP.MKTP.KD.ZG?format=json&amp;mrv=30</t>
        </is>
      </c>
      <c r="BF49" s="12" t="inlineStr">
        <is>
          <t>Tier 3</t>
        </is>
      </c>
      <c r="BG49" s="12" t="inlineStr">
        <is>
          <t>2024-12-31</t>
        </is>
      </c>
      <c r="BH49" s="12" t="inlineStr">
        <is>
          <t>providers=world_bank; fields=gdp_per_capita_ppp, gdp_growth</t>
        </is>
      </c>
    </row>
    <row r="50">
      <c r="A50" s="9" t="inlineStr">
        <is>
          <t>pl-katowice</t>
        </is>
      </c>
      <c r="B50" s="9" t="inlineStr">
        <is>
          <t>Katowice</t>
        </is>
      </c>
      <c r="C50" s="9" t="inlineStr">
        <is>
          <t>Poland</t>
        </is>
      </c>
      <c r="D50" s="9" t="inlineStr">
        <is>
          <t>Southern/Eastern Europe and Eurasia</t>
        </is>
      </c>
      <c r="E50" s="9" t="inlineStr">
        <is>
          <t>secondary</t>
        </is>
      </c>
      <c r="F50" s="9" t="inlineStr">
        <is>
          <t>locked</t>
        </is>
      </c>
      <c r="G50" s="10" t="inlineStr"/>
      <c r="H50" s="10" t="inlineStr"/>
      <c r="I50" s="10" t="inlineStr"/>
      <c r="J50" s="10" t="inlineStr"/>
      <c r="K50" s="10" t="inlineStr"/>
      <c r="L50" s="10" t="inlineStr"/>
      <c r="M50" s="11">
        <f>IF(OR($G50="",$H50="",$I50="",$J50="",$K50="",$L50="",$AL50="",$AM50=""),"",((($G50*(1-$AM50))-$H50-$I50-$J50-$K50-$L50)/$AL50))</f>
        <v/>
      </c>
      <c r="N50" s="10" t="inlineStr"/>
      <c r="O50" s="10" t="inlineStr"/>
      <c r="P50" s="11">
        <f>IF($O50&lt;&gt;"",$O50,$AN50)</f>
        <v/>
      </c>
      <c r="Q50" s="10" t="inlineStr"/>
      <c r="R50" s="10" t="inlineStr"/>
      <c r="S50" s="10" t="inlineStr"/>
      <c r="T50" s="10" t="inlineStr"/>
      <c r="U50" s="10" t="inlineStr"/>
      <c r="V50" s="10" t="inlineStr"/>
      <c r="W50" s="10" t="inlineStr"/>
      <c r="X50" s="10" t="inlineStr"/>
      <c r="Y50" s="10" t="inlineStr"/>
      <c r="Z50" s="10" t="inlineStr"/>
      <c r="AA50" s="10" t="inlineStr"/>
      <c r="AB50" s="10" t="inlineStr"/>
      <c r="AC50" s="10" t="inlineStr"/>
      <c r="AD50" s="10" t="inlineStr"/>
      <c r="AE50" s="10" t="inlineStr"/>
      <c r="AF50" s="10" t="inlineStr"/>
      <c r="AG50" s="10" t="inlineStr"/>
      <c r="AH50" s="10" t="inlineStr"/>
      <c r="AI50" s="11">
        <f>IFERROR(INDEX(Country_Context!$B$2:$B$64,MATCH($C50,Country_Context!$A$2:$A$64,0)),"")</f>
        <v/>
      </c>
      <c r="AJ50" s="11">
        <f>IFERROR(INDEX(Country_Context!$C$2:$C$64,MATCH($C50,Country_Context!$A$2:$A$64,0)),"")</f>
        <v/>
      </c>
      <c r="AK50" s="11">
        <f>IFERROR(INDEX(Country_Context!$D$2:$D$64,MATCH($C50,Country_Context!$A$2:$A$64,0)),"")</f>
        <v/>
      </c>
      <c r="AL50" s="11">
        <f>IFERROR(INDEX(Country_Context!$E$2:$E$64,MATCH($C50,Country_Context!$A$2:$A$64,0)),"")</f>
        <v/>
      </c>
      <c r="AM50" s="11">
        <f>IFERROR(INDEX(Country_Context!$F$2:$F$64,MATCH($C50,Country_Context!$A$2:$A$64,0)),"")</f>
        <v/>
      </c>
      <c r="AN50" s="11">
        <f>IFERROR(INDEX(Country_Context!$G$2:$G$64,MATCH($C50,Country_Context!$A$2:$A$64,0)),"")</f>
        <v/>
      </c>
      <c r="AO50" s="12" t="inlineStr">
        <is>
          <t>https://api.worldbank.org/v2/country/POL/indicator/PA.NUS.PRVT.PP?format=json&amp;mrv=30 | https://api.worldbank.org/v2/country/POL/indicator/GC.TAX.TOTL.GD.ZS?format=json&amp;mrv=30 | https://api.worldbank.org/v2/country/POL/indicator/FD.AST.PRVT.GD.ZS?format=json&amp;mrv=30</t>
        </is>
      </c>
      <c r="AP50" s="12" t="inlineStr">
        <is>
          <t>Tier 3</t>
        </is>
      </c>
      <c r="AQ50" s="12" t="inlineStr">
        <is>
          <t>2024-12-31</t>
        </is>
      </c>
      <c r="AR50" s="12" t="inlineStr">
        <is>
          <t>providers=world_bank; fields=ppp_private_consumption, tax_rate_assumption, household_debt_proxy</t>
        </is>
      </c>
      <c r="AS50" s="12" t="inlineStr"/>
      <c r="AT50" s="12" t="inlineStr"/>
      <c r="AU50" s="12" t="inlineStr"/>
      <c r="AV50" s="12" t="inlineStr"/>
      <c r="AW50" s="12" t="inlineStr">
        <is>
          <t>https://api.worldbank.org/v2/country/POL/indicator/SI.POV.GINI?format=json&amp;mrv=30</t>
        </is>
      </c>
      <c r="AX50" s="12" t="inlineStr">
        <is>
          <t>Tier 3</t>
        </is>
      </c>
      <c r="AY50" s="12" t="inlineStr">
        <is>
          <t>2023-12-31</t>
        </is>
      </c>
      <c r="AZ50" s="12" t="inlineStr">
        <is>
          <t>providers=world_bank; fields=gini_coefficient</t>
        </is>
      </c>
      <c r="BA50" s="12" t="inlineStr"/>
      <c r="BB50" s="12" t="inlineStr"/>
      <c r="BC50" s="12" t="inlineStr"/>
      <c r="BD50" s="12" t="inlineStr"/>
      <c r="BE50" s="12" t="inlineStr">
        <is>
          <t>https://api.worldbank.org/v2/country/POL/indicator/NY.GDP.PCAP.PP.CD?format=json&amp;mrv=30 | https://api.worldbank.org/v2/country/POL/indicator/NY.GDP.MKTP.KD.ZG?format=json&amp;mrv=30</t>
        </is>
      </c>
      <c r="BF50" s="12" t="inlineStr">
        <is>
          <t>Tier 3</t>
        </is>
      </c>
      <c r="BG50" s="12" t="inlineStr">
        <is>
          <t>2024-12-31</t>
        </is>
      </c>
      <c r="BH50" s="12" t="inlineStr">
        <is>
          <t>providers=world_bank; fields=gdp_per_capita_ppp, gdp_growth</t>
        </is>
      </c>
    </row>
    <row r="51">
      <c r="A51" s="9" t="inlineStr">
        <is>
          <t>pl-gdansk</t>
        </is>
      </c>
      <c r="B51" s="9" t="inlineStr">
        <is>
          <t>Gdansk</t>
        </is>
      </c>
      <c r="C51" s="9" t="inlineStr">
        <is>
          <t>Poland</t>
        </is>
      </c>
      <c r="D51" s="9" t="inlineStr">
        <is>
          <t>Southern/Eastern Europe and Eurasia</t>
        </is>
      </c>
      <c r="E51" s="9" t="inlineStr">
        <is>
          <t>secondary</t>
        </is>
      </c>
      <c r="F51" s="9" t="inlineStr">
        <is>
          <t>locked</t>
        </is>
      </c>
      <c r="G51" s="10" t="inlineStr"/>
      <c r="H51" s="10" t="inlineStr"/>
      <c r="I51" s="10" t="inlineStr"/>
      <c r="J51" s="10" t="inlineStr"/>
      <c r="K51" s="10" t="inlineStr"/>
      <c r="L51" s="10" t="inlineStr"/>
      <c r="M51" s="11">
        <f>IF(OR($G51="",$H51="",$I51="",$J51="",$K51="",$L51="",$AL51="",$AM51=""),"",((($G51*(1-$AM51))-$H51-$I51-$J51-$K51-$L51)/$AL51))</f>
        <v/>
      </c>
      <c r="N51" s="10" t="inlineStr"/>
      <c r="O51" s="10" t="inlineStr"/>
      <c r="P51" s="11">
        <f>IF($O51&lt;&gt;"",$O51,$AN51)</f>
        <v/>
      </c>
      <c r="Q51" s="10" t="inlineStr"/>
      <c r="R51" s="10" t="inlineStr"/>
      <c r="S51" s="10" t="inlineStr"/>
      <c r="T51" s="10" t="inlineStr"/>
      <c r="U51" s="10" t="inlineStr"/>
      <c r="V51" s="10" t="inlineStr"/>
      <c r="W51" s="10" t="inlineStr"/>
      <c r="X51" s="10" t="inlineStr"/>
      <c r="Y51" s="10" t="inlineStr"/>
      <c r="Z51" s="10" t="inlineStr"/>
      <c r="AA51" s="10" t="inlineStr"/>
      <c r="AB51" s="10" t="inlineStr"/>
      <c r="AC51" s="10" t="inlineStr"/>
      <c r="AD51" s="10" t="inlineStr"/>
      <c r="AE51" s="10" t="inlineStr"/>
      <c r="AF51" s="10" t="inlineStr"/>
      <c r="AG51" s="10" t="inlineStr"/>
      <c r="AH51" s="10" t="inlineStr"/>
      <c r="AI51" s="11">
        <f>IFERROR(INDEX(Country_Context!$B$2:$B$64,MATCH($C51,Country_Context!$A$2:$A$64,0)),"")</f>
        <v/>
      </c>
      <c r="AJ51" s="11">
        <f>IFERROR(INDEX(Country_Context!$C$2:$C$64,MATCH($C51,Country_Context!$A$2:$A$64,0)),"")</f>
        <v/>
      </c>
      <c r="AK51" s="11">
        <f>IFERROR(INDEX(Country_Context!$D$2:$D$64,MATCH($C51,Country_Context!$A$2:$A$64,0)),"")</f>
        <v/>
      </c>
      <c r="AL51" s="11">
        <f>IFERROR(INDEX(Country_Context!$E$2:$E$64,MATCH($C51,Country_Context!$A$2:$A$64,0)),"")</f>
        <v/>
      </c>
      <c r="AM51" s="11">
        <f>IFERROR(INDEX(Country_Context!$F$2:$F$64,MATCH($C51,Country_Context!$A$2:$A$64,0)),"")</f>
        <v/>
      </c>
      <c r="AN51" s="11">
        <f>IFERROR(INDEX(Country_Context!$G$2:$G$64,MATCH($C51,Country_Context!$A$2:$A$64,0)),"")</f>
        <v/>
      </c>
      <c r="AO51" s="12" t="inlineStr">
        <is>
          <t>https://api.worldbank.org/v2/country/POL/indicator/PA.NUS.PRVT.PP?format=json&amp;mrv=30 | https://api.worldbank.org/v2/country/POL/indicator/GC.TAX.TOTL.GD.ZS?format=json&amp;mrv=30 | https://api.worldbank.org/v2/country/POL/indicator/FD.AST.PRVT.GD.ZS?format=json&amp;mrv=30</t>
        </is>
      </c>
      <c r="AP51" s="12" t="inlineStr">
        <is>
          <t>Tier 3</t>
        </is>
      </c>
      <c r="AQ51" s="12" t="inlineStr">
        <is>
          <t>2024-12-31</t>
        </is>
      </c>
      <c r="AR51" s="12" t="inlineStr">
        <is>
          <t>providers=world_bank; fields=ppp_private_consumption, tax_rate_assumption, household_debt_proxy</t>
        </is>
      </c>
      <c r="AS51" s="12" t="inlineStr"/>
      <c r="AT51" s="12" t="inlineStr"/>
      <c r="AU51" s="12" t="inlineStr"/>
      <c r="AV51" s="12" t="inlineStr"/>
      <c r="AW51" s="12" t="inlineStr">
        <is>
          <t>https://api.worldbank.org/v2/country/POL/indicator/SI.POV.GINI?format=json&amp;mrv=30</t>
        </is>
      </c>
      <c r="AX51" s="12" t="inlineStr">
        <is>
          <t>Tier 3</t>
        </is>
      </c>
      <c r="AY51" s="12" t="inlineStr">
        <is>
          <t>2023-12-31</t>
        </is>
      </c>
      <c r="AZ51" s="12" t="inlineStr">
        <is>
          <t>providers=world_bank; fields=gini_coefficient</t>
        </is>
      </c>
      <c r="BA51" s="12" t="inlineStr"/>
      <c r="BB51" s="12" t="inlineStr"/>
      <c r="BC51" s="12" t="inlineStr"/>
      <c r="BD51" s="12" t="inlineStr"/>
      <c r="BE51" s="12" t="inlineStr">
        <is>
          <t>https://api.worldbank.org/v2/country/POL/indicator/NY.GDP.PCAP.PP.CD?format=json&amp;mrv=30 | https://api.worldbank.org/v2/country/POL/indicator/NY.GDP.MKTP.KD.ZG?format=json&amp;mrv=30</t>
        </is>
      </c>
      <c r="BF51" s="12" t="inlineStr">
        <is>
          <t>Tier 3</t>
        </is>
      </c>
      <c r="BG51" s="12" t="inlineStr">
        <is>
          <t>2024-12-31</t>
        </is>
      </c>
      <c r="BH51" s="12" t="inlineStr">
        <is>
          <t>providers=world_bank; fields=gdp_per_capita_ppp, gdp_growth</t>
        </is>
      </c>
    </row>
    <row r="52">
      <c r="A52" s="9" t="inlineStr">
        <is>
          <t>pl-torun</t>
        </is>
      </c>
      <c r="B52" s="9" t="inlineStr">
        <is>
          <t>Torun</t>
        </is>
      </c>
      <c r="C52" s="9" t="inlineStr">
        <is>
          <t>Poland</t>
        </is>
      </c>
      <c r="D52" s="9" t="inlineStr">
        <is>
          <t>Southern/Eastern Europe and Eurasia</t>
        </is>
      </c>
      <c r="E52" s="9" t="inlineStr">
        <is>
          <t>secondary</t>
        </is>
      </c>
      <c r="F52" s="9" t="inlineStr">
        <is>
          <t>provisional</t>
        </is>
      </c>
      <c r="G52" s="10" t="inlineStr"/>
      <c r="H52" s="10" t="inlineStr"/>
      <c r="I52" s="10" t="inlineStr"/>
      <c r="J52" s="10" t="inlineStr"/>
      <c r="K52" s="10" t="inlineStr"/>
      <c r="L52" s="10" t="inlineStr"/>
      <c r="M52" s="11">
        <f>IF(OR($G52="",$H52="",$I52="",$J52="",$K52="",$L52="",$AL52="",$AM52=""),"",((($G52*(1-$AM52))-$H52-$I52-$J52-$K52-$L52)/$AL52))</f>
        <v/>
      </c>
      <c r="N52" s="10" t="inlineStr"/>
      <c r="O52" s="10" t="inlineStr"/>
      <c r="P52" s="11">
        <f>IF($O52&lt;&gt;"",$O52,$AN52)</f>
        <v/>
      </c>
      <c r="Q52" s="10" t="inlineStr"/>
      <c r="R52" s="10" t="inlineStr"/>
      <c r="S52" s="10" t="inlineStr"/>
      <c r="T52" s="10" t="inlineStr"/>
      <c r="U52" s="10" t="inlineStr"/>
      <c r="V52" s="10" t="inlineStr"/>
      <c r="W52" s="10" t="inlineStr"/>
      <c r="X52" s="10" t="inlineStr"/>
      <c r="Y52" s="10" t="inlineStr"/>
      <c r="Z52" s="10" t="inlineStr"/>
      <c r="AA52" s="10" t="inlineStr"/>
      <c r="AB52" s="10" t="inlineStr"/>
      <c r="AC52" s="10" t="inlineStr"/>
      <c r="AD52" s="10" t="inlineStr"/>
      <c r="AE52" s="10" t="inlineStr"/>
      <c r="AF52" s="10" t="inlineStr"/>
      <c r="AG52" s="10" t="inlineStr"/>
      <c r="AH52" s="10" t="inlineStr"/>
      <c r="AI52" s="11">
        <f>IFERROR(INDEX(Country_Context!$B$2:$B$64,MATCH($C52,Country_Context!$A$2:$A$64,0)),"")</f>
        <v/>
      </c>
      <c r="AJ52" s="11">
        <f>IFERROR(INDEX(Country_Context!$C$2:$C$64,MATCH($C52,Country_Context!$A$2:$A$64,0)),"")</f>
        <v/>
      </c>
      <c r="AK52" s="11">
        <f>IFERROR(INDEX(Country_Context!$D$2:$D$64,MATCH($C52,Country_Context!$A$2:$A$64,0)),"")</f>
        <v/>
      </c>
      <c r="AL52" s="11">
        <f>IFERROR(INDEX(Country_Context!$E$2:$E$64,MATCH($C52,Country_Context!$A$2:$A$64,0)),"")</f>
        <v/>
      </c>
      <c r="AM52" s="11">
        <f>IFERROR(INDEX(Country_Context!$F$2:$F$64,MATCH($C52,Country_Context!$A$2:$A$64,0)),"")</f>
        <v/>
      </c>
      <c r="AN52" s="11">
        <f>IFERROR(INDEX(Country_Context!$G$2:$G$64,MATCH($C52,Country_Context!$A$2:$A$64,0)),"")</f>
        <v/>
      </c>
      <c r="AO52" s="12" t="inlineStr">
        <is>
          <t>https://api.worldbank.org/v2/country/POL/indicator/PA.NUS.PRVT.PP?format=json&amp;mrv=30 | https://api.worldbank.org/v2/country/POL/indicator/GC.TAX.TOTL.GD.ZS?format=json&amp;mrv=30 | https://api.worldbank.org/v2/country/POL/indicator/FD.AST.PRVT.GD.ZS?format=json&amp;mrv=30</t>
        </is>
      </c>
      <c r="AP52" s="12" t="inlineStr">
        <is>
          <t>Tier 3</t>
        </is>
      </c>
      <c r="AQ52" s="12" t="inlineStr">
        <is>
          <t>2024-12-31</t>
        </is>
      </c>
      <c r="AR52" s="12" t="inlineStr">
        <is>
          <t>providers=world_bank; fields=ppp_private_consumption, tax_rate_assumption, household_debt_proxy</t>
        </is>
      </c>
      <c r="AS52" s="12" t="inlineStr"/>
      <c r="AT52" s="12" t="inlineStr"/>
      <c r="AU52" s="12" t="inlineStr"/>
      <c r="AV52" s="12" t="inlineStr"/>
      <c r="AW52" s="12" t="inlineStr">
        <is>
          <t>https://api.worldbank.org/v2/country/POL/indicator/SI.POV.GINI?format=json&amp;mrv=30</t>
        </is>
      </c>
      <c r="AX52" s="12" t="inlineStr">
        <is>
          <t>Tier 3</t>
        </is>
      </c>
      <c r="AY52" s="12" t="inlineStr">
        <is>
          <t>2023-12-31</t>
        </is>
      </c>
      <c r="AZ52" s="12" t="inlineStr">
        <is>
          <t>providers=world_bank; fields=gini_coefficient</t>
        </is>
      </c>
      <c r="BA52" s="12" t="inlineStr"/>
      <c r="BB52" s="12" t="inlineStr"/>
      <c r="BC52" s="12" t="inlineStr"/>
      <c r="BD52" s="12" t="inlineStr"/>
      <c r="BE52" s="12" t="inlineStr">
        <is>
          <t>https://api.worldbank.org/v2/country/POL/indicator/NY.GDP.PCAP.PP.CD?format=json&amp;mrv=30 | https://api.worldbank.org/v2/country/POL/indicator/NY.GDP.MKTP.KD.ZG?format=json&amp;mrv=30</t>
        </is>
      </c>
      <c r="BF52" s="12" t="inlineStr">
        <is>
          <t>Tier 3</t>
        </is>
      </c>
      <c r="BG52" s="12" t="inlineStr">
        <is>
          <t>2024-12-31</t>
        </is>
      </c>
      <c r="BH52" s="12" t="inlineStr">
        <is>
          <t>providers=world_bank; fields=gdp_per_capita_ppp, gdp_growth</t>
        </is>
      </c>
    </row>
    <row r="53">
      <c r="A53" s="9" t="inlineStr">
        <is>
          <t>sk-bratislava</t>
        </is>
      </c>
      <c r="B53" s="9" t="inlineStr">
        <is>
          <t>Bratislava</t>
        </is>
      </c>
      <c r="C53" s="9" t="inlineStr">
        <is>
          <t>Slovakia</t>
        </is>
      </c>
      <c r="D53" s="9" t="inlineStr">
        <is>
          <t>Southern/Eastern Europe and Eurasia</t>
        </is>
      </c>
      <c r="E53" s="9" t="inlineStr">
        <is>
          <t>secondary</t>
        </is>
      </c>
      <c r="F53" s="9" t="inlineStr">
        <is>
          <t>provisional</t>
        </is>
      </c>
      <c r="G53" s="10" t="inlineStr"/>
      <c r="H53" s="10" t="inlineStr"/>
      <c r="I53" s="10" t="inlineStr"/>
      <c r="J53" s="10" t="inlineStr"/>
      <c r="K53" s="10" t="inlineStr"/>
      <c r="L53" s="10" t="inlineStr"/>
      <c r="M53" s="11">
        <f>IF(OR($G53="",$H53="",$I53="",$J53="",$K53="",$L53="",$AL53="",$AM53=""),"",((($G53*(1-$AM53))-$H53-$I53-$J53-$K53-$L53)/$AL53))</f>
        <v/>
      </c>
      <c r="N53" s="10" t="inlineStr"/>
      <c r="O53" s="10" t="inlineStr"/>
      <c r="P53" s="11">
        <f>IF($O53&lt;&gt;"",$O53,$AN53)</f>
        <v/>
      </c>
      <c r="Q53" s="10" t="inlineStr"/>
      <c r="R53" s="10" t="inlineStr"/>
      <c r="S53" s="10" t="inlineStr"/>
      <c r="T53" s="10" t="inlineStr"/>
      <c r="U53" s="10" t="inlineStr"/>
      <c r="V53" s="10" t="inlineStr"/>
      <c r="W53" s="10" t="inlineStr"/>
      <c r="X53" s="10" t="inlineStr"/>
      <c r="Y53" s="10" t="inlineStr"/>
      <c r="Z53" s="10" t="inlineStr"/>
      <c r="AA53" s="10" t="inlineStr"/>
      <c r="AB53" s="10" t="inlineStr"/>
      <c r="AC53" s="10" t="inlineStr"/>
      <c r="AD53" s="10" t="inlineStr"/>
      <c r="AE53" s="10" t="inlineStr"/>
      <c r="AF53" s="10" t="inlineStr"/>
      <c r="AG53" s="10" t="inlineStr"/>
      <c r="AH53" s="10" t="inlineStr"/>
      <c r="AI53" s="11">
        <f>IFERROR(INDEX(Country_Context!$B$2:$B$64,MATCH($C53,Country_Context!$A$2:$A$64,0)),"")</f>
        <v/>
      </c>
      <c r="AJ53" s="11">
        <f>IFERROR(INDEX(Country_Context!$C$2:$C$64,MATCH($C53,Country_Context!$A$2:$A$64,0)),"")</f>
        <v/>
      </c>
      <c r="AK53" s="11">
        <f>IFERROR(INDEX(Country_Context!$D$2:$D$64,MATCH($C53,Country_Context!$A$2:$A$64,0)),"")</f>
        <v/>
      </c>
      <c r="AL53" s="11">
        <f>IFERROR(INDEX(Country_Context!$E$2:$E$64,MATCH($C53,Country_Context!$A$2:$A$64,0)),"")</f>
        <v/>
      </c>
      <c r="AM53" s="11">
        <f>IFERROR(INDEX(Country_Context!$F$2:$F$64,MATCH($C53,Country_Context!$A$2:$A$64,0)),"")</f>
        <v/>
      </c>
      <c r="AN53" s="11">
        <f>IFERROR(INDEX(Country_Context!$G$2:$G$64,MATCH($C53,Country_Context!$A$2:$A$64,0)),"")</f>
        <v/>
      </c>
      <c r="AO53" s="12" t="inlineStr">
        <is>
          <t>https://api.worldbank.org/v2/country/SVK/indicator/PA.NUS.PRVT.PP?format=json&amp;mrv=30 | https://api.worldbank.org/v2/country/SVK/indicator/GC.TAX.TOTL.GD.ZS?format=json&amp;mrv=30 | https://api.worldbank.org/v2/country/SVK/indicator/FD.AST.PRVT.GD.ZS?format=json&amp;mrv=30</t>
        </is>
      </c>
      <c r="AP53" s="12" t="inlineStr">
        <is>
          <t>Tier 3</t>
        </is>
      </c>
      <c r="AQ53" s="12" t="inlineStr">
        <is>
          <t>2024-12-31</t>
        </is>
      </c>
      <c r="AR53" s="12" t="inlineStr">
        <is>
          <t>providers=world_bank; fields=ppp_private_consumption, tax_rate_assumption, household_debt_proxy</t>
        </is>
      </c>
      <c r="AS53" s="12" t="inlineStr"/>
      <c r="AT53" s="12" t="inlineStr"/>
      <c r="AU53" s="12" t="inlineStr"/>
      <c r="AV53" s="12" t="inlineStr"/>
      <c r="AW53" s="12" t="inlineStr">
        <is>
          <t>https://api.worldbank.org/v2/country/SVK/indicator/SI.POV.GINI?format=json&amp;mrv=30</t>
        </is>
      </c>
      <c r="AX53" s="12" t="inlineStr">
        <is>
          <t>Tier 3</t>
        </is>
      </c>
      <c r="AY53" s="12" t="inlineStr">
        <is>
          <t>2023-12-31</t>
        </is>
      </c>
      <c r="AZ53" s="12" t="inlineStr">
        <is>
          <t>providers=world_bank; fields=gini_coefficient</t>
        </is>
      </c>
      <c r="BA53" s="12" t="inlineStr"/>
      <c r="BB53" s="12" t="inlineStr"/>
      <c r="BC53" s="12" t="inlineStr"/>
      <c r="BD53" s="12" t="inlineStr"/>
      <c r="BE53" s="12" t="inlineStr">
        <is>
          <t>https://api.worldbank.org/v2/country/SVK/indicator/NY.GDP.PCAP.PP.CD?format=json&amp;mrv=30 | https://api.worldbank.org/v2/country/SVK/indicator/NY.GDP.MKTP.KD.ZG?format=json&amp;mrv=30</t>
        </is>
      </c>
      <c r="BF53" s="12" t="inlineStr">
        <is>
          <t>Tier 3</t>
        </is>
      </c>
      <c r="BG53" s="12" t="inlineStr">
        <is>
          <t>2024-12-31</t>
        </is>
      </c>
      <c r="BH53" s="12" t="inlineStr">
        <is>
          <t>providers=world_bank; fields=gdp_per_capita_ppp, gdp_growth</t>
        </is>
      </c>
    </row>
    <row r="54">
      <c r="A54" s="9" t="inlineStr">
        <is>
          <t>us-chicago</t>
        </is>
      </c>
      <c r="B54" s="9" t="inlineStr">
        <is>
          <t>Chicago</t>
        </is>
      </c>
      <c r="C54" s="9" t="inlineStr">
        <is>
          <t>United States</t>
        </is>
      </c>
      <c r="D54" s="9" t="inlineStr">
        <is>
          <t>North America</t>
        </is>
      </c>
      <c r="E54" s="9" t="inlineStr">
        <is>
          <t>primary</t>
        </is>
      </c>
      <c r="F54" s="9" t="inlineStr">
        <is>
          <t>locked</t>
        </is>
      </c>
      <c r="G54" s="10" t="inlineStr"/>
      <c r="H54" s="10" t="inlineStr"/>
      <c r="I54" s="10" t="inlineStr"/>
      <c r="J54" s="10" t="inlineStr"/>
      <c r="K54" s="10" t="inlineStr"/>
      <c r="L54" s="10" t="inlineStr"/>
      <c r="M54" s="11">
        <f>IF(OR($G54="",$H54="",$I54="",$J54="",$K54="",$L54="",$AL54="",$AM54=""),"",((($G54*(1-$AM54))-$H54-$I54-$J54-$K54-$L54)/$AL54))</f>
        <v/>
      </c>
      <c r="N54" s="10" t="inlineStr"/>
      <c r="O54" s="10" t="inlineStr"/>
      <c r="P54" s="11">
        <f>IF($O54&lt;&gt;"",$O54,$AN54)</f>
        <v/>
      </c>
      <c r="Q54" s="10" t="inlineStr"/>
      <c r="R54" s="10" t="inlineStr"/>
      <c r="S54" s="10" t="inlineStr"/>
      <c r="T54" s="10" t="inlineStr"/>
      <c r="U54" s="10" t="inlineStr"/>
      <c r="V54" s="10" t="inlineStr"/>
      <c r="W54" s="10" t="inlineStr"/>
      <c r="X54" s="10" t="inlineStr"/>
      <c r="Y54" s="10" t="inlineStr"/>
      <c r="Z54" s="10" t="inlineStr"/>
      <c r="AA54" s="10" t="inlineStr"/>
      <c r="AB54" s="10" t="inlineStr"/>
      <c r="AC54" s="10" t="inlineStr"/>
      <c r="AD54" s="10" t="inlineStr"/>
      <c r="AE54" s="10" t="inlineStr"/>
      <c r="AF54" s="10" t="inlineStr"/>
      <c r="AG54" s="10" t="inlineStr"/>
      <c r="AH54" s="10" t="inlineStr"/>
      <c r="AI54" s="11">
        <f>IFERROR(INDEX(Country_Context!$B$2:$B$64,MATCH($C54,Country_Context!$A$2:$A$64,0)),"")</f>
        <v/>
      </c>
      <c r="AJ54" s="11">
        <f>IFERROR(INDEX(Country_Context!$C$2:$C$64,MATCH($C54,Country_Context!$A$2:$A$64,0)),"")</f>
        <v/>
      </c>
      <c r="AK54" s="11">
        <f>IFERROR(INDEX(Country_Context!$D$2:$D$64,MATCH($C54,Country_Context!$A$2:$A$64,0)),"")</f>
        <v/>
      </c>
      <c r="AL54" s="11">
        <f>IFERROR(INDEX(Country_Context!$E$2:$E$64,MATCH($C54,Country_Context!$A$2:$A$64,0)),"")</f>
        <v/>
      </c>
      <c r="AM54" s="11">
        <f>IFERROR(INDEX(Country_Context!$F$2:$F$64,MATCH($C54,Country_Context!$A$2:$A$64,0)),"")</f>
        <v/>
      </c>
      <c r="AN54" s="11">
        <f>IFERROR(INDEX(Country_Context!$G$2:$G$64,MATCH($C54,Country_Context!$A$2:$A$64,0)),"")</f>
        <v/>
      </c>
      <c r="AO54" s="12" t="inlineStr">
        <is>
          <t>https://api.worldbank.org/v2/country/USA/indicator/PA.NUS.PRVT.PP?format=json&amp;mrv=30 | https://api.worldbank.org/v2/country/USA/indicator/GC.TAX.TOTL.GD.ZS?format=json&amp;mrv=30 | https://api.worldbank.org/v2/country/USA/indicator/FD.AST.PRVT.GD.ZS?format=json&amp;mrv=30</t>
        </is>
      </c>
      <c r="AP54" s="12" t="inlineStr">
        <is>
          <t>Tier 3</t>
        </is>
      </c>
      <c r="AQ54" s="12" t="inlineStr">
        <is>
          <t>2024-12-31</t>
        </is>
      </c>
      <c r="AR54" s="12" t="inlineStr">
        <is>
          <t>providers=world_bank; fields=ppp_private_consumption, tax_rate_assumption, household_debt_proxy</t>
        </is>
      </c>
      <c r="AS54" s="12" t="inlineStr"/>
      <c r="AT54" s="12" t="inlineStr"/>
      <c r="AU54" s="12" t="inlineStr"/>
      <c r="AV54" s="12" t="inlineStr"/>
      <c r="AW54" s="12" t="inlineStr">
        <is>
          <t>https://api.worldbank.org/v2/country/USA/indicator/SI.POV.GINI?format=json&amp;mrv=30</t>
        </is>
      </c>
      <c r="AX54" s="12" t="inlineStr">
        <is>
          <t>Tier 3</t>
        </is>
      </c>
      <c r="AY54" s="12" t="inlineStr">
        <is>
          <t>2023-12-31</t>
        </is>
      </c>
      <c r="AZ54" s="12" t="inlineStr">
        <is>
          <t>providers=world_bank; fields=gini_coefficient</t>
        </is>
      </c>
      <c r="BA54" s="12" t="inlineStr"/>
      <c r="BB54" s="12" t="inlineStr"/>
      <c r="BC54" s="12" t="inlineStr"/>
      <c r="BD54" s="12" t="inlineStr"/>
      <c r="BE54" s="12" t="inlineStr">
        <is>
          <t>https://api.worldbank.org/v2/country/USA/indicator/NY.GDP.PCAP.PP.CD?format=json&amp;mrv=30 | https://api.worldbank.org/v2/country/USA/indicator/NY.GDP.MKTP.KD.ZG?format=json&amp;mrv=30</t>
        </is>
      </c>
      <c r="BF54" s="12" t="inlineStr">
        <is>
          <t>Tier 3</t>
        </is>
      </c>
      <c r="BG54" s="12" t="inlineStr">
        <is>
          <t>2024-12-31</t>
        </is>
      </c>
      <c r="BH54" s="12" t="inlineStr">
        <is>
          <t>providers=world_bank; fields=gdp_per_capita_ppp, gdp_growth</t>
        </is>
      </c>
    </row>
    <row r="55">
      <c r="A55" s="9" t="inlineStr">
        <is>
          <t>mx-mexico-city</t>
        </is>
      </c>
      <c r="B55" s="9" t="inlineStr">
        <is>
          <t>Mexico City</t>
        </is>
      </c>
      <c r="C55" s="9" t="inlineStr">
        <is>
          <t>Mexico</t>
        </is>
      </c>
      <c r="D55" s="9" t="inlineStr">
        <is>
          <t>North America</t>
        </is>
      </c>
      <c r="E55" s="9" t="inlineStr">
        <is>
          <t>primary</t>
        </is>
      </c>
      <c r="F55" s="9" t="inlineStr">
        <is>
          <t>locked</t>
        </is>
      </c>
      <c r="G55" s="10" t="inlineStr"/>
      <c r="H55" s="10" t="inlineStr"/>
      <c r="I55" s="10" t="inlineStr"/>
      <c r="J55" s="10" t="inlineStr"/>
      <c r="K55" s="10" t="inlineStr"/>
      <c r="L55" s="10" t="inlineStr"/>
      <c r="M55" s="11">
        <f>IF(OR($G55="",$H55="",$I55="",$J55="",$K55="",$L55="",$AL55="",$AM55=""),"",((($G55*(1-$AM55))-$H55-$I55-$J55-$K55-$L55)/$AL55))</f>
        <v/>
      </c>
      <c r="N55" s="10" t="inlineStr"/>
      <c r="O55" s="10" t="inlineStr"/>
      <c r="P55" s="11">
        <f>IF($O55&lt;&gt;"",$O55,$AN55)</f>
        <v/>
      </c>
      <c r="Q55" s="10" t="inlineStr"/>
      <c r="R55" s="10" t="inlineStr"/>
      <c r="S55" s="10" t="inlineStr"/>
      <c r="T55" s="10" t="inlineStr"/>
      <c r="U55" s="10" t="inlineStr"/>
      <c r="V55" s="10" t="inlineStr"/>
      <c r="W55" s="10" t="inlineStr"/>
      <c r="X55" s="10" t="inlineStr"/>
      <c r="Y55" s="10" t="inlineStr"/>
      <c r="Z55" s="10" t="inlineStr"/>
      <c r="AA55" s="10" t="inlineStr"/>
      <c r="AB55" s="10" t="inlineStr"/>
      <c r="AC55" s="10" t="inlineStr"/>
      <c r="AD55" s="10" t="inlineStr"/>
      <c r="AE55" s="10" t="inlineStr"/>
      <c r="AF55" s="10" t="inlineStr"/>
      <c r="AG55" s="10" t="inlineStr"/>
      <c r="AH55" s="10" t="inlineStr"/>
      <c r="AI55" s="11">
        <f>IFERROR(INDEX(Country_Context!$B$2:$B$64,MATCH($C55,Country_Context!$A$2:$A$64,0)),"")</f>
        <v/>
      </c>
      <c r="AJ55" s="11">
        <f>IFERROR(INDEX(Country_Context!$C$2:$C$64,MATCH($C55,Country_Context!$A$2:$A$64,0)),"")</f>
        <v/>
      </c>
      <c r="AK55" s="11">
        <f>IFERROR(INDEX(Country_Context!$D$2:$D$64,MATCH($C55,Country_Context!$A$2:$A$64,0)),"")</f>
        <v/>
      </c>
      <c r="AL55" s="11">
        <f>IFERROR(INDEX(Country_Context!$E$2:$E$64,MATCH($C55,Country_Context!$A$2:$A$64,0)),"")</f>
        <v/>
      </c>
      <c r="AM55" s="11">
        <f>IFERROR(INDEX(Country_Context!$F$2:$F$64,MATCH($C55,Country_Context!$A$2:$A$64,0)),"")</f>
        <v/>
      </c>
      <c r="AN55" s="11">
        <f>IFERROR(INDEX(Country_Context!$G$2:$G$64,MATCH($C55,Country_Context!$A$2:$A$64,0)),"")</f>
        <v/>
      </c>
      <c r="AO55" s="12" t="inlineStr">
        <is>
          <t>https://api.worldbank.org/v2/country/MEX/indicator/PA.NUS.PRVT.PP?format=json&amp;mrv=30 | https://api.worldbank.org/v2/country/MEX/indicator/GC.TAX.TOTL.GD.ZS?format=json&amp;mrv=30 | https://api.worldbank.org/v2/country/MEX/indicator/FD.AST.PRVT.GD.ZS?format=json&amp;mrv=30</t>
        </is>
      </c>
      <c r="AP55" s="12" t="inlineStr">
        <is>
          <t>Tier 3</t>
        </is>
      </c>
      <c r="AQ55" s="12" t="inlineStr">
        <is>
          <t>2024-12-31</t>
        </is>
      </c>
      <c r="AR55" s="12" t="inlineStr">
        <is>
          <t>providers=world_bank; fields=ppp_private_consumption, tax_rate_assumption, household_debt_proxy</t>
        </is>
      </c>
      <c r="AS55" s="12" t="inlineStr"/>
      <c r="AT55" s="12" t="inlineStr"/>
      <c r="AU55" s="12" t="inlineStr"/>
      <c r="AV55" s="12" t="inlineStr"/>
      <c r="AW55" s="12" t="inlineStr">
        <is>
          <t>https://api.worldbank.org/v2/country/MEX/indicator/SI.POV.GINI?format=json&amp;mrv=30</t>
        </is>
      </c>
      <c r="AX55" s="12" t="inlineStr">
        <is>
          <t>Tier 3</t>
        </is>
      </c>
      <c r="AY55" s="12" t="inlineStr">
        <is>
          <t>2022-12-31</t>
        </is>
      </c>
      <c r="AZ55" s="12" t="inlineStr">
        <is>
          <t>providers=world_bank; fields=gini_coefficient</t>
        </is>
      </c>
      <c r="BA55" s="12" t="inlineStr"/>
      <c r="BB55" s="12" t="inlineStr"/>
      <c r="BC55" s="12" t="inlineStr"/>
      <c r="BD55" s="12" t="inlineStr"/>
      <c r="BE55" s="12" t="inlineStr">
        <is>
          <t>https://api.worldbank.org/v2/country/MEX/indicator/NY.GDP.PCAP.PP.CD?format=json&amp;mrv=30 | https://api.worldbank.org/v2/country/MEX/indicator/NY.GDP.MKTP.KD.ZG?format=json&amp;mrv=30</t>
        </is>
      </c>
      <c r="BF55" s="12" t="inlineStr">
        <is>
          <t>Tier 3</t>
        </is>
      </c>
      <c r="BG55" s="12" t="inlineStr">
        <is>
          <t>2024-12-31</t>
        </is>
      </c>
      <c r="BH55" s="12" t="inlineStr">
        <is>
          <t>providers=world_bank; fields=gdp_per_capita_ppp, gdp_growth</t>
        </is>
      </c>
    </row>
    <row r="56">
      <c r="A56" s="9" t="inlineStr">
        <is>
          <t>ca-toronto</t>
        </is>
      </c>
      <c r="B56" s="9" t="inlineStr">
        <is>
          <t>Toronto</t>
        </is>
      </c>
      <c r="C56" s="9" t="inlineStr">
        <is>
          <t>Canada</t>
        </is>
      </c>
      <c r="D56" s="9" t="inlineStr">
        <is>
          <t>North America</t>
        </is>
      </c>
      <c r="E56" s="9" t="inlineStr">
        <is>
          <t>primary</t>
        </is>
      </c>
      <c r="F56" s="9" t="inlineStr">
        <is>
          <t>provisional</t>
        </is>
      </c>
      <c r="G56" s="10" t="inlineStr"/>
      <c r="H56" s="10" t="inlineStr"/>
      <c r="I56" s="10" t="inlineStr"/>
      <c r="J56" s="10" t="inlineStr"/>
      <c r="K56" s="10" t="inlineStr"/>
      <c r="L56" s="10" t="inlineStr"/>
      <c r="M56" s="11">
        <f>IF(OR($G56="",$H56="",$I56="",$J56="",$K56="",$L56="",$AL56="",$AM56=""),"",((($G56*(1-$AM56))-$H56-$I56-$J56-$K56-$L56)/$AL56))</f>
        <v/>
      </c>
      <c r="N56" s="10" t="inlineStr"/>
      <c r="O56" s="10" t="inlineStr"/>
      <c r="P56" s="11">
        <f>IF($O56&lt;&gt;"",$O56,$AN56)</f>
        <v/>
      </c>
      <c r="Q56" s="10" t="inlineStr"/>
      <c r="R56" s="10" t="inlineStr"/>
      <c r="S56" s="10" t="inlineStr"/>
      <c r="T56" s="10" t="inlineStr"/>
      <c r="U56" s="10" t="inlineStr"/>
      <c r="V56" s="10" t="inlineStr"/>
      <c r="W56" s="10" t="inlineStr"/>
      <c r="X56" s="10" t="inlineStr"/>
      <c r="Y56" s="10" t="inlineStr"/>
      <c r="Z56" s="10" t="inlineStr"/>
      <c r="AA56" s="10" t="inlineStr"/>
      <c r="AB56" s="10" t="inlineStr"/>
      <c r="AC56" s="10" t="inlineStr"/>
      <c r="AD56" s="10" t="inlineStr"/>
      <c r="AE56" s="10" t="inlineStr"/>
      <c r="AF56" s="10" t="inlineStr"/>
      <c r="AG56" s="10" t="inlineStr"/>
      <c r="AH56" s="10" t="inlineStr"/>
      <c r="AI56" s="11">
        <f>IFERROR(INDEX(Country_Context!$B$2:$B$64,MATCH($C56,Country_Context!$A$2:$A$64,0)),"")</f>
        <v/>
      </c>
      <c r="AJ56" s="11">
        <f>IFERROR(INDEX(Country_Context!$C$2:$C$64,MATCH($C56,Country_Context!$A$2:$A$64,0)),"")</f>
        <v/>
      </c>
      <c r="AK56" s="11">
        <f>IFERROR(INDEX(Country_Context!$D$2:$D$64,MATCH($C56,Country_Context!$A$2:$A$64,0)),"")</f>
        <v/>
      </c>
      <c r="AL56" s="11">
        <f>IFERROR(INDEX(Country_Context!$E$2:$E$64,MATCH($C56,Country_Context!$A$2:$A$64,0)),"")</f>
        <v/>
      </c>
      <c r="AM56" s="11">
        <f>IFERROR(INDEX(Country_Context!$F$2:$F$64,MATCH($C56,Country_Context!$A$2:$A$64,0)),"")</f>
        <v/>
      </c>
      <c r="AN56" s="11">
        <f>IFERROR(INDEX(Country_Context!$G$2:$G$64,MATCH($C56,Country_Context!$A$2:$A$64,0)),"")</f>
        <v/>
      </c>
      <c r="AO56" s="12" t="inlineStr">
        <is>
          <t>https://api.worldbank.org/v2/country/CAN/indicator/PA.NUS.PRVT.PP?format=json&amp;mrv=30 | https://api.worldbank.org/v2/country/CAN/indicator/GC.TAX.TOTL.GD.ZS?format=json&amp;mrv=30 | https://api.worldbank.org/v2/country/CAN/indicator/FD.AST.PRVT.GD.ZS?format=json&amp;mrv=30</t>
        </is>
      </c>
      <c r="AP56" s="12" t="inlineStr">
        <is>
          <t>Tier 3</t>
        </is>
      </c>
      <c r="AQ56" s="12" t="inlineStr">
        <is>
          <t>2024-12-31</t>
        </is>
      </c>
      <c r="AR56" s="12" t="inlineStr">
        <is>
          <t>providers=world_bank; fields=ppp_private_consumption, tax_rate_assumption, household_debt_proxy</t>
        </is>
      </c>
      <c r="AS56" s="12" t="inlineStr"/>
      <c r="AT56" s="12" t="inlineStr"/>
      <c r="AU56" s="12" t="inlineStr"/>
      <c r="AV56" s="12" t="inlineStr"/>
      <c r="AW56" s="12" t="inlineStr">
        <is>
          <t>https://api.worldbank.org/v2/country/CAN/indicator/SI.POV.GINI?format=json&amp;mrv=30</t>
        </is>
      </c>
      <c r="AX56" s="12" t="inlineStr">
        <is>
          <t>Tier 3</t>
        </is>
      </c>
      <c r="AY56" s="12" t="inlineStr">
        <is>
          <t>2021-12-31</t>
        </is>
      </c>
      <c r="AZ56" s="12" t="inlineStr">
        <is>
          <t>providers=world_bank; fields=gini_coefficient</t>
        </is>
      </c>
      <c r="BA56" s="12" t="inlineStr"/>
      <c r="BB56" s="12" t="inlineStr"/>
      <c r="BC56" s="12" t="inlineStr"/>
      <c r="BD56" s="12" t="inlineStr"/>
      <c r="BE56" s="12" t="inlineStr">
        <is>
          <t>https://api.worldbank.org/v2/country/CAN/indicator/NY.GDP.PCAP.PP.CD?format=json&amp;mrv=30 | https://api.worldbank.org/v2/country/CAN/indicator/NY.GDP.MKTP.KD.ZG?format=json&amp;mrv=30</t>
        </is>
      </c>
      <c r="BF56" s="12" t="inlineStr">
        <is>
          <t>Tier 3</t>
        </is>
      </c>
      <c r="BG56" s="12" t="inlineStr">
        <is>
          <t>2024-12-31</t>
        </is>
      </c>
      <c r="BH56" s="12" t="inlineStr">
        <is>
          <t>providers=world_bank; fields=gdp_per_capita_ppp, gdp_growth</t>
        </is>
      </c>
    </row>
    <row r="57">
      <c r="A57" s="9" t="inlineStr">
        <is>
          <t>pa-panama-city</t>
        </is>
      </c>
      <c r="B57" s="9" t="inlineStr">
        <is>
          <t>Panama City</t>
        </is>
      </c>
      <c r="C57" s="9" t="inlineStr">
        <is>
          <t>Panama</t>
        </is>
      </c>
      <c r="D57" s="9" t="inlineStr">
        <is>
          <t>North America</t>
        </is>
      </c>
      <c r="E57" s="9" t="inlineStr">
        <is>
          <t>primary</t>
        </is>
      </c>
      <c r="F57" s="9" t="inlineStr">
        <is>
          <t>locked</t>
        </is>
      </c>
      <c r="G57" s="10" t="inlineStr"/>
      <c r="H57" s="10" t="inlineStr"/>
      <c r="I57" s="10" t="inlineStr"/>
      <c r="J57" s="10" t="inlineStr"/>
      <c r="K57" s="10" t="inlineStr"/>
      <c r="L57" s="10" t="inlineStr"/>
      <c r="M57" s="11">
        <f>IF(OR($G57="",$H57="",$I57="",$J57="",$K57="",$L57="",$AL57="",$AM57=""),"",((($G57*(1-$AM57))-$H57-$I57-$J57-$K57-$L57)/$AL57))</f>
        <v/>
      </c>
      <c r="N57" s="10" t="inlineStr"/>
      <c r="O57" s="10" t="inlineStr"/>
      <c r="P57" s="11">
        <f>IF($O57&lt;&gt;"",$O57,$AN57)</f>
        <v/>
      </c>
      <c r="Q57" s="10" t="inlineStr"/>
      <c r="R57" s="10" t="inlineStr"/>
      <c r="S57" s="10" t="inlineStr"/>
      <c r="T57" s="10" t="inlineStr"/>
      <c r="U57" s="10" t="inlineStr"/>
      <c r="V57" s="10" t="inlineStr"/>
      <c r="W57" s="10" t="inlineStr"/>
      <c r="X57" s="10" t="inlineStr"/>
      <c r="Y57" s="10" t="inlineStr"/>
      <c r="Z57" s="10" t="inlineStr"/>
      <c r="AA57" s="10" t="inlineStr"/>
      <c r="AB57" s="10" t="inlineStr"/>
      <c r="AC57" s="10" t="inlineStr"/>
      <c r="AD57" s="10" t="inlineStr"/>
      <c r="AE57" s="10" t="inlineStr"/>
      <c r="AF57" s="10" t="inlineStr"/>
      <c r="AG57" s="10" t="inlineStr"/>
      <c r="AH57" s="10" t="inlineStr"/>
      <c r="AI57" s="11">
        <f>IFERROR(INDEX(Country_Context!$B$2:$B$64,MATCH($C57,Country_Context!$A$2:$A$64,0)),"")</f>
        <v/>
      </c>
      <c r="AJ57" s="11">
        <f>IFERROR(INDEX(Country_Context!$C$2:$C$64,MATCH($C57,Country_Context!$A$2:$A$64,0)),"")</f>
        <v/>
      </c>
      <c r="AK57" s="11">
        <f>IFERROR(INDEX(Country_Context!$D$2:$D$64,MATCH($C57,Country_Context!$A$2:$A$64,0)),"")</f>
        <v/>
      </c>
      <c r="AL57" s="11">
        <f>IFERROR(INDEX(Country_Context!$E$2:$E$64,MATCH($C57,Country_Context!$A$2:$A$64,0)),"")</f>
        <v/>
      </c>
      <c r="AM57" s="11">
        <f>IFERROR(INDEX(Country_Context!$F$2:$F$64,MATCH($C57,Country_Context!$A$2:$A$64,0)),"")</f>
        <v/>
      </c>
      <c r="AN57" s="11">
        <f>IFERROR(INDEX(Country_Context!$G$2:$G$64,MATCH($C57,Country_Context!$A$2:$A$64,0)),"")</f>
        <v/>
      </c>
      <c r="AO57" s="12" t="inlineStr">
        <is>
          <t>https://api.worldbank.org/v2/country/PAN/indicator/PA.NUS.PRVT.PP?format=json&amp;mrv=30 | https://api.worldbank.org/v2/country/PAN/indicator/GC.TAX.TOTL.GD.ZS?format=json&amp;mrv=30 | https://api.worldbank.org/v2/country/PAN/indicator/FD.AST.PRVT.GD.ZS?format=json&amp;mrv=30</t>
        </is>
      </c>
      <c r="AP57" s="12" t="inlineStr">
        <is>
          <t>Tier 3</t>
        </is>
      </c>
      <c r="AQ57" s="12" t="inlineStr">
        <is>
          <t>2024-12-31</t>
        </is>
      </c>
      <c r="AR57" s="12" t="inlineStr">
        <is>
          <t>providers=world_bank; fields=ppp_private_consumption, tax_rate_assumption, household_debt_proxy</t>
        </is>
      </c>
      <c r="AS57" s="12" t="inlineStr"/>
      <c r="AT57" s="12" t="inlineStr"/>
      <c r="AU57" s="12" t="inlineStr"/>
      <c r="AV57" s="12" t="inlineStr"/>
      <c r="AW57" s="12" t="inlineStr">
        <is>
          <t>https://api.worldbank.org/v2/country/PAN/indicator/SI.POV.GINI?format=json&amp;mrv=30</t>
        </is>
      </c>
      <c r="AX57" s="12" t="inlineStr">
        <is>
          <t>Tier 3</t>
        </is>
      </c>
      <c r="AY57" s="12" t="inlineStr">
        <is>
          <t>2024-12-31</t>
        </is>
      </c>
      <c r="AZ57" s="12" t="inlineStr">
        <is>
          <t>providers=world_bank; fields=gini_coefficient</t>
        </is>
      </c>
      <c r="BA57" s="12" t="inlineStr"/>
      <c r="BB57" s="12" t="inlineStr"/>
      <c r="BC57" s="12" t="inlineStr"/>
      <c r="BD57" s="12" t="inlineStr"/>
      <c r="BE57" s="12" t="inlineStr">
        <is>
          <t>https://api.worldbank.org/v2/country/PAN/indicator/NY.GDP.PCAP.PP.CD?format=json&amp;mrv=30 | https://api.worldbank.org/v2/country/PAN/indicator/NY.GDP.MKTP.KD.ZG?format=json&amp;mrv=30</t>
        </is>
      </c>
      <c r="BF57" s="12" t="inlineStr">
        <is>
          <t>Tier 3</t>
        </is>
      </c>
      <c r="BG57" s="12" t="inlineStr">
        <is>
          <t>2024-12-31</t>
        </is>
      </c>
      <c r="BH57" s="12" t="inlineStr">
        <is>
          <t>providers=world_bank; fields=gdp_per_capita_ppp, gdp_growth</t>
        </is>
      </c>
    </row>
    <row r="58">
      <c r="A58" s="9" t="inlineStr">
        <is>
          <t>cr-san-jose</t>
        </is>
      </c>
      <c r="B58" s="9" t="inlineStr">
        <is>
          <t>San Jose</t>
        </is>
      </c>
      <c r="C58" s="9" t="inlineStr">
        <is>
          <t>Costa Rica</t>
        </is>
      </c>
      <c r="D58" s="9" t="inlineStr">
        <is>
          <t>North America</t>
        </is>
      </c>
      <c r="E58" s="9" t="inlineStr">
        <is>
          <t>primary</t>
        </is>
      </c>
      <c r="F58" s="9" t="inlineStr">
        <is>
          <t>locked</t>
        </is>
      </c>
      <c r="G58" s="10" t="inlineStr"/>
      <c r="H58" s="10" t="inlineStr"/>
      <c r="I58" s="10" t="inlineStr"/>
      <c r="J58" s="10" t="inlineStr"/>
      <c r="K58" s="10" t="inlineStr"/>
      <c r="L58" s="10" t="inlineStr"/>
      <c r="M58" s="11">
        <f>IF(OR($G58="",$H58="",$I58="",$J58="",$K58="",$L58="",$AL58="",$AM58=""),"",((($G58*(1-$AM58))-$H58-$I58-$J58-$K58-$L58)/$AL58))</f>
        <v/>
      </c>
      <c r="N58" s="10" t="inlineStr"/>
      <c r="O58" s="10" t="inlineStr"/>
      <c r="P58" s="11">
        <f>IF($O58&lt;&gt;"",$O58,$AN58)</f>
        <v/>
      </c>
      <c r="Q58" s="10" t="inlineStr"/>
      <c r="R58" s="10" t="inlineStr"/>
      <c r="S58" s="10" t="inlineStr"/>
      <c r="T58" s="10" t="inlineStr"/>
      <c r="U58" s="10" t="inlineStr"/>
      <c r="V58" s="10" t="inlineStr"/>
      <c r="W58" s="10" t="inlineStr"/>
      <c r="X58" s="10" t="inlineStr"/>
      <c r="Y58" s="10" t="inlineStr"/>
      <c r="Z58" s="10" t="inlineStr"/>
      <c r="AA58" s="10" t="inlineStr"/>
      <c r="AB58" s="10" t="inlineStr"/>
      <c r="AC58" s="10" t="inlineStr"/>
      <c r="AD58" s="10" t="inlineStr"/>
      <c r="AE58" s="10" t="inlineStr"/>
      <c r="AF58" s="10" t="inlineStr"/>
      <c r="AG58" s="10" t="inlineStr"/>
      <c r="AH58" s="10" t="inlineStr"/>
      <c r="AI58" s="11">
        <f>IFERROR(INDEX(Country_Context!$B$2:$B$64,MATCH($C58,Country_Context!$A$2:$A$64,0)),"")</f>
        <v/>
      </c>
      <c r="AJ58" s="11">
        <f>IFERROR(INDEX(Country_Context!$C$2:$C$64,MATCH($C58,Country_Context!$A$2:$A$64,0)),"")</f>
        <v/>
      </c>
      <c r="AK58" s="11">
        <f>IFERROR(INDEX(Country_Context!$D$2:$D$64,MATCH($C58,Country_Context!$A$2:$A$64,0)),"")</f>
        <v/>
      </c>
      <c r="AL58" s="11">
        <f>IFERROR(INDEX(Country_Context!$E$2:$E$64,MATCH($C58,Country_Context!$A$2:$A$64,0)),"")</f>
        <v/>
      </c>
      <c r="AM58" s="11">
        <f>IFERROR(INDEX(Country_Context!$F$2:$F$64,MATCH($C58,Country_Context!$A$2:$A$64,0)),"")</f>
        <v/>
      </c>
      <c r="AN58" s="11">
        <f>IFERROR(INDEX(Country_Context!$G$2:$G$64,MATCH($C58,Country_Context!$A$2:$A$64,0)),"")</f>
        <v/>
      </c>
      <c r="AO58" s="12" t="inlineStr">
        <is>
          <t>https://api.worldbank.org/v2/country/CRI/indicator/PA.NUS.PRVT.PP?format=json&amp;mrv=30 | https://api.worldbank.org/v2/country/CRI/indicator/GC.TAX.TOTL.GD.ZS?format=json&amp;mrv=30 | https://api.worldbank.org/v2/country/CRI/indicator/FD.AST.PRVT.GD.ZS?format=json&amp;mrv=30</t>
        </is>
      </c>
      <c r="AP58" s="12" t="inlineStr">
        <is>
          <t>Tier 3</t>
        </is>
      </c>
      <c r="AQ58" s="12" t="inlineStr">
        <is>
          <t>2024-12-31</t>
        </is>
      </c>
      <c r="AR58" s="12" t="inlineStr">
        <is>
          <t>providers=world_bank; fields=ppp_private_consumption, tax_rate_assumption, household_debt_proxy</t>
        </is>
      </c>
      <c r="AS58" s="12" t="inlineStr"/>
      <c r="AT58" s="12" t="inlineStr"/>
      <c r="AU58" s="12" t="inlineStr"/>
      <c r="AV58" s="12" t="inlineStr"/>
      <c r="AW58" s="12" t="inlineStr">
        <is>
          <t>https://api.worldbank.org/v2/country/CRI/indicator/SI.POV.GINI?format=json&amp;mrv=30</t>
        </is>
      </c>
      <c r="AX58" s="12" t="inlineStr">
        <is>
          <t>Tier 3</t>
        </is>
      </c>
      <c r="AY58" s="12" t="inlineStr">
        <is>
          <t>2024-12-31</t>
        </is>
      </c>
      <c r="AZ58" s="12" t="inlineStr">
        <is>
          <t>providers=world_bank; fields=gini_coefficient</t>
        </is>
      </c>
      <c r="BA58" s="12" t="inlineStr"/>
      <c r="BB58" s="12" t="inlineStr"/>
      <c r="BC58" s="12" t="inlineStr"/>
      <c r="BD58" s="12" t="inlineStr"/>
      <c r="BE58" s="12" t="inlineStr">
        <is>
          <t>https://api.worldbank.org/v2/country/CRI/indicator/NY.GDP.PCAP.PP.CD?format=json&amp;mrv=30 | https://api.worldbank.org/v2/country/CRI/indicator/NY.GDP.MKTP.KD.ZG?format=json&amp;mrv=30</t>
        </is>
      </c>
      <c r="BF58" s="12" t="inlineStr">
        <is>
          <t>Tier 3</t>
        </is>
      </c>
      <c r="BG58" s="12" t="inlineStr">
        <is>
          <t>2024-12-31</t>
        </is>
      </c>
      <c r="BH58" s="12" t="inlineStr">
        <is>
          <t>providers=world_bank; fields=gdp_per_capita_ppp, gdp_growth</t>
        </is>
      </c>
    </row>
    <row r="59">
      <c r="A59" s="9" t="inlineStr">
        <is>
          <t>us-pittsburgh</t>
        </is>
      </c>
      <c r="B59" s="9" t="inlineStr">
        <is>
          <t>Pittsburgh</t>
        </is>
      </c>
      <c r="C59" s="9" t="inlineStr">
        <is>
          <t>United States</t>
        </is>
      </c>
      <c r="D59" s="9" t="inlineStr">
        <is>
          <t>North America</t>
        </is>
      </c>
      <c r="E59" s="9" t="inlineStr">
        <is>
          <t>secondary</t>
        </is>
      </c>
      <c r="F59" s="9" t="inlineStr">
        <is>
          <t>locked</t>
        </is>
      </c>
      <c r="G59" s="10" t="inlineStr"/>
      <c r="H59" s="10" t="inlineStr"/>
      <c r="I59" s="10" t="inlineStr"/>
      <c r="J59" s="10" t="inlineStr"/>
      <c r="K59" s="10" t="inlineStr"/>
      <c r="L59" s="10" t="inlineStr"/>
      <c r="M59" s="11">
        <f>IF(OR($G59="",$H59="",$I59="",$J59="",$K59="",$L59="",$AL59="",$AM59=""),"",((($G59*(1-$AM59))-$H59-$I59-$J59-$K59-$L59)/$AL59))</f>
        <v/>
      </c>
      <c r="N59" s="10" t="inlineStr"/>
      <c r="O59" s="10" t="inlineStr"/>
      <c r="P59" s="11">
        <f>IF($O59&lt;&gt;"",$O59,$AN59)</f>
        <v/>
      </c>
      <c r="Q59" s="10" t="inlineStr"/>
      <c r="R59" s="10" t="inlineStr"/>
      <c r="S59" s="10" t="inlineStr"/>
      <c r="T59" s="10" t="inlineStr"/>
      <c r="U59" s="10" t="inlineStr"/>
      <c r="V59" s="10" t="inlineStr"/>
      <c r="W59" s="10" t="inlineStr"/>
      <c r="X59" s="10" t="inlineStr"/>
      <c r="Y59" s="10" t="inlineStr"/>
      <c r="Z59" s="10" t="inlineStr"/>
      <c r="AA59" s="10" t="inlineStr"/>
      <c r="AB59" s="10" t="inlineStr"/>
      <c r="AC59" s="10" t="inlineStr"/>
      <c r="AD59" s="10" t="inlineStr"/>
      <c r="AE59" s="10" t="inlineStr"/>
      <c r="AF59" s="10" t="inlineStr"/>
      <c r="AG59" s="10" t="inlineStr"/>
      <c r="AH59" s="10" t="inlineStr"/>
      <c r="AI59" s="11">
        <f>IFERROR(INDEX(Country_Context!$B$2:$B$64,MATCH($C59,Country_Context!$A$2:$A$64,0)),"")</f>
        <v/>
      </c>
      <c r="AJ59" s="11">
        <f>IFERROR(INDEX(Country_Context!$C$2:$C$64,MATCH($C59,Country_Context!$A$2:$A$64,0)),"")</f>
        <v/>
      </c>
      <c r="AK59" s="11">
        <f>IFERROR(INDEX(Country_Context!$D$2:$D$64,MATCH($C59,Country_Context!$A$2:$A$64,0)),"")</f>
        <v/>
      </c>
      <c r="AL59" s="11">
        <f>IFERROR(INDEX(Country_Context!$E$2:$E$64,MATCH($C59,Country_Context!$A$2:$A$64,0)),"")</f>
        <v/>
      </c>
      <c r="AM59" s="11">
        <f>IFERROR(INDEX(Country_Context!$F$2:$F$64,MATCH($C59,Country_Context!$A$2:$A$64,0)),"")</f>
        <v/>
      </c>
      <c r="AN59" s="11">
        <f>IFERROR(INDEX(Country_Context!$G$2:$G$64,MATCH($C59,Country_Context!$A$2:$A$64,0)),"")</f>
        <v/>
      </c>
      <c r="AO59" s="12" t="inlineStr">
        <is>
          <t>https://api.worldbank.org/v2/country/USA/indicator/PA.NUS.PRVT.PP?format=json&amp;mrv=30 | https://api.worldbank.org/v2/country/USA/indicator/GC.TAX.TOTL.GD.ZS?format=json&amp;mrv=30 | https://api.worldbank.org/v2/country/USA/indicator/FD.AST.PRVT.GD.ZS?format=json&amp;mrv=30</t>
        </is>
      </c>
      <c r="AP59" s="12" t="inlineStr">
        <is>
          <t>Tier 3</t>
        </is>
      </c>
      <c r="AQ59" s="12" t="inlineStr">
        <is>
          <t>2024-12-31</t>
        </is>
      </c>
      <c r="AR59" s="12" t="inlineStr">
        <is>
          <t>providers=world_bank; fields=ppp_private_consumption, tax_rate_assumption, household_debt_proxy</t>
        </is>
      </c>
      <c r="AS59" s="12" t="inlineStr"/>
      <c r="AT59" s="12" t="inlineStr"/>
      <c r="AU59" s="12" t="inlineStr"/>
      <c r="AV59" s="12" t="inlineStr"/>
      <c r="AW59" s="12" t="inlineStr">
        <is>
          <t>https://api.worldbank.org/v2/country/USA/indicator/SI.POV.GINI?format=json&amp;mrv=30</t>
        </is>
      </c>
      <c r="AX59" s="12" t="inlineStr">
        <is>
          <t>Tier 3</t>
        </is>
      </c>
      <c r="AY59" s="12" t="inlineStr">
        <is>
          <t>2023-12-31</t>
        </is>
      </c>
      <c r="AZ59" s="12" t="inlineStr">
        <is>
          <t>providers=world_bank; fields=gini_coefficient</t>
        </is>
      </c>
      <c r="BA59" s="12" t="inlineStr"/>
      <c r="BB59" s="12" t="inlineStr"/>
      <c r="BC59" s="12" t="inlineStr"/>
      <c r="BD59" s="12" t="inlineStr"/>
      <c r="BE59" s="12" t="inlineStr">
        <is>
          <t>https://api.worldbank.org/v2/country/USA/indicator/NY.GDP.PCAP.PP.CD?format=json&amp;mrv=30 | https://api.worldbank.org/v2/country/USA/indicator/NY.GDP.MKTP.KD.ZG?format=json&amp;mrv=30</t>
        </is>
      </c>
      <c r="BF59" s="12" t="inlineStr">
        <is>
          <t>Tier 3</t>
        </is>
      </c>
      <c r="BG59" s="12" t="inlineStr">
        <is>
          <t>2024-12-31</t>
        </is>
      </c>
      <c r="BH59" s="12" t="inlineStr">
        <is>
          <t>providers=world_bank; fields=gdp_per_capita_ppp, gdp_growth</t>
        </is>
      </c>
    </row>
    <row r="60">
      <c r="A60" s="9" t="inlineStr">
        <is>
          <t>ca-montreal</t>
        </is>
      </c>
      <c r="B60" s="9" t="inlineStr">
        <is>
          <t>Montreal</t>
        </is>
      </c>
      <c r="C60" s="9" t="inlineStr">
        <is>
          <t>Canada</t>
        </is>
      </c>
      <c r="D60" s="9" t="inlineStr">
        <is>
          <t>North America</t>
        </is>
      </c>
      <c r="E60" s="9" t="inlineStr">
        <is>
          <t>secondary</t>
        </is>
      </c>
      <c r="F60" s="9" t="inlineStr">
        <is>
          <t>locked</t>
        </is>
      </c>
      <c r="G60" s="10" t="inlineStr"/>
      <c r="H60" s="10" t="inlineStr"/>
      <c r="I60" s="10" t="inlineStr"/>
      <c r="J60" s="10" t="inlineStr"/>
      <c r="K60" s="10" t="inlineStr"/>
      <c r="L60" s="10" t="inlineStr"/>
      <c r="M60" s="11">
        <f>IF(OR($G60="",$H60="",$I60="",$J60="",$K60="",$L60="",$AL60="",$AM60=""),"",((($G60*(1-$AM60))-$H60-$I60-$J60-$K60-$L60)/$AL60))</f>
        <v/>
      </c>
      <c r="N60" s="10" t="inlineStr"/>
      <c r="O60" s="10" t="inlineStr"/>
      <c r="P60" s="11">
        <f>IF($O60&lt;&gt;"",$O60,$AN60)</f>
        <v/>
      </c>
      <c r="Q60" s="10" t="inlineStr"/>
      <c r="R60" s="10" t="inlineStr"/>
      <c r="S60" s="10" t="inlineStr"/>
      <c r="T60" s="10" t="inlineStr"/>
      <c r="U60" s="10" t="inlineStr"/>
      <c r="V60" s="10" t="inlineStr"/>
      <c r="W60" s="10" t="inlineStr"/>
      <c r="X60" s="10" t="inlineStr"/>
      <c r="Y60" s="10" t="inlineStr"/>
      <c r="Z60" s="10" t="inlineStr"/>
      <c r="AA60" s="10" t="inlineStr"/>
      <c r="AB60" s="10" t="inlineStr"/>
      <c r="AC60" s="10" t="inlineStr"/>
      <c r="AD60" s="10" t="inlineStr"/>
      <c r="AE60" s="10" t="inlineStr"/>
      <c r="AF60" s="10" t="inlineStr"/>
      <c r="AG60" s="10" t="inlineStr"/>
      <c r="AH60" s="10" t="inlineStr"/>
      <c r="AI60" s="11">
        <f>IFERROR(INDEX(Country_Context!$B$2:$B$64,MATCH($C60,Country_Context!$A$2:$A$64,0)),"")</f>
        <v/>
      </c>
      <c r="AJ60" s="11">
        <f>IFERROR(INDEX(Country_Context!$C$2:$C$64,MATCH($C60,Country_Context!$A$2:$A$64,0)),"")</f>
        <v/>
      </c>
      <c r="AK60" s="11">
        <f>IFERROR(INDEX(Country_Context!$D$2:$D$64,MATCH($C60,Country_Context!$A$2:$A$64,0)),"")</f>
        <v/>
      </c>
      <c r="AL60" s="11">
        <f>IFERROR(INDEX(Country_Context!$E$2:$E$64,MATCH($C60,Country_Context!$A$2:$A$64,0)),"")</f>
        <v/>
      </c>
      <c r="AM60" s="11">
        <f>IFERROR(INDEX(Country_Context!$F$2:$F$64,MATCH($C60,Country_Context!$A$2:$A$64,0)),"")</f>
        <v/>
      </c>
      <c r="AN60" s="11">
        <f>IFERROR(INDEX(Country_Context!$G$2:$G$64,MATCH($C60,Country_Context!$A$2:$A$64,0)),"")</f>
        <v/>
      </c>
      <c r="AO60" s="12" t="inlineStr">
        <is>
          <t>https://api.worldbank.org/v2/country/CAN/indicator/PA.NUS.PRVT.PP?format=json&amp;mrv=30 | https://api.worldbank.org/v2/country/CAN/indicator/GC.TAX.TOTL.GD.ZS?format=json&amp;mrv=30 | https://api.worldbank.org/v2/country/CAN/indicator/FD.AST.PRVT.GD.ZS?format=json&amp;mrv=30</t>
        </is>
      </c>
      <c r="AP60" s="12" t="inlineStr">
        <is>
          <t>Tier 3</t>
        </is>
      </c>
      <c r="AQ60" s="12" t="inlineStr">
        <is>
          <t>2024-12-31</t>
        </is>
      </c>
      <c r="AR60" s="12" t="inlineStr">
        <is>
          <t>providers=world_bank; fields=ppp_private_consumption, tax_rate_assumption, household_debt_proxy</t>
        </is>
      </c>
      <c r="AS60" s="12" t="inlineStr"/>
      <c r="AT60" s="12" t="inlineStr"/>
      <c r="AU60" s="12" t="inlineStr"/>
      <c r="AV60" s="12" t="inlineStr"/>
      <c r="AW60" s="12" t="inlineStr">
        <is>
          <t>https://api.worldbank.org/v2/country/CAN/indicator/SI.POV.GINI?format=json&amp;mrv=30</t>
        </is>
      </c>
      <c r="AX60" s="12" t="inlineStr">
        <is>
          <t>Tier 3</t>
        </is>
      </c>
      <c r="AY60" s="12" t="inlineStr">
        <is>
          <t>2021-12-31</t>
        </is>
      </c>
      <c r="AZ60" s="12" t="inlineStr">
        <is>
          <t>providers=world_bank; fields=gini_coefficient</t>
        </is>
      </c>
      <c r="BA60" s="12" t="inlineStr"/>
      <c r="BB60" s="12" t="inlineStr"/>
      <c r="BC60" s="12" t="inlineStr"/>
      <c r="BD60" s="12" t="inlineStr"/>
      <c r="BE60" s="12" t="inlineStr">
        <is>
          <t>https://api.worldbank.org/v2/country/CAN/indicator/NY.GDP.PCAP.PP.CD?format=json&amp;mrv=30 | https://api.worldbank.org/v2/country/CAN/indicator/NY.GDP.MKTP.KD.ZG?format=json&amp;mrv=30</t>
        </is>
      </c>
      <c r="BF60" s="12" t="inlineStr">
        <is>
          <t>Tier 3</t>
        </is>
      </c>
      <c r="BG60" s="12" t="inlineStr">
        <is>
          <t>2024-12-31</t>
        </is>
      </c>
      <c r="BH60" s="12" t="inlineStr">
        <is>
          <t>providers=world_bank; fields=gdp_per_capita_ppp, gdp_growth</t>
        </is>
      </c>
    </row>
    <row r="61">
      <c r="A61" s="9" t="inlineStr">
        <is>
          <t>mx-guadalajara</t>
        </is>
      </c>
      <c r="B61" s="9" t="inlineStr">
        <is>
          <t>Guadalajara</t>
        </is>
      </c>
      <c r="C61" s="9" t="inlineStr">
        <is>
          <t>Mexico</t>
        </is>
      </c>
      <c r="D61" s="9" t="inlineStr">
        <is>
          <t>North America</t>
        </is>
      </c>
      <c r="E61" s="9" t="inlineStr">
        <is>
          <t>secondary</t>
        </is>
      </c>
      <c r="F61" s="9" t="inlineStr">
        <is>
          <t>locked</t>
        </is>
      </c>
      <c r="G61" s="10" t="inlineStr"/>
      <c r="H61" s="10" t="inlineStr"/>
      <c r="I61" s="10" t="inlineStr"/>
      <c r="J61" s="10" t="inlineStr"/>
      <c r="K61" s="10" t="inlineStr"/>
      <c r="L61" s="10" t="inlineStr"/>
      <c r="M61" s="11">
        <f>IF(OR($G61="",$H61="",$I61="",$J61="",$K61="",$L61="",$AL61="",$AM61=""),"",((($G61*(1-$AM61))-$H61-$I61-$J61-$K61-$L61)/$AL61))</f>
        <v/>
      </c>
      <c r="N61" s="10" t="inlineStr"/>
      <c r="O61" s="10" t="inlineStr"/>
      <c r="P61" s="11">
        <f>IF($O61&lt;&gt;"",$O61,$AN61)</f>
        <v/>
      </c>
      <c r="Q61" s="10" t="inlineStr"/>
      <c r="R61" s="10" t="inlineStr"/>
      <c r="S61" s="10" t="inlineStr"/>
      <c r="T61" s="10" t="inlineStr"/>
      <c r="U61" s="10" t="inlineStr"/>
      <c r="V61" s="10" t="inlineStr"/>
      <c r="W61" s="10" t="inlineStr"/>
      <c r="X61" s="10" t="inlineStr"/>
      <c r="Y61" s="10" t="inlineStr"/>
      <c r="Z61" s="10" t="inlineStr"/>
      <c r="AA61" s="10" t="inlineStr"/>
      <c r="AB61" s="10" t="inlineStr"/>
      <c r="AC61" s="10" t="inlineStr"/>
      <c r="AD61" s="10" t="inlineStr"/>
      <c r="AE61" s="10" t="inlineStr"/>
      <c r="AF61" s="10" t="inlineStr"/>
      <c r="AG61" s="10" t="inlineStr"/>
      <c r="AH61" s="10" t="inlineStr"/>
      <c r="AI61" s="11">
        <f>IFERROR(INDEX(Country_Context!$B$2:$B$64,MATCH($C61,Country_Context!$A$2:$A$64,0)),"")</f>
        <v/>
      </c>
      <c r="AJ61" s="11">
        <f>IFERROR(INDEX(Country_Context!$C$2:$C$64,MATCH($C61,Country_Context!$A$2:$A$64,0)),"")</f>
        <v/>
      </c>
      <c r="AK61" s="11">
        <f>IFERROR(INDEX(Country_Context!$D$2:$D$64,MATCH($C61,Country_Context!$A$2:$A$64,0)),"")</f>
        <v/>
      </c>
      <c r="AL61" s="11">
        <f>IFERROR(INDEX(Country_Context!$E$2:$E$64,MATCH($C61,Country_Context!$A$2:$A$64,0)),"")</f>
        <v/>
      </c>
      <c r="AM61" s="11">
        <f>IFERROR(INDEX(Country_Context!$F$2:$F$64,MATCH($C61,Country_Context!$A$2:$A$64,0)),"")</f>
        <v/>
      </c>
      <c r="AN61" s="11">
        <f>IFERROR(INDEX(Country_Context!$G$2:$G$64,MATCH($C61,Country_Context!$A$2:$A$64,0)),"")</f>
        <v/>
      </c>
      <c r="AO61" s="12" t="inlineStr">
        <is>
          <t>https://api.worldbank.org/v2/country/MEX/indicator/PA.NUS.PRVT.PP?format=json&amp;mrv=30 | https://api.worldbank.org/v2/country/MEX/indicator/GC.TAX.TOTL.GD.ZS?format=json&amp;mrv=30 | https://api.worldbank.org/v2/country/MEX/indicator/FD.AST.PRVT.GD.ZS?format=json&amp;mrv=30</t>
        </is>
      </c>
      <c r="AP61" s="12" t="inlineStr">
        <is>
          <t>Tier 3</t>
        </is>
      </c>
      <c r="AQ61" s="12" t="inlineStr">
        <is>
          <t>2024-12-31</t>
        </is>
      </c>
      <c r="AR61" s="12" t="inlineStr">
        <is>
          <t>providers=world_bank; fields=ppp_private_consumption, tax_rate_assumption, household_debt_proxy</t>
        </is>
      </c>
      <c r="AS61" s="12" t="inlineStr"/>
      <c r="AT61" s="12" t="inlineStr"/>
      <c r="AU61" s="12" t="inlineStr"/>
      <c r="AV61" s="12" t="inlineStr"/>
      <c r="AW61" s="12" t="inlineStr">
        <is>
          <t>https://api.worldbank.org/v2/country/MEX/indicator/SI.POV.GINI?format=json&amp;mrv=30</t>
        </is>
      </c>
      <c r="AX61" s="12" t="inlineStr">
        <is>
          <t>Tier 3</t>
        </is>
      </c>
      <c r="AY61" s="12" t="inlineStr">
        <is>
          <t>2022-12-31</t>
        </is>
      </c>
      <c r="AZ61" s="12" t="inlineStr">
        <is>
          <t>providers=world_bank; fields=gini_coefficient</t>
        </is>
      </c>
      <c r="BA61" s="12" t="inlineStr"/>
      <c r="BB61" s="12" t="inlineStr"/>
      <c r="BC61" s="12" t="inlineStr"/>
      <c r="BD61" s="12" t="inlineStr"/>
      <c r="BE61" s="12" t="inlineStr">
        <is>
          <t>https://api.worldbank.org/v2/country/MEX/indicator/NY.GDP.PCAP.PP.CD?format=json&amp;mrv=30 | https://api.worldbank.org/v2/country/MEX/indicator/NY.GDP.MKTP.KD.ZG?format=json&amp;mrv=30</t>
        </is>
      </c>
      <c r="BF61" s="12" t="inlineStr">
        <is>
          <t>Tier 3</t>
        </is>
      </c>
      <c r="BG61" s="12" t="inlineStr">
        <is>
          <t>2024-12-31</t>
        </is>
      </c>
      <c r="BH61" s="12" t="inlineStr">
        <is>
          <t>providers=world_bank; fields=gdp_per_capita_ppp, gdp_growth</t>
        </is>
      </c>
    </row>
    <row r="62">
      <c r="A62" s="9" t="inlineStr">
        <is>
          <t>pr-san-juan</t>
        </is>
      </c>
      <c r="B62" s="9" t="inlineStr">
        <is>
          <t>San Juan</t>
        </is>
      </c>
      <c r="C62" s="9" t="inlineStr">
        <is>
          <t>Puerto Rico</t>
        </is>
      </c>
      <c r="D62" s="9" t="inlineStr">
        <is>
          <t>North America</t>
        </is>
      </c>
      <c r="E62" s="9" t="inlineStr">
        <is>
          <t>secondary</t>
        </is>
      </c>
      <c r="F62" s="9" t="inlineStr">
        <is>
          <t>provisional</t>
        </is>
      </c>
      <c r="G62" s="10" t="inlineStr"/>
      <c r="H62" s="10" t="inlineStr"/>
      <c r="I62" s="10" t="inlineStr"/>
      <c r="J62" s="10" t="inlineStr"/>
      <c r="K62" s="10" t="inlineStr"/>
      <c r="L62" s="10" t="inlineStr"/>
      <c r="M62" s="11">
        <f>IF(OR($G62="",$H62="",$I62="",$J62="",$K62="",$L62="",$AL62="",$AM62=""),"",((($G62*(1-$AM62))-$H62-$I62-$J62-$K62-$L62)/$AL62))</f>
        <v/>
      </c>
      <c r="N62" s="10" t="inlineStr"/>
      <c r="O62" s="10" t="inlineStr"/>
      <c r="P62" s="11">
        <f>IF($O62&lt;&gt;"",$O62,$AN62)</f>
        <v/>
      </c>
      <c r="Q62" s="10" t="inlineStr"/>
      <c r="R62" s="10" t="inlineStr"/>
      <c r="S62" s="10" t="inlineStr"/>
      <c r="T62" s="10" t="inlineStr"/>
      <c r="U62" s="10" t="inlineStr"/>
      <c r="V62" s="10" t="inlineStr"/>
      <c r="W62" s="10" t="inlineStr"/>
      <c r="X62" s="10" t="inlineStr"/>
      <c r="Y62" s="10" t="inlineStr"/>
      <c r="Z62" s="10" t="inlineStr"/>
      <c r="AA62" s="10" t="inlineStr"/>
      <c r="AB62" s="10" t="inlineStr"/>
      <c r="AC62" s="10" t="inlineStr"/>
      <c r="AD62" s="10" t="inlineStr"/>
      <c r="AE62" s="10" t="inlineStr"/>
      <c r="AF62" s="10" t="inlineStr"/>
      <c r="AG62" s="10" t="inlineStr"/>
      <c r="AH62" s="10" t="inlineStr"/>
      <c r="AI62" s="11">
        <f>IFERROR(INDEX(Country_Context!$B$2:$B$64,MATCH($C62,Country_Context!$A$2:$A$64,0)),"")</f>
        <v/>
      </c>
      <c r="AJ62" s="11">
        <f>IFERROR(INDEX(Country_Context!$C$2:$C$64,MATCH($C62,Country_Context!$A$2:$A$64,0)),"")</f>
        <v/>
      </c>
      <c r="AK62" s="11">
        <f>IFERROR(INDEX(Country_Context!$D$2:$D$64,MATCH($C62,Country_Context!$A$2:$A$64,0)),"")</f>
        <v/>
      </c>
      <c r="AL62" s="11">
        <f>IFERROR(INDEX(Country_Context!$E$2:$E$64,MATCH($C62,Country_Context!$A$2:$A$64,0)),"")</f>
        <v/>
      </c>
      <c r="AM62" s="11">
        <f>IFERROR(INDEX(Country_Context!$F$2:$F$64,MATCH($C62,Country_Context!$A$2:$A$64,0)),"")</f>
        <v/>
      </c>
      <c r="AN62" s="11">
        <f>IFERROR(INDEX(Country_Context!$G$2:$G$64,MATCH($C62,Country_Context!$A$2:$A$64,0)),"")</f>
        <v/>
      </c>
      <c r="AO62" s="12" t="inlineStr">
        <is>
          <t>https://api.worldbank.org/v2/country/PRI/indicator/PA.NUS.PRVT.PP?format=json&amp;mrv=30</t>
        </is>
      </c>
      <c r="AP62" s="12" t="inlineStr">
        <is>
          <t>Tier 3</t>
        </is>
      </c>
      <c r="AQ62" s="12" t="inlineStr">
        <is>
          <t>2021-12-31</t>
        </is>
      </c>
      <c r="AR62" s="12" t="inlineStr">
        <is>
          <t>providers=world_bank; fields=ppp_private_consumption</t>
        </is>
      </c>
      <c r="AS62" s="12" t="inlineStr"/>
      <c r="AT62" s="12" t="inlineStr"/>
      <c r="AU62" s="12" t="inlineStr"/>
      <c r="AV62" s="12" t="inlineStr"/>
      <c r="AW62" s="12" t="inlineStr"/>
      <c r="AX62" s="12" t="inlineStr"/>
      <c r="AY62" s="12" t="inlineStr"/>
      <c r="AZ62" s="12" t="inlineStr"/>
      <c r="BA62" s="12" t="inlineStr"/>
      <c r="BB62" s="12" t="inlineStr"/>
      <c r="BC62" s="12" t="inlineStr"/>
      <c r="BD62" s="12" t="inlineStr"/>
      <c r="BE62" s="12" t="inlineStr">
        <is>
          <t>https://api.worldbank.org/v2/country/PRI/indicator/NY.GDP.PCAP.PP.CD?format=json&amp;mrv=30 | https://api.worldbank.org/v2/country/PRI/indicator/NY.GDP.MKTP.KD.ZG?format=json&amp;mrv=30</t>
        </is>
      </c>
      <c r="BF62" s="12" t="inlineStr">
        <is>
          <t>Tier 3</t>
        </is>
      </c>
      <c r="BG62" s="12" t="inlineStr">
        <is>
          <t>2024-12-31</t>
        </is>
      </c>
      <c r="BH62" s="12" t="inlineStr">
        <is>
          <t>providers=world_bank; fields=gdp_per_capita_ppp, gdp_growth</t>
        </is>
      </c>
    </row>
    <row r="63">
      <c r="A63" s="9" t="inlineStr">
        <is>
          <t>mx-merida</t>
        </is>
      </c>
      <c r="B63" s="9" t="inlineStr">
        <is>
          <t>Merida</t>
        </is>
      </c>
      <c r="C63" s="9" t="inlineStr">
        <is>
          <t>Mexico</t>
        </is>
      </c>
      <c r="D63" s="9" t="inlineStr">
        <is>
          <t>North America</t>
        </is>
      </c>
      <c r="E63" s="9" t="inlineStr">
        <is>
          <t>secondary</t>
        </is>
      </c>
      <c r="F63" s="9" t="inlineStr">
        <is>
          <t>provisional</t>
        </is>
      </c>
      <c r="G63" s="10" t="inlineStr"/>
      <c r="H63" s="10" t="inlineStr"/>
      <c r="I63" s="10" t="inlineStr"/>
      <c r="J63" s="10" t="inlineStr"/>
      <c r="K63" s="10" t="inlineStr"/>
      <c r="L63" s="10" t="inlineStr"/>
      <c r="M63" s="11">
        <f>IF(OR($G63="",$H63="",$I63="",$J63="",$K63="",$L63="",$AL63="",$AM63=""),"",((($G63*(1-$AM63))-$H63-$I63-$J63-$K63-$L63)/$AL63))</f>
        <v/>
      </c>
      <c r="N63" s="10" t="inlineStr"/>
      <c r="O63" s="10" t="inlineStr"/>
      <c r="P63" s="11">
        <f>IF($O63&lt;&gt;"",$O63,$AN63)</f>
        <v/>
      </c>
      <c r="Q63" s="10" t="inlineStr"/>
      <c r="R63" s="10" t="inlineStr"/>
      <c r="S63" s="10" t="inlineStr"/>
      <c r="T63" s="10" t="inlineStr"/>
      <c r="U63" s="10" t="inlineStr"/>
      <c r="V63" s="10" t="inlineStr"/>
      <c r="W63" s="10" t="inlineStr"/>
      <c r="X63" s="10" t="inlineStr"/>
      <c r="Y63" s="10" t="inlineStr"/>
      <c r="Z63" s="10" t="inlineStr"/>
      <c r="AA63" s="10" t="inlineStr"/>
      <c r="AB63" s="10" t="inlineStr"/>
      <c r="AC63" s="10" t="inlineStr"/>
      <c r="AD63" s="10" t="inlineStr"/>
      <c r="AE63" s="10" t="inlineStr"/>
      <c r="AF63" s="10" t="inlineStr"/>
      <c r="AG63" s="10" t="inlineStr"/>
      <c r="AH63" s="10" t="inlineStr"/>
      <c r="AI63" s="11">
        <f>IFERROR(INDEX(Country_Context!$B$2:$B$64,MATCH($C63,Country_Context!$A$2:$A$64,0)),"")</f>
        <v/>
      </c>
      <c r="AJ63" s="11">
        <f>IFERROR(INDEX(Country_Context!$C$2:$C$64,MATCH($C63,Country_Context!$A$2:$A$64,0)),"")</f>
        <v/>
      </c>
      <c r="AK63" s="11">
        <f>IFERROR(INDEX(Country_Context!$D$2:$D$64,MATCH($C63,Country_Context!$A$2:$A$64,0)),"")</f>
        <v/>
      </c>
      <c r="AL63" s="11">
        <f>IFERROR(INDEX(Country_Context!$E$2:$E$64,MATCH($C63,Country_Context!$A$2:$A$64,0)),"")</f>
        <v/>
      </c>
      <c r="AM63" s="11">
        <f>IFERROR(INDEX(Country_Context!$F$2:$F$64,MATCH($C63,Country_Context!$A$2:$A$64,0)),"")</f>
        <v/>
      </c>
      <c r="AN63" s="11">
        <f>IFERROR(INDEX(Country_Context!$G$2:$G$64,MATCH($C63,Country_Context!$A$2:$A$64,0)),"")</f>
        <v/>
      </c>
      <c r="AO63" s="12" t="inlineStr">
        <is>
          <t>https://api.worldbank.org/v2/country/MEX/indicator/PA.NUS.PRVT.PP?format=json&amp;mrv=30 | https://api.worldbank.org/v2/country/MEX/indicator/GC.TAX.TOTL.GD.ZS?format=json&amp;mrv=30 | https://api.worldbank.org/v2/country/MEX/indicator/FD.AST.PRVT.GD.ZS?format=json&amp;mrv=30</t>
        </is>
      </c>
      <c r="AP63" s="12" t="inlineStr">
        <is>
          <t>Tier 3</t>
        </is>
      </c>
      <c r="AQ63" s="12" t="inlineStr">
        <is>
          <t>2024-12-31</t>
        </is>
      </c>
      <c r="AR63" s="12" t="inlineStr">
        <is>
          <t>providers=world_bank; fields=ppp_private_consumption, tax_rate_assumption, household_debt_proxy</t>
        </is>
      </c>
      <c r="AS63" s="12" t="inlineStr"/>
      <c r="AT63" s="12" t="inlineStr"/>
      <c r="AU63" s="12" t="inlineStr"/>
      <c r="AV63" s="12" t="inlineStr"/>
      <c r="AW63" s="12" t="inlineStr">
        <is>
          <t>https://api.worldbank.org/v2/country/MEX/indicator/SI.POV.GINI?format=json&amp;mrv=30</t>
        </is>
      </c>
      <c r="AX63" s="12" t="inlineStr">
        <is>
          <t>Tier 3</t>
        </is>
      </c>
      <c r="AY63" s="12" t="inlineStr">
        <is>
          <t>2022-12-31</t>
        </is>
      </c>
      <c r="AZ63" s="12" t="inlineStr">
        <is>
          <t>providers=world_bank; fields=gini_coefficient</t>
        </is>
      </c>
      <c r="BA63" s="12" t="inlineStr"/>
      <c r="BB63" s="12" t="inlineStr"/>
      <c r="BC63" s="12" t="inlineStr"/>
      <c r="BD63" s="12" t="inlineStr"/>
      <c r="BE63" s="12" t="inlineStr">
        <is>
          <t>https://api.worldbank.org/v2/country/MEX/indicator/NY.GDP.PCAP.PP.CD?format=json&amp;mrv=30 | https://api.worldbank.org/v2/country/MEX/indicator/NY.GDP.MKTP.KD.ZG?format=json&amp;mrv=30</t>
        </is>
      </c>
      <c r="BF63" s="12" t="inlineStr">
        <is>
          <t>Tier 3</t>
        </is>
      </c>
      <c r="BG63" s="12" t="inlineStr">
        <is>
          <t>2024-12-31</t>
        </is>
      </c>
      <c r="BH63" s="12" t="inlineStr">
        <is>
          <t>providers=world_bank; fields=gdp_per_capita_ppp, gdp_growth</t>
        </is>
      </c>
    </row>
    <row r="64">
      <c r="A64" s="9" t="inlineStr">
        <is>
          <t>br-sao-paulo</t>
        </is>
      </c>
      <c r="B64" s="9" t="inlineStr">
        <is>
          <t>Sao Paulo</t>
        </is>
      </c>
      <c r="C64" s="9" t="inlineStr">
        <is>
          <t>Brazil</t>
        </is>
      </c>
      <c r="D64" s="9" t="inlineStr">
        <is>
          <t>Latin America</t>
        </is>
      </c>
      <c r="E64" s="9" t="inlineStr">
        <is>
          <t>primary</t>
        </is>
      </c>
      <c r="F64" s="9" t="inlineStr">
        <is>
          <t>locked</t>
        </is>
      </c>
      <c r="G64" s="10" t="inlineStr"/>
      <c r="H64" s="10" t="inlineStr"/>
      <c r="I64" s="10" t="inlineStr"/>
      <c r="J64" s="10" t="inlineStr"/>
      <c r="K64" s="10" t="inlineStr"/>
      <c r="L64" s="10" t="inlineStr"/>
      <c r="M64" s="11">
        <f>IF(OR($G64="",$H64="",$I64="",$J64="",$K64="",$L64="",$AL64="",$AM64=""),"",((($G64*(1-$AM64))-$H64-$I64-$J64-$K64-$L64)/$AL64))</f>
        <v/>
      </c>
      <c r="N64" s="10" t="inlineStr"/>
      <c r="O64" s="10" t="inlineStr"/>
      <c r="P64" s="11">
        <f>IF($O64&lt;&gt;"",$O64,$AN64)</f>
        <v/>
      </c>
      <c r="Q64" s="10" t="inlineStr"/>
      <c r="R64" s="10" t="inlineStr"/>
      <c r="S64" s="10" t="inlineStr"/>
      <c r="T64" s="10" t="inlineStr"/>
      <c r="U64" s="10" t="inlineStr"/>
      <c r="V64" s="10" t="inlineStr"/>
      <c r="W64" s="10" t="inlineStr"/>
      <c r="X64" s="10" t="inlineStr"/>
      <c r="Y64" s="10" t="inlineStr"/>
      <c r="Z64" s="10" t="inlineStr"/>
      <c r="AA64" s="10" t="inlineStr"/>
      <c r="AB64" s="10" t="inlineStr"/>
      <c r="AC64" s="10" t="inlineStr"/>
      <c r="AD64" s="10" t="inlineStr"/>
      <c r="AE64" s="10" t="inlineStr"/>
      <c r="AF64" s="10" t="inlineStr"/>
      <c r="AG64" s="10" t="inlineStr"/>
      <c r="AH64" s="10" t="inlineStr"/>
      <c r="AI64" s="11">
        <f>IFERROR(INDEX(Country_Context!$B$2:$B$64,MATCH($C64,Country_Context!$A$2:$A$64,0)),"")</f>
        <v/>
      </c>
      <c r="AJ64" s="11">
        <f>IFERROR(INDEX(Country_Context!$C$2:$C$64,MATCH($C64,Country_Context!$A$2:$A$64,0)),"")</f>
        <v/>
      </c>
      <c r="AK64" s="11">
        <f>IFERROR(INDEX(Country_Context!$D$2:$D$64,MATCH($C64,Country_Context!$A$2:$A$64,0)),"")</f>
        <v/>
      </c>
      <c r="AL64" s="11">
        <f>IFERROR(INDEX(Country_Context!$E$2:$E$64,MATCH($C64,Country_Context!$A$2:$A$64,0)),"")</f>
        <v/>
      </c>
      <c r="AM64" s="11">
        <f>IFERROR(INDEX(Country_Context!$F$2:$F$64,MATCH($C64,Country_Context!$A$2:$A$64,0)),"")</f>
        <v/>
      </c>
      <c r="AN64" s="11">
        <f>IFERROR(INDEX(Country_Context!$G$2:$G$64,MATCH($C64,Country_Context!$A$2:$A$64,0)),"")</f>
        <v/>
      </c>
      <c r="AO64" s="12" t="inlineStr">
        <is>
          <t>https://api.worldbank.org/v2/country/BRA/indicator/PA.NUS.PRVT.PP?format=json&amp;mrv=30 | https://api.worldbank.org/v2/country/BRA/indicator/GC.TAX.TOTL.GD.ZS?format=json&amp;mrv=30 | https://api.worldbank.org/v2/country/BRA/indicator/FD.AST.PRVT.GD.ZS?format=json&amp;mrv=30</t>
        </is>
      </c>
      <c r="AP64" s="12" t="inlineStr">
        <is>
          <t>Tier 3</t>
        </is>
      </c>
      <c r="AQ64" s="12" t="inlineStr">
        <is>
          <t>2024-12-31</t>
        </is>
      </c>
      <c r="AR64" s="12" t="inlineStr">
        <is>
          <t>providers=world_bank; fields=ppp_private_consumption, tax_rate_assumption, household_debt_proxy</t>
        </is>
      </c>
      <c r="AS64" s="12" t="inlineStr"/>
      <c r="AT64" s="12" t="inlineStr"/>
      <c r="AU64" s="12" t="inlineStr"/>
      <c r="AV64" s="12" t="inlineStr"/>
      <c r="AW64" s="12" t="inlineStr">
        <is>
          <t>https://api.worldbank.org/v2/country/BRA/indicator/SI.POV.GINI?format=json&amp;mrv=30</t>
        </is>
      </c>
      <c r="AX64" s="12" t="inlineStr">
        <is>
          <t>Tier 3</t>
        </is>
      </c>
      <c r="AY64" s="12" t="inlineStr">
        <is>
          <t>2023-12-31</t>
        </is>
      </c>
      <c r="AZ64" s="12" t="inlineStr">
        <is>
          <t>providers=world_bank; fields=gini_coefficient</t>
        </is>
      </c>
      <c r="BA64" s="12" t="inlineStr"/>
      <c r="BB64" s="12" t="inlineStr"/>
      <c r="BC64" s="12" t="inlineStr"/>
      <c r="BD64" s="12" t="inlineStr"/>
      <c r="BE64" s="12" t="inlineStr">
        <is>
          <t>https://api.worldbank.org/v2/country/BRA/indicator/NY.GDP.PCAP.PP.CD?format=json&amp;mrv=30 | https://api.worldbank.org/v2/country/BRA/indicator/NY.GDP.MKTP.KD.ZG?format=json&amp;mrv=30</t>
        </is>
      </c>
      <c r="BF64" s="12" t="inlineStr">
        <is>
          <t>Tier 3</t>
        </is>
      </c>
      <c r="BG64" s="12" t="inlineStr">
        <is>
          <t>2024-12-31</t>
        </is>
      </c>
      <c r="BH64" s="12" t="inlineStr">
        <is>
          <t>providers=world_bank; fields=gdp_per_capita_ppp, gdp_growth</t>
        </is>
      </c>
    </row>
    <row r="65">
      <c r="A65" s="9" t="inlineStr">
        <is>
          <t>ar-buenos-aires</t>
        </is>
      </c>
      <c r="B65" s="9" t="inlineStr">
        <is>
          <t>Buenos Aires</t>
        </is>
      </c>
      <c r="C65" s="9" t="inlineStr">
        <is>
          <t>Argentina</t>
        </is>
      </c>
      <c r="D65" s="9" t="inlineStr">
        <is>
          <t>Latin America</t>
        </is>
      </c>
      <c r="E65" s="9" t="inlineStr">
        <is>
          <t>primary</t>
        </is>
      </c>
      <c r="F65" s="9" t="inlineStr">
        <is>
          <t>locked</t>
        </is>
      </c>
      <c r="G65" s="10" t="inlineStr"/>
      <c r="H65" s="10" t="inlineStr"/>
      <c r="I65" s="10" t="inlineStr"/>
      <c r="J65" s="10" t="inlineStr"/>
      <c r="K65" s="10" t="inlineStr"/>
      <c r="L65" s="10" t="inlineStr"/>
      <c r="M65" s="11">
        <f>IF(OR($G65="",$H65="",$I65="",$J65="",$K65="",$L65="",$AL65="",$AM65=""),"",((($G65*(1-$AM65))-$H65-$I65-$J65-$K65-$L65)/$AL65))</f>
        <v/>
      </c>
      <c r="N65" s="10" t="inlineStr"/>
      <c r="O65" s="10" t="inlineStr"/>
      <c r="P65" s="11">
        <f>IF($O65&lt;&gt;"",$O65,$AN65)</f>
        <v/>
      </c>
      <c r="Q65" s="10" t="inlineStr"/>
      <c r="R65" s="10" t="inlineStr"/>
      <c r="S65" s="10" t="inlineStr"/>
      <c r="T65" s="10" t="inlineStr"/>
      <c r="U65" s="10" t="inlineStr"/>
      <c r="V65" s="10" t="inlineStr"/>
      <c r="W65" s="10" t="inlineStr"/>
      <c r="X65" s="10" t="inlineStr"/>
      <c r="Y65" s="10" t="inlineStr"/>
      <c r="Z65" s="10" t="inlineStr"/>
      <c r="AA65" s="10" t="inlineStr"/>
      <c r="AB65" s="10" t="inlineStr"/>
      <c r="AC65" s="10" t="inlineStr"/>
      <c r="AD65" s="10" t="inlineStr"/>
      <c r="AE65" s="10" t="inlineStr"/>
      <c r="AF65" s="10" t="inlineStr"/>
      <c r="AG65" s="10" t="inlineStr"/>
      <c r="AH65" s="10" t="inlineStr"/>
      <c r="AI65" s="11">
        <f>IFERROR(INDEX(Country_Context!$B$2:$B$64,MATCH($C65,Country_Context!$A$2:$A$64,0)),"")</f>
        <v/>
      </c>
      <c r="AJ65" s="11">
        <f>IFERROR(INDEX(Country_Context!$C$2:$C$64,MATCH($C65,Country_Context!$A$2:$A$64,0)),"")</f>
        <v/>
      </c>
      <c r="AK65" s="11">
        <f>IFERROR(INDEX(Country_Context!$D$2:$D$64,MATCH($C65,Country_Context!$A$2:$A$64,0)),"")</f>
        <v/>
      </c>
      <c r="AL65" s="11">
        <f>IFERROR(INDEX(Country_Context!$E$2:$E$64,MATCH($C65,Country_Context!$A$2:$A$64,0)),"")</f>
        <v/>
      </c>
      <c r="AM65" s="11">
        <f>IFERROR(INDEX(Country_Context!$F$2:$F$64,MATCH($C65,Country_Context!$A$2:$A$64,0)),"")</f>
        <v/>
      </c>
      <c r="AN65" s="11">
        <f>IFERROR(INDEX(Country_Context!$G$2:$G$64,MATCH($C65,Country_Context!$A$2:$A$64,0)),"")</f>
        <v/>
      </c>
      <c r="AO65" s="12" t="inlineStr">
        <is>
          <t>https://api.worldbank.org/v2/country/ARG/indicator/PA.NUS.PRVT.PP?format=json&amp;mrv=30 | https://api.worldbank.org/v2/country/ARG/indicator/GC.TAX.TOTL.GD.ZS?format=json&amp;mrv=30 | https://api.worldbank.org/v2/country/ARG/indicator/FD.AST.PRVT.GD.ZS?format=json&amp;mrv=30</t>
        </is>
      </c>
      <c r="AP65" s="12" t="inlineStr">
        <is>
          <t>Tier 3</t>
        </is>
      </c>
      <c r="AQ65" s="12" t="inlineStr">
        <is>
          <t>2024-12-31</t>
        </is>
      </c>
      <c r="AR65" s="12" t="inlineStr">
        <is>
          <t>providers=world_bank; fields=ppp_private_consumption, tax_rate_assumption, household_debt_proxy</t>
        </is>
      </c>
      <c r="AS65" s="12" t="inlineStr"/>
      <c r="AT65" s="12" t="inlineStr"/>
      <c r="AU65" s="12" t="inlineStr"/>
      <c r="AV65" s="12" t="inlineStr"/>
      <c r="AW65" s="12" t="inlineStr">
        <is>
          <t>https://api.worldbank.org/v2/country/ARG/indicator/SI.POV.GINI?format=json&amp;mrv=30</t>
        </is>
      </c>
      <c r="AX65" s="12" t="inlineStr">
        <is>
          <t>Tier 3</t>
        </is>
      </c>
      <c r="AY65" s="12" t="inlineStr">
        <is>
          <t>2024-12-31</t>
        </is>
      </c>
      <c r="AZ65" s="12" t="inlineStr">
        <is>
          <t>providers=world_bank; fields=gini_coefficient</t>
        </is>
      </c>
      <c r="BA65" s="12" t="inlineStr"/>
      <c r="BB65" s="12" t="inlineStr"/>
      <c r="BC65" s="12" t="inlineStr"/>
      <c r="BD65" s="12" t="inlineStr"/>
      <c r="BE65" s="12" t="inlineStr">
        <is>
          <t>https://api.worldbank.org/v2/country/ARG/indicator/NY.GDP.PCAP.PP.CD?format=json&amp;mrv=30 | https://api.worldbank.org/v2/country/ARG/indicator/NY.GDP.MKTP.KD.ZG?format=json&amp;mrv=30</t>
        </is>
      </c>
      <c r="BF65" s="12" t="inlineStr">
        <is>
          <t>Tier 3</t>
        </is>
      </c>
      <c r="BG65" s="12" t="inlineStr">
        <is>
          <t>2024-12-31</t>
        </is>
      </c>
      <c r="BH65" s="12" t="inlineStr">
        <is>
          <t>providers=world_bank; fields=gdp_per_capita_ppp, gdp_growth</t>
        </is>
      </c>
    </row>
    <row r="66">
      <c r="A66" s="9" t="inlineStr">
        <is>
          <t>cl-santiago</t>
        </is>
      </c>
      <c r="B66" s="9" t="inlineStr">
        <is>
          <t>Santiago</t>
        </is>
      </c>
      <c r="C66" s="9" t="inlineStr">
        <is>
          <t>Chile</t>
        </is>
      </c>
      <c r="D66" s="9" t="inlineStr">
        <is>
          <t>Latin America</t>
        </is>
      </c>
      <c r="E66" s="9" t="inlineStr">
        <is>
          <t>primary</t>
        </is>
      </c>
      <c r="F66" s="9" t="inlineStr">
        <is>
          <t>locked</t>
        </is>
      </c>
      <c r="G66" s="10" t="inlineStr"/>
      <c r="H66" s="10" t="inlineStr"/>
      <c r="I66" s="10" t="inlineStr"/>
      <c r="J66" s="10" t="inlineStr"/>
      <c r="K66" s="10" t="inlineStr"/>
      <c r="L66" s="10" t="inlineStr"/>
      <c r="M66" s="11">
        <f>IF(OR($G66="",$H66="",$I66="",$J66="",$K66="",$L66="",$AL66="",$AM66=""),"",((($G66*(1-$AM66))-$H66-$I66-$J66-$K66-$L66)/$AL66))</f>
        <v/>
      </c>
      <c r="N66" s="10" t="inlineStr"/>
      <c r="O66" s="10" t="inlineStr"/>
      <c r="P66" s="11">
        <f>IF($O66&lt;&gt;"",$O66,$AN66)</f>
        <v/>
      </c>
      <c r="Q66" s="10" t="inlineStr"/>
      <c r="R66" s="10" t="inlineStr"/>
      <c r="S66" s="10" t="inlineStr"/>
      <c r="T66" s="10" t="inlineStr"/>
      <c r="U66" s="10" t="inlineStr"/>
      <c r="V66" s="10" t="inlineStr"/>
      <c r="W66" s="10" t="inlineStr"/>
      <c r="X66" s="10" t="inlineStr"/>
      <c r="Y66" s="10" t="inlineStr"/>
      <c r="Z66" s="10" t="inlineStr"/>
      <c r="AA66" s="10" t="inlineStr"/>
      <c r="AB66" s="10" t="inlineStr"/>
      <c r="AC66" s="10" t="inlineStr"/>
      <c r="AD66" s="10" t="inlineStr"/>
      <c r="AE66" s="10" t="inlineStr"/>
      <c r="AF66" s="10" t="inlineStr"/>
      <c r="AG66" s="10" t="inlineStr"/>
      <c r="AH66" s="10" t="inlineStr"/>
      <c r="AI66" s="11">
        <f>IFERROR(INDEX(Country_Context!$B$2:$B$64,MATCH($C66,Country_Context!$A$2:$A$64,0)),"")</f>
        <v/>
      </c>
      <c r="AJ66" s="11">
        <f>IFERROR(INDEX(Country_Context!$C$2:$C$64,MATCH($C66,Country_Context!$A$2:$A$64,0)),"")</f>
        <v/>
      </c>
      <c r="AK66" s="11">
        <f>IFERROR(INDEX(Country_Context!$D$2:$D$64,MATCH($C66,Country_Context!$A$2:$A$64,0)),"")</f>
        <v/>
      </c>
      <c r="AL66" s="11">
        <f>IFERROR(INDEX(Country_Context!$E$2:$E$64,MATCH($C66,Country_Context!$A$2:$A$64,0)),"")</f>
        <v/>
      </c>
      <c r="AM66" s="11">
        <f>IFERROR(INDEX(Country_Context!$F$2:$F$64,MATCH($C66,Country_Context!$A$2:$A$64,0)),"")</f>
        <v/>
      </c>
      <c r="AN66" s="11">
        <f>IFERROR(INDEX(Country_Context!$G$2:$G$64,MATCH($C66,Country_Context!$A$2:$A$64,0)),"")</f>
        <v/>
      </c>
      <c r="AO66" s="12" t="inlineStr">
        <is>
          <t>https://api.worldbank.org/v2/country/CHL/indicator/PA.NUS.PRVT.PP?format=json&amp;mrv=30 | https://api.worldbank.org/v2/country/CHL/indicator/GC.TAX.TOTL.GD.ZS?format=json&amp;mrv=30 | https://api.worldbank.org/v2/country/CHL/indicator/FD.AST.PRVT.GD.ZS?format=json&amp;mrv=30</t>
        </is>
      </c>
      <c r="AP66" s="12" t="inlineStr">
        <is>
          <t>Tier 3</t>
        </is>
      </c>
      <c r="AQ66" s="12" t="inlineStr">
        <is>
          <t>2024-12-31</t>
        </is>
      </c>
      <c r="AR66" s="12" t="inlineStr">
        <is>
          <t>providers=world_bank; fields=ppp_private_consumption, tax_rate_assumption, household_debt_proxy</t>
        </is>
      </c>
      <c r="AS66" s="12" t="inlineStr"/>
      <c r="AT66" s="12" t="inlineStr"/>
      <c r="AU66" s="12" t="inlineStr"/>
      <c r="AV66" s="12" t="inlineStr"/>
      <c r="AW66" s="12" t="inlineStr">
        <is>
          <t>https://api.worldbank.org/v2/country/CHL/indicator/SI.POV.GINI?format=json&amp;mrv=30</t>
        </is>
      </c>
      <c r="AX66" s="12" t="inlineStr">
        <is>
          <t>Tier 3</t>
        </is>
      </c>
      <c r="AY66" s="12" t="inlineStr">
        <is>
          <t>2022-12-31</t>
        </is>
      </c>
      <c r="AZ66" s="12" t="inlineStr">
        <is>
          <t>providers=world_bank; fields=gini_coefficient</t>
        </is>
      </c>
      <c r="BA66" s="12" t="inlineStr"/>
      <c r="BB66" s="12" t="inlineStr"/>
      <c r="BC66" s="12" t="inlineStr"/>
      <c r="BD66" s="12" t="inlineStr"/>
      <c r="BE66" s="12" t="inlineStr">
        <is>
          <t>https://api.worldbank.org/v2/country/CHL/indicator/NY.GDP.PCAP.PP.CD?format=json&amp;mrv=30 | https://api.worldbank.org/v2/country/CHL/indicator/NY.GDP.MKTP.KD.ZG?format=json&amp;mrv=30</t>
        </is>
      </c>
      <c r="BF66" s="12" t="inlineStr">
        <is>
          <t>Tier 3</t>
        </is>
      </c>
      <c r="BG66" s="12" t="inlineStr">
        <is>
          <t>2024-12-31</t>
        </is>
      </c>
      <c r="BH66" s="12" t="inlineStr">
        <is>
          <t>providers=world_bank; fields=gdp_per_capita_ppp, gdp_growth</t>
        </is>
      </c>
    </row>
    <row r="67">
      <c r="A67" s="9" t="inlineStr">
        <is>
          <t>co-bogota</t>
        </is>
      </c>
      <c r="B67" s="9" t="inlineStr">
        <is>
          <t>Bogota</t>
        </is>
      </c>
      <c r="C67" s="9" t="inlineStr">
        <is>
          <t>Colombia</t>
        </is>
      </c>
      <c r="D67" s="9" t="inlineStr">
        <is>
          <t>Latin America</t>
        </is>
      </c>
      <c r="E67" s="9" t="inlineStr">
        <is>
          <t>primary</t>
        </is>
      </c>
      <c r="F67" s="9" t="inlineStr">
        <is>
          <t>locked</t>
        </is>
      </c>
      <c r="G67" s="10" t="inlineStr"/>
      <c r="H67" s="10" t="inlineStr"/>
      <c r="I67" s="10" t="inlineStr"/>
      <c r="J67" s="10" t="inlineStr"/>
      <c r="K67" s="10" t="inlineStr"/>
      <c r="L67" s="10" t="inlineStr"/>
      <c r="M67" s="11">
        <f>IF(OR($G67="",$H67="",$I67="",$J67="",$K67="",$L67="",$AL67="",$AM67=""),"",((($G67*(1-$AM67))-$H67-$I67-$J67-$K67-$L67)/$AL67))</f>
        <v/>
      </c>
      <c r="N67" s="10" t="inlineStr"/>
      <c r="O67" s="10" t="inlineStr"/>
      <c r="P67" s="11">
        <f>IF($O67&lt;&gt;"",$O67,$AN67)</f>
        <v/>
      </c>
      <c r="Q67" s="10" t="inlineStr"/>
      <c r="R67" s="10" t="inlineStr"/>
      <c r="S67" s="10" t="inlineStr"/>
      <c r="T67" s="10" t="inlineStr"/>
      <c r="U67" s="10" t="inlineStr"/>
      <c r="V67" s="10" t="inlineStr"/>
      <c r="W67" s="10" t="inlineStr"/>
      <c r="X67" s="10" t="inlineStr"/>
      <c r="Y67" s="10" t="inlineStr"/>
      <c r="Z67" s="10" t="inlineStr"/>
      <c r="AA67" s="10" t="inlineStr"/>
      <c r="AB67" s="10" t="inlineStr"/>
      <c r="AC67" s="10" t="inlineStr"/>
      <c r="AD67" s="10" t="inlineStr"/>
      <c r="AE67" s="10" t="inlineStr"/>
      <c r="AF67" s="10" t="inlineStr"/>
      <c r="AG67" s="10" t="inlineStr"/>
      <c r="AH67" s="10" t="inlineStr"/>
      <c r="AI67" s="11">
        <f>IFERROR(INDEX(Country_Context!$B$2:$B$64,MATCH($C67,Country_Context!$A$2:$A$64,0)),"")</f>
        <v/>
      </c>
      <c r="AJ67" s="11">
        <f>IFERROR(INDEX(Country_Context!$C$2:$C$64,MATCH($C67,Country_Context!$A$2:$A$64,0)),"")</f>
        <v/>
      </c>
      <c r="AK67" s="11">
        <f>IFERROR(INDEX(Country_Context!$D$2:$D$64,MATCH($C67,Country_Context!$A$2:$A$64,0)),"")</f>
        <v/>
      </c>
      <c r="AL67" s="11">
        <f>IFERROR(INDEX(Country_Context!$E$2:$E$64,MATCH($C67,Country_Context!$A$2:$A$64,0)),"")</f>
        <v/>
      </c>
      <c r="AM67" s="11">
        <f>IFERROR(INDEX(Country_Context!$F$2:$F$64,MATCH($C67,Country_Context!$A$2:$A$64,0)),"")</f>
        <v/>
      </c>
      <c r="AN67" s="11">
        <f>IFERROR(INDEX(Country_Context!$G$2:$G$64,MATCH($C67,Country_Context!$A$2:$A$64,0)),"")</f>
        <v/>
      </c>
      <c r="AO67" s="12" t="inlineStr">
        <is>
          <t>https://api.worldbank.org/v2/country/COL/indicator/PA.NUS.PRVT.PP?format=json&amp;mrv=30 | https://api.worldbank.org/v2/country/COL/indicator/GC.TAX.TOTL.GD.ZS?format=json&amp;mrv=30 | https://api.worldbank.org/v2/country/COL/indicator/FD.AST.PRVT.GD.ZS?format=json&amp;mrv=30</t>
        </is>
      </c>
      <c r="AP67" s="12" t="inlineStr">
        <is>
          <t>Tier 3</t>
        </is>
      </c>
      <c r="AQ67" s="12" t="inlineStr">
        <is>
          <t>2024-12-31</t>
        </is>
      </c>
      <c r="AR67" s="12" t="inlineStr">
        <is>
          <t>providers=world_bank; fields=ppp_private_consumption, tax_rate_assumption, household_debt_proxy</t>
        </is>
      </c>
      <c r="AS67" s="12" t="inlineStr"/>
      <c r="AT67" s="12" t="inlineStr"/>
      <c r="AU67" s="12" t="inlineStr"/>
      <c r="AV67" s="12" t="inlineStr"/>
      <c r="AW67" s="12" t="inlineStr">
        <is>
          <t>https://api.worldbank.org/v2/country/COL/indicator/SI.POV.GINI?format=json&amp;mrv=30</t>
        </is>
      </c>
      <c r="AX67" s="12" t="inlineStr">
        <is>
          <t>Tier 3</t>
        </is>
      </c>
      <c r="AY67" s="12" t="inlineStr">
        <is>
          <t>2023-12-31</t>
        </is>
      </c>
      <c r="AZ67" s="12" t="inlineStr">
        <is>
          <t>providers=world_bank; fields=gini_coefficient</t>
        </is>
      </c>
      <c r="BA67" s="12" t="inlineStr"/>
      <c r="BB67" s="12" t="inlineStr"/>
      <c r="BC67" s="12" t="inlineStr"/>
      <c r="BD67" s="12" t="inlineStr"/>
      <c r="BE67" s="12" t="inlineStr">
        <is>
          <t>https://api.worldbank.org/v2/country/COL/indicator/NY.GDP.PCAP.PP.CD?format=json&amp;mrv=30 | https://api.worldbank.org/v2/country/COL/indicator/NY.GDP.MKTP.KD.ZG?format=json&amp;mrv=30</t>
        </is>
      </c>
      <c r="BF67" s="12" t="inlineStr">
        <is>
          <t>Tier 3</t>
        </is>
      </c>
      <c r="BG67" s="12" t="inlineStr">
        <is>
          <t>2024-12-31</t>
        </is>
      </c>
      <c r="BH67" s="12" t="inlineStr">
        <is>
          <t>providers=world_bank; fields=gdp_per_capita_ppp, gdp_growth</t>
        </is>
      </c>
    </row>
    <row r="68">
      <c r="A68" s="9" t="inlineStr">
        <is>
          <t>pe-lima</t>
        </is>
      </c>
      <c r="B68" s="9" t="inlineStr">
        <is>
          <t>Lima</t>
        </is>
      </c>
      <c r="C68" s="9" t="inlineStr">
        <is>
          <t>Peru</t>
        </is>
      </c>
      <c r="D68" s="9" t="inlineStr">
        <is>
          <t>Latin America</t>
        </is>
      </c>
      <c r="E68" s="9" t="inlineStr">
        <is>
          <t>primary</t>
        </is>
      </c>
      <c r="F68" s="9" t="inlineStr">
        <is>
          <t>provisional</t>
        </is>
      </c>
      <c r="G68" s="10" t="inlineStr"/>
      <c r="H68" s="10" t="inlineStr"/>
      <c r="I68" s="10" t="inlineStr"/>
      <c r="J68" s="10" t="inlineStr"/>
      <c r="K68" s="10" t="inlineStr"/>
      <c r="L68" s="10" t="inlineStr"/>
      <c r="M68" s="11">
        <f>IF(OR($G68="",$H68="",$I68="",$J68="",$K68="",$L68="",$AL68="",$AM68=""),"",((($G68*(1-$AM68))-$H68-$I68-$J68-$K68-$L68)/$AL68))</f>
        <v/>
      </c>
      <c r="N68" s="10" t="inlineStr"/>
      <c r="O68" s="10" t="inlineStr"/>
      <c r="P68" s="11">
        <f>IF($O68&lt;&gt;"",$O68,$AN68)</f>
        <v/>
      </c>
      <c r="Q68" s="10" t="inlineStr"/>
      <c r="R68" s="10" t="inlineStr"/>
      <c r="S68" s="10" t="inlineStr"/>
      <c r="T68" s="10" t="inlineStr"/>
      <c r="U68" s="10" t="inlineStr"/>
      <c r="V68" s="10" t="inlineStr"/>
      <c r="W68" s="10" t="inlineStr"/>
      <c r="X68" s="10" t="inlineStr"/>
      <c r="Y68" s="10" t="inlineStr"/>
      <c r="Z68" s="10" t="inlineStr"/>
      <c r="AA68" s="10" t="inlineStr"/>
      <c r="AB68" s="10" t="inlineStr"/>
      <c r="AC68" s="10" t="inlineStr"/>
      <c r="AD68" s="10" t="inlineStr"/>
      <c r="AE68" s="10" t="inlineStr"/>
      <c r="AF68" s="10" t="inlineStr"/>
      <c r="AG68" s="10" t="inlineStr"/>
      <c r="AH68" s="10" t="inlineStr"/>
      <c r="AI68" s="11">
        <f>IFERROR(INDEX(Country_Context!$B$2:$B$64,MATCH($C68,Country_Context!$A$2:$A$64,0)),"")</f>
        <v/>
      </c>
      <c r="AJ68" s="11">
        <f>IFERROR(INDEX(Country_Context!$C$2:$C$64,MATCH($C68,Country_Context!$A$2:$A$64,0)),"")</f>
        <v/>
      </c>
      <c r="AK68" s="11">
        <f>IFERROR(INDEX(Country_Context!$D$2:$D$64,MATCH($C68,Country_Context!$A$2:$A$64,0)),"")</f>
        <v/>
      </c>
      <c r="AL68" s="11">
        <f>IFERROR(INDEX(Country_Context!$E$2:$E$64,MATCH($C68,Country_Context!$A$2:$A$64,0)),"")</f>
        <v/>
      </c>
      <c r="AM68" s="11">
        <f>IFERROR(INDEX(Country_Context!$F$2:$F$64,MATCH($C68,Country_Context!$A$2:$A$64,0)),"")</f>
        <v/>
      </c>
      <c r="AN68" s="11">
        <f>IFERROR(INDEX(Country_Context!$G$2:$G$64,MATCH($C68,Country_Context!$A$2:$A$64,0)),"")</f>
        <v/>
      </c>
      <c r="AO68" s="12" t="inlineStr">
        <is>
          <t>https://api.worldbank.org/v2/country/PER/indicator/PA.NUS.PRVT.PP?format=json&amp;mrv=30 | https://api.worldbank.org/v2/country/PER/indicator/GC.TAX.TOTL.GD.ZS?format=json&amp;mrv=30 | https://api.worldbank.org/v2/country/PER/indicator/FD.AST.PRVT.GD.ZS?format=json&amp;mrv=30</t>
        </is>
      </c>
      <c r="AP68" s="12" t="inlineStr">
        <is>
          <t>Tier 3</t>
        </is>
      </c>
      <c r="AQ68" s="12" t="inlineStr">
        <is>
          <t>2024-12-31</t>
        </is>
      </c>
      <c r="AR68" s="12" t="inlineStr">
        <is>
          <t>providers=world_bank; fields=ppp_private_consumption, tax_rate_assumption, household_debt_proxy</t>
        </is>
      </c>
      <c r="AS68" s="12" t="inlineStr"/>
      <c r="AT68" s="12" t="inlineStr"/>
      <c r="AU68" s="12" t="inlineStr"/>
      <c r="AV68" s="12" t="inlineStr"/>
      <c r="AW68" s="12" t="inlineStr">
        <is>
          <t>https://api.worldbank.org/v2/country/PER/indicator/SI.POV.GINI?format=json&amp;mrv=30</t>
        </is>
      </c>
      <c r="AX68" s="12" t="inlineStr">
        <is>
          <t>Tier 3</t>
        </is>
      </c>
      <c r="AY68" s="12" t="inlineStr">
        <is>
          <t>2024-12-31</t>
        </is>
      </c>
      <c r="AZ68" s="12" t="inlineStr">
        <is>
          <t>providers=world_bank; fields=gini_coefficient</t>
        </is>
      </c>
      <c r="BA68" s="12" t="inlineStr"/>
      <c r="BB68" s="12" t="inlineStr"/>
      <c r="BC68" s="12" t="inlineStr"/>
      <c r="BD68" s="12" t="inlineStr"/>
      <c r="BE68" s="12" t="inlineStr">
        <is>
          <t>https://api.worldbank.org/v2/country/PER/indicator/NY.GDP.PCAP.PP.CD?format=json&amp;mrv=30 | https://api.worldbank.org/v2/country/PER/indicator/NY.GDP.MKTP.KD.ZG?format=json&amp;mrv=30</t>
        </is>
      </c>
      <c r="BF68" s="12" t="inlineStr">
        <is>
          <t>Tier 3</t>
        </is>
      </c>
      <c r="BG68" s="12" t="inlineStr">
        <is>
          <t>2024-12-31</t>
        </is>
      </c>
      <c r="BH68" s="12" t="inlineStr">
        <is>
          <t>providers=world_bank; fields=gdp_per_capita_ppp, gdp_growth</t>
        </is>
      </c>
    </row>
    <row r="69">
      <c r="A69" s="9" t="inlineStr">
        <is>
          <t>br-curitiba</t>
        </is>
      </c>
      <c r="B69" s="9" t="inlineStr">
        <is>
          <t>Curitiba</t>
        </is>
      </c>
      <c r="C69" s="9" t="inlineStr">
        <is>
          <t>Brazil</t>
        </is>
      </c>
      <c r="D69" s="9" t="inlineStr">
        <is>
          <t>Latin America</t>
        </is>
      </c>
      <c r="E69" s="9" t="inlineStr">
        <is>
          <t>secondary</t>
        </is>
      </c>
      <c r="F69" s="9" t="inlineStr">
        <is>
          <t>locked</t>
        </is>
      </c>
      <c r="G69" s="10" t="inlineStr"/>
      <c r="H69" s="10" t="inlineStr"/>
      <c r="I69" s="10" t="inlineStr"/>
      <c r="J69" s="10" t="inlineStr"/>
      <c r="K69" s="10" t="inlineStr"/>
      <c r="L69" s="10" t="inlineStr"/>
      <c r="M69" s="11">
        <f>IF(OR($G69="",$H69="",$I69="",$J69="",$K69="",$L69="",$AL69="",$AM69=""),"",((($G69*(1-$AM69))-$H69-$I69-$J69-$K69-$L69)/$AL69))</f>
        <v/>
      </c>
      <c r="N69" s="10" t="inlineStr"/>
      <c r="O69" s="10" t="inlineStr"/>
      <c r="P69" s="11">
        <f>IF($O69&lt;&gt;"",$O69,$AN69)</f>
        <v/>
      </c>
      <c r="Q69" s="10" t="inlineStr"/>
      <c r="R69" s="10" t="inlineStr"/>
      <c r="S69" s="10" t="inlineStr"/>
      <c r="T69" s="10" t="inlineStr"/>
      <c r="U69" s="10" t="inlineStr"/>
      <c r="V69" s="10" t="inlineStr"/>
      <c r="W69" s="10" t="inlineStr"/>
      <c r="X69" s="10" t="inlineStr"/>
      <c r="Y69" s="10" t="inlineStr"/>
      <c r="Z69" s="10" t="inlineStr"/>
      <c r="AA69" s="10" t="inlineStr"/>
      <c r="AB69" s="10" t="inlineStr"/>
      <c r="AC69" s="10" t="inlineStr"/>
      <c r="AD69" s="10" t="inlineStr"/>
      <c r="AE69" s="10" t="inlineStr"/>
      <c r="AF69" s="10" t="inlineStr"/>
      <c r="AG69" s="10" t="inlineStr"/>
      <c r="AH69" s="10" t="inlineStr"/>
      <c r="AI69" s="11">
        <f>IFERROR(INDEX(Country_Context!$B$2:$B$64,MATCH($C69,Country_Context!$A$2:$A$64,0)),"")</f>
        <v/>
      </c>
      <c r="AJ69" s="11">
        <f>IFERROR(INDEX(Country_Context!$C$2:$C$64,MATCH($C69,Country_Context!$A$2:$A$64,0)),"")</f>
        <v/>
      </c>
      <c r="AK69" s="11">
        <f>IFERROR(INDEX(Country_Context!$D$2:$D$64,MATCH($C69,Country_Context!$A$2:$A$64,0)),"")</f>
        <v/>
      </c>
      <c r="AL69" s="11">
        <f>IFERROR(INDEX(Country_Context!$E$2:$E$64,MATCH($C69,Country_Context!$A$2:$A$64,0)),"")</f>
        <v/>
      </c>
      <c r="AM69" s="11">
        <f>IFERROR(INDEX(Country_Context!$F$2:$F$64,MATCH($C69,Country_Context!$A$2:$A$64,0)),"")</f>
        <v/>
      </c>
      <c r="AN69" s="11">
        <f>IFERROR(INDEX(Country_Context!$G$2:$G$64,MATCH($C69,Country_Context!$A$2:$A$64,0)),"")</f>
        <v/>
      </c>
      <c r="AO69" s="12" t="inlineStr">
        <is>
          <t>https://api.worldbank.org/v2/country/BRA/indicator/PA.NUS.PRVT.PP?format=json&amp;mrv=30 | https://api.worldbank.org/v2/country/BRA/indicator/GC.TAX.TOTL.GD.ZS?format=json&amp;mrv=30 | https://api.worldbank.org/v2/country/BRA/indicator/FD.AST.PRVT.GD.ZS?format=json&amp;mrv=30</t>
        </is>
      </c>
      <c r="AP69" s="12" t="inlineStr">
        <is>
          <t>Tier 3</t>
        </is>
      </c>
      <c r="AQ69" s="12" t="inlineStr">
        <is>
          <t>2024-12-31</t>
        </is>
      </c>
      <c r="AR69" s="12" t="inlineStr">
        <is>
          <t>providers=world_bank; fields=ppp_private_consumption, tax_rate_assumption, household_debt_proxy</t>
        </is>
      </c>
      <c r="AS69" s="12" t="inlineStr"/>
      <c r="AT69" s="12" t="inlineStr"/>
      <c r="AU69" s="12" t="inlineStr"/>
      <c r="AV69" s="12" t="inlineStr"/>
      <c r="AW69" s="12" t="inlineStr">
        <is>
          <t>https://api.worldbank.org/v2/country/BRA/indicator/SI.POV.GINI?format=json&amp;mrv=30</t>
        </is>
      </c>
      <c r="AX69" s="12" t="inlineStr">
        <is>
          <t>Tier 3</t>
        </is>
      </c>
      <c r="AY69" s="12" t="inlineStr">
        <is>
          <t>2023-12-31</t>
        </is>
      </c>
      <c r="AZ69" s="12" t="inlineStr">
        <is>
          <t>providers=world_bank; fields=gini_coefficient</t>
        </is>
      </c>
      <c r="BA69" s="12" t="inlineStr"/>
      <c r="BB69" s="12" t="inlineStr"/>
      <c r="BC69" s="12" t="inlineStr"/>
      <c r="BD69" s="12" t="inlineStr"/>
      <c r="BE69" s="12" t="inlineStr">
        <is>
          <t>https://api.worldbank.org/v2/country/BRA/indicator/NY.GDP.PCAP.PP.CD?format=json&amp;mrv=30 | https://api.worldbank.org/v2/country/BRA/indicator/NY.GDP.MKTP.KD.ZG?format=json&amp;mrv=30</t>
        </is>
      </c>
      <c r="BF69" s="12" t="inlineStr">
        <is>
          <t>Tier 3</t>
        </is>
      </c>
      <c r="BG69" s="12" t="inlineStr">
        <is>
          <t>2024-12-31</t>
        </is>
      </c>
      <c r="BH69" s="12" t="inlineStr">
        <is>
          <t>providers=world_bank; fields=gdp_per_capita_ppp, gdp_growth</t>
        </is>
      </c>
    </row>
    <row r="70">
      <c r="A70" s="9" t="inlineStr">
        <is>
          <t>co-medellin</t>
        </is>
      </c>
      <c r="B70" s="9" t="inlineStr">
        <is>
          <t>Medellin</t>
        </is>
      </c>
      <c r="C70" s="9" t="inlineStr">
        <is>
          <t>Colombia</t>
        </is>
      </c>
      <c r="D70" s="9" t="inlineStr">
        <is>
          <t>Latin America</t>
        </is>
      </c>
      <c r="E70" s="9" t="inlineStr">
        <is>
          <t>secondary</t>
        </is>
      </c>
      <c r="F70" s="9" t="inlineStr">
        <is>
          <t>locked</t>
        </is>
      </c>
      <c r="G70" s="10" t="inlineStr"/>
      <c r="H70" s="10" t="inlineStr"/>
      <c r="I70" s="10" t="inlineStr"/>
      <c r="J70" s="10" t="inlineStr"/>
      <c r="K70" s="10" t="inlineStr"/>
      <c r="L70" s="10" t="inlineStr"/>
      <c r="M70" s="11">
        <f>IF(OR($G70="",$H70="",$I70="",$J70="",$K70="",$L70="",$AL70="",$AM70=""),"",((($G70*(1-$AM70))-$H70-$I70-$J70-$K70-$L70)/$AL70))</f>
        <v/>
      </c>
      <c r="N70" s="10" t="inlineStr"/>
      <c r="O70" s="10" t="inlineStr"/>
      <c r="P70" s="11">
        <f>IF($O70&lt;&gt;"",$O70,$AN70)</f>
        <v/>
      </c>
      <c r="Q70" s="10" t="inlineStr"/>
      <c r="R70" s="10" t="inlineStr"/>
      <c r="S70" s="10" t="inlineStr"/>
      <c r="T70" s="10" t="inlineStr"/>
      <c r="U70" s="10" t="inlineStr"/>
      <c r="V70" s="10" t="inlineStr"/>
      <c r="W70" s="10" t="inlineStr"/>
      <c r="X70" s="10" t="inlineStr"/>
      <c r="Y70" s="10" t="inlineStr"/>
      <c r="Z70" s="10" t="inlineStr"/>
      <c r="AA70" s="10" t="inlineStr"/>
      <c r="AB70" s="10" t="inlineStr"/>
      <c r="AC70" s="10" t="inlineStr"/>
      <c r="AD70" s="10" t="inlineStr"/>
      <c r="AE70" s="10" t="inlineStr"/>
      <c r="AF70" s="10" t="inlineStr"/>
      <c r="AG70" s="10" t="inlineStr"/>
      <c r="AH70" s="10" t="inlineStr"/>
      <c r="AI70" s="11">
        <f>IFERROR(INDEX(Country_Context!$B$2:$B$64,MATCH($C70,Country_Context!$A$2:$A$64,0)),"")</f>
        <v/>
      </c>
      <c r="AJ70" s="11">
        <f>IFERROR(INDEX(Country_Context!$C$2:$C$64,MATCH($C70,Country_Context!$A$2:$A$64,0)),"")</f>
        <v/>
      </c>
      <c r="AK70" s="11">
        <f>IFERROR(INDEX(Country_Context!$D$2:$D$64,MATCH($C70,Country_Context!$A$2:$A$64,0)),"")</f>
        <v/>
      </c>
      <c r="AL70" s="11">
        <f>IFERROR(INDEX(Country_Context!$E$2:$E$64,MATCH($C70,Country_Context!$A$2:$A$64,0)),"")</f>
        <v/>
      </c>
      <c r="AM70" s="11">
        <f>IFERROR(INDEX(Country_Context!$F$2:$F$64,MATCH($C70,Country_Context!$A$2:$A$64,0)),"")</f>
        <v/>
      </c>
      <c r="AN70" s="11">
        <f>IFERROR(INDEX(Country_Context!$G$2:$G$64,MATCH($C70,Country_Context!$A$2:$A$64,0)),"")</f>
        <v/>
      </c>
      <c r="AO70" s="12" t="inlineStr">
        <is>
          <t>https://api.worldbank.org/v2/country/COL/indicator/PA.NUS.PRVT.PP?format=json&amp;mrv=30 | https://api.worldbank.org/v2/country/COL/indicator/GC.TAX.TOTL.GD.ZS?format=json&amp;mrv=30 | https://api.worldbank.org/v2/country/COL/indicator/FD.AST.PRVT.GD.ZS?format=json&amp;mrv=30</t>
        </is>
      </c>
      <c r="AP70" s="12" t="inlineStr">
        <is>
          <t>Tier 3</t>
        </is>
      </c>
      <c r="AQ70" s="12" t="inlineStr">
        <is>
          <t>2024-12-31</t>
        </is>
      </c>
      <c r="AR70" s="12" t="inlineStr">
        <is>
          <t>providers=world_bank; fields=ppp_private_consumption, tax_rate_assumption, household_debt_proxy</t>
        </is>
      </c>
      <c r="AS70" s="12" t="inlineStr"/>
      <c r="AT70" s="12" t="inlineStr"/>
      <c r="AU70" s="12" t="inlineStr"/>
      <c r="AV70" s="12" t="inlineStr"/>
      <c r="AW70" s="12" t="inlineStr">
        <is>
          <t>https://api.worldbank.org/v2/country/COL/indicator/SI.POV.GINI?format=json&amp;mrv=30</t>
        </is>
      </c>
      <c r="AX70" s="12" t="inlineStr">
        <is>
          <t>Tier 3</t>
        </is>
      </c>
      <c r="AY70" s="12" t="inlineStr">
        <is>
          <t>2023-12-31</t>
        </is>
      </c>
      <c r="AZ70" s="12" t="inlineStr">
        <is>
          <t>providers=world_bank; fields=gini_coefficient</t>
        </is>
      </c>
      <c r="BA70" s="12" t="inlineStr"/>
      <c r="BB70" s="12" t="inlineStr"/>
      <c r="BC70" s="12" t="inlineStr"/>
      <c r="BD70" s="12" t="inlineStr"/>
      <c r="BE70" s="12" t="inlineStr">
        <is>
          <t>https://api.worldbank.org/v2/country/COL/indicator/NY.GDP.PCAP.PP.CD?format=json&amp;mrv=30 | https://api.worldbank.org/v2/country/COL/indicator/NY.GDP.MKTP.KD.ZG?format=json&amp;mrv=30</t>
        </is>
      </c>
      <c r="BF70" s="12" t="inlineStr">
        <is>
          <t>Tier 3</t>
        </is>
      </c>
      <c r="BG70" s="12" t="inlineStr">
        <is>
          <t>2024-12-31</t>
        </is>
      </c>
      <c r="BH70" s="12" t="inlineStr">
        <is>
          <t>providers=world_bank; fields=gdp_per_capita_ppp, gdp_growth</t>
        </is>
      </c>
    </row>
    <row r="71">
      <c r="A71" s="9" t="inlineStr">
        <is>
          <t>uy-montevideo</t>
        </is>
      </c>
      <c r="B71" s="9" t="inlineStr">
        <is>
          <t>Montevideo</t>
        </is>
      </c>
      <c r="C71" s="9" t="inlineStr">
        <is>
          <t>Uruguay</t>
        </is>
      </c>
      <c r="D71" s="9" t="inlineStr">
        <is>
          <t>Latin America</t>
        </is>
      </c>
      <c r="E71" s="9" t="inlineStr">
        <is>
          <t>secondary</t>
        </is>
      </c>
      <c r="F71" s="9" t="inlineStr">
        <is>
          <t>locked</t>
        </is>
      </c>
      <c r="G71" s="10" t="inlineStr"/>
      <c r="H71" s="10" t="inlineStr"/>
      <c r="I71" s="10" t="inlineStr"/>
      <c r="J71" s="10" t="inlineStr"/>
      <c r="K71" s="10" t="inlineStr"/>
      <c r="L71" s="10" t="inlineStr"/>
      <c r="M71" s="11">
        <f>IF(OR($G71="",$H71="",$I71="",$J71="",$K71="",$L71="",$AL71="",$AM71=""),"",((($G71*(1-$AM71))-$H71-$I71-$J71-$K71-$L71)/$AL71))</f>
        <v/>
      </c>
      <c r="N71" s="10" t="inlineStr"/>
      <c r="O71" s="10" t="inlineStr"/>
      <c r="P71" s="11">
        <f>IF($O71&lt;&gt;"",$O71,$AN71)</f>
        <v/>
      </c>
      <c r="Q71" s="10" t="inlineStr"/>
      <c r="R71" s="10" t="inlineStr"/>
      <c r="S71" s="10" t="inlineStr"/>
      <c r="T71" s="10" t="inlineStr"/>
      <c r="U71" s="10" t="inlineStr"/>
      <c r="V71" s="10" t="inlineStr"/>
      <c r="W71" s="10" t="inlineStr"/>
      <c r="X71" s="10" t="inlineStr"/>
      <c r="Y71" s="10" t="inlineStr"/>
      <c r="Z71" s="10" t="inlineStr"/>
      <c r="AA71" s="10" t="inlineStr"/>
      <c r="AB71" s="10" t="inlineStr"/>
      <c r="AC71" s="10" t="inlineStr"/>
      <c r="AD71" s="10" t="inlineStr"/>
      <c r="AE71" s="10" t="inlineStr"/>
      <c r="AF71" s="10" t="inlineStr"/>
      <c r="AG71" s="10" t="inlineStr"/>
      <c r="AH71" s="10" t="inlineStr"/>
      <c r="AI71" s="11">
        <f>IFERROR(INDEX(Country_Context!$B$2:$B$64,MATCH($C71,Country_Context!$A$2:$A$64,0)),"")</f>
        <v/>
      </c>
      <c r="AJ71" s="11">
        <f>IFERROR(INDEX(Country_Context!$C$2:$C$64,MATCH($C71,Country_Context!$A$2:$A$64,0)),"")</f>
        <v/>
      </c>
      <c r="AK71" s="11">
        <f>IFERROR(INDEX(Country_Context!$D$2:$D$64,MATCH($C71,Country_Context!$A$2:$A$64,0)),"")</f>
        <v/>
      </c>
      <c r="AL71" s="11">
        <f>IFERROR(INDEX(Country_Context!$E$2:$E$64,MATCH($C71,Country_Context!$A$2:$A$64,0)),"")</f>
        <v/>
      </c>
      <c r="AM71" s="11">
        <f>IFERROR(INDEX(Country_Context!$F$2:$F$64,MATCH($C71,Country_Context!$A$2:$A$64,0)),"")</f>
        <v/>
      </c>
      <c r="AN71" s="11">
        <f>IFERROR(INDEX(Country_Context!$G$2:$G$64,MATCH($C71,Country_Context!$A$2:$A$64,0)),"")</f>
        <v/>
      </c>
      <c r="AO71" s="12" t="inlineStr">
        <is>
          <t>https://api.worldbank.org/v2/country/URY/indicator/PA.NUS.PRVT.PP?format=json&amp;mrv=30 | https://api.worldbank.org/v2/country/URY/indicator/GC.TAX.TOTL.GD.ZS?format=json&amp;mrv=30 | https://api.worldbank.org/v2/country/URY/indicator/FD.AST.PRVT.GD.ZS?format=json&amp;mrv=30</t>
        </is>
      </c>
      <c r="AP71" s="12" t="inlineStr">
        <is>
          <t>Tier 3</t>
        </is>
      </c>
      <c r="AQ71" s="12" t="inlineStr">
        <is>
          <t>2024-12-31</t>
        </is>
      </c>
      <c r="AR71" s="12" t="inlineStr">
        <is>
          <t>providers=world_bank; fields=ppp_private_consumption, tax_rate_assumption, household_debt_proxy</t>
        </is>
      </c>
      <c r="AS71" s="12" t="inlineStr"/>
      <c r="AT71" s="12" t="inlineStr"/>
      <c r="AU71" s="12" t="inlineStr"/>
      <c r="AV71" s="12" t="inlineStr"/>
      <c r="AW71" s="12" t="inlineStr">
        <is>
          <t>https://api.worldbank.org/v2/country/URY/indicator/SI.POV.GINI?format=json&amp;mrv=30</t>
        </is>
      </c>
      <c r="AX71" s="12" t="inlineStr">
        <is>
          <t>Tier 3</t>
        </is>
      </c>
      <c r="AY71" s="12" t="inlineStr">
        <is>
          <t>2024-12-31</t>
        </is>
      </c>
      <c r="AZ71" s="12" t="inlineStr">
        <is>
          <t>providers=world_bank; fields=gini_coefficient</t>
        </is>
      </c>
      <c r="BA71" s="12" t="inlineStr"/>
      <c r="BB71" s="12" t="inlineStr"/>
      <c r="BC71" s="12" t="inlineStr"/>
      <c r="BD71" s="12" t="inlineStr"/>
      <c r="BE71" s="12" t="inlineStr">
        <is>
          <t>https://api.worldbank.org/v2/country/URY/indicator/NY.GDP.PCAP.PP.CD?format=json&amp;mrv=30 | https://api.worldbank.org/v2/country/URY/indicator/NY.GDP.MKTP.KD.ZG?format=json&amp;mrv=30</t>
        </is>
      </c>
      <c r="BF71" s="12" t="inlineStr">
        <is>
          <t>Tier 3</t>
        </is>
      </c>
      <c r="BG71" s="12" t="inlineStr">
        <is>
          <t>2024-12-31</t>
        </is>
      </c>
      <c r="BH71" s="12" t="inlineStr">
        <is>
          <t>providers=world_bank; fields=gdp_per_capita_ppp, gdp_growth</t>
        </is>
      </c>
    </row>
    <row r="72">
      <c r="A72" s="9" t="inlineStr">
        <is>
          <t>ar-cordoba</t>
        </is>
      </c>
      <c r="B72" s="9" t="inlineStr">
        <is>
          <t>Cordoba</t>
        </is>
      </c>
      <c r="C72" s="9" t="inlineStr">
        <is>
          <t>Argentina</t>
        </is>
      </c>
      <c r="D72" s="9" t="inlineStr">
        <is>
          <t>Latin America</t>
        </is>
      </c>
      <c r="E72" s="9" t="inlineStr">
        <is>
          <t>secondary</t>
        </is>
      </c>
      <c r="F72" s="9" t="inlineStr">
        <is>
          <t>provisional</t>
        </is>
      </c>
      <c r="G72" s="10" t="inlineStr"/>
      <c r="H72" s="10" t="inlineStr"/>
      <c r="I72" s="10" t="inlineStr"/>
      <c r="J72" s="10" t="inlineStr"/>
      <c r="K72" s="10" t="inlineStr"/>
      <c r="L72" s="10" t="inlineStr"/>
      <c r="M72" s="11">
        <f>IF(OR($G72="",$H72="",$I72="",$J72="",$K72="",$L72="",$AL72="",$AM72=""),"",((($G72*(1-$AM72))-$H72-$I72-$J72-$K72-$L72)/$AL72))</f>
        <v/>
      </c>
      <c r="N72" s="10" t="inlineStr"/>
      <c r="O72" s="10" t="inlineStr"/>
      <c r="P72" s="11">
        <f>IF($O72&lt;&gt;"",$O72,$AN72)</f>
        <v/>
      </c>
      <c r="Q72" s="10" t="inlineStr"/>
      <c r="R72" s="10" t="inlineStr"/>
      <c r="S72" s="10" t="inlineStr"/>
      <c r="T72" s="10" t="inlineStr"/>
      <c r="U72" s="10" t="inlineStr"/>
      <c r="V72" s="10" t="inlineStr"/>
      <c r="W72" s="10" t="inlineStr"/>
      <c r="X72" s="10" t="inlineStr"/>
      <c r="Y72" s="10" t="inlineStr"/>
      <c r="Z72" s="10" t="inlineStr"/>
      <c r="AA72" s="10" t="inlineStr"/>
      <c r="AB72" s="10" t="inlineStr"/>
      <c r="AC72" s="10" t="inlineStr"/>
      <c r="AD72" s="10" t="inlineStr"/>
      <c r="AE72" s="10" t="inlineStr"/>
      <c r="AF72" s="10" t="inlineStr"/>
      <c r="AG72" s="10" t="inlineStr"/>
      <c r="AH72" s="10" t="inlineStr"/>
      <c r="AI72" s="11">
        <f>IFERROR(INDEX(Country_Context!$B$2:$B$64,MATCH($C72,Country_Context!$A$2:$A$64,0)),"")</f>
        <v/>
      </c>
      <c r="AJ72" s="11">
        <f>IFERROR(INDEX(Country_Context!$C$2:$C$64,MATCH($C72,Country_Context!$A$2:$A$64,0)),"")</f>
        <v/>
      </c>
      <c r="AK72" s="11">
        <f>IFERROR(INDEX(Country_Context!$D$2:$D$64,MATCH($C72,Country_Context!$A$2:$A$64,0)),"")</f>
        <v/>
      </c>
      <c r="AL72" s="11">
        <f>IFERROR(INDEX(Country_Context!$E$2:$E$64,MATCH($C72,Country_Context!$A$2:$A$64,0)),"")</f>
        <v/>
      </c>
      <c r="AM72" s="11">
        <f>IFERROR(INDEX(Country_Context!$F$2:$F$64,MATCH($C72,Country_Context!$A$2:$A$64,0)),"")</f>
        <v/>
      </c>
      <c r="AN72" s="11">
        <f>IFERROR(INDEX(Country_Context!$G$2:$G$64,MATCH($C72,Country_Context!$A$2:$A$64,0)),"")</f>
        <v/>
      </c>
      <c r="AO72" s="12" t="inlineStr">
        <is>
          <t>https://api.worldbank.org/v2/country/ARG/indicator/PA.NUS.PRVT.PP?format=json&amp;mrv=30 | https://api.worldbank.org/v2/country/ARG/indicator/GC.TAX.TOTL.GD.ZS?format=json&amp;mrv=30 | https://api.worldbank.org/v2/country/ARG/indicator/FD.AST.PRVT.GD.ZS?format=json&amp;mrv=30</t>
        </is>
      </c>
      <c r="AP72" s="12" t="inlineStr">
        <is>
          <t>Tier 3</t>
        </is>
      </c>
      <c r="AQ72" s="12" t="inlineStr">
        <is>
          <t>2024-12-31</t>
        </is>
      </c>
      <c r="AR72" s="12" t="inlineStr">
        <is>
          <t>providers=world_bank; fields=ppp_private_consumption, tax_rate_assumption, household_debt_proxy</t>
        </is>
      </c>
      <c r="AS72" s="12" t="inlineStr"/>
      <c r="AT72" s="12" t="inlineStr"/>
      <c r="AU72" s="12" t="inlineStr"/>
      <c r="AV72" s="12" t="inlineStr"/>
      <c r="AW72" s="12" t="inlineStr">
        <is>
          <t>https://api.worldbank.org/v2/country/ARG/indicator/SI.POV.GINI?format=json&amp;mrv=30</t>
        </is>
      </c>
      <c r="AX72" s="12" t="inlineStr">
        <is>
          <t>Tier 3</t>
        </is>
      </c>
      <c r="AY72" s="12" t="inlineStr">
        <is>
          <t>2024-12-31</t>
        </is>
      </c>
      <c r="AZ72" s="12" t="inlineStr">
        <is>
          <t>providers=world_bank; fields=gini_coefficient</t>
        </is>
      </c>
      <c r="BA72" s="12" t="inlineStr"/>
      <c r="BB72" s="12" t="inlineStr"/>
      <c r="BC72" s="12" t="inlineStr"/>
      <c r="BD72" s="12" t="inlineStr"/>
      <c r="BE72" s="12" t="inlineStr">
        <is>
          <t>https://api.worldbank.org/v2/country/ARG/indicator/NY.GDP.PCAP.PP.CD?format=json&amp;mrv=30 | https://api.worldbank.org/v2/country/ARG/indicator/NY.GDP.MKTP.KD.ZG?format=json&amp;mrv=30</t>
        </is>
      </c>
      <c r="BF72" s="12" t="inlineStr">
        <is>
          <t>Tier 3</t>
        </is>
      </c>
      <c r="BG72" s="12" t="inlineStr">
        <is>
          <t>2024-12-31</t>
        </is>
      </c>
      <c r="BH72" s="12" t="inlineStr">
        <is>
          <t>providers=world_bank; fields=gdp_per_capita_ppp, gdp_growth</t>
        </is>
      </c>
    </row>
    <row r="73">
      <c r="A73" s="9" t="inlineStr">
        <is>
          <t>cl-valparaiso</t>
        </is>
      </c>
      <c r="B73" s="9" t="inlineStr">
        <is>
          <t>Valparaiso</t>
        </is>
      </c>
      <c r="C73" s="9" t="inlineStr">
        <is>
          <t>Chile</t>
        </is>
      </c>
      <c r="D73" s="9" t="inlineStr">
        <is>
          <t>Latin America</t>
        </is>
      </c>
      <c r="E73" s="9" t="inlineStr">
        <is>
          <t>secondary</t>
        </is>
      </c>
      <c r="F73" s="9" t="inlineStr">
        <is>
          <t>provisional</t>
        </is>
      </c>
      <c r="G73" s="10" t="inlineStr"/>
      <c r="H73" s="10" t="inlineStr"/>
      <c r="I73" s="10" t="inlineStr"/>
      <c r="J73" s="10" t="inlineStr"/>
      <c r="K73" s="10" t="inlineStr"/>
      <c r="L73" s="10" t="inlineStr"/>
      <c r="M73" s="11">
        <f>IF(OR($G73="",$H73="",$I73="",$J73="",$K73="",$L73="",$AL73="",$AM73=""),"",((($G73*(1-$AM73))-$H73-$I73-$J73-$K73-$L73)/$AL73))</f>
        <v/>
      </c>
      <c r="N73" s="10" t="inlineStr"/>
      <c r="O73" s="10" t="inlineStr"/>
      <c r="P73" s="11">
        <f>IF($O73&lt;&gt;"",$O73,$AN73)</f>
        <v/>
      </c>
      <c r="Q73" s="10" t="inlineStr"/>
      <c r="R73" s="10" t="inlineStr"/>
      <c r="S73" s="10" t="inlineStr"/>
      <c r="T73" s="10" t="inlineStr"/>
      <c r="U73" s="10" t="inlineStr"/>
      <c r="V73" s="10" t="inlineStr"/>
      <c r="W73" s="10" t="inlineStr"/>
      <c r="X73" s="10" t="inlineStr"/>
      <c r="Y73" s="10" t="inlineStr"/>
      <c r="Z73" s="10" t="inlineStr"/>
      <c r="AA73" s="10" t="inlineStr"/>
      <c r="AB73" s="10" t="inlineStr"/>
      <c r="AC73" s="10" t="inlineStr"/>
      <c r="AD73" s="10" t="inlineStr"/>
      <c r="AE73" s="10" t="inlineStr"/>
      <c r="AF73" s="10" t="inlineStr"/>
      <c r="AG73" s="10" t="inlineStr"/>
      <c r="AH73" s="10" t="inlineStr"/>
      <c r="AI73" s="11">
        <f>IFERROR(INDEX(Country_Context!$B$2:$B$64,MATCH($C73,Country_Context!$A$2:$A$64,0)),"")</f>
        <v/>
      </c>
      <c r="AJ73" s="11">
        <f>IFERROR(INDEX(Country_Context!$C$2:$C$64,MATCH($C73,Country_Context!$A$2:$A$64,0)),"")</f>
        <v/>
      </c>
      <c r="AK73" s="11">
        <f>IFERROR(INDEX(Country_Context!$D$2:$D$64,MATCH($C73,Country_Context!$A$2:$A$64,0)),"")</f>
        <v/>
      </c>
      <c r="AL73" s="11">
        <f>IFERROR(INDEX(Country_Context!$E$2:$E$64,MATCH($C73,Country_Context!$A$2:$A$64,0)),"")</f>
        <v/>
      </c>
      <c r="AM73" s="11">
        <f>IFERROR(INDEX(Country_Context!$F$2:$F$64,MATCH($C73,Country_Context!$A$2:$A$64,0)),"")</f>
        <v/>
      </c>
      <c r="AN73" s="11">
        <f>IFERROR(INDEX(Country_Context!$G$2:$G$64,MATCH($C73,Country_Context!$A$2:$A$64,0)),"")</f>
        <v/>
      </c>
      <c r="AO73" s="12" t="inlineStr">
        <is>
          <t>https://api.worldbank.org/v2/country/CHL/indicator/PA.NUS.PRVT.PP?format=json&amp;mrv=30 | https://api.worldbank.org/v2/country/CHL/indicator/GC.TAX.TOTL.GD.ZS?format=json&amp;mrv=30 | https://api.worldbank.org/v2/country/CHL/indicator/FD.AST.PRVT.GD.ZS?format=json&amp;mrv=30</t>
        </is>
      </c>
      <c r="AP73" s="12" t="inlineStr">
        <is>
          <t>Tier 3</t>
        </is>
      </c>
      <c r="AQ73" s="12" t="inlineStr">
        <is>
          <t>2024-12-31</t>
        </is>
      </c>
      <c r="AR73" s="12" t="inlineStr">
        <is>
          <t>providers=world_bank; fields=ppp_private_consumption, tax_rate_assumption, household_debt_proxy</t>
        </is>
      </c>
      <c r="AS73" s="12" t="inlineStr"/>
      <c r="AT73" s="12" t="inlineStr"/>
      <c r="AU73" s="12" t="inlineStr"/>
      <c r="AV73" s="12" t="inlineStr"/>
      <c r="AW73" s="12" t="inlineStr">
        <is>
          <t>https://api.worldbank.org/v2/country/CHL/indicator/SI.POV.GINI?format=json&amp;mrv=30</t>
        </is>
      </c>
      <c r="AX73" s="12" t="inlineStr">
        <is>
          <t>Tier 3</t>
        </is>
      </c>
      <c r="AY73" s="12" t="inlineStr">
        <is>
          <t>2022-12-31</t>
        </is>
      </c>
      <c r="AZ73" s="12" t="inlineStr">
        <is>
          <t>providers=world_bank; fields=gini_coefficient</t>
        </is>
      </c>
      <c r="BA73" s="12" t="inlineStr"/>
      <c r="BB73" s="12" t="inlineStr"/>
      <c r="BC73" s="12" t="inlineStr"/>
      <c r="BD73" s="12" t="inlineStr"/>
      <c r="BE73" s="12" t="inlineStr">
        <is>
          <t>https://api.worldbank.org/v2/country/CHL/indicator/NY.GDP.PCAP.PP.CD?format=json&amp;mrv=30 | https://api.worldbank.org/v2/country/CHL/indicator/NY.GDP.MKTP.KD.ZG?format=json&amp;mrv=30</t>
        </is>
      </c>
      <c r="BF73" s="12" t="inlineStr">
        <is>
          <t>Tier 3</t>
        </is>
      </c>
      <c r="BG73" s="12" t="inlineStr">
        <is>
          <t>2024-12-31</t>
        </is>
      </c>
      <c r="BH73" s="12" t="inlineStr">
        <is>
          <t>providers=world_bank; fields=gdp_per_capita_ppp, gdp_growth</t>
        </is>
      </c>
    </row>
    <row r="74">
      <c r="A74" s="9" t="inlineStr">
        <is>
          <t>ae-dubai</t>
        </is>
      </c>
      <c r="B74" s="9" t="inlineStr">
        <is>
          <t>Dubai</t>
        </is>
      </c>
      <c r="C74" s="9" t="inlineStr">
        <is>
          <t>United Arab Emirates</t>
        </is>
      </c>
      <c r="D74" s="9" t="inlineStr">
        <is>
          <t>Middle East</t>
        </is>
      </c>
      <c r="E74" s="9" t="inlineStr">
        <is>
          <t>primary</t>
        </is>
      </c>
      <c r="F74" s="9" t="inlineStr">
        <is>
          <t>locked</t>
        </is>
      </c>
      <c r="G74" s="10" t="inlineStr"/>
      <c r="H74" s="10" t="inlineStr"/>
      <c r="I74" s="10" t="inlineStr"/>
      <c r="J74" s="10" t="inlineStr"/>
      <c r="K74" s="10" t="inlineStr"/>
      <c r="L74" s="10" t="inlineStr"/>
      <c r="M74" s="11">
        <f>IF(OR($G74="",$H74="",$I74="",$J74="",$K74="",$L74="",$AL74="",$AM74=""),"",((($G74*(1-$AM74))-$H74-$I74-$J74-$K74-$L74)/$AL74))</f>
        <v/>
      </c>
      <c r="N74" s="10" t="inlineStr"/>
      <c r="O74" s="10" t="inlineStr"/>
      <c r="P74" s="11">
        <f>IF($O74&lt;&gt;"",$O74,$AN74)</f>
        <v/>
      </c>
      <c r="Q74" s="10" t="inlineStr"/>
      <c r="R74" s="10" t="inlineStr"/>
      <c r="S74" s="10" t="inlineStr"/>
      <c r="T74" s="10" t="inlineStr"/>
      <c r="U74" s="10" t="inlineStr"/>
      <c r="V74" s="10" t="inlineStr"/>
      <c r="W74" s="10" t="inlineStr"/>
      <c r="X74" s="10" t="inlineStr"/>
      <c r="Y74" s="10" t="inlineStr"/>
      <c r="Z74" s="10" t="inlineStr"/>
      <c r="AA74" s="10" t="inlineStr"/>
      <c r="AB74" s="10" t="inlineStr"/>
      <c r="AC74" s="10" t="inlineStr"/>
      <c r="AD74" s="10" t="inlineStr"/>
      <c r="AE74" s="10" t="inlineStr"/>
      <c r="AF74" s="10" t="inlineStr"/>
      <c r="AG74" s="10" t="inlineStr"/>
      <c r="AH74" s="10" t="inlineStr"/>
      <c r="AI74" s="11">
        <f>IFERROR(INDEX(Country_Context!$B$2:$B$64,MATCH($C74,Country_Context!$A$2:$A$64,0)),"")</f>
        <v/>
      </c>
      <c r="AJ74" s="11">
        <f>IFERROR(INDEX(Country_Context!$C$2:$C$64,MATCH($C74,Country_Context!$A$2:$A$64,0)),"")</f>
        <v/>
      </c>
      <c r="AK74" s="11">
        <f>IFERROR(INDEX(Country_Context!$D$2:$D$64,MATCH($C74,Country_Context!$A$2:$A$64,0)),"")</f>
        <v/>
      </c>
      <c r="AL74" s="11">
        <f>IFERROR(INDEX(Country_Context!$E$2:$E$64,MATCH($C74,Country_Context!$A$2:$A$64,0)),"")</f>
        <v/>
      </c>
      <c r="AM74" s="11">
        <f>IFERROR(INDEX(Country_Context!$F$2:$F$64,MATCH($C74,Country_Context!$A$2:$A$64,0)),"")</f>
        <v/>
      </c>
      <c r="AN74" s="11">
        <f>IFERROR(INDEX(Country_Context!$G$2:$G$64,MATCH($C74,Country_Context!$A$2:$A$64,0)),"")</f>
        <v/>
      </c>
      <c r="AO74" s="12" t="inlineStr">
        <is>
          <t>https://api.worldbank.org/v2/country/ARE/indicator/PA.NUS.PRVT.PP?format=json&amp;mrv=30 | https://api.worldbank.org/v2/country/ARE/indicator/GC.TAX.TOTL.GD.ZS?format=json&amp;mrv=30 | https://api.worldbank.org/v2/country/ARE/indicator/FD.AST.PRVT.GD.ZS?format=json&amp;mrv=30</t>
        </is>
      </c>
      <c r="AP74" s="12" t="inlineStr">
        <is>
          <t>Tier 3</t>
        </is>
      </c>
      <c r="AQ74" s="12" t="inlineStr">
        <is>
          <t>2024-12-31</t>
        </is>
      </c>
      <c r="AR74" s="12" t="inlineStr">
        <is>
          <t>providers=world_bank; fields=ppp_private_consumption, tax_rate_assumption, household_debt_proxy</t>
        </is>
      </c>
      <c r="AS74" s="12" t="inlineStr"/>
      <c r="AT74" s="12" t="inlineStr"/>
      <c r="AU74" s="12" t="inlineStr"/>
      <c r="AV74" s="12" t="inlineStr"/>
      <c r="AW74" s="12" t="inlineStr">
        <is>
          <t>https://api.worldbank.org/v2/country/ARE/indicator/SI.POV.GINI?format=json&amp;mrv=30</t>
        </is>
      </c>
      <c r="AX74" s="12" t="inlineStr">
        <is>
          <t>Tier 3</t>
        </is>
      </c>
      <c r="AY74" s="12" t="inlineStr">
        <is>
          <t>2018-12-31</t>
        </is>
      </c>
      <c r="AZ74" s="12" t="inlineStr">
        <is>
          <t>providers=world_bank; fields=gini_coefficient</t>
        </is>
      </c>
      <c r="BA74" s="12" t="inlineStr"/>
      <c r="BB74" s="12" t="inlineStr"/>
      <c r="BC74" s="12" t="inlineStr"/>
      <c r="BD74" s="12" t="inlineStr"/>
      <c r="BE74" s="12" t="inlineStr">
        <is>
          <t>https://api.worldbank.org/v2/country/ARE/indicator/NY.GDP.PCAP.PP.CD?format=json&amp;mrv=30 | https://api.worldbank.org/v2/country/ARE/indicator/NY.GDP.MKTP.KD.ZG?format=json&amp;mrv=30</t>
        </is>
      </c>
      <c r="BF74" s="12" t="inlineStr">
        <is>
          <t>Tier 3</t>
        </is>
      </c>
      <c r="BG74" s="12" t="inlineStr">
        <is>
          <t>2024-12-31</t>
        </is>
      </c>
      <c r="BH74" s="12" t="inlineStr">
        <is>
          <t>providers=world_bank; fields=gdp_per_capita_ppp, gdp_growth</t>
        </is>
      </c>
    </row>
    <row r="75">
      <c r="A75" s="9" t="inlineStr">
        <is>
          <t>ae-abu-dhabi</t>
        </is>
      </c>
      <c r="B75" s="9" t="inlineStr">
        <is>
          <t>Abu Dhabi</t>
        </is>
      </c>
      <c r="C75" s="9" t="inlineStr">
        <is>
          <t>United Arab Emirates</t>
        </is>
      </c>
      <c r="D75" s="9" t="inlineStr">
        <is>
          <t>Middle East</t>
        </is>
      </c>
      <c r="E75" s="9" t="inlineStr">
        <is>
          <t>primary</t>
        </is>
      </c>
      <c r="F75" s="9" t="inlineStr">
        <is>
          <t>locked</t>
        </is>
      </c>
      <c r="G75" s="10" t="inlineStr"/>
      <c r="H75" s="10" t="inlineStr"/>
      <c r="I75" s="10" t="inlineStr"/>
      <c r="J75" s="10" t="inlineStr"/>
      <c r="K75" s="10" t="inlineStr"/>
      <c r="L75" s="10" t="inlineStr"/>
      <c r="M75" s="11">
        <f>IF(OR($G75="",$H75="",$I75="",$J75="",$K75="",$L75="",$AL75="",$AM75=""),"",((($G75*(1-$AM75))-$H75-$I75-$J75-$K75-$L75)/$AL75))</f>
        <v/>
      </c>
      <c r="N75" s="10" t="inlineStr"/>
      <c r="O75" s="10" t="inlineStr"/>
      <c r="P75" s="11">
        <f>IF($O75&lt;&gt;"",$O75,$AN75)</f>
        <v/>
      </c>
      <c r="Q75" s="10" t="inlineStr"/>
      <c r="R75" s="10" t="inlineStr"/>
      <c r="S75" s="10" t="inlineStr"/>
      <c r="T75" s="10" t="inlineStr"/>
      <c r="U75" s="10" t="inlineStr"/>
      <c r="V75" s="10" t="inlineStr"/>
      <c r="W75" s="10" t="inlineStr"/>
      <c r="X75" s="10" t="inlineStr"/>
      <c r="Y75" s="10" t="inlineStr"/>
      <c r="Z75" s="10" t="inlineStr"/>
      <c r="AA75" s="10" t="inlineStr"/>
      <c r="AB75" s="10" t="inlineStr"/>
      <c r="AC75" s="10" t="inlineStr"/>
      <c r="AD75" s="10" t="inlineStr"/>
      <c r="AE75" s="10" t="inlineStr"/>
      <c r="AF75" s="10" t="inlineStr"/>
      <c r="AG75" s="10" t="inlineStr"/>
      <c r="AH75" s="10" t="inlineStr"/>
      <c r="AI75" s="11">
        <f>IFERROR(INDEX(Country_Context!$B$2:$B$64,MATCH($C75,Country_Context!$A$2:$A$64,0)),"")</f>
        <v/>
      </c>
      <c r="AJ75" s="11">
        <f>IFERROR(INDEX(Country_Context!$C$2:$C$64,MATCH($C75,Country_Context!$A$2:$A$64,0)),"")</f>
        <v/>
      </c>
      <c r="AK75" s="11">
        <f>IFERROR(INDEX(Country_Context!$D$2:$D$64,MATCH($C75,Country_Context!$A$2:$A$64,0)),"")</f>
        <v/>
      </c>
      <c r="AL75" s="11">
        <f>IFERROR(INDEX(Country_Context!$E$2:$E$64,MATCH($C75,Country_Context!$A$2:$A$64,0)),"")</f>
        <v/>
      </c>
      <c r="AM75" s="11">
        <f>IFERROR(INDEX(Country_Context!$F$2:$F$64,MATCH($C75,Country_Context!$A$2:$A$64,0)),"")</f>
        <v/>
      </c>
      <c r="AN75" s="11">
        <f>IFERROR(INDEX(Country_Context!$G$2:$G$64,MATCH($C75,Country_Context!$A$2:$A$64,0)),"")</f>
        <v/>
      </c>
      <c r="AO75" s="12" t="inlineStr">
        <is>
          <t>https://api.worldbank.org/v2/country/ARE/indicator/PA.NUS.PRVT.PP?format=json&amp;mrv=30 | https://api.worldbank.org/v2/country/ARE/indicator/GC.TAX.TOTL.GD.ZS?format=json&amp;mrv=30 | https://api.worldbank.org/v2/country/ARE/indicator/FD.AST.PRVT.GD.ZS?format=json&amp;mrv=30</t>
        </is>
      </c>
      <c r="AP75" s="12" t="inlineStr">
        <is>
          <t>Tier 3</t>
        </is>
      </c>
      <c r="AQ75" s="12" t="inlineStr">
        <is>
          <t>2024-12-31</t>
        </is>
      </c>
      <c r="AR75" s="12" t="inlineStr">
        <is>
          <t>providers=world_bank; fields=ppp_private_consumption, tax_rate_assumption, household_debt_proxy</t>
        </is>
      </c>
      <c r="AS75" s="12" t="inlineStr"/>
      <c r="AT75" s="12" t="inlineStr"/>
      <c r="AU75" s="12" t="inlineStr"/>
      <c r="AV75" s="12" t="inlineStr"/>
      <c r="AW75" s="12" t="inlineStr">
        <is>
          <t>https://api.worldbank.org/v2/country/ARE/indicator/SI.POV.GINI?format=json&amp;mrv=30</t>
        </is>
      </c>
      <c r="AX75" s="12" t="inlineStr">
        <is>
          <t>Tier 3</t>
        </is>
      </c>
      <c r="AY75" s="12" t="inlineStr">
        <is>
          <t>2018-12-31</t>
        </is>
      </c>
      <c r="AZ75" s="12" t="inlineStr">
        <is>
          <t>providers=world_bank; fields=gini_coefficient</t>
        </is>
      </c>
      <c r="BA75" s="12" t="inlineStr"/>
      <c r="BB75" s="12" t="inlineStr"/>
      <c r="BC75" s="12" t="inlineStr"/>
      <c r="BD75" s="12" t="inlineStr"/>
      <c r="BE75" s="12" t="inlineStr">
        <is>
          <t>https://api.worldbank.org/v2/country/ARE/indicator/NY.GDP.PCAP.PP.CD?format=json&amp;mrv=30 | https://api.worldbank.org/v2/country/ARE/indicator/NY.GDP.MKTP.KD.ZG?format=json&amp;mrv=30</t>
        </is>
      </c>
      <c r="BF75" s="12" t="inlineStr">
        <is>
          <t>Tier 3</t>
        </is>
      </c>
      <c r="BG75" s="12" t="inlineStr">
        <is>
          <t>2024-12-31</t>
        </is>
      </c>
      <c r="BH75" s="12" t="inlineStr">
        <is>
          <t>providers=world_bank; fields=gdp_per_capita_ppp, gdp_growth</t>
        </is>
      </c>
    </row>
    <row r="76">
      <c r="A76" s="9" t="inlineStr">
        <is>
          <t>qa-doha</t>
        </is>
      </c>
      <c r="B76" s="9" t="inlineStr">
        <is>
          <t>Doha</t>
        </is>
      </c>
      <c r="C76" s="9" t="inlineStr">
        <is>
          <t>Qatar</t>
        </is>
      </c>
      <c r="D76" s="9" t="inlineStr">
        <is>
          <t>Middle East</t>
        </is>
      </c>
      <c r="E76" s="9" t="inlineStr">
        <is>
          <t>primary</t>
        </is>
      </c>
      <c r="F76" s="9" t="inlineStr">
        <is>
          <t>locked</t>
        </is>
      </c>
      <c r="G76" s="10" t="inlineStr"/>
      <c r="H76" s="10" t="inlineStr"/>
      <c r="I76" s="10" t="inlineStr"/>
      <c r="J76" s="10" t="inlineStr"/>
      <c r="K76" s="10" t="inlineStr"/>
      <c r="L76" s="10" t="inlineStr"/>
      <c r="M76" s="11">
        <f>IF(OR($G76="",$H76="",$I76="",$J76="",$K76="",$L76="",$AL76="",$AM76=""),"",((($G76*(1-$AM76))-$H76-$I76-$J76-$K76-$L76)/$AL76))</f>
        <v/>
      </c>
      <c r="N76" s="10" t="inlineStr"/>
      <c r="O76" s="10" t="inlineStr"/>
      <c r="P76" s="11">
        <f>IF($O76&lt;&gt;"",$O76,$AN76)</f>
        <v/>
      </c>
      <c r="Q76" s="10" t="inlineStr"/>
      <c r="R76" s="10" t="inlineStr"/>
      <c r="S76" s="10" t="inlineStr"/>
      <c r="T76" s="10" t="inlineStr"/>
      <c r="U76" s="10" t="inlineStr"/>
      <c r="V76" s="10" t="inlineStr"/>
      <c r="W76" s="10" t="inlineStr"/>
      <c r="X76" s="10" t="inlineStr"/>
      <c r="Y76" s="10" t="inlineStr"/>
      <c r="Z76" s="10" t="inlineStr"/>
      <c r="AA76" s="10" t="inlineStr"/>
      <c r="AB76" s="10" t="inlineStr"/>
      <c r="AC76" s="10" t="inlineStr"/>
      <c r="AD76" s="10" t="inlineStr"/>
      <c r="AE76" s="10" t="inlineStr"/>
      <c r="AF76" s="10" t="inlineStr"/>
      <c r="AG76" s="10" t="inlineStr"/>
      <c r="AH76" s="10" t="inlineStr"/>
      <c r="AI76" s="11">
        <f>IFERROR(INDEX(Country_Context!$B$2:$B$64,MATCH($C76,Country_Context!$A$2:$A$64,0)),"")</f>
        <v/>
      </c>
      <c r="AJ76" s="11">
        <f>IFERROR(INDEX(Country_Context!$C$2:$C$64,MATCH($C76,Country_Context!$A$2:$A$64,0)),"")</f>
        <v/>
      </c>
      <c r="AK76" s="11">
        <f>IFERROR(INDEX(Country_Context!$D$2:$D$64,MATCH($C76,Country_Context!$A$2:$A$64,0)),"")</f>
        <v/>
      </c>
      <c r="AL76" s="11">
        <f>IFERROR(INDEX(Country_Context!$E$2:$E$64,MATCH($C76,Country_Context!$A$2:$A$64,0)),"")</f>
        <v/>
      </c>
      <c r="AM76" s="11">
        <f>IFERROR(INDEX(Country_Context!$F$2:$F$64,MATCH($C76,Country_Context!$A$2:$A$64,0)),"")</f>
        <v/>
      </c>
      <c r="AN76" s="11">
        <f>IFERROR(INDEX(Country_Context!$G$2:$G$64,MATCH($C76,Country_Context!$A$2:$A$64,0)),"")</f>
        <v/>
      </c>
      <c r="AO76" s="12" t="inlineStr">
        <is>
          <t>https://api.worldbank.org/v2/country/QAT/indicator/PA.NUS.PRVT.PP?format=json&amp;mrv=30 | https://api.worldbank.org/v2/country/QAT/indicator/FD.AST.PRVT.GD.ZS?format=json&amp;mrv=30</t>
        </is>
      </c>
      <c r="AP76" s="12" t="inlineStr">
        <is>
          <t>Tier 3</t>
        </is>
      </c>
      <c r="AQ76" s="12" t="inlineStr">
        <is>
          <t>2024-12-31</t>
        </is>
      </c>
      <c r="AR76" s="12" t="inlineStr">
        <is>
          <t>providers=world_bank; fields=ppp_private_consumption, household_debt_proxy</t>
        </is>
      </c>
      <c r="AS76" s="12" t="inlineStr"/>
      <c r="AT76" s="12" t="inlineStr"/>
      <c r="AU76" s="12" t="inlineStr"/>
      <c r="AV76" s="12" t="inlineStr"/>
      <c r="AW76" s="12" t="inlineStr">
        <is>
          <t>https://api.worldbank.org/v2/country/QAT/indicator/SI.POV.GINI?format=json&amp;mrv=30</t>
        </is>
      </c>
      <c r="AX76" s="12" t="inlineStr">
        <is>
          <t>Tier 3</t>
        </is>
      </c>
      <c r="AY76" s="12" t="inlineStr">
        <is>
          <t>2017-12-31</t>
        </is>
      </c>
      <c r="AZ76" s="12" t="inlineStr">
        <is>
          <t>providers=world_bank; fields=gini_coefficient</t>
        </is>
      </c>
      <c r="BA76" s="12" t="inlineStr"/>
      <c r="BB76" s="12" t="inlineStr"/>
      <c r="BC76" s="12" t="inlineStr"/>
      <c r="BD76" s="12" t="inlineStr"/>
      <c r="BE76" s="12" t="inlineStr">
        <is>
          <t>https://api.worldbank.org/v2/country/QAT/indicator/NY.GDP.PCAP.PP.CD?format=json&amp;mrv=30 | https://api.worldbank.org/v2/country/QAT/indicator/NY.GDP.MKTP.KD.ZG?format=json&amp;mrv=30</t>
        </is>
      </c>
      <c r="BF76" s="12" t="inlineStr">
        <is>
          <t>Tier 3</t>
        </is>
      </c>
      <c r="BG76" s="12" t="inlineStr">
        <is>
          <t>2024-12-31</t>
        </is>
      </c>
      <c r="BH76" s="12" t="inlineStr">
        <is>
          <t>providers=world_bank; fields=gdp_per_capita_ppp, gdp_growth</t>
        </is>
      </c>
    </row>
    <row r="77">
      <c r="A77" s="9" t="inlineStr">
        <is>
          <t>sa-riyadh</t>
        </is>
      </c>
      <c r="B77" s="9" t="inlineStr">
        <is>
          <t>Riyadh</t>
        </is>
      </c>
      <c r="C77" s="9" t="inlineStr">
        <is>
          <t>Saudi Arabia</t>
        </is>
      </c>
      <c r="D77" s="9" t="inlineStr">
        <is>
          <t>Middle East</t>
        </is>
      </c>
      <c r="E77" s="9" t="inlineStr">
        <is>
          <t>primary</t>
        </is>
      </c>
      <c r="F77" s="9" t="inlineStr">
        <is>
          <t>provisional</t>
        </is>
      </c>
      <c r="G77" s="10" t="inlineStr"/>
      <c r="H77" s="10" t="inlineStr"/>
      <c r="I77" s="10" t="inlineStr"/>
      <c r="J77" s="10" t="inlineStr"/>
      <c r="K77" s="10" t="inlineStr"/>
      <c r="L77" s="10" t="inlineStr"/>
      <c r="M77" s="11">
        <f>IF(OR($G77="",$H77="",$I77="",$J77="",$K77="",$L77="",$AL77="",$AM77=""),"",((($G77*(1-$AM77))-$H77-$I77-$J77-$K77-$L77)/$AL77))</f>
        <v/>
      </c>
      <c r="N77" s="10" t="inlineStr"/>
      <c r="O77" s="10" t="inlineStr"/>
      <c r="P77" s="11">
        <f>IF($O77&lt;&gt;"",$O77,$AN77)</f>
        <v/>
      </c>
      <c r="Q77" s="10" t="inlineStr"/>
      <c r="R77" s="10" t="inlineStr"/>
      <c r="S77" s="10" t="inlineStr"/>
      <c r="T77" s="10" t="inlineStr"/>
      <c r="U77" s="10" t="inlineStr"/>
      <c r="V77" s="10" t="inlineStr"/>
      <c r="W77" s="10" t="inlineStr"/>
      <c r="X77" s="10" t="inlineStr"/>
      <c r="Y77" s="10" t="inlineStr"/>
      <c r="Z77" s="10" t="inlineStr"/>
      <c r="AA77" s="10" t="inlineStr"/>
      <c r="AB77" s="10" t="inlineStr"/>
      <c r="AC77" s="10" t="inlineStr"/>
      <c r="AD77" s="10" t="inlineStr"/>
      <c r="AE77" s="10" t="inlineStr"/>
      <c r="AF77" s="10" t="inlineStr"/>
      <c r="AG77" s="10" t="inlineStr"/>
      <c r="AH77" s="10" t="inlineStr"/>
      <c r="AI77" s="11">
        <f>IFERROR(INDEX(Country_Context!$B$2:$B$64,MATCH($C77,Country_Context!$A$2:$A$64,0)),"")</f>
        <v/>
      </c>
      <c r="AJ77" s="11">
        <f>IFERROR(INDEX(Country_Context!$C$2:$C$64,MATCH($C77,Country_Context!$A$2:$A$64,0)),"")</f>
        <v/>
      </c>
      <c r="AK77" s="11">
        <f>IFERROR(INDEX(Country_Context!$D$2:$D$64,MATCH($C77,Country_Context!$A$2:$A$64,0)),"")</f>
        <v/>
      </c>
      <c r="AL77" s="11">
        <f>IFERROR(INDEX(Country_Context!$E$2:$E$64,MATCH($C77,Country_Context!$A$2:$A$64,0)),"")</f>
        <v/>
      </c>
      <c r="AM77" s="11">
        <f>IFERROR(INDEX(Country_Context!$F$2:$F$64,MATCH($C77,Country_Context!$A$2:$A$64,0)),"")</f>
        <v/>
      </c>
      <c r="AN77" s="11">
        <f>IFERROR(INDEX(Country_Context!$G$2:$G$64,MATCH($C77,Country_Context!$A$2:$A$64,0)),"")</f>
        <v/>
      </c>
      <c r="AO77" s="12" t="inlineStr">
        <is>
          <t>https://api.worldbank.org/v2/country/SAU/indicator/PA.NUS.PRVT.PP?format=json&amp;mrv=30 | https://api.worldbank.org/v2/country/SAU/indicator/GC.TAX.TOTL.GD.ZS?format=json&amp;mrv=30 | https://api.worldbank.org/v2/country/SAU/indicator/FD.AST.PRVT.GD.ZS?format=json&amp;mrv=30</t>
        </is>
      </c>
      <c r="AP77" s="12" t="inlineStr">
        <is>
          <t>Tier 3</t>
        </is>
      </c>
      <c r="AQ77" s="12" t="inlineStr">
        <is>
          <t>2024-12-31</t>
        </is>
      </c>
      <c r="AR77" s="12" t="inlineStr">
        <is>
          <t>providers=world_bank; fields=ppp_private_consumption, tax_rate_assumption, household_debt_proxy</t>
        </is>
      </c>
      <c r="AS77" s="12" t="inlineStr"/>
      <c r="AT77" s="12" t="inlineStr"/>
      <c r="AU77" s="12" t="inlineStr"/>
      <c r="AV77" s="12" t="inlineStr"/>
      <c r="AW77" s="12" t="inlineStr"/>
      <c r="AX77" s="12" t="inlineStr"/>
      <c r="AY77" s="12" t="inlineStr"/>
      <c r="AZ77" s="12" t="inlineStr"/>
      <c r="BA77" s="12" t="inlineStr"/>
      <c r="BB77" s="12" t="inlineStr"/>
      <c r="BC77" s="12" t="inlineStr"/>
      <c r="BD77" s="12" t="inlineStr"/>
      <c r="BE77" s="12" t="inlineStr">
        <is>
          <t>https://api.worldbank.org/v2/country/SAU/indicator/NY.GDP.PCAP.PP.CD?format=json&amp;mrv=30 | https://api.worldbank.org/v2/country/SAU/indicator/NY.GDP.MKTP.KD.ZG?format=json&amp;mrv=30</t>
        </is>
      </c>
      <c r="BF77" s="12" t="inlineStr">
        <is>
          <t>Tier 3</t>
        </is>
      </c>
      <c r="BG77" s="12" t="inlineStr">
        <is>
          <t>2024-12-31</t>
        </is>
      </c>
      <c r="BH77" s="12" t="inlineStr">
        <is>
          <t>providers=world_bank; fields=gdp_per_capita_ppp, gdp_growth</t>
        </is>
      </c>
    </row>
    <row r="78">
      <c r="A78" s="9" t="inlineStr">
        <is>
          <t>il-tel-aviv</t>
        </is>
      </c>
      <c r="B78" s="9" t="inlineStr">
        <is>
          <t>Tel Aviv</t>
        </is>
      </c>
      <c r="C78" s="9" t="inlineStr">
        <is>
          <t>Israel</t>
        </is>
      </c>
      <c r="D78" s="9" t="inlineStr">
        <is>
          <t>Middle East</t>
        </is>
      </c>
      <c r="E78" s="9" t="inlineStr">
        <is>
          <t>primary</t>
        </is>
      </c>
      <c r="F78" s="9" t="inlineStr">
        <is>
          <t>provisional</t>
        </is>
      </c>
      <c r="G78" s="10" t="inlineStr"/>
      <c r="H78" s="10" t="inlineStr"/>
      <c r="I78" s="10" t="inlineStr"/>
      <c r="J78" s="10" t="inlineStr"/>
      <c r="K78" s="10" t="inlineStr"/>
      <c r="L78" s="10" t="inlineStr"/>
      <c r="M78" s="11">
        <f>IF(OR($G78="",$H78="",$I78="",$J78="",$K78="",$L78="",$AL78="",$AM78=""),"",((($G78*(1-$AM78))-$H78-$I78-$J78-$K78-$L78)/$AL78))</f>
        <v/>
      </c>
      <c r="N78" s="10" t="inlineStr"/>
      <c r="O78" s="10" t="inlineStr"/>
      <c r="P78" s="11">
        <f>IF($O78&lt;&gt;"",$O78,$AN78)</f>
        <v/>
      </c>
      <c r="Q78" s="10" t="inlineStr"/>
      <c r="R78" s="10" t="inlineStr"/>
      <c r="S78" s="10" t="inlineStr"/>
      <c r="T78" s="10" t="inlineStr"/>
      <c r="U78" s="10" t="inlineStr"/>
      <c r="V78" s="10" t="inlineStr"/>
      <c r="W78" s="10" t="inlineStr"/>
      <c r="X78" s="10" t="inlineStr"/>
      <c r="Y78" s="10" t="inlineStr"/>
      <c r="Z78" s="10" t="inlineStr"/>
      <c r="AA78" s="10" t="inlineStr"/>
      <c r="AB78" s="10" t="inlineStr"/>
      <c r="AC78" s="10" t="inlineStr"/>
      <c r="AD78" s="10" t="inlineStr"/>
      <c r="AE78" s="10" t="inlineStr"/>
      <c r="AF78" s="10" t="inlineStr"/>
      <c r="AG78" s="10" t="inlineStr"/>
      <c r="AH78" s="10" t="inlineStr"/>
      <c r="AI78" s="11">
        <f>IFERROR(INDEX(Country_Context!$B$2:$B$64,MATCH($C78,Country_Context!$A$2:$A$64,0)),"")</f>
        <v/>
      </c>
      <c r="AJ78" s="11">
        <f>IFERROR(INDEX(Country_Context!$C$2:$C$64,MATCH($C78,Country_Context!$A$2:$A$64,0)),"")</f>
        <v/>
      </c>
      <c r="AK78" s="11">
        <f>IFERROR(INDEX(Country_Context!$D$2:$D$64,MATCH($C78,Country_Context!$A$2:$A$64,0)),"")</f>
        <v/>
      </c>
      <c r="AL78" s="11">
        <f>IFERROR(INDEX(Country_Context!$E$2:$E$64,MATCH($C78,Country_Context!$A$2:$A$64,0)),"")</f>
        <v/>
      </c>
      <c r="AM78" s="11">
        <f>IFERROR(INDEX(Country_Context!$F$2:$F$64,MATCH($C78,Country_Context!$A$2:$A$64,0)),"")</f>
        <v/>
      </c>
      <c r="AN78" s="11">
        <f>IFERROR(INDEX(Country_Context!$G$2:$G$64,MATCH($C78,Country_Context!$A$2:$A$64,0)),"")</f>
        <v/>
      </c>
      <c r="AO78" s="12" t="inlineStr">
        <is>
          <t>https://api.worldbank.org/v2/country/ISR/indicator/PA.NUS.PRVT.PP?format=json&amp;mrv=30 | https://api.worldbank.org/v2/country/ISR/indicator/GC.TAX.TOTL.GD.ZS?format=json&amp;mrv=30 | https://api.worldbank.org/v2/country/ISR/indicator/FD.AST.PRVT.GD.ZS?format=json&amp;mrv=30</t>
        </is>
      </c>
      <c r="AP78" s="12" t="inlineStr">
        <is>
          <t>Tier 3</t>
        </is>
      </c>
      <c r="AQ78" s="12" t="inlineStr">
        <is>
          <t>2024-12-31</t>
        </is>
      </c>
      <c r="AR78" s="12" t="inlineStr">
        <is>
          <t>providers=world_bank; fields=ppp_private_consumption, tax_rate_assumption, household_debt_proxy</t>
        </is>
      </c>
      <c r="AS78" s="12" t="inlineStr"/>
      <c r="AT78" s="12" t="inlineStr"/>
      <c r="AU78" s="12" t="inlineStr"/>
      <c r="AV78" s="12" t="inlineStr"/>
      <c r="AW78" s="12" t="inlineStr">
        <is>
          <t>https://api.worldbank.org/v2/country/ISR/indicator/SI.POV.GINI?format=json&amp;mrv=30</t>
        </is>
      </c>
      <c r="AX78" s="12" t="inlineStr">
        <is>
          <t>Tier 3</t>
        </is>
      </c>
      <c r="AY78" s="12" t="inlineStr">
        <is>
          <t>2021-12-31</t>
        </is>
      </c>
      <c r="AZ78" s="12" t="inlineStr">
        <is>
          <t>providers=world_bank; fields=gini_coefficient</t>
        </is>
      </c>
      <c r="BA78" s="12" t="inlineStr"/>
      <c r="BB78" s="12" t="inlineStr"/>
      <c r="BC78" s="12" t="inlineStr"/>
      <c r="BD78" s="12" t="inlineStr"/>
      <c r="BE78" s="12" t="inlineStr">
        <is>
          <t>https://api.worldbank.org/v2/country/ISR/indicator/NY.GDP.PCAP.PP.CD?format=json&amp;mrv=30 | https://api.worldbank.org/v2/country/ISR/indicator/NY.GDP.MKTP.KD.ZG?format=json&amp;mrv=30</t>
        </is>
      </c>
      <c r="BF78" s="12" t="inlineStr">
        <is>
          <t>Tier 3</t>
        </is>
      </c>
      <c r="BG78" s="12" t="inlineStr">
        <is>
          <t>2024-12-31</t>
        </is>
      </c>
      <c r="BH78" s="12" t="inlineStr">
        <is>
          <t>providers=world_bank; fields=gdp_per_capita_ppp, gdp_growth</t>
        </is>
      </c>
    </row>
    <row r="79">
      <c r="A79" s="9" t="inlineStr">
        <is>
          <t>om-muscat</t>
        </is>
      </c>
      <c r="B79" s="9" t="inlineStr">
        <is>
          <t>Muscat</t>
        </is>
      </c>
      <c r="C79" s="9" t="inlineStr">
        <is>
          <t>Oman</t>
        </is>
      </c>
      <c r="D79" s="9" t="inlineStr">
        <is>
          <t>Middle East</t>
        </is>
      </c>
      <c r="E79" s="9" t="inlineStr">
        <is>
          <t>secondary</t>
        </is>
      </c>
      <c r="F79" s="9" t="inlineStr">
        <is>
          <t>locked</t>
        </is>
      </c>
      <c r="G79" s="10" t="inlineStr"/>
      <c r="H79" s="10" t="inlineStr"/>
      <c r="I79" s="10" t="inlineStr"/>
      <c r="J79" s="10" t="inlineStr"/>
      <c r="K79" s="10" t="inlineStr"/>
      <c r="L79" s="10" t="inlineStr"/>
      <c r="M79" s="11">
        <f>IF(OR($G79="",$H79="",$I79="",$J79="",$K79="",$L79="",$AL79="",$AM79=""),"",((($G79*(1-$AM79))-$H79-$I79-$J79-$K79-$L79)/$AL79))</f>
        <v/>
      </c>
      <c r="N79" s="10" t="inlineStr"/>
      <c r="O79" s="10" t="inlineStr"/>
      <c r="P79" s="11">
        <f>IF($O79&lt;&gt;"",$O79,$AN79)</f>
        <v/>
      </c>
      <c r="Q79" s="10" t="inlineStr"/>
      <c r="R79" s="10" t="inlineStr"/>
      <c r="S79" s="10" t="inlineStr"/>
      <c r="T79" s="10" t="inlineStr"/>
      <c r="U79" s="10" t="inlineStr"/>
      <c r="V79" s="10" t="inlineStr"/>
      <c r="W79" s="10" t="inlineStr"/>
      <c r="X79" s="10" t="inlineStr"/>
      <c r="Y79" s="10" t="inlineStr"/>
      <c r="Z79" s="10" t="inlineStr"/>
      <c r="AA79" s="10" t="inlineStr"/>
      <c r="AB79" s="10" t="inlineStr"/>
      <c r="AC79" s="10" t="inlineStr"/>
      <c r="AD79" s="10" t="inlineStr"/>
      <c r="AE79" s="10" t="inlineStr"/>
      <c r="AF79" s="10" t="inlineStr"/>
      <c r="AG79" s="10" t="inlineStr"/>
      <c r="AH79" s="10" t="inlineStr"/>
      <c r="AI79" s="11">
        <f>IFERROR(INDEX(Country_Context!$B$2:$B$64,MATCH($C79,Country_Context!$A$2:$A$64,0)),"")</f>
        <v/>
      </c>
      <c r="AJ79" s="11">
        <f>IFERROR(INDEX(Country_Context!$C$2:$C$64,MATCH($C79,Country_Context!$A$2:$A$64,0)),"")</f>
        <v/>
      </c>
      <c r="AK79" s="11">
        <f>IFERROR(INDEX(Country_Context!$D$2:$D$64,MATCH($C79,Country_Context!$A$2:$A$64,0)),"")</f>
        <v/>
      </c>
      <c r="AL79" s="11">
        <f>IFERROR(INDEX(Country_Context!$E$2:$E$64,MATCH($C79,Country_Context!$A$2:$A$64,0)),"")</f>
        <v/>
      </c>
      <c r="AM79" s="11">
        <f>IFERROR(INDEX(Country_Context!$F$2:$F$64,MATCH($C79,Country_Context!$A$2:$A$64,0)),"")</f>
        <v/>
      </c>
      <c r="AN79" s="11">
        <f>IFERROR(INDEX(Country_Context!$G$2:$G$64,MATCH($C79,Country_Context!$A$2:$A$64,0)),"")</f>
        <v/>
      </c>
      <c r="AO79" s="12" t="inlineStr">
        <is>
          <t>https://api.worldbank.org/v2/country/OMN/indicator/PA.NUS.PRVT.PP?format=json&amp;mrv=30 | https://api.worldbank.org/v2/country/OMN/indicator/FD.AST.PRVT.GD.ZS?format=json&amp;mrv=30</t>
        </is>
      </c>
      <c r="AP79" s="12" t="inlineStr">
        <is>
          <t>Tier 3</t>
        </is>
      </c>
      <c r="AQ79" s="12" t="inlineStr">
        <is>
          <t>2024-12-31</t>
        </is>
      </c>
      <c r="AR79" s="12" t="inlineStr">
        <is>
          <t>providers=world_bank; fields=ppp_private_consumption, household_debt_proxy</t>
        </is>
      </c>
      <c r="AS79" s="12" t="inlineStr"/>
      <c r="AT79" s="12" t="inlineStr"/>
      <c r="AU79" s="12" t="inlineStr"/>
      <c r="AV79" s="12" t="inlineStr"/>
      <c r="AW79" s="12" t="inlineStr"/>
      <c r="AX79" s="12" t="inlineStr"/>
      <c r="AY79" s="12" t="inlineStr"/>
      <c r="AZ79" s="12" t="inlineStr"/>
      <c r="BA79" s="12" t="inlineStr"/>
      <c r="BB79" s="12" t="inlineStr"/>
      <c r="BC79" s="12" t="inlineStr"/>
      <c r="BD79" s="12" t="inlineStr"/>
      <c r="BE79" s="12" t="inlineStr">
        <is>
          <t>https://api.worldbank.org/v2/country/OMN/indicator/NY.GDP.PCAP.PP.CD?format=json&amp;mrv=30 | https://api.worldbank.org/v2/country/OMN/indicator/NY.GDP.MKTP.KD.ZG?format=json&amp;mrv=30</t>
        </is>
      </c>
      <c r="BF79" s="12" t="inlineStr">
        <is>
          <t>Tier 3</t>
        </is>
      </c>
      <c r="BG79" s="12" t="inlineStr">
        <is>
          <t>2024-12-31</t>
        </is>
      </c>
      <c r="BH79" s="12" t="inlineStr">
        <is>
          <t>providers=world_bank; fields=gdp_per_capita_ppp, gdp_growth</t>
        </is>
      </c>
    </row>
    <row r="80">
      <c r="A80" s="9" t="inlineStr">
        <is>
          <t>bh-manama</t>
        </is>
      </c>
      <c r="B80" s="9" t="inlineStr">
        <is>
          <t>Manama</t>
        </is>
      </c>
      <c r="C80" s="9" t="inlineStr">
        <is>
          <t>Bahrain</t>
        </is>
      </c>
      <c r="D80" s="9" t="inlineStr">
        <is>
          <t>Middle East</t>
        </is>
      </c>
      <c r="E80" s="9" t="inlineStr">
        <is>
          <t>secondary</t>
        </is>
      </c>
      <c r="F80" s="9" t="inlineStr">
        <is>
          <t>locked</t>
        </is>
      </c>
      <c r="G80" s="10" t="inlineStr"/>
      <c r="H80" s="10" t="inlineStr"/>
      <c r="I80" s="10" t="inlineStr"/>
      <c r="J80" s="10" t="inlineStr"/>
      <c r="K80" s="10" t="inlineStr"/>
      <c r="L80" s="10" t="inlineStr"/>
      <c r="M80" s="11">
        <f>IF(OR($G80="",$H80="",$I80="",$J80="",$K80="",$L80="",$AL80="",$AM80=""),"",((($G80*(1-$AM80))-$H80-$I80-$J80-$K80-$L80)/$AL80))</f>
        <v/>
      </c>
      <c r="N80" s="10" t="inlineStr"/>
      <c r="O80" s="10" t="inlineStr"/>
      <c r="P80" s="11">
        <f>IF($O80&lt;&gt;"",$O80,$AN80)</f>
        <v/>
      </c>
      <c r="Q80" s="10" t="inlineStr"/>
      <c r="R80" s="10" t="inlineStr"/>
      <c r="S80" s="10" t="inlineStr"/>
      <c r="T80" s="10" t="inlineStr"/>
      <c r="U80" s="10" t="inlineStr"/>
      <c r="V80" s="10" t="inlineStr"/>
      <c r="W80" s="10" t="inlineStr"/>
      <c r="X80" s="10" t="inlineStr"/>
      <c r="Y80" s="10" t="inlineStr"/>
      <c r="Z80" s="10" t="inlineStr"/>
      <c r="AA80" s="10" t="inlineStr"/>
      <c r="AB80" s="10" t="inlineStr"/>
      <c r="AC80" s="10" t="inlineStr"/>
      <c r="AD80" s="10" t="inlineStr"/>
      <c r="AE80" s="10" t="inlineStr"/>
      <c r="AF80" s="10" t="inlineStr"/>
      <c r="AG80" s="10" t="inlineStr"/>
      <c r="AH80" s="10" t="inlineStr"/>
      <c r="AI80" s="11">
        <f>IFERROR(INDEX(Country_Context!$B$2:$B$64,MATCH($C80,Country_Context!$A$2:$A$64,0)),"")</f>
        <v/>
      </c>
      <c r="AJ80" s="11">
        <f>IFERROR(INDEX(Country_Context!$C$2:$C$64,MATCH($C80,Country_Context!$A$2:$A$64,0)),"")</f>
        <v/>
      </c>
      <c r="AK80" s="11">
        <f>IFERROR(INDEX(Country_Context!$D$2:$D$64,MATCH($C80,Country_Context!$A$2:$A$64,0)),"")</f>
        <v/>
      </c>
      <c r="AL80" s="11">
        <f>IFERROR(INDEX(Country_Context!$E$2:$E$64,MATCH($C80,Country_Context!$A$2:$A$64,0)),"")</f>
        <v/>
      </c>
      <c r="AM80" s="11">
        <f>IFERROR(INDEX(Country_Context!$F$2:$F$64,MATCH($C80,Country_Context!$A$2:$A$64,0)),"")</f>
        <v/>
      </c>
      <c r="AN80" s="11">
        <f>IFERROR(INDEX(Country_Context!$G$2:$G$64,MATCH($C80,Country_Context!$A$2:$A$64,0)),"")</f>
        <v/>
      </c>
      <c r="AO80" s="12" t="inlineStr">
        <is>
          <t>https://api.worldbank.org/v2/country/BHR/indicator/PA.NUS.PRVT.PP?format=json&amp;mrv=30 | https://api.worldbank.org/v2/country/BHR/indicator/GC.TAX.TOTL.GD.ZS?format=json&amp;mrv=30 | https://api.worldbank.org/v2/country/BHR/indicator/FD.AST.PRVT.GD.ZS?format=json&amp;mrv=30</t>
        </is>
      </c>
      <c r="AP80" s="12" t="inlineStr">
        <is>
          <t>Tier 3</t>
        </is>
      </c>
      <c r="AQ80" s="12" t="inlineStr">
        <is>
          <t>2024-12-31</t>
        </is>
      </c>
      <c r="AR80" s="12" t="inlineStr">
        <is>
          <t>providers=world_bank; fields=ppp_private_consumption, tax_rate_assumption, household_debt_proxy</t>
        </is>
      </c>
      <c r="AS80" s="12" t="inlineStr"/>
      <c r="AT80" s="12" t="inlineStr"/>
      <c r="AU80" s="12" t="inlineStr"/>
      <c r="AV80" s="12" t="inlineStr"/>
      <c r="AW80" s="12" t="inlineStr"/>
      <c r="AX80" s="12" t="inlineStr"/>
      <c r="AY80" s="12" t="inlineStr"/>
      <c r="AZ80" s="12" t="inlineStr"/>
      <c r="BA80" s="12" t="inlineStr"/>
      <c r="BB80" s="12" t="inlineStr"/>
      <c r="BC80" s="12" t="inlineStr"/>
      <c r="BD80" s="12" t="inlineStr"/>
      <c r="BE80" s="12" t="inlineStr">
        <is>
          <t>https://api.worldbank.org/v2/country/BHR/indicator/NY.GDP.PCAP.PP.CD?format=json&amp;mrv=30 | https://api.worldbank.org/v2/country/BHR/indicator/NY.GDP.MKTP.KD.ZG?format=json&amp;mrv=30</t>
        </is>
      </c>
      <c r="BF80" s="12" t="inlineStr">
        <is>
          <t>Tier 3</t>
        </is>
      </c>
      <c r="BG80" s="12" t="inlineStr">
        <is>
          <t>2024-12-31</t>
        </is>
      </c>
      <c r="BH80" s="12" t="inlineStr">
        <is>
          <t>providers=world_bank; fields=gdp_per_capita_ppp, gdp_growth</t>
        </is>
      </c>
    </row>
    <row r="81">
      <c r="A81" s="9" t="inlineStr">
        <is>
          <t>sa-jeddah</t>
        </is>
      </c>
      <c r="B81" s="9" t="inlineStr">
        <is>
          <t>Jeddah</t>
        </is>
      </c>
      <c r="C81" s="9" t="inlineStr">
        <is>
          <t>Saudi Arabia</t>
        </is>
      </c>
      <c r="D81" s="9" t="inlineStr">
        <is>
          <t>Middle East</t>
        </is>
      </c>
      <c r="E81" s="9" t="inlineStr">
        <is>
          <t>secondary</t>
        </is>
      </c>
      <c r="F81" s="9" t="inlineStr">
        <is>
          <t>locked</t>
        </is>
      </c>
      <c r="G81" s="10" t="inlineStr"/>
      <c r="H81" s="10" t="inlineStr"/>
      <c r="I81" s="10" t="inlineStr"/>
      <c r="J81" s="10" t="inlineStr"/>
      <c r="K81" s="10" t="inlineStr"/>
      <c r="L81" s="10" t="inlineStr"/>
      <c r="M81" s="11">
        <f>IF(OR($G81="",$H81="",$I81="",$J81="",$K81="",$L81="",$AL81="",$AM81=""),"",((($G81*(1-$AM81))-$H81-$I81-$J81-$K81-$L81)/$AL81))</f>
        <v/>
      </c>
      <c r="N81" s="10" t="inlineStr"/>
      <c r="O81" s="10" t="inlineStr"/>
      <c r="P81" s="11">
        <f>IF($O81&lt;&gt;"",$O81,$AN81)</f>
        <v/>
      </c>
      <c r="Q81" s="10" t="inlineStr"/>
      <c r="R81" s="10" t="inlineStr"/>
      <c r="S81" s="10" t="inlineStr"/>
      <c r="T81" s="10" t="inlineStr"/>
      <c r="U81" s="10" t="inlineStr"/>
      <c r="V81" s="10" t="inlineStr"/>
      <c r="W81" s="10" t="inlineStr"/>
      <c r="X81" s="10" t="inlineStr"/>
      <c r="Y81" s="10" t="inlineStr"/>
      <c r="Z81" s="10" t="inlineStr"/>
      <c r="AA81" s="10" t="inlineStr"/>
      <c r="AB81" s="10" t="inlineStr"/>
      <c r="AC81" s="10" t="inlineStr"/>
      <c r="AD81" s="10" t="inlineStr"/>
      <c r="AE81" s="10" t="inlineStr"/>
      <c r="AF81" s="10" t="inlineStr"/>
      <c r="AG81" s="10" t="inlineStr"/>
      <c r="AH81" s="10" t="inlineStr"/>
      <c r="AI81" s="11">
        <f>IFERROR(INDEX(Country_Context!$B$2:$B$64,MATCH($C81,Country_Context!$A$2:$A$64,0)),"")</f>
        <v/>
      </c>
      <c r="AJ81" s="11">
        <f>IFERROR(INDEX(Country_Context!$C$2:$C$64,MATCH($C81,Country_Context!$A$2:$A$64,0)),"")</f>
        <v/>
      </c>
      <c r="AK81" s="11">
        <f>IFERROR(INDEX(Country_Context!$D$2:$D$64,MATCH($C81,Country_Context!$A$2:$A$64,0)),"")</f>
        <v/>
      </c>
      <c r="AL81" s="11">
        <f>IFERROR(INDEX(Country_Context!$E$2:$E$64,MATCH($C81,Country_Context!$A$2:$A$64,0)),"")</f>
        <v/>
      </c>
      <c r="AM81" s="11">
        <f>IFERROR(INDEX(Country_Context!$F$2:$F$64,MATCH($C81,Country_Context!$A$2:$A$64,0)),"")</f>
        <v/>
      </c>
      <c r="AN81" s="11">
        <f>IFERROR(INDEX(Country_Context!$G$2:$G$64,MATCH($C81,Country_Context!$A$2:$A$64,0)),"")</f>
        <v/>
      </c>
      <c r="AO81" s="12" t="inlineStr">
        <is>
          <t>https://api.worldbank.org/v2/country/SAU/indicator/PA.NUS.PRVT.PP?format=json&amp;mrv=30 | https://api.worldbank.org/v2/country/SAU/indicator/GC.TAX.TOTL.GD.ZS?format=json&amp;mrv=30 | https://api.worldbank.org/v2/country/SAU/indicator/FD.AST.PRVT.GD.ZS?format=json&amp;mrv=30</t>
        </is>
      </c>
      <c r="AP81" s="12" t="inlineStr">
        <is>
          <t>Tier 3</t>
        </is>
      </c>
      <c r="AQ81" s="12" t="inlineStr">
        <is>
          <t>2024-12-31</t>
        </is>
      </c>
      <c r="AR81" s="12" t="inlineStr">
        <is>
          <t>providers=world_bank; fields=ppp_private_consumption, tax_rate_assumption, household_debt_proxy</t>
        </is>
      </c>
      <c r="AS81" s="12" t="inlineStr"/>
      <c r="AT81" s="12" t="inlineStr"/>
      <c r="AU81" s="12" t="inlineStr"/>
      <c r="AV81" s="12" t="inlineStr"/>
      <c r="AW81" s="12" t="inlineStr"/>
      <c r="AX81" s="12" t="inlineStr"/>
      <c r="AY81" s="12" t="inlineStr"/>
      <c r="AZ81" s="12" t="inlineStr"/>
      <c r="BA81" s="12" t="inlineStr"/>
      <c r="BB81" s="12" t="inlineStr"/>
      <c r="BC81" s="12" t="inlineStr"/>
      <c r="BD81" s="12" t="inlineStr"/>
      <c r="BE81" s="12" t="inlineStr">
        <is>
          <t>https://api.worldbank.org/v2/country/SAU/indicator/NY.GDP.PCAP.PP.CD?format=json&amp;mrv=30 | https://api.worldbank.org/v2/country/SAU/indicator/NY.GDP.MKTP.KD.ZG?format=json&amp;mrv=30</t>
        </is>
      </c>
      <c r="BF81" s="12" t="inlineStr">
        <is>
          <t>Tier 3</t>
        </is>
      </c>
      <c r="BG81" s="12" t="inlineStr">
        <is>
          <t>2024-12-31</t>
        </is>
      </c>
      <c r="BH81" s="12" t="inlineStr">
        <is>
          <t>providers=world_bank; fields=gdp_per_capita_ppp, gdp_growth</t>
        </is>
      </c>
    </row>
    <row r="82">
      <c r="A82" s="9" t="inlineStr">
        <is>
          <t>kw-kuwait-city</t>
        </is>
      </c>
      <c r="B82" s="9" t="inlineStr">
        <is>
          <t>Kuwait City</t>
        </is>
      </c>
      <c r="C82" s="9" t="inlineStr">
        <is>
          <t>Kuwait</t>
        </is>
      </c>
      <c r="D82" s="9" t="inlineStr">
        <is>
          <t>Middle East</t>
        </is>
      </c>
      <c r="E82" s="9" t="inlineStr">
        <is>
          <t>secondary</t>
        </is>
      </c>
      <c r="F82" s="9" t="inlineStr">
        <is>
          <t>locked</t>
        </is>
      </c>
      <c r="G82" s="10" t="inlineStr"/>
      <c r="H82" s="10" t="inlineStr"/>
      <c r="I82" s="10" t="inlineStr"/>
      <c r="J82" s="10" t="inlineStr"/>
      <c r="K82" s="10" t="inlineStr"/>
      <c r="L82" s="10" t="inlineStr"/>
      <c r="M82" s="11">
        <f>IF(OR($G82="",$H82="",$I82="",$J82="",$K82="",$L82="",$AL82="",$AM82=""),"",((($G82*(1-$AM82))-$H82-$I82-$J82-$K82-$L82)/$AL82))</f>
        <v/>
      </c>
      <c r="N82" s="10" t="inlineStr"/>
      <c r="O82" s="10" t="inlineStr"/>
      <c r="P82" s="11">
        <f>IF($O82&lt;&gt;"",$O82,$AN82)</f>
        <v/>
      </c>
      <c r="Q82" s="10" t="inlineStr"/>
      <c r="R82" s="10" t="inlineStr"/>
      <c r="S82" s="10" t="inlineStr"/>
      <c r="T82" s="10" t="inlineStr"/>
      <c r="U82" s="10" t="inlineStr"/>
      <c r="V82" s="10" t="inlineStr"/>
      <c r="W82" s="10" t="inlineStr"/>
      <c r="X82" s="10" t="inlineStr"/>
      <c r="Y82" s="10" t="inlineStr"/>
      <c r="Z82" s="10" t="inlineStr"/>
      <c r="AA82" s="10" t="inlineStr"/>
      <c r="AB82" s="10" t="inlineStr"/>
      <c r="AC82" s="10" t="inlineStr"/>
      <c r="AD82" s="10" t="inlineStr"/>
      <c r="AE82" s="10" t="inlineStr"/>
      <c r="AF82" s="10" t="inlineStr"/>
      <c r="AG82" s="10" t="inlineStr"/>
      <c r="AH82" s="10" t="inlineStr"/>
      <c r="AI82" s="11">
        <f>IFERROR(INDEX(Country_Context!$B$2:$B$64,MATCH($C82,Country_Context!$A$2:$A$64,0)),"")</f>
        <v/>
      </c>
      <c r="AJ82" s="11">
        <f>IFERROR(INDEX(Country_Context!$C$2:$C$64,MATCH($C82,Country_Context!$A$2:$A$64,0)),"")</f>
        <v/>
      </c>
      <c r="AK82" s="11">
        <f>IFERROR(INDEX(Country_Context!$D$2:$D$64,MATCH($C82,Country_Context!$A$2:$A$64,0)),"")</f>
        <v/>
      </c>
      <c r="AL82" s="11">
        <f>IFERROR(INDEX(Country_Context!$E$2:$E$64,MATCH($C82,Country_Context!$A$2:$A$64,0)),"")</f>
        <v/>
      </c>
      <c r="AM82" s="11">
        <f>IFERROR(INDEX(Country_Context!$F$2:$F$64,MATCH($C82,Country_Context!$A$2:$A$64,0)),"")</f>
        <v/>
      </c>
      <c r="AN82" s="11">
        <f>IFERROR(INDEX(Country_Context!$G$2:$G$64,MATCH($C82,Country_Context!$A$2:$A$64,0)),"")</f>
        <v/>
      </c>
      <c r="AO82" s="12" t="inlineStr">
        <is>
          <t>https://api.worldbank.org/v2/country/KWT/indicator/PA.NUS.PRVT.PP?format=json&amp;mrv=30 | https://api.worldbank.org/v2/country/KWT/indicator/GC.TAX.TOTL.GD.ZS?format=json&amp;mrv=30 | https://api.worldbank.org/v2/country/KWT/indicator/FD.AST.PRVT.GD.ZS?format=json&amp;mrv=30</t>
        </is>
      </c>
      <c r="AP82" s="12" t="inlineStr">
        <is>
          <t>Tier 3</t>
        </is>
      </c>
      <c r="AQ82" s="12" t="inlineStr">
        <is>
          <t>2024-12-31</t>
        </is>
      </c>
      <c r="AR82" s="12" t="inlineStr">
        <is>
          <t>providers=world_bank; fields=ppp_private_consumption, tax_rate_assumption, household_debt_proxy</t>
        </is>
      </c>
      <c r="AS82" s="12" t="inlineStr"/>
      <c r="AT82" s="12" t="inlineStr"/>
      <c r="AU82" s="12" t="inlineStr"/>
      <c r="AV82" s="12" t="inlineStr"/>
      <c r="AW82" s="12" t="inlineStr"/>
      <c r="AX82" s="12" t="inlineStr"/>
      <c r="AY82" s="12" t="inlineStr"/>
      <c r="AZ82" s="12" t="inlineStr"/>
      <c r="BA82" s="12" t="inlineStr"/>
      <c r="BB82" s="12" t="inlineStr"/>
      <c r="BC82" s="12" t="inlineStr"/>
      <c r="BD82" s="12" t="inlineStr"/>
      <c r="BE82" s="12" t="inlineStr">
        <is>
          <t>https://api.worldbank.org/v2/country/KWT/indicator/NY.GDP.PCAP.PP.CD?format=json&amp;mrv=30 | https://api.worldbank.org/v2/country/KWT/indicator/NY.GDP.MKTP.KD.ZG?format=json&amp;mrv=30</t>
        </is>
      </c>
      <c r="BF82" s="12" t="inlineStr">
        <is>
          <t>Tier 3</t>
        </is>
      </c>
      <c r="BG82" s="12" t="inlineStr">
        <is>
          <t>2024-12-31</t>
        </is>
      </c>
      <c r="BH82" s="12" t="inlineStr">
        <is>
          <t>providers=world_bank; fields=gdp_per_capita_ppp, gdp_growth</t>
        </is>
      </c>
    </row>
    <row r="83">
      <c r="A83" s="9" t="inlineStr">
        <is>
          <t>jo-amman</t>
        </is>
      </c>
      <c r="B83" s="9" t="inlineStr">
        <is>
          <t>Amman</t>
        </is>
      </c>
      <c r="C83" s="9" t="inlineStr">
        <is>
          <t>Jordan</t>
        </is>
      </c>
      <c r="D83" s="9" t="inlineStr">
        <is>
          <t>Middle East</t>
        </is>
      </c>
      <c r="E83" s="9" t="inlineStr">
        <is>
          <t>secondary</t>
        </is>
      </c>
      <c r="F83" s="9" t="inlineStr">
        <is>
          <t>provisional</t>
        </is>
      </c>
      <c r="G83" s="10" t="inlineStr"/>
      <c r="H83" s="10" t="inlineStr"/>
      <c r="I83" s="10" t="inlineStr"/>
      <c r="J83" s="10" t="inlineStr"/>
      <c r="K83" s="10" t="inlineStr"/>
      <c r="L83" s="10" t="inlineStr"/>
      <c r="M83" s="11">
        <f>IF(OR($G83="",$H83="",$I83="",$J83="",$K83="",$L83="",$AL83="",$AM83=""),"",((($G83*(1-$AM83))-$H83-$I83-$J83-$K83-$L83)/$AL83))</f>
        <v/>
      </c>
      <c r="N83" s="10" t="inlineStr"/>
      <c r="O83" s="10" t="inlineStr"/>
      <c r="P83" s="11">
        <f>IF($O83&lt;&gt;"",$O83,$AN83)</f>
        <v/>
      </c>
      <c r="Q83" s="10" t="inlineStr"/>
      <c r="R83" s="10" t="inlineStr"/>
      <c r="S83" s="10" t="inlineStr"/>
      <c r="T83" s="10" t="inlineStr"/>
      <c r="U83" s="10" t="inlineStr"/>
      <c r="V83" s="10" t="inlineStr"/>
      <c r="W83" s="10" t="inlineStr"/>
      <c r="X83" s="10" t="inlineStr"/>
      <c r="Y83" s="10" t="inlineStr"/>
      <c r="Z83" s="10" t="inlineStr"/>
      <c r="AA83" s="10" t="inlineStr"/>
      <c r="AB83" s="10" t="inlineStr"/>
      <c r="AC83" s="10" t="inlineStr"/>
      <c r="AD83" s="10" t="inlineStr"/>
      <c r="AE83" s="10" t="inlineStr"/>
      <c r="AF83" s="10" t="inlineStr"/>
      <c r="AG83" s="10" t="inlineStr"/>
      <c r="AH83" s="10" t="inlineStr"/>
      <c r="AI83" s="11">
        <f>IFERROR(INDEX(Country_Context!$B$2:$B$64,MATCH($C83,Country_Context!$A$2:$A$64,0)),"")</f>
        <v/>
      </c>
      <c r="AJ83" s="11">
        <f>IFERROR(INDEX(Country_Context!$C$2:$C$64,MATCH($C83,Country_Context!$A$2:$A$64,0)),"")</f>
        <v/>
      </c>
      <c r="AK83" s="11">
        <f>IFERROR(INDEX(Country_Context!$D$2:$D$64,MATCH($C83,Country_Context!$A$2:$A$64,0)),"")</f>
        <v/>
      </c>
      <c r="AL83" s="11">
        <f>IFERROR(INDEX(Country_Context!$E$2:$E$64,MATCH($C83,Country_Context!$A$2:$A$64,0)),"")</f>
        <v/>
      </c>
      <c r="AM83" s="11">
        <f>IFERROR(INDEX(Country_Context!$F$2:$F$64,MATCH($C83,Country_Context!$A$2:$A$64,0)),"")</f>
        <v/>
      </c>
      <c r="AN83" s="11">
        <f>IFERROR(INDEX(Country_Context!$G$2:$G$64,MATCH($C83,Country_Context!$A$2:$A$64,0)),"")</f>
        <v/>
      </c>
      <c r="AO83" s="12" t="inlineStr">
        <is>
          <t>https://api.worldbank.org/v2/country/JOR/indicator/PA.NUS.PRVT.PP?format=json&amp;mrv=30 | https://api.worldbank.org/v2/country/JOR/indicator/GC.TAX.TOTL.GD.ZS?format=json&amp;mrv=30 | https://api.worldbank.org/v2/country/JOR/indicator/FD.AST.PRVT.GD.ZS?format=json&amp;mrv=30</t>
        </is>
      </c>
      <c r="AP83" s="12" t="inlineStr">
        <is>
          <t>Tier 3</t>
        </is>
      </c>
      <c r="AQ83" s="12" t="inlineStr">
        <is>
          <t>2024-12-31</t>
        </is>
      </c>
      <c r="AR83" s="12" t="inlineStr">
        <is>
          <t>providers=world_bank; fields=ppp_private_consumption, tax_rate_assumption, household_debt_proxy</t>
        </is>
      </c>
      <c r="AS83" s="12" t="inlineStr"/>
      <c r="AT83" s="12" t="inlineStr"/>
      <c r="AU83" s="12" t="inlineStr"/>
      <c r="AV83" s="12" t="inlineStr"/>
      <c r="AW83" s="12" t="inlineStr">
        <is>
          <t>https://api.worldbank.org/v2/country/JOR/indicator/SI.POV.GINI?format=json&amp;mrv=30</t>
        </is>
      </c>
      <c r="AX83" s="12" t="inlineStr">
        <is>
          <t>Tier 3</t>
        </is>
      </c>
      <c r="AY83" s="12" t="inlineStr">
        <is>
          <t>2010-12-31</t>
        </is>
      </c>
      <c r="AZ83" s="12" t="inlineStr">
        <is>
          <t>providers=world_bank; fields=gini_coefficient</t>
        </is>
      </c>
      <c r="BA83" s="12" t="inlineStr"/>
      <c r="BB83" s="12" t="inlineStr"/>
      <c r="BC83" s="12" t="inlineStr"/>
      <c r="BD83" s="12" t="inlineStr"/>
      <c r="BE83" s="12" t="inlineStr">
        <is>
          <t>https://api.worldbank.org/v2/country/JOR/indicator/NY.GDP.PCAP.PP.CD?format=json&amp;mrv=30 | https://api.worldbank.org/v2/country/JOR/indicator/NY.GDP.MKTP.KD.ZG?format=json&amp;mrv=30</t>
        </is>
      </c>
      <c r="BF83" s="12" t="inlineStr">
        <is>
          <t>Tier 3</t>
        </is>
      </c>
      <c r="BG83" s="12" t="inlineStr">
        <is>
          <t>2024-12-31</t>
        </is>
      </c>
      <c r="BH83" s="12" t="inlineStr">
        <is>
          <t>providers=world_bank; fields=gdp_per_capita_ppp, gdp_growth</t>
        </is>
      </c>
    </row>
    <row r="84">
      <c r="A84" s="9" t="inlineStr">
        <is>
          <t>za-cape-town</t>
        </is>
      </c>
      <c r="B84" s="9" t="inlineStr">
        <is>
          <t>Cape Town</t>
        </is>
      </c>
      <c r="C84" s="9" t="inlineStr">
        <is>
          <t>South Africa</t>
        </is>
      </c>
      <c r="D84" s="9" t="inlineStr">
        <is>
          <t>Africa</t>
        </is>
      </c>
      <c r="E84" s="9" t="inlineStr">
        <is>
          <t>primary</t>
        </is>
      </c>
      <c r="F84" s="9" t="inlineStr">
        <is>
          <t>locked</t>
        </is>
      </c>
      <c r="G84" s="10" t="inlineStr"/>
      <c r="H84" s="10" t="inlineStr"/>
      <c r="I84" s="10" t="inlineStr"/>
      <c r="J84" s="10" t="inlineStr"/>
      <c r="K84" s="10" t="inlineStr"/>
      <c r="L84" s="10" t="inlineStr"/>
      <c r="M84" s="11">
        <f>IF(OR($G84="",$H84="",$I84="",$J84="",$K84="",$L84="",$AL84="",$AM84=""),"",((($G84*(1-$AM84))-$H84-$I84-$J84-$K84-$L84)/$AL84))</f>
        <v/>
      </c>
      <c r="N84" s="10" t="inlineStr"/>
      <c r="O84" s="10" t="inlineStr"/>
      <c r="P84" s="11">
        <f>IF($O84&lt;&gt;"",$O84,$AN84)</f>
        <v/>
      </c>
      <c r="Q84" s="10" t="inlineStr"/>
      <c r="R84" s="10" t="inlineStr"/>
      <c r="S84" s="10" t="inlineStr"/>
      <c r="T84" s="10" t="inlineStr"/>
      <c r="U84" s="10" t="inlineStr"/>
      <c r="V84" s="10" t="inlineStr"/>
      <c r="W84" s="10" t="inlineStr"/>
      <c r="X84" s="10" t="inlineStr"/>
      <c r="Y84" s="10" t="inlineStr"/>
      <c r="Z84" s="10" t="inlineStr"/>
      <c r="AA84" s="10" t="inlineStr"/>
      <c r="AB84" s="10" t="inlineStr"/>
      <c r="AC84" s="10" t="inlineStr"/>
      <c r="AD84" s="10" t="inlineStr"/>
      <c r="AE84" s="10" t="inlineStr"/>
      <c r="AF84" s="10" t="inlineStr"/>
      <c r="AG84" s="10" t="inlineStr"/>
      <c r="AH84" s="10" t="inlineStr"/>
      <c r="AI84" s="11">
        <f>IFERROR(INDEX(Country_Context!$B$2:$B$64,MATCH($C84,Country_Context!$A$2:$A$64,0)),"")</f>
        <v/>
      </c>
      <c r="AJ84" s="11">
        <f>IFERROR(INDEX(Country_Context!$C$2:$C$64,MATCH($C84,Country_Context!$A$2:$A$64,0)),"")</f>
        <v/>
      </c>
      <c r="AK84" s="11">
        <f>IFERROR(INDEX(Country_Context!$D$2:$D$64,MATCH($C84,Country_Context!$A$2:$A$64,0)),"")</f>
        <v/>
      </c>
      <c r="AL84" s="11">
        <f>IFERROR(INDEX(Country_Context!$E$2:$E$64,MATCH($C84,Country_Context!$A$2:$A$64,0)),"")</f>
        <v/>
      </c>
      <c r="AM84" s="11">
        <f>IFERROR(INDEX(Country_Context!$F$2:$F$64,MATCH($C84,Country_Context!$A$2:$A$64,0)),"")</f>
        <v/>
      </c>
      <c r="AN84" s="11">
        <f>IFERROR(INDEX(Country_Context!$G$2:$G$64,MATCH($C84,Country_Context!$A$2:$A$64,0)),"")</f>
        <v/>
      </c>
      <c r="AO84" s="12" t="inlineStr">
        <is>
          <t>https://api.worldbank.org/v2/country/ZAF/indicator/PA.NUS.PRVT.PP?format=json&amp;mrv=30 | https://api.worldbank.org/v2/country/ZAF/indicator/GC.TAX.TOTL.GD.ZS?format=json&amp;mrv=30 | https://api.worldbank.org/v2/country/ZAF/indicator/FD.AST.PRVT.GD.ZS?format=json&amp;mrv=30</t>
        </is>
      </c>
      <c r="AP84" s="12" t="inlineStr">
        <is>
          <t>Tier 3</t>
        </is>
      </c>
      <c r="AQ84" s="12" t="inlineStr">
        <is>
          <t>2024-12-31</t>
        </is>
      </c>
      <c r="AR84" s="12" t="inlineStr">
        <is>
          <t>providers=world_bank; fields=ppp_private_consumption, tax_rate_assumption, household_debt_proxy</t>
        </is>
      </c>
      <c r="AS84" s="12" t="inlineStr"/>
      <c r="AT84" s="12" t="inlineStr"/>
      <c r="AU84" s="12" t="inlineStr"/>
      <c r="AV84" s="12" t="inlineStr"/>
      <c r="AW84" s="12" t="inlineStr">
        <is>
          <t>https://api.worldbank.org/v2/country/ZAF/indicator/SI.POV.GINI?format=json&amp;mrv=30</t>
        </is>
      </c>
      <c r="AX84" s="12" t="inlineStr">
        <is>
          <t>Tier 3</t>
        </is>
      </c>
      <c r="AY84" s="12" t="inlineStr">
        <is>
          <t>2014-12-31</t>
        </is>
      </c>
      <c r="AZ84" s="12" t="inlineStr">
        <is>
          <t>providers=world_bank; fields=gini_coefficient</t>
        </is>
      </c>
      <c r="BA84" s="12" t="inlineStr"/>
      <c r="BB84" s="12" t="inlineStr"/>
      <c r="BC84" s="12" t="inlineStr"/>
      <c r="BD84" s="12" t="inlineStr"/>
      <c r="BE84" s="12" t="inlineStr">
        <is>
          <t>https://api.worldbank.org/v2/country/ZAF/indicator/NY.GDP.PCAP.PP.CD?format=json&amp;mrv=30 | https://api.worldbank.org/v2/country/ZAF/indicator/NY.GDP.MKTP.KD.ZG?format=json&amp;mrv=30</t>
        </is>
      </c>
      <c r="BF84" s="12" t="inlineStr">
        <is>
          <t>Tier 3</t>
        </is>
      </c>
      <c r="BG84" s="12" t="inlineStr">
        <is>
          <t>2024-12-31</t>
        </is>
      </c>
      <c r="BH84" s="12" t="inlineStr">
        <is>
          <t>providers=world_bank; fields=gdp_per_capita_ppp, gdp_growth</t>
        </is>
      </c>
    </row>
    <row r="85">
      <c r="A85" s="9" t="inlineStr">
        <is>
          <t>za-johannesburg</t>
        </is>
      </c>
      <c r="B85" s="9" t="inlineStr">
        <is>
          <t>Johannesburg</t>
        </is>
      </c>
      <c r="C85" s="9" t="inlineStr">
        <is>
          <t>South Africa</t>
        </is>
      </c>
      <c r="D85" s="9" t="inlineStr">
        <is>
          <t>Africa</t>
        </is>
      </c>
      <c r="E85" s="9" t="inlineStr">
        <is>
          <t>primary</t>
        </is>
      </c>
      <c r="F85" s="9" t="inlineStr">
        <is>
          <t>provisional</t>
        </is>
      </c>
      <c r="G85" s="10" t="inlineStr"/>
      <c r="H85" s="10" t="inlineStr"/>
      <c r="I85" s="10" t="inlineStr"/>
      <c r="J85" s="10" t="inlineStr"/>
      <c r="K85" s="10" t="inlineStr"/>
      <c r="L85" s="10" t="inlineStr"/>
      <c r="M85" s="11">
        <f>IF(OR($G85="",$H85="",$I85="",$J85="",$K85="",$L85="",$AL85="",$AM85=""),"",((($G85*(1-$AM85))-$H85-$I85-$J85-$K85-$L85)/$AL85))</f>
        <v/>
      </c>
      <c r="N85" s="10" t="inlineStr"/>
      <c r="O85" s="10" t="inlineStr"/>
      <c r="P85" s="11">
        <f>IF($O85&lt;&gt;"",$O85,$AN85)</f>
        <v/>
      </c>
      <c r="Q85" s="10" t="inlineStr"/>
      <c r="R85" s="10" t="inlineStr"/>
      <c r="S85" s="10" t="inlineStr"/>
      <c r="T85" s="10" t="inlineStr"/>
      <c r="U85" s="10" t="inlineStr"/>
      <c r="V85" s="10" t="inlineStr"/>
      <c r="W85" s="10" t="inlineStr"/>
      <c r="X85" s="10" t="inlineStr"/>
      <c r="Y85" s="10" t="inlineStr"/>
      <c r="Z85" s="10" t="inlineStr"/>
      <c r="AA85" s="10" t="inlineStr"/>
      <c r="AB85" s="10" t="inlineStr"/>
      <c r="AC85" s="10" t="inlineStr"/>
      <c r="AD85" s="10" t="inlineStr"/>
      <c r="AE85" s="10" t="inlineStr"/>
      <c r="AF85" s="10" t="inlineStr"/>
      <c r="AG85" s="10" t="inlineStr"/>
      <c r="AH85" s="10" t="inlineStr"/>
      <c r="AI85" s="11">
        <f>IFERROR(INDEX(Country_Context!$B$2:$B$64,MATCH($C85,Country_Context!$A$2:$A$64,0)),"")</f>
        <v/>
      </c>
      <c r="AJ85" s="11">
        <f>IFERROR(INDEX(Country_Context!$C$2:$C$64,MATCH($C85,Country_Context!$A$2:$A$64,0)),"")</f>
        <v/>
      </c>
      <c r="AK85" s="11">
        <f>IFERROR(INDEX(Country_Context!$D$2:$D$64,MATCH($C85,Country_Context!$A$2:$A$64,0)),"")</f>
        <v/>
      </c>
      <c r="AL85" s="11">
        <f>IFERROR(INDEX(Country_Context!$E$2:$E$64,MATCH($C85,Country_Context!$A$2:$A$64,0)),"")</f>
        <v/>
      </c>
      <c r="AM85" s="11">
        <f>IFERROR(INDEX(Country_Context!$F$2:$F$64,MATCH($C85,Country_Context!$A$2:$A$64,0)),"")</f>
        <v/>
      </c>
      <c r="AN85" s="11">
        <f>IFERROR(INDEX(Country_Context!$G$2:$G$64,MATCH($C85,Country_Context!$A$2:$A$64,0)),"")</f>
        <v/>
      </c>
      <c r="AO85" s="12" t="inlineStr">
        <is>
          <t>https://api.worldbank.org/v2/country/ZAF/indicator/PA.NUS.PRVT.PP?format=json&amp;mrv=30 | https://api.worldbank.org/v2/country/ZAF/indicator/GC.TAX.TOTL.GD.ZS?format=json&amp;mrv=30 | https://api.worldbank.org/v2/country/ZAF/indicator/FD.AST.PRVT.GD.ZS?format=json&amp;mrv=30</t>
        </is>
      </c>
      <c r="AP85" s="12" t="inlineStr">
        <is>
          <t>Tier 3</t>
        </is>
      </c>
      <c r="AQ85" s="12" t="inlineStr">
        <is>
          <t>2024-12-31</t>
        </is>
      </c>
      <c r="AR85" s="12" t="inlineStr">
        <is>
          <t>providers=world_bank; fields=ppp_private_consumption, tax_rate_assumption, household_debt_proxy</t>
        </is>
      </c>
      <c r="AS85" s="12" t="inlineStr"/>
      <c r="AT85" s="12" t="inlineStr"/>
      <c r="AU85" s="12" t="inlineStr"/>
      <c r="AV85" s="12" t="inlineStr"/>
      <c r="AW85" s="12" t="inlineStr">
        <is>
          <t>https://api.worldbank.org/v2/country/ZAF/indicator/SI.POV.GINI?format=json&amp;mrv=30</t>
        </is>
      </c>
      <c r="AX85" s="12" t="inlineStr">
        <is>
          <t>Tier 3</t>
        </is>
      </c>
      <c r="AY85" s="12" t="inlineStr">
        <is>
          <t>2014-12-31</t>
        </is>
      </c>
      <c r="AZ85" s="12" t="inlineStr">
        <is>
          <t>providers=world_bank; fields=gini_coefficient</t>
        </is>
      </c>
      <c r="BA85" s="12" t="inlineStr"/>
      <c r="BB85" s="12" t="inlineStr"/>
      <c r="BC85" s="12" t="inlineStr"/>
      <c r="BD85" s="12" t="inlineStr"/>
      <c r="BE85" s="12" t="inlineStr">
        <is>
          <t>https://api.worldbank.org/v2/country/ZAF/indicator/NY.GDP.PCAP.PP.CD?format=json&amp;mrv=30 | https://api.worldbank.org/v2/country/ZAF/indicator/NY.GDP.MKTP.KD.ZG?format=json&amp;mrv=30</t>
        </is>
      </c>
      <c r="BF85" s="12" t="inlineStr">
        <is>
          <t>Tier 3</t>
        </is>
      </c>
      <c r="BG85" s="12" t="inlineStr">
        <is>
          <t>2024-12-31</t>
        </is>
      </c>
      <c r="BH85" s="12" t="inlineStr">
        <is>
          <t>providers=world_bank; fields=gdp_per_capita_ppp, gdp_growth</t>
        </is>
      </c>
    </row>
    <row r="86">
      <c r="A86" s="9" t="inlineStr">
        <is>
          <t>ke-nairobi</t>
        </is>
      </c>
      <c r="B86" s="9" t="inlineStr">
        <is>
          <t>Nairobi</t>
        </is>
      </c>
      <c r="C86" s="9" t="inlineStr">
        <is>
          <t>Kenya</t>
        </is>
      </c>
      <c r="D86" s="9" t="inlineStr">
        <is>
          <t>Africa</t>
        </is>
      </c>
      <c r="E86" s="9" t="inlineStr">
        <is>
          <t>primary</t>
        </is>
      </c>
      <c r="F86" s="9" t="inlineStr">
        <is>
          <t>locked</t>
        </is>
      </c>
      <c r="G86" s="10" t="inlineStr"/>
      <c r="H86" s="10" t="inlineStr"/>
      <c r="I86" s="10" t="inlineStr"/>
      <c r="J86" s="10" t="inlineStr"/>
      <c r="K86" s="10" t="inlineStr"/>
      <c r="L86" s="10" t="inlineStr"/>
      <c r="M86" s="11">
        <f>IF(OR($G86="",$H86="",$I86="",$J86="",$K86="",$L86="",$AL86="",$AM86=""),"",((($G86*(1-$AM86))-$H86-$I86-$J86-$K86-$L86)/$AL86))</f>
        <v/>
      </c>
      <c r="N86" s="10" t="inlineStr"/>
      <c r="O86" s="10" t="inlineStr"/>
      <c r="P86" s="11">
        <f>IF($O86&lt;&gt;"",$O86,$AN86)</f>
        <v/>
      </c>
      <c r="Q86" s="10" t="inlineStr"/>
      <c r="R86" s="10" t="inlineStr"/>
      <c r="S86" s="10" t="inlineStr"/>
      <c r="T86" s="10" t="inlineStr"/>
      <c r="U86" s="10" t="inlineStr"/>
      <c r="V86" s="10" t="inlineStr"/>
      <c r="W86" s="10" t="inlineStr"/>
      <c r="X86" s="10" t="inlineStr"/>
      <c r="Y86" s="10" t="inlineStr"/>
      <c r="Z86" s="10" t="inlineStr"/>
      <c r="AA86" s="10" t="inlineStr"/>
      <c r="AB86" s="10" t="inlineStr"/>
      <c r="AC86" s="10" t="inlineStr"/>
      <c r="AD86" s="10" t="inlineStr"/>
      <c r="AE86" s="10" t="inlineStr"/>
      <c r="AF86" s="10" t="inlineStr"/>
      <c r="AG86" s="10" t="inlineStr"/>
      <c r="AH86" s="10" t="inlineStr"/>
      <c r="AI86" s="11">
        <f>IFERROR(INDEX(Country_Context!$B$2:$B$64,MATCH($C86,Country_Context!$A$2:$A$64,0)),"")</f>
        <v/>
      </c>
      <c r="AJ86" s="11">
        <f>IFERROR(INDEX(Country_Context!$C$2:$C$64,MATCH($C86,Country_Context!$A$2:$A$64,0)),"")</f>
        <v/>
      </c>
      <c r="AK86" s="11">
        <f>IFERROR(INDEX(Country_Context!$D$2:$D$64,MATCH($C86,Country_Context!$A$2:$A$64,0)),"")</f>
        <v/>
      </c>
      <c r="AL86" s="11">
        <f>IFERROR(INDEX(Country_Context!$E$2:$E$64,MATCH($C86,Country_Context!$A$2:$A$64,0)),"")</f>
        <v/>
      </c>
      <c r="AM86" s="11">
        <f>IFERROR(INDEX(Country_Context!$F$2:$F$64,MATCH($C86,Country_Context!$A$2:$A$64,0)),"")</f>
        <v/>
      </c>
      <c r="AN86" s="11">
        <f>IFERROR(INDEX(Country_Context!$G$2:$G$64,MATCH($C86,Country_Context!$A$2:$A$64,0)),"")</f>
        <v/>
      </c>
      <c r="AO86" s="12" t="inlineStr">
        <is>
          <t>https://api.worldbank.org/v2/country/KEN/indicator/PA.NUS.PRVT.PP?format=json&amp;mrv=30 | https://api.worldbank.org/v2/country/KEN/indicator/GC.TAX.TOTL.GD.ZS?format=json&amp;mrv=30 | https://api.worldbank.org/v2/country/KEN/indicator/FD.AST.PRVT.GD.ZS?format=json&amp;mrv=30</t>
        </is>
      </c>
      <c r="AP86" s="12" t="inlineStr">
        <is>
          <t>Tier 3</t>
        </is>
      </c>
      <c r="AQ86" s="12" t="inlineStr">
        <is>
          <t>2024-12-31</t>
        </is>
      </c>
      <c r="AR86" s="12" t="inlineStr">
        <is>
          <t>providers=world_bank; fields=ppp_private_consumption, tax_rate_assumption, household_debt_proxy</t>
        </is>
      </c>
      <c r="AS86" s="12" t="inlineStr"/>
      <c r="AT86" s="12" t="inlineStr"/>
      <c r="AU86" s="12" t="inlineStr"/>
      <c r="AV86" s="12" t="inlineStr"/>
      <c r="AW86" s="12" t="inlineStr">
        <is>
          <t>https://api.worldbank.org/v2/country/KEN/indicator/SI.POV.GINI?format=json&amp;mrv=30</t>
        </is>
      </c>
      <c r="AX86" s="12" t="inlineStr">
        <is>
          <t>Tier 3</t>
        </is>
      </c>
      <c r="AY86" s="12" t="inlineStr">
        <is>
          <t>2022-12-31</t>
        </is>
      </c>
      <c r="AZ86" s="12" t="inlineStr">
        <is>
          <t>providers=world_bank; fields=gini_coefficient</t>
        </is>
      </c>
      <c r="BA86" s="12" t="inlineStr"/>
      <c r="BB86" s="12" t="inlineStr"/>
      <c r="BC86" s="12" t="inlineStr"/>
      <c r="BD86" s="12" t="inlineStr"/>
      <c r="BE86" s="12" t="inlineStr">
        <is>
          <t>https://api.worldbank.org/v2/country/KEN/indicator/NY.GDP.PCAP.PP.CD?format=json&amp;mrv=30 | https://api.worldbank.org/v2/country/KEN/indicator/NY.GDP.MKTP.KD.ZG?format=json&amp;mrv=30</t>
        </is>
      </c>
      <c r="BF86" s="12" t="inlineStr">
        <is>
          <t>Tier 3</t>
        </is>
      </c>
      <c r="BG86" s="12" t="inlineStr">
        <is>
          <t>2024-12-31</t>
        </is>
      </c>
      <c r="BH86" s="12" t="inlineStr">
        <is>
          <t>providers=world_bank; fields=gdp_per_capita_ppp, gdp_growth</t>
        </is>
      </c>
    </row>
    <row r="87">
      <c r="A87" s="9" t="inlineStr">
        <is>
          <t>rw-kigali</t>
        </is>
      </c>
      <c r="B87" s="9" t="inlineStr">
        <is>
          <t>Kigali</t>
        </is>
      </c>
      <c r="C87" s="9" t="inlineStr">
        <is>
          <t>Rwanda</t>
        </is>
      </c>
      <c r="D87" s="9" t="inlineStr">
        <is>
          <t>Africa</t>
        </is>
      </c>
      <c r="E87" s="9" t="inlineStr">
        <is>
          <t>primary</t>
        </is>
      </c>
      <c r="F87" s="9" t="inlineStr">
        <is>
          <t>locked</t>
        </is>
      </c>
      <c r="G87" s="10" t="inlineStr"/>
      <c r="H87" s="10" t="inlineStr"/>
      <c r="I87" s="10" t="inlineStr"/>
      <c r="J87" s="10" t="inlineStr"/>
      <c r="K87" s="10" t="inlineStr"/>
      <c r="L87" s="10" t="inlineStr"/>
      <c r="M87" s="11">
        <f>IF(OR($G87="",$H87="",$I87="",$J87="",$K87="",$L87="",$AL87="",$AM87=""),"",((($G87*(1-$AM87))-$H87-$I87-$J87-$K87-$L87)/$AL87))</f>
        <v/>
      </c>
      <c r="N87" s="10" t="inlineStr"/>
      <c r="O87" s="10" t="inlineStr"/>
      <c r="P87" s="11">
        <f>IF($O87&lt;&gt;"",$O87,$AN87)</f>
        <v/>
      </c>
      <c r="Q87" s="10" t="inlineStr"/>
      <c r="R87" s="10" t="inlineStr"/>
      <c r="S87" s="10" t="inlineStr"/>
      <c r="T87" s="10" t="inlineStr"/>
      <c r="U87" s="10" t="inlineStr"/>
      <c r="V87" s="10" t="inlineStr"/>
      <c r="W87" s="10" t="inlineStr"/>
      <c r="X87" s="10" t="inlineStr"/>
      <c r="Y87" s="10" t="inlineStr"/>
      <c r="Z87" s="10" t="inlineStr"/>
      <c r="AA87" s="10" t="inlineStr"/>
      <c r="AB87" s="10" t="inlineStr"/>
      <c r="AC87" s="10" t="inlineStr"/>
      <c r="AD87" s="10" t="inlineStr"/>
      <c r="AE87" s="10" t="inlineStr"/>
      <c r="AF87" s="10" t="inlineStr"/>
      <c r="AG87" s="10" t="inlineStr"/>
      <c r="AH87" s="10" t="inlineStr"/>
      <c r="AI87" s="11">
        <f>IFERROR(INDEX(Country_Context!$B$2:$B$64,MATCH($C87,Country_Context!$A$2:$A$64,0)),"")</f>
        <v/>
      </c>
      <c r="AJ87" s="11">
        <f>IFERROR(INDEX(Country_Context!$C$2:$C$64,MATCH($C87,Country_Context!$A$2:$A$64,0)),"")</f>
        <v/>
      </c>
      <c r="AK87" s="11">
        <f>IFERROR(INDEX(Country_Context!$D$2:$D$64,MATCH($C87,Country_Context!$A$2:$A$64,0)),"")</f>
        <v/>
      </c>
      <c r="AL87" s="11">
        <f>IFERROR(INDEX(Country_Context!$E$2:$E$64,MATCH($C87,Country_Context!$A$2:$A$64,0)),"")</f>
        <v/>
      </c>
      <c r="AM87" s="11">
        <f>IFERROR(INDEX(Country_Context!$F$2:$F$64,MATCH($C87,Country_Context!$A$2:$A$64,0)),"")</f>
        <v/>
      </c>
      <c r="AN87" s="11">
        <f>IFERROR(INDEX(Country_Context!$G$2:$G$64,MATCH($C87,Country_Context!$A$2:$A$64,0)),"")</f>
        <v/>
      </c>
      <c r="AO87" s="12" t="inlineStr">
        <is>
          <t>https://api.worldbank.org/v2/country/RWA/indicator/PA.NUS.PRVT.PP?format=json&amp;mrv=30 | https://api.worldbank.org/v2/country/RWA/indicator/GC.TAX.TOTL.GD.ZS?format=json&amp;mrv=30 | https://api.worldbank.org/v2/country/RWA/indicator/FD.AST.PRVT.GD.ZS?format=json&amp;mrv=30</t>
        </is>
      </c>
      <c r="AP87" s="12" t="inlineStr">
        <is>
          <t>Tier 3</t>
        </is>
      </c>
      <c r="AQ87" s="12" t="inlineStr">
        <is>
          <t>2024-12-31</t>
        </is>
      </c>
      <c r="AR87" s="12" t="inlineStr">
        <is>
          <t>providers=world_bank; fields=ppp_private_consumption, tax_rate_assumption, household_debt_proxy</t>
        </is>
      </c>
      <c r="AS87" s="12" t="inlineStr"/>
      <c r="AT87" s="12" t="inlineStr"/>
      <c r="AU87" s="12" t="inlineStr"/>
      <c r="AV87" s="12" t="inlineStr"/>
      <c r="AW87" s="12" t="inlineStr">
        <is>
          <t>https://api.worldbank.org/v2/country/RWA/indicator/SI.POV.GINI?format=json&amp;mrv=30</t>
        </is>
      </c>
      <c r="AX87" s="12" t="inlineStr">
        <is>
          <t>Tier 3</t>
        </is>
      </c>
      <c r="AY87" s="12" t="inlineStr">
        <is>
          <t>2023-12-31</t>
        </is>
      </c>
      <c r="AZ87" s="12" t="inlineStr">
        <is>
          <t>providers=world_bank; fields=gini_coefficient</t>
        </is>
      </c>
      <c r="BA87" s="12" t="inlineStr"/>
      <c r="BB87" s="12" t="inlineStr"/>
      <c r="BC87" s="12" t="inlineStr"/>
      <c r="BD87" s="12" t="inlineStr"/>
      <c r="BE87" s="12" t="inlineStr">
        <is>
          <t>https://api.worldbank.org/v2/country/RWA/indicator/NY.GDP.PCAP.PP.CD?format=json&amp;mrv=30 | https://api.worldbank.org/v2/country/RWA/indicator/NY.GDP.MKTP.KD.ZG?format=json&amp;mrv=30</t>
        </is>
      </c>
      <c r="BF87" s="12" t="inlineStr">
        <is>
          <t>Tier 3</t>
        </is>
      </c>
      <c r="BG87" s="12" t="inlineStr">
        <is>
          <t>2024-12-31</t>
        </is>
      </c>
      <c r="BH87" s="12" t="inlineStr">
        <is>
          <t>providers=world_bank; fields=gdp_per_capita_ppp, gdp_growth</t>
        </is>
      </c>
    </row>
    <row r="88">
      <c r="A88" s="9" t="inlineStr">
        <is>
          <t>ma-casablanca</t>
        </is>
      </c>
      <c r="B88" s="9" t="inlineStr">
        <is>
          <t>Casablanca</t>
        </is>
      </c>
      <c r="C88" s="9" t="inlineStr">
        <is>
          <t>Morocco</t>
        </is>
      </c>
      <c r="D88" s="9" t="inlineStr">
        <is>
          <t>Africa</t>
        </is>
      </c>
      <c r="E88" s="9" t="inlineStr">
        <is>
          <t>primary</t>
        </is>
      </c>
      <c r="F88" s="9" t="inlineStr">
        <is>
          <t>provisional</t>
        </is>
      </c>
      <c r="G88" s="10" t="inlineStr"/>
      <c r="H88" s="10" t="inlineStr"/>
      <c r="I88" s="10" t="inlineStr"/>
      <c r="J88" s="10" t="inlineStr"/>
      <c r="K88" s="10" t="inlineStr"/>
      <c r="L88" s="10" t="inlineStr"/>
      <c r="M88" s="11">
        <f>IF(OR($G88="",$H88="",$I88="",$J88="",$K88="",$L88="",$AL88="",$AM88=""),"",((($G88*(1-$AM88))-$H88-$I88-$J88-$K88-$L88)/$AL88))</f>
        <v/>
      </c>
      <c r="N88" s="10" t="inlineStr"/>
      <c r="O88" s="10" t="inlineStr"/>
      <c r="P88" s="11">
        <f>IF($O88&lt;&gt;"",$O88,$AN88)</f>
        <v/>
      </c>
      <c r="Q88" s="10" t="inlineStr"/>
      <c r="R88" s="10" t="inlineStr"/>
      <c r="S88" s="10" t="inlineStr"/>
      <c r="T88" s="10" t="inlineStr"/>
      <c r="U88" s="10" t="inlineStr"/>
      <c r="V88" s="10" t="inlineStr"/>
      <c r="W88" s="10" t="inlineStr"/>
      <c r="X88" s="10" t="inlineStr"/>
      <c r="Y88" s="10" t="inlineStr"/>
      <c r="Z88" s="10" t="inlineStr"/>
      <c r="AA88" s="10" t="inlineStr"/>
      <c r="AB88" s="10" t="inlineStr"/>
      <c r="AC88" s="10" t="inlineStr"/>
      <c r="AD88" s="10" t="inlineStr"/>
      <c r="AE88" s="10" t="inlineStr"/>
      <c r="AF88" s="10" t="inlineStr"/>
      <c r="AG88" s="10" t="inlineStr"/>
      <c r="AH88" s="10" t="inlineStr"/>
      <c r="AI88" s="11">
        <f>IFERROR(INDEX(Country_Context!$B$2:$B$64,MATCH($C88,Country_Context!$A$2:$A$64,0)),"")</f>
        <v/>
      </c>
      <c r="AJ88" s="11">
        <f>IFERROR(INDEX(Country_Context!$C$2:$C$64,MATCH($C88,Country_Context!$A$2:$A$64,0)),"")</f>
        <v/>
      </c>
      <c r="AK88" s="11">
        <f>IFERROR(INDEX(Country_Context!$D$2:$D$64,MATCH($C88,Country_Context!$A$2:$A$64,0)),"")</f>
        <v/>
      </c>
      <c r="AL88" s="11">
        <f>IFERROR(INDEX(Country_Context!$E$2:$E$64,MATCH($C88,Country_Context!$A$2:$A$64,0)),"")</f>
        <v/>
      </c>
      <c r="AM88" s="11">
        <f>IFERROR(INDEX(Country_Context!$F$2:$F$64,MATCH($C88,Country_Context!$A$2:$A$64,0)),"")</f>
        <v/>
      </c>
      <c r="AN88" s="11">
        <f>IFERROR(INDEX(Country_Context!$G$2:$G$64,MATCH($C88,Country_Context!$A$2:$A$64,0)),"")</f>
        <v/>
      </c>
      <c r="AO88" s="12" t="inlineStr">
        <is>
          <t>https://api.worldbank.org/v2/country/MAR/indicator/PA.NUS.PRVT.PP?format=json&amp;mrv=30 | https://api.worldbank.org/v2/country/MAR/indicator/GC.TAX.TOTL.GD.ZS?format=json&amp;mrv=30 | https://api.worldbank.org/v2/country/MAR/indicator/FD.AST.PRVT.GD.ZS?format=json&amp;mrv=30</t>
        </is>
      </c>
      <c r="AP88" s="12" t="inlineStr">
        <is>
          <t>Tier 3</t>
        </is>
      </c>
      <c r="AQ88" s="12" t="inlineStr">
        <is>
          <t>2024-12-31</t>
        </is>
      </c>
      <c r="AR88" s="12" t="inlineStr">
        <is>
          <t>providers=world_bank; fields=ppp_private_consumption, tax_rate_assumption, household_debt_proxy</t>
        </is>
      </c>
      <c r="AS88" s="12" t="inlineStr"/>
      <c r="AT88" s="12" t="inlineStr"/>
      <c r="AU88" s="12" t="inlineStr"/>
      <c r="AV88" s="12" t="inlineStr"/>
      <c r="AW88" s="12" t="inlineStr">
        <is>
          <t>https://api.worldbank.org/v2/country/MAR/indicator/SI.POV.GINI?format=json&amp;mrv=30</t>
        </is>
      </c>
      <c r="AX88" s="12" t="inlineStr">
        <is>
          <t>Tier 3</t>
        </is>
      </c>
      <c r="AY88" s="12" t="inlineStr">
        <is>
          <t>2013-12-31</t>
        </is>
      </c>
      <c r="AZ88" s="12" t="inlineStr">
        <is>
          <t>providers=world_bank; fields=gini_coefficient</t>
        </is>
      </c>
      <c r="BA88" s="12" t="inlineStr"/>
      <c r="BB88" s="12" t="inlineStr"/>
      <c r="BC88" s="12" t="inlineStr"/>
      <c r="BD88" s="12" t="inlineStr"/>
      <c r="BE88" s="12" t="inlineStr">
        <is>
          <t>https://api.worldbank.org/v2/country/MAR/indicator/NY.GDP.PCAP.PP.CD?format=json&amp;mrv=30 | https://api.worldbank.org/v2/country/MAR/indicator/NY.GDP.MKTP.KD.ZG?format=json&amp;mrv=30</t>
        </is>
      </c>
      <c r="BF88" s="12" t="inlineStr">
        <is>
          <t>Tier 3</t>
        </is>
      </c>
      <c r="BG88" s="12" t="inlineStr">
        <is>
          <t>2024-12-31</t>
        </is>
      </c>
      <c r="BH88" s="12" t="inlineStr">
        <is>
          <t>providers=world_bank; fields=gdp_per_capita_ppp, gdp_growth</t>
        </is>
      </c>
    </row>
    <row r="89">
      <c r="A89" s="9" t="inlineStr">
        <is>
          <t>mu-port-louis</t>
        </is>
      </c>
      <c r="B89" s="9" t="inlineStr">
        <is>
          <t>Port Louis</t>
        </is>
      </c>
      <c r="C89" s="9" t="inlineStr">
        <is>
          <t>Mauritius</t>
        </is>
      </c>
      <c r="D89" s="9" t="inlineStr">
        <is>
          <t>Africa</t>
        </is>
      </c>
      <c r="E89" s="9" t="inlineStr">
        <is>
          <t>secondary</t>
        </is>
      </c>
      <c r="F89" s="9" t="inlineStr">
        <is>
          <t>locked</t>
        </is>
      </c>
      <c r="G89" s="10" t="inlineStr"/>
      <c r="H89" s="10" t="inlineStr"/>
      <c r="I89" s="10" t="inlineStr"/>
      <c r="J89" s="10" t="inlineStr"/>
      <c r="K89" s="10" t="inlineStr"/>
      <c r="L89" s="10" t="inlineStr"/>
      <c r="M89" s="11">
        <f>IF(OR($G89="",$H89="",$I89="",$J89="",$K89="",$L89="",$AL89="",$AM89=""),"",((($G89*(1-$AM89))-$H89-$I89-$J89-$K89-$L89)/$AL89))</f>
        <v/>
      </c>
      <c r="N89" s="10" t="inlineStr"/>
      <c r="O89" s="10" t="inlineStr"/>
      <c r="P89" s="11">
        <f>IF($O89&lt;&gt;"",$O89,$AN89)</f>
        <v/>
      </c>
      <c r="Q89" s="10" t="inlineStr"/>
      <c r="R89" s="10" t="inlineStr"/>
      <c r="S89" s="10" t="inlineStr"/>
      <c r="T89" s="10" t="inlineStr"/>
      <c r="U89" s="10" t="inlineStr"/>
      <c r="V89" s="10" t="inlineStr"/>
      <c r="W89" s="10" t="inlineStr"/>
      <c r="X89" s="10" t="inlineStr"/>
      <c r="Y89" s="10" t="inlineStr"/>
      <c r="Z89" s="10" t="inlineStr"/>
      <c r="AA89" s="10" t="inlineStr"/>
      <c r="AB89" s="10" t="inlineStr"/>
      <c r="AC89" s="10" t="inlineStr"/>
      <c r="AD89" s="10" t="inlineStr"/>
      <c r="AE89" s="10" t="inlineStr"/>
      <c r="AF89" s="10" t="inlineStr"/>
      <c r="AG89" s="10" t="inlineStr"/>
      <c r="AH89" s="10" t="inlineStr"/>
      <c r="AI89" s="11">
        <f>IFERROR(INDEX(Country_Context!$B$2:$B$64,MATCH($C89,Country_Context!$A$2:$A$64,0)),"")</f>
        <v/>
      </c>
      <c r="AJ89" s="11">
        <f>IFERROR(INDEX(Country_Context!$C$2:$C$64,MATCH($C89,Country_Context!$A$2:$A$64,0)),"")</f>
        <v/>
      </c>
      <c r="AK89" s="11">
        <f>IFERROR(INDEX(Country_Context!$D$2:$D$64,MATCH($C89,Country_Context!$A$2:$A$64,0)),"")</f>
        <v/>
      </c>
      <c r="AL89" s="11">
        <f>IFERROR(INDEX(Country_Context!$E$2:$E$64,MATCH($C89,Country_Context!$A$2:$A$64,0)),"")</f>
        <v/>
      </c>
      <c r="AM89" s="11">
        <f>IFERROR(INDEX(Country_Context!$F$2:$F$64,MATCH($C89,Country_Context!$A$2:$A$64,0)),"")</f>
        <v/>
      </c>
      <c r="AN89" s="11">
        <f>IFERROR(INDEX(Country_Context!$G$2:$G$64,MATCH($C89,Country_Context!$A$2:$A$64,0)),"")</f>
        <v/>
      </c>
      <c r="AO89" s="12" t="inlineStr">
        <is>
          <t>https://api.worldbank.org/v2/country/MUS/indicator/PA.NUS.PRVT.PP?format=json&amp;mrv=30 | https://api.worldbank.org/v2/country/MUS/indicator/GC.TAX.TOTL.GD.ZS?format=json&amp;mrv=30 | https://api.worldbank.org/v2/country/MUS/indicator/FD.AST.PRVT.GD.ZS?format=json&amp;mrv=30</t>
        </is>
      </c>
      <c r="AP89" s="12" t="inlineStr">
        <is>
          <t>Tier 3</t>
        </is>
      </c>
      <c r="AQ89" s="12" t="inlineStr">
        <is>
          <t>2024-12-31</t>
        </is>
      </c>
      <c r="AR89" s="12" t="inlineStr">
        <is>
          <t>providers=world_bank; fields=ppp_private_consumption, tax_rate_assumption, household_debt_proxy</t>
        </is>
      </c>
      <c r="AS89" s="12" t="inlineStr"/>
      <c r="AT89" s="12" t="inlineStr"/>
      <c r="AU89" s="12" t="inlineStr"/>
      <c r="AV89" s="12" t="inlineStr"/>
      <c r="AW89" s="12" t="inlineStr">
        <is>
          <t>https://api.worldbank.org/v2/country/MUS/indicator/SI.POV.GINI?format=json&amp;mrv=30</t>
        </is>
      </c>
      <c r="AX89" s="12" t="inlineStr">
        <is>
          <t>Tier 3</t>
        </is>
      </c>
      <c r="AY89" s="12" t="inlineStr">
        <is>
          <t>2017-12-31</t>
        </is>
      </c>
      <c r="AZ89" s="12" t="inlineStr">
        <is>
          <t>providers=world_bank; fields=gini_coefficient</t>
        </is>
      </c>
      <c r="BA89" s="12" t="inlineStr"/>
      <c r="BB89" s="12" t="inlineStr"/>
      <c r="BC89" s="12" t="inlineStr"/>
      <c r="BD89" s="12" t="inlineStr"/>
      <c r="BE89" s="12" t="inlineStr">
        <is>
          <t>https://api.worldbank.org/v2/country/MUS/indicator/NY.GDP.PCAP.PP.CD?format=json&amp;mrv=30 | https://api.worldbank.org/v2/country/MUS/indicator/NY.GDP.MKTP.KD.ZG?format=json&amp;mrv=30</t>
        </is>
      </c>
      <c r="BF89" s="12" t="inlineStr">
        <is>
          <t>Tier 3</t>
        </is>
      </c>
      <c r="BG89" s="12" t="inlineStr">
        <is>
          <t>2024-12-31</t>
        </is>
      </c>
      <c r="BH89" s="12" t="inlineStr">
        <is>
          <t>providers=world_bank; fields=gdp_per_capita_ppp, gdp_growth</t>
        </is>
      </c>
    </row>
    <row r="90">
      <c r="A90" s="9" t="inlineStr">
        <is>
          <t>bw-gaborone</t>
        </is>
      </c>
      <c r="B90" s="9" t="inlineStr">
        <is>
          <t>Gaborone</t>
        </is>
      </c>
      <c r="C90" s="9" t="inlineStr">
        <is>
          <t>Botswana</t>
        </is>
      </c>
      <c r="D90" s="9" t="inlineStr">
        <is>
          <t>Africa</t>
        </is>
      </c>
      <c r="E90" s="9" t="inlineStr">
        <is>
          <t>secondary</t>
        </is>
      </c>
      <c r="F90" s="9" t="inlineStr">
        <is>
          <t>locked</t>
        </is>
      </c>
      <c r="G90" s="10" t="inlineStr"/>
      <c r="H90" s="10" t="inlineStr"/>
      <c r="I90" s="10" t="inlineStr"/>
      <c r="J90" s="10" t="inlineStr"/>
      <c r="K90" s="10" t="inlineStr"/>
      <c r="L90" s="10" t="inlineStr"/>
      <c r="M90" s="11">
        <f>IF(OR($G90="",$H90="",$I90="",$J90="",$K90="",$L90="",$AL90="",$AM90=""),"",((($G90*(1-$AM90))-$H90-$I90-$J90-$K90-$L90)/$AL90))</f>
        <v/>
      </c>
      <c r="N90" s="10" t="inlineStr"/>
      <c r="O90" s="10" t="inlineStr"/>
      <c r="P90" s="11">
        <f>IF($O90&lt;&gt;"",$O90,$AN90)</f>
        <v/>
      </c>
      <c r="Q90" s="10" t="inlineStr"/>
      <c r="R90" s="10" t="inlineStr"/>
      <c r="S90" s="10" t="inlineStr"/>
      <c r="T90" s="10" t="inlineStr"/>
      <c r="U90" s="10" t="inlineStr"/>
      <c r="V90" s="10" t="inlineStr"/>
      <c r="W90" s="10" t="inlineStr"/>
      <c r="X90" s="10" t="inlineStr"/>
      <c r="Y90" s="10" t="inlineStr"/>
      <c r="Z90" s="10" t="inlineStr"/>
      <c r="AA90" s="10" t="inlineStr"/>
      <c r="AB90" s="10" t="inlineStr"/>
      <c r="AC90" s="10" t="inlineStr"/>
      <c r="AD90" s="10" t="inlineStr"/>
      <c r="AE90" s="10" t="inlineStr"/>
      <c r="AF90" s="10" t="inlineStr"/>
      <c r="AG90" s="10" t="inlineStr"/>
      <c r="AH90" s="10" t="inlineStr"/>
      <c r="AI90" s="11">
        <f>IFERROR(INDEX(Country_Context!$B$2:$B$64,MATCH($C90,Country_Context!$A$2:$A$64,0)),"")</f>
        <v/>
      </c>
      <c r="AJ90" s="11">
        <f>IFERROR(INDEX(Country_Context!$C$2:$C$64,MATCH($C90,Country_Context!$A$2:$A$64,0)),"")</f>
        <v/>
      </c>
      <c r="AK90" s="11">
        <f>IFERROR(INDEX(Country_Context!$D$2:$D$64,MATCH($C90,Country_Context!$A$2:$A$64,0)),"")</f>
        <v/>
      </c>
      <c r="AL90" s="11">
        <f>IFERROR(INDEX(Country_Context!$E$2:$E$64,MATCH($C90,Country_Context!$A$2:$A$64,0)),"")</f>
        <v/>
      </c>
      <c r="AM90" s="11">
        <f>IFERROR(INDEX(Country_Context!$F$2:$F$64,MATCH($C90,Country_Context!$A$2:$A$64,0)),"")</f>
        <v/>
      </c>
      <c r="AN90" s="11">
        <f>IFERROR(INDEX(Country_Context!$G$2:$G$64,MATCH($C90,Country_Context!$A$2:$A$64,0)),"")</f>
        <v/>
      </c>
      <c r="AO90" s="12" t="inlineStr">
        <is>
          <t>https://api.worldbank.org/v2/country/BWA/indicator/PA.NUS.PRVT.PP?format=json&amp;mrv=30 | https://api.worldbank.org/v2/country/BWA/indicator/GC.TAX.TOTL.GD.ZS?format=json&amp;mrv=30 | https://api.worldbank.org/v2/country/BWA/indicator/FD.AST.PRVT.GD.ZS?format=json&amp;mrv=30</t>
        </is>
      </c>
      <c r="AP90" s="12" t="inlineStr">
        <is>
          <t>Tier 3</t>
        </is>
      </c>
      <c r="AQ90" s="12" t="inlineStr">
        <is>
          <t>2024-12-31</t>
        </is>
      </c>
      <c r="AR90" s="12" t="inlineStr">
        <is>
          <t>providers=world_bank; fields=ppp_private_consumption, tax_rate_assumption, household_debt_proxy</t>
        </is>
      </c>
      <c r="AS90" s="12" t="inlineStr"/>
      <c r="AT90" s="12" t="inlineStr"/>
      <c r="AU90" s="12" t="inlineStr"/>
      <c r="AV90" s="12" t="inlineStr"/>
      <c r="AW90" s="12" t="inlineStr">
        <is>
          <t>https://api.worldbank.org/v2/country/BWA/indicator/SI.POV.GINI?format=json&amp;mrv=30</t>
        </is>
      </c>
      <c r="AX90" s="12" t="inlineStr">
        <is>
          <t>Tier 3</t>
        </is>
      </c>
      <c r="AY90" s="12" t="inlineStr">
        <is>
          <t>2015-12-31</t>
        </is>
      </c>
      <c r="AZ90" s="12" t="inlineStr">
        <is>
          <t>providers=world_bank; fields=gini_coefficient</t>
        </is>
      </c>
      <c r="BA90" s="12" t="inlineStr"/>
      <c r="BB90" s="12" t="inlineStr"/>
      <c r="BC90" s="12" t="inlineStr"/>
      <c r="BD90" s="12" t="inlineStr"/>
      <c r="BE90" s="12" t="inlineStr">
        <is>
          <t>https://api.worldbank.org/v2/country/BWA/indicator/NY.GDP.PCAP.PP.CD?format=json&amp;mrv=30 | https://api.worldbank.org/v2/country/BWA/indicator/NY.GDP.MKTP.KD.ZG?format=json&amp;mrv=30</t>
        </is>
      </c>
      <c r="BF90" s="12" t="inlineStr">
        <is>
          <t>Tier 3</t>
        </is>
      </c>
      <c r="BG90" s="12" t="inlineStr">
        <is>
          <t>2024-12-31</t>
        </is>
      </c>
      <c r="BH90" s="12" t="inlineStr">
        <is>
          <t>providers=world_bank; fields=gdp_per_capita_ppp, gdp_growth</t>
        </is>
      </c>
    </row>
    <row r="91">
      <c r="A91" s="9" t="inlineStr">
        <is>
          <t>na-windhoek</t>
        </is>
      </c>
      <c r="B91" s="9" t="inlineStr">
        <is>
          <t>Windhoek</t>
        </is>
      </c>
      <c r="C91" s="9" t="inlineStr">
        <is>
          <t>Namibia</t>
        </is>
      </c>
      <c r="D91" s="9" t="inlineStr">
        <is>
          <t>Africa</t>
        </is>
      </c>
      <c r="E91" s="9" t="inlineStr">
        <is>
          <t>secondary</t>
        </is>
      </c>
      <c r="F91" s="9" t="inlineStr">
        <is>
          <t>locked</t>
        </is>
      </c>
      <c r="G91" s="10" t="inlineStr"/>
      <c r="H91" s="10" t="inlineStr"/>
      <c r="I91" s="10" t="inlineStr"/>
      <c r="J91" s="10" t="inlineStr"/>
      <c r="K91" s="10" t="inlineStr"/>
      <c r="L91" s="10" t="inlineStr"/>
      <c r="M91" s="11">
        <f>IF(OR($G91="",$H91="",$I91="",$J91="",$K91="",$L91="",$AL91="",$AM91=""),"",((($G91*(1-$AM91))-$H91-$I91-$J91-$K91-$L91)/$AL91))</f>
        <v/>
      </c>
      <c r="N91" s="10" t="inlineStr"/>
      <c r="O91" s="10" t="inlineStr"/>
      <c r="P91" s="11">
        <f>IF($O91&lt;&gt;"",$O91,$AN91)</f>
        <v/>
      </c>
      <c r="Q91" s="10" t="inlineStr"/>
      <c r="R91" s="10" t="inlineStr"/>
      <c r="S91" s="10" t="inlineStr"/>
      <c r="T91" s="10" t="inlineStr"/>
      <c r="U91" s="10" t="inlineStr"/>
      <c r="V91" s="10" t="inlineStr"/>
      <c r="W91" s="10" t="inlineStr"/>
      <c r="X91" s="10" t="inlineStr"/>
      <c r="Y91" s="10" t="inlineStr"/>
      <c r="Z91" s="10" t="inlineStr"/>
      <c r="AA91" s="10" t="inlineStr"/>
      <c r="AB91" s="10" t="inlineStr"/>
      <c r="AC91" s="10" t="inlineStr"/>
      <c r="AD91" s="10" t="inlineStr"/>
      <c r="AE91" s="10" t="inlineStr"/>
      <c r="AF91" s="10" t="inlineStr"/>
      <c r="AG91" s="10" t="inlineStr"/>
      <c r="AH91" s="10" t="inlineStr"/>
      <c r="AI91" s="11">
        <f>IFERROR(INDEX(Country_Context!$B$2:$B$64,MATCH($C91,Country_Context!$A$2:$A$64,0)),"")</f>
        <v/>
      </c>
      <c r="AJ91" s="11">
        <f>IFERROR(INDEX(Country_Context!$C$2:$C$64,MATCH($C91,Country_Context!$A$2:$A$64,0)),"")</f>
        <v/>
      </c>
      <c r="AK91" s="11">
        <f>IFERROR(INDEX(Country_Context!$D$2:$D$64,MATCH($C91,Country_Context!$A$2:$A$64,0)),"")</f>
        <v/>
      </c>
      <c r="AL91" s="11">
        <f>IFERROR(INDEX(Country_Context!$E$2:$E$64,MATCH($C91,Country_Context!$A$2:$A$64,0)),"")</f>
        <v/>
      </c>
      <c r="AM91" s="11">
        <f>IFERROR(INDEX(Country_Context!$F$2:$F$64,MATCH($C91,Country_Context!$A$2:$A$64,0)),"")</f>
        <v/>
      </c>
      <c r="AN91" s="11">
        <f>IFERROR(INDEX(Country_Context!$G$2:$G$64,MATCH($C91,Country_Context!$A$2:$A$64,0)),"")</f>
        <v/>
      </c>
      <c r="AO91" s="12" t="inlineStr">
        <is>
          <t>https://api.worldbank.org/v2/country/NAM/indicator/PA.NUS.PRVT.PP?format=json&amp;mrv=30 | https://api.worldbank.org/v2/country/NAM/indicator/GC.TAX.TOTL.GD.ZS?format=json&amp;mrv=30 | https://api.worldbank.org/v2/country/NAM/indicator/FD.AST.PRVT.GD.ZS?format=json&amp;mrv=30</t>
        </is>
      </c>
      <c r="AP91" s="12" t="inlineStr">
        <is>
          <t>Tier 3</t>
        </is>
      </c>
      <c r="AQ91" s="12" t="inlineStr">
        <is>
          <t>2024-12-31</t>
        </is>
      </c>
      <c r="AR91" s="12" t="inlineStr">
        <is>
          <t>providers=world_bank; fields=ppp_private_consumption, tax_rate_assumption, household_debt_proxy</t>
        </is>
      </c>
      <c r="AS91" s="12" t="inlineStr"/>
      <c r="AT91" s="12" t="inlineStr"/>
      <c r="AU91" s="12" t="inlineStr"/>
      <c r="AV91" s="12" t="inlineStr"/>
      <c r="AW91" s="12" t="inlineStr">
        <is>
          <t>https://api.worldbank.org/v2/country/NAM/indicator/SI.POV.GINI?format=json&amp;mrv=30</t>
        </is>
      </c>
      <c r="AX91" s="12" t="inlineStr">
        <is>
          <t>Tier 3</t>
        </is>
      </c>
      <c r="AY91" s="12" t="inlineStr">
        <is>
          <t>2015-12-31</t>
        </is>
      </c>
      <c r="AZ91" s="12" t="inlineStr">
        <is>
          <t>providers=world_bank; fields=gini_coefficient</t>
        </is>
      </c>
      <c r="BA91" s="12" t="inlineStr"/>
      <c r="BB91" s="12" t="inlineStr"/>
      <c r="BC91" s="12" t="inlineStr"/>
      <c r="BD91" s="12" t="inlineStr"/>
      <c r="BE91" s="12" t="inlineStr">
        <is>
          <t>https://api.worldbank.org/v2/country/NAM/indicator/NY.GDP.PCAP.PP.CD?format=json&amp;mrv=30 | https://api.worldbank.org/v2/country/NAM/indicator/NY.GDP.MKTP.KD.ZG?format=json&amp;mrv=30</t>
        </is>
      </c>
      <c r="BF91" s="12" t="inlineStr">
        <is>
          <t>Tier 3</t>
        </is>
      </c>
      <c r="BG91" s="12" t="inlineStr">
        <is>
          <t>2024-12-31</t>
        </is>
      </c>
      <c r="BH91" s="12" t="inlineStr">
        <is>
          <t>providers=world_bank; fields=gdp_per_capita_ppp, gdp_growth</t>
        </is>
      </c>
    </row>
    <row r="92">
      <c r="A92" s="9" t="inlineStr">
        <is>
          <t>gh-accra</t>
        </is>
      </c>
      <c r="B92" s="9" t="inlineStr">
        <is>
          <t>Accra</t>
        </is>
      </c>
      <c r="C92" s="9" t="inlineStr">
        <is>
          <t>Ghana</t>
        </is>
      </c>
      <c r="D92" s="9" t="inlineStr">
        <is>
          <t>Africa</t>
        </is>
      </c>
      <c r="E92" s="9" t="inlineStr">
        <is>
          <t>secondary</t>
        </is>
      </c>
      <c r="F92" s="9" t="inlineStr">
        <is>
          <t>locked</t>
        </is>
      </c>
      <c r="G92" s="10" t="inlineStr"/>
      <c r="H92" s="10" t="inlineStr"/>
      <c r="I92" s="10" t="inlineStr"/>
      <c r="J92" s="10" t="inlineStr"/>
      <c r="K92" s="10" t="inlineStr"/>
      <c r="L92" s="10" t="inlineStr"/>
      <c r="M92" s="11">
        <f>IF(OR($G92="",$H92="",$I92="",$J92="",$K92="",$L92="",$AL92="",$AM92=""),"",((($G92*(1-$AM92))-$H92-$I92-$J92-$K92-$L92)/$AL92))</f>
        <v/>
      </c>
      <c r="N92" s="10" t="inlineStr"/>
      <c r="O92" s="10" t="inlineStr"/>
      <c r="P92" s="11">
        <f>IF($O92&lt;&gt;"",$O92,$AN92)</f>
        <v/>
      </c>
      <c r="Q92" s="10" t="inlineStr"/>
      <c r="R92" s="10" t="inlineStr"/>
      <c r="S92" s="10" t="inlineStr"/>
      <c r="T92" s="10" t="inlineStr"/>
      <c r="U92" s="10" t="inlineStr"/>
      <c r="V92" s="10" t="inlineStr"/>
      <c r="W92" s="10" t="inlineStr"/>
      <c r="X92" s="10" t="inlineStr"/>
      <c r="Y92" s="10" t="inlineStr"/>
      <c r="Z92" s="10" t="inlineStr"/>
      <c r="AA92" s="10" t="inlineStr"/>
      <c r="AB92" s="10" t="inlineStr"/>
      <c r="AC92" s="10" t="inlineStr"/>
      <c r="AD92" s="10" t="inlineStr"/>
      <c r="AE92" s="10" t="inlineStr"/>
      <c r="AF92" s="10" t="inlineStr"/>
      <c r="AG92" s="10" t="inlineStr"/>
      <c r="AH92" s="10" t="inlineStr"/>
      <c r="AI92" s="11">
        <f>IFERROR(INDEX(Country_Context!$B$2:$B$64,MATCH($C92,Country_Context!$A$2:$A$64,0)),"")</f>
        <v/>
      </c>
      <c r="AJ92" s="11">
        <f>IFERROR(INDEX(Country_Context!$C$2:$C$64,MATCH($C92,Country_Context!$A$2:$A$64,0)),"")</f>
        <v/>
      </c>
      <c r="AK92" s="11">
        <f>IFERROR(INDEX(Country_Context!$D$2:$D$64,MATCH($C92,Country_Context!$A$2:$A$64,0)),"")</f>
        <v/>
      </c>
      <c r="AL92" s="11">
        <f>IFERROR(INDEX(Country_Context!$E$2:$E$64,MATCH($C92,Country_Context!$A$2:$A$64,0)),"")</f>
        <v/>
      </c>
      <c r="AM92" s="11">
        <f>IFERROR(INDEX(Country_Context!$F$2:$F$64,MATCH($C92,Country_Context!$A$2:$A$64,0)),"")</f>
        <v/>
      </c>
      <c r="AN92" s="11">
        <f>IFERROR(INDEX(Country_Context!$G$2:$G$64,MATCH($C92,Country_Context!$A$2:$A$64,0)),"")</f>
        <v/>
      </c>
      <c r="AO92" s="12" t="inlineStr">
        <is>
          <t>https://api.worldbank.org/v2/country/GHA/indicator/PA.NUS.PRVT.PP?format=json&amp;mrv=30 | https://api.worldbank.org/v2/country/GHA/indicator/GC.TAX.TOTL.GD.ZS?format=json&amp;mrv=30 | https://api.worldbank.org/v2/country/GHA/indicator/FD.AST.PRVT.GD.ZS?format=json&amp;mrv=30</t>
        </is>
      </c>
      <c r="AP92" s="12" t="inlineStr">
        <is>
          <t>Tier 3</t>
        </is>
      </c>
      <c r="AQ92" s="12" t="inlineStr">
        <is>
          <t>2024-12-31</t>
        </is>
      </c>
      <c r="AR92" s="12" t="inlineStr">
        <is>
          <t>providers=world_bank; fields=ppp_private_consumption, tax_rate_assumption, household_debt_proxy</t>
        </is>
      </c>
      <c r="AS92" s="12" t="inlineStr"/>
      <c r="AT92" s="12" t="inlineStr"/>
      <c r="AU92" s="12" t="inlineStr"/>
      <c r="AV92" s="12" t="inlineStr"/>
      <c r="AW92" s="12" t="inlineStr">
        <is>
          <t>https://api.worldbank.org/v2/country/GHA/indicator/SI.POV.GINI?format=json&amp;mrv=30</t>
        </is>
      </c>
      <c r="AX92" s="12" t="inlineStr">
        <is>
          <t>Tier 3</t>
        </is>
      </c>
      <c r="AY92" s="12" t="inlineStr">
        <is>
          <t>2016-12-31</t>
        </is>
      </c>
      <c r="AZ92" s="12" t="inlineStr">
        <is>
          <t>providers=world_bank; fields=gini_coefficient</t>
        </is>
      </c>
      <c r="BA92" s="12" t="inlineStr"/>
      <c r="BB92" s="12" t="inlineStr"/>
      <c r="BC92" s="12" t="inlineStr"/>
      <c r="BD92" s="12" t="inlineStr"/>
      <c r="BE92" s="12" t="inlineStr">
        <is>
          <t>https://api.worldbank.org/v2/country/GHA/indicator/NY.GDP.PCAP.PP.CD?format=json&amp;mrv=30 | https://api.worldbank.org/v2/country/GHA/indicator/NY.GDP.MKTP.KD.ZG?format=json&amp;mrv=30</t>
        </is>
      </c>
      <c r="BF92" s="12" t="inlineStr">
        <is>
          <t>Tier 3</t>
        </is>
      </c>
      <c r="BG92" s="12" t="inlineStr">
        <is>
          <t>2024-12-31</t>
        </is>
      </c>
      <c r="BH92" s="12" t="inlineStr">
        <is>
          <t>providers=world_bank; fields=gdp_per_capita_ppp, gdp_growth</t>
        </is>
      </c>
    </row>
    <row r="93">
      <c r="A93" s="9" t="inlineStr">
        <is>
          <t>sn-dakar</t>
        </is>
      </c>
      <c r="B93" s="9" t="inlineStr">
        <is>
          <t>Dakar</t>
        </is>
      </c>
      <c r="C93" s="9" t="inlineStr">
        <is>
          <t>Senegal</t>
        </is>
      </c>
      <c r="D93" s="9" t="inlineStr">
        <is>
          <t>Africa</t>
        </is>
      </c>
      <c r="E93" s="9" t="inlineStr">
        <is>
          <t>secondary</t>
        </is>
      </c>
      <c r="F93" s="9" t="inlineStr">
        <is>
          <t>provisional</t>
        </is>
      </c>
      <c r="G93" s="10" t="inlineStr"/>
      <c r="H93" s="10" t="inlineStr"/>
      <c r="I93" s="10" t="inlineStr"/>
      <c r="J93" s="10" t="inlineStr"/>
      <c r="K93" s="10" t="inlineStr"/>
      <c r="L93" s="10" t="inlineStr"/>
      <c r="M93" s="11">
        <f>IF(OR($G93="",$H93="",$I93="",$J93="",$K93="",$L93="",$AL93="",$AM93=""),"",((($G93*(1-$AM93))-$H93-$I93-$J93-$K93-$L93)/$AL93))</f>
        <v/>
      </c>
      <c r="N93" s="10" t="inlineStr"/>
      <c r="O93" s="10" t="inlineStr"/>
      <c r="P93" s="11">
        <f>IF($O93&lt;&gt;"",$O93,$AN93)</f>
        <v/>
      </c>
      <c r="Q93" s="10" t="inlineStr"/>
      <c r="R93" s="10" t="inlineStr"/>
      <c r="S93" s="10" t="inlineStr"/>
      <c r="T93" s="10" t="inlineStr"/>
      <c r="U93" s="10" t="inlineStr"/>
      <c r="V93" s="10" t="inlineStr"/>
      <c r="W93" s="10" t="inlineStr"/>
      <c r="X93" s="10" t="inlineStr"/>
      <c r="Y93" s="10" t="inlineStr"/>
      <c r="Z93" s="10" t="inlineStr"/>
      <c r="AA93" s="10" t="inlineStr"/>
      <c r="AB93" s="10" t="inlineStr"/>
      <c r="AC93" s="10" t="inlineStr"/>
      <c r="AD93" s="10" t="inlineStr"/>
      <c r="AE93" s="10" t="inlineStr"/>
      <c r="AF93" s="10" t="inlineStr"/>
      <c r="AG93" s="10" t="inlineStr"/>
      <c r="AH93" s="10" t="inlineStr"/>
      <c r="AI93" s="11">
        <f>IFERROR(INDEX(Country_Context!$B$2:$B$64,MATCH($C93,Country_Context!$A$2:$A$64,0)),"")</f>
        <v/>
      </c>
      <c r="AJ93" s="11">
        <f>IFERROR(INDEX(Country_Context!$C$2:$C$64,MATCH($C93,Country_Context!$A$2:$A$64,0)),"")</f>
        <v/>
      </c>
      <c r="AK93" s="11">
        <f>IFERROR(INDEX(Country_Context!$D$2:$D$64,MATCH($C93,Country_Context!$A$2:$A$64,0)),"")</f>
        <v/>
      </c>
      <c r="AL93" s="11">
        <f>IFERROR(INDEX(Country_Context!$E$2:$E$64,MATCH($C93,Country_Context!$A$2:$A$64,0)),"")</f>
        <v/>
      </c>
      <c r="AM93" s="11">
        <f>IFERROR(INDEX(Country_Context!$F$2:$F$64,MATCH($C93,Country_Context!$A$2:$A$64,0)),"")</f>
        <v/>
      </c>
      <c r="AN93" s="11">
        <f>IFERROR(INDEX(Country_Context!$G$2:$G$64,MATCH($C93,Country_Context!$A$2:$A$64,0)),"")</f>
        <v/>
      </c>
      <c r="AO93" s="12" t="inlineStr">
        <is>
          <t>https://api.worldbank.org/v2/country/SEN/indicator/PA.NUS.PRVT.PP?format=json&amp;mrv=30 | https://api.worldbank.org/v2/country/SEN/indicator/GC.TAX.TOTL.GD.ZS?format=json&amp;mrv=30 | https://api.worldbank.org/v2/country/SEN/indicator/FD.AST.PRVT.GD.ZS?format=json&amp;mrv=30</t>
        </is>
      </c>
      <c r="AP93" s="12" t="inlineStr">
        <is>
          <t>Tier 3</t>
        </is>
      </c>
      <c r="AQ93" s="12" t="inlineStr">
        <is>
          <t>2024-12-31</t>
        </is>
      </c>
      <c r="AR93" s="12" t="inlineStr">
        <is>
          <t>providers=world_bank; fields=ppp_private_consumption, tax_rate_assumption, household_debt_proxy</t>
        </is>
      </c>
      <c r="AS93" s="12" t="inlineStr"/>
      <c r="AT93" s="12" t="inlineStr"/>
      <c r="AU93" s="12" t="inlineStr"/>
      <c r="AV93" s="12" t="inlineStr"/>
      <c r="AW93" s="12" t="inlineStr">
        <is>
          <t>https://api.worldbank.org/v2/country/SEN/indicator/SI.POV.GINI?format=json&amp;mrv=30</t>
        </is>
      </c>
      <c r="AX93" s="12" t="inlineStr">
        <is>
          <t>Tier 3</t>
        </is>
      </c>
      <c r="AY93" s="12" t="inlineStr">
        <is>
          <t>2021-12-31</t>
        </is>
      </c>
      <c r="AZ93" s="12" t="inlineStr">
        <is>
          <t>providers=world_bank; fields=gini_coefficient</t>
        </is>
      </c>
      <c r="BA93" s="12" t="inlineStr"/>
      <c r="BB93" s="12" t="inlineStr"/>
      <c r="BC93" s="12" t="inlineStr"/>
      <c r="BD93" s="12" t="inlineStr"/>
      <c r="BE93" s="12" t="inlineStr">
        <is>
          <t>https://api.worldbank.org/v2/country/SEN/indicator/NY.GDP.PCAP.PP.CD?format=json&amp;mrv=30 | https://api.worldbank.org/v2/country/SEN/indicator/NY.GDP.MKTP.KD.ZG?format=json&amp;mrv=30</t>
        </is>
      </c>
      <c r="BF93" s="12" t="inlineStr">
        <is>
          <t>Tier 3</t>
        </is>
      </c>
      <c r="BG93" s="12" t="inlineStr">
        <is>
          <t>2024-12-31</t>
        </is>
      </c>
      <c r="BH93" s="12" t="inlineStr">
        <is>
          <t>providers=world_bank; fields=gdp_per_capita_ppp, gdp_growth</t>
        </is>
      </c>
    </row>
    <row r="94">
      <c r="A94" s="9" t="inlineStr">
        <is>
          <t>nz-auckland</t>
        </is>
      </c>
      <c r="B94" s="9" t="inlineStr">
        <is>
          <t>Auckland</t>
        </is>
      </c>
      <c r="C94" s="9" t="inlineStr">
        <is>
          <t>New Zealand</t>
        </is>
      </c>
      <c r="D94" s="9" t="inlineStr">
        <is>
          <t>Oceania</t>
        </is>
      </c>
      <c r="E94" s="9" t="inlineStr">
        <is>
          <t>primary</t>
        </is>
      </c>
      <c r="F94" s="9" t="inlineStr">
        <is>
          <t>locked</t>
        </is>
      </c>
      <c r="G94" s="10" t="inlineStr"/>
      <c r="H94" s="10" t="inlineStr"/>
      <c r="I94" s="10" t="inlineStr"/>
      <c r="J94" s="10" t="inlineStr"/>
      <c r="K94" s="10" t="inlineStr"/>
      <c r="L94" s="10" t="inlineStr"/>
      <c r="M94" s="11">
        <f>IF(OR($G94="",$H94="",$I94="",$J94="",$K94="",$L94="",$AL94="",$AM94=""),"",((($G94*(1-$AM94))-$H94-$I94-$J94-$K94-$L94)/$AL94))</f>
        <v/>
      </c>
      <c r="N94" s="10" t="inlineStr"/>
      <c r="O94" s="10" t="inlineStr"/>
      <c r="P94" s="11">
        <f>IF($O94&lt;&gt;"",$O94,$AN94)</f>
        <v/>
      </c>
      <c r="Q94" s="10" t="inlineStr"/>
      <c r="R94" s="10" t="inlineStr"/>
      <c r="S94" s="10" t="inlineStr"/>
      <c r="T94" s="10" t="inlineStr"/>
      <c r="U94" s="10" t="inlineStr"/>
      <c r="V94" s="10" t="inlineStr"/>
      <c r="W94" s="10" t="inlineStr"/>
      <c r="X94" s="10" t="inlineStr"/>
      <c r="Y94" s="10" t="inlineStr"/>
      <c r="Z94" s="10" t="inlineStr"/>
      <c r="AA94" s="10" t="inlineStr"/>
      <c r="AB94" s="10" t="inlineStr"/>
      <c r="AC94" s="10" t="inlineStr"/>
      <c r="AD94" s="10" t="inlineStr"/>
      <c r="AE94" s="10" t="inlineStr"/>
      <c r="AF94" s="10" t="inlineStr"/>
      <c r="AG94" s="10" t="inlineStr"/>
      <c r="AH94" s="10" t="inlineStr"/>
      <c r="AI94" s="11">
        <f>IFERROR(INDEX(Country_Context!$B$2:$B$64,MATCH($C94,Country_Context!$A$2:$A$64,0)),"")</f>
        <v/>
      </c>
      <c r="AJ94" s="11">
        <f>IFERROR(INDEX(Country_Context!$C$2:$C$64,MATCH($C94,Country_Context!$A$2:$A$64,0)),"")</f>
        <v/>
      </c>
      <c r="AK94" s="11">
        <f>IFERROR(INDEX(Country_Context!$D$2:$D$64,MATCH($C94,Country_Context!$A$2:$A$64,0)),"")</f>
        <v/>
      </c>
      <c r="AL94" s="11">
        <f>IFERROR(INDEX(Country_Context!$E$2:$E$64,MATCH($C94,Country_Context!$A$2:$A$64,0)),"")</f>
        <v/>
      </c>
      <c r="AM94" s="11">
        <f>IFERROR(INDEX(Country_Context!$F$2:$F$64,MATCH($C94,Country_Context!$A$2:$A$64,0)),"")</f>
        <v/>
      </c>
      <c r="AN94" s="11">
        <f>IFERROR(INDEX(Country_Context!$G$2:$G$64,MATCH($C94,Country_Context!$A$2:$A$64,0)),"")</f>
        <v/>
      </c>
      <c r="AO94" s="12" t="inlineStr">
        <is>
          <t>https://api.worldbank.org/v2/country/NZL/indicator/PA.NUS.PRVT.PP?format=json&amp;mrv=30 | https://api.worldbank.org/v2/country/NZL/indicator/GC.TAX.TOTL.GD.ZS?format=json&amp;mrv=30 | https://api.worldbank.org/v2/country/NZL/indicator/FD.AST.PRVT.GD.ZS?format=json&amp;mrv=30</t>
        </is>
      </c>
      <c r="AP94" s="12" t="inlineStr">
        <is>
          <t>Tier 3</t>
        </is>
      </c>
      <c r="AQ94" s="12" t="inlineStr">
        <is>
          <t>2024-12-31</t>
        </is>
      </c>
      <c r="AR94" s="12" t="inlineStr">
        <is>
          <t>providers=world_bank; fields=ppp_private_consumption, tax_rate_assumption, household_debt_proxy</t>
        </is>
      </c>
      <c r="AS94" s="12" t="inlineStr"/>
      <c r="AT94" s="12" t="inlineStr"/>
      <c r="AU94" s="12" t="inlineStr"/>
      <c r="AV94" s="12" t="inlineStr"/>
      <c r="AW94" s="12" t="inlineStr"/>
      <c r="AX94" s="12" t="inlineStr"/>
      <c r="AY94" s="12" t="inlineStr"/>
      <c r="AZ94" s="12" t="inlineStr"/>
      <c r="BA94" s="12" t="inlineStr"/>
      <c r="BB94" s="12" t="inlineStr"/>
      <c r="BC94" s="12" t="inlineStr"/>
      <c r="BD94" s="12" t="inlineStr"/>
      <c r="BE94" s="12" t="inlineStr">
        <is>
          <t>https://api.worldbank.org/v2/country/NZL/indicator/NY.GDP.PCAP.PP.CD?format=json&amp;mrv=30 | https://api.worldbank.org/v2/country/NZL/indicator/NY.GDP.MKTP.KD.ZG?format=json&amp;mrv=30</t>
        </is>
      </c>
      <c r="BF94" s="12" t="inlineStr">
        <is>
          <t>Tier 3</t>
        </is>
      </c>
      <c r="BG94" s="12" t="inlineStr">
        <is>
          <t>2024-12-31</t>
        </is>
      </c>
      <c r="BH94" s="12" t="inlineStr">
        <is>
          <t>providers=world_bank; fields=gdp_per_capita_ppp, gdp_growth</t>
        </is>
      </c>
    </row>
    <row r="95">
      <c r="A95" s="9" t="inlineStr">
        <is>
          <t>au-sydney</t>
        </is>
      </c>
      <c r="B95" s="9" t="inlineStr">
        <is>
          <t>Sydney</t>
        </is>
      </c>
      <c r="C95" s="9" t="inlineStr">
        <is>
          <t>Australia</t>
        </is>
      </c>
      <c r="D95" s="9" t="inlineStr">
        <is>
          <t>Oceania</t>
        </is>
      </c>
      <c r="E95" s="9" t="inlineStr">
        <is>
          <t>primary</t>
        </is>
      </c>
      <c r="F95" s="9" t="inlineStr">
        <is>
          <t>provisional</t>
        </is>
      </c>
      <c r="G95" s="10" t="inlineStr"/>
      <c r="H95" s="10" t="inlineStr"/>
      <c r="I95" s="10" t="inlineStr"/>
      <c r="J95" s="10" t="inlineStr"/>
      <c r="K95" s="10" t="inlineStr"/>
      <c r="L95" s="10" t="inlineStr"/>
      <c r="M95" s="11">
        <f>IF(OR($G95="",$H95="",$I95="",$J95="",$K95="",$L95="",$AL95="",$AM95=""),"",((($G95*(1-$AM95))-$H95-$I95-$J95-$K95-$L95)/$AL95))</f>
        <v/>
      </c>
      <c r="N95" s="10" t="inlineStr"/>
      <c r="O95" s="10" t="inlineStr"/>
      <c r="P95" s="11">
        <f>IF($O95&lt;&gt;"",$O95,$AN95)</f>
        <v/>
      </c>
      <c r="Q95" s="10" t="inlineStr"/>
      <c r="R95" s="10" t="inlineStr"/>
      <c r="S95" s="10" t="inlineStr"/>
      <c r="T95" s="10" t="inlineStr"/>
      <c r="U95" s="10" t="inlineStr"/>
      <c r="V95" s="10" t="inlineStr"/>
      <c r="W95" s="10" t="inlineStr"/>
      <c r="X95" s="10" t="inlineStr"/>
      <c r="Y95" s="10" t="inlineStr"/>
      <c r="Z95" s="10" t="inlineStr"/>
      <c r="AA95" s="10" t="inlineStr"/>
      <c r="AB95" s="10" t="inlineStr"/>
      <c r="AC95" s="10" t="inlineStr"/>
      <c r="AD95" s="10" t="inlineStr"/>
      <c r="AE95" s="10" t="inlineStr"/>
      <c r="AF95" s="10" t="inlineStr"/>
      <c r="AG95" s="10" t="inlineStr"/>
      <c r="AH95" s="10" t="inlineStr"/>
      <c r="AI95" s="11">
        <f>IFERROR(INDEX(Country_Context!$B$2:$B$64,MATCH($C95,Country_Context!$A$2:$A$64,0)),"")</f>
        <v/>
      </c>
      <c r="AJ95" s="11">
        <f>IFERROR(INDEX(Country_Context!$C$2:$C$64,MATCH($C95,Country_Context!$A$2:$A$64,0)),"")</f>
        <v/>
      </c>
      <c r="AK95" s="11">
        <f>IFERROR(INDEX(Country_Context!$D$2:$D$64,MATCH($C95,Country_Context!$A$2:$A$64,0)),"")</f>
        <v/>
      </c>
      <c r="AL95" s="11">
        <f>IFERROR(INDEX(Country_Context!$E$2:$E$64,MATCH($C95,Country_Context!$A$2:$A$64,0)),"")</f>
        <v/>
      </c>
      <c r="AM95" s="11">
        <f>IFERROR(INDEX(Country_Context!$F$2:$F$64,MATCH($C95,Country_Context!$A$2:$A$64,0)),"")</f>
        <v/>
      </c>
      <c r="AN95" s="11">
        <f>IFERROR(INDEX(Country_Context!$G$2:$G$64,MATCH($C95,Country_Context!$A$2:$A$64,0)),"")</f>
        <v/>
      </c>
      <c r="AO95" s="12" t="inlineStr">
        <is>
          <t>https://api.worldbank.org/v2/country/AUS/indicator/PA.NUS.PRVT.PP?format=json&amp;mrv=30 | https://api.worldbank.org/v2/country/AUS/indicator/GC.TAX.TOTL.GD.ZS?format=json&amp;mrv=30 | https://api.worldbank.org/v2/country/AUS/indicator/FD.AST.PRVT.GD.ZS?format=json&amp;mrv=30</t>
        </is>
      </c>
      <c r="AP95" s="12" t="inlineStr">
        <is>
          <t>Tier 3</t>
        </is>
      </c>
      <c r="AQ95" s="12" t="inlineStr">
        <is>
          <t>2024-12-31</t>
        </is>
      </c>
      <c r="AR95" s="12" t="inlineStr">
        <is>
          <t>providers=world_bank; fields=ppp_private_consumption, tax_rate_assumption, household_debt_proxy</t>
        </is>
      </c>
      <c r="AS95" s="12" t="inlineStr"/>
      <c r="AT95" s="12" t="inlineStr"/>
      <c r="AU95" s="12" t="inlineStr"/>
      <c r="AV95" s="12" t="inlineStr"/>
      <c r="AW95" s="12" t="inlineStr">
        <is>
          <t>https://api.worldbank.org/v2/country/AUS/indicator/SI.POV.GINI?format=json&amp;mrv=30</t>
        </is>
      </c>
      <c r="AX95" s="12" t="inlineStr">
        <is>
          <t>Tier 3</t>
        </is>
      </c>
      <c r="AY95" s="12" t="inlineStr">
        <is>
          <t>2020-12-31</t>
        </is>
      </c>
      <c r="AZ95" s="12" t="inlineStr">
        <is>
          <t>providers=world_bank; fields=gini_coefficient</t>
        </is>
      </c>
      <c r="BA95" s="12" t="inlineStr"/>
      <c r="BB95" s="12" t="inlineStr"/>
      <c r="BC95" s="12" t="inlineStr"/>
      <c r="BD95" s="12" t="inlineStr"/>
      <c r="BE95" s="12" t="inlineStr">
        <is>
          <t>https://api.worldbank.org/v2/country/AUS/indicator/NY.GDP.PCAP.PP.CD?format=json&amp;mrv=30 | https://api.worldbank.org/v2/country/AUS/indicator/NY.GDP.MKTP.KD.ZG?format=json&amp;mrv=30</t>
        </is>
      </c>
      <c r="BF95" s="12" t="inlineStr">
        <is>
          <t>Tier 3</t>
        </is>
      </c>
      <c r="BG95" s="12" t="inlineStr">
        <is>
          <t>2024-12-31</t>
        </is>
      </c>
      <c r="BH95" s="12" t="inlineStr">
        <is>
          <t>providers=world_bank; fields=gdp_per_capita_ppp, gdp_growth</t>
        </is>
      </c>
    </row>
    <row r="96">
      <c r="A96" s="9" t="inlineStr">
        <is>
          <t>au-melbourne</t>
        </is>
      </c>
      <c r="B96" s="9" t="inlineStr">
        <is>
          <t>Melbourne</t>
        </is>
      </c>
      <c r="C96" s="9" t="inlineStr">
        <is>
          <t>Australia</t>
        </is>
      </c>
      <c r="D96" s="9" t="inlineStr">
        <is>
          <t>Oceania</t>
        </is>
      </c>
      <c r="E96" s="9" t="inlineStr">
        <is>
          <t>primary</t>
        </is>
      </c>
      <c r="F96" s="9" t="inlineStr">
        <is>
          <t>provisional</t>
        </is>
      </c>
      <c r="G96" s="10" t="inlineStr"/>
      <c r="H96" s="10" t="inlineStr"/>
      <c r="I96" s="10" t="inlineStr"/>
      <c r="J96" s="10" t="inlineStr"/>
      <c r="K96" s="10" t="inlineStr"/>
      <c r="L96" s="10" t="inlineStr"/>
      <c r="M96" s="11">
        <f>IF(OR($G96="",$H96="",$I96="",$J96="",$K96="",$L96="",$AL96="",$AM96=""),"",((($G96*(1-$AM96))-$H96-$I96-$J96-$K96-$L96)/$AL96))</f>
        <v/>
      </c>
      <c r="N96" s="10" t="inlineStr"/>
      <c r="O96" s="10" t="inlineStr"/>
      <c r="P96" s="11">
        <f>IF($O96&lt;&gt;"",$O96,$AN96)</f>
        <v/>
      </c>
      <c r="Q96" s="10" t="inlineStr"/>
      <c r="R96" s="10" t="inlineStr"/>
      <c r="S96" s="10" t="inlineStr"/>
      <c r="T96" s="10" t="inlineStr"/>
      <c r="U96" s="10" t="inlineStr"/>
      <c r="V96" s="10" t="inlineStr"/>
      <c r="W96" s="10" t="inlineStr"/>
      <c r="X96" s="10" t="inlineStr"/>
      <c r="Y96" s="10" t="inlineStr"/>
      <c r="Z96" s="10" t="inlineStr"/>
      <c r="AA96" s="10" t="inlineStr"/>
      <c r="AB96" s="10" t="inlineStr"/>
      <c r="AC96" s="10" t="inlineStr"/>
      <c r="AD96" s="10" t="inlineStr"/>
      <c r="AE96" s="10" t="inlineStr"/>
      <c r="AF96" s="10" t="inlineStr"/>
      <c r="AG96" s="10" t="inlineStr"/>
      <c r="AH96" s="10" t="inlineStr"/>
      <c r="AI96" s="11">
        <f>IFERROR(INDEX(Country_Context!$B$2:$B$64,MATCH($C96,Country_Context!$A$2:$A$64,0)),"")</f>
        <v/>
      </c>
      <c r="AJ96" s="11">
        <f>IFERROR(INDEX(Country_Context!$C$2:$C$64,MATCH($C96,Country_Context!$A$2:$A$64,0)),"")</f>
        <v/>
      </c>
      <c r="AK96" s="11">
        <f>IFERROR(INDEX(Country_Context!$D$2:$D$64,MATCH($C96,Country_Context!$A$2:$A$64,0)),"")</f>
        <v/>
      </c>
      <c r="AL96" s="11">
        <f>IFERROR(INDEX(Country_Context!$E$2:$E$64,MATCH($C96,Country_Context!$A$2:$A$64,0)),"")</f>
        <v/>
      </c>
      <c r="AM96" s="11">
        <f>IFERROR(INDEX(Country_Context!$F$2:$F$64,MATCH($C96,Country_Context!$A$2:$A$64,0)),"")</f>
        <v/>
      </c>
      <c r="AN96" s="11">
        <f>IFERROR(INDEX(Country_Context!$G$2:$G$64,MATCH($C96,Country_Context!$A$2:$A$64,0)),"")</f>
        <v/>
      </c>
      <c r="AO96" s="12" t="inlineStr">
        <is>
          <t>https://api.worldbank.org/v2/country/AUS/indicator/PA.NUS.PRVT.PP?format=json&amp;mrv=30 | https://api.worldbank.org/v2/country/AUS/indicator/GC.TAX.TOTL.GD.ZS?format=json&amp;mrv=30 | https://api.worldbank.org/v2/country/AUS/indicator/FD.AST.PRVT.GD.ZS?format=json&amp;mrv=30</t>
        </is>
      </c>
      <c r="AP96" s="12" t="inlineStr">
        <is>
          <t>Tier 3</t>
        </is>
      </c>
      <c r="AQ96" s="12" t="inlineStr">
        <is>
          <t>2024-12-31</t>
        </is>
      </c>
      <c r="AR96" s="12" t="inlineStr">
        <is>
          <t>providers=world_bank; fields=ppp_private_consumption, tax_rate_assumption, household_debt_proxy</t>
        </is>
      </c>
      <c r="AS96" s="12" t="inlineStr"/>
      <c r="AT96" s="12" t="inlineStr"/>
      <c r="AU96" s="12" t="inlineStr"/>
      <c r="AV96" s="12" t="inlineStr"/>
      <c r="AW96" s="12" t="inlineStr">
        <is>
          <t>https://api.worldbank.org/v2/country/AUS/indicator/SI.POV.GINI?format=json&amp;mrv=30</t>
        </is>
      </c>
      <c r="AX96" s="12" t="inlineStr">
        <is>
          <t>Tier 3</t>
        </is>
      </c>
      <c r="AY96" s="12" t="inlineStr">
        <is>
          <t>2020-12-31</t>
        </is>
      </c>
      <c r="AZ96" s="12" t="inlineStr">
        <is>
          <t>providers=world_bank; fields=gini_coefficient</t>
        </is>
      </c>
      <c r="BA96" s="12" t="inlineStr"/>
      <c r="BB96" s="12" t="inlineStr"/>
      <c r="BC96" s="12" t="inlineStr"/>
      <c r="BD96" s="12" t="inlineStr"/>
      <c r="BE96" s="12" t="inlineStr">
        <is>
          <t>https://api.worldbank.org/v2/country/AUS/indicator/NY.GDP.PCAP.PP.CD?format=json&amp;mrv=30 | https://api.worldbank.org/v2/country/AUS/indicator/NY.GDP.MKTP.KD.ZG?format=json&amp;mrv=30</t>
        </is>
      </c>
      <c r="BF96" s="12" t="inlineStr">
        <is>
          <t>Tier 3</t>
        </is>
      </c>
      <c r="BG96" s="12" t="inlineStr">
        <is>
          <t>2024-12-31</t>
        </is>
      </c>
      <c r="BH96" s="12" t="inlineStr">
        <is>
          <t>providers=world_bank; fields=gdp_per_capita_ppp, gdp_growth</t>
        </is>
      </c>
    </row>
    <row r="97">
      <c r="A97" s="9" t="inlineStr">
        <is>
          <t>au-brisbane</t>
        </is>
      </c>
      <c r="B97" s="9" t="inlineStr">
        <is>
          <t>Brisbane</t>
        </is>
      </c>
      <c r="C97" s="9" t="inlineStr">
        <is>
          <t>Australia</t>
        </is>
      </c>
      <c r="D97" s="9" t="inlineStr">
        <is>
          <t>Oceania</t>
        </is>
      </c>
      <c r="E97" s="9" t="inlineStr">
        <is>
          <t>primary</t>
        </is>
      </c>
      <c r="F97" s="9" t="inlineStr">
        <is>
          <t>locked</t>
        </is>
      </c>
      <c r="G97" s="10" t="inlineStr"/>
      <c r="H97" s="10" t="inlineStr"/>
      <c r="I97" s="10" t="inlineStr"/>
      <c r="J97" s="10" t="inlineStr"/>
      <c r="K97" s="10" t="inlineStr"/>
      <c r="L97" s="10" t="inlineStr"/>
      <c r="M97" s="11">
        <f>IF(OR($G97="",$H97="",$I97="",$J97="",$K97="",$L97="",$AL97="",$AM97=""),"",((($G97*(1-$AM97))-$H97-$I97-$J97-$K97-$L97)/$AL97))</f>
        <v/>
      </c>
      <c r="N97" s="10" t="inlineStr"/>
      <c r="O97" s="10" t="inlineStr"/>
      <c r="P97" s="11">
        <f>IF($O97&lt;&gt;"",$O97,$AN97)</f>
        <v/>
      </c>
      <c r="Q97" s="10" t="inlineStr"/>
      <c r="R97" s="10" t="inlineStr"/>
      <c r="S97" s="10" t="inlineStr"/>
      <c r="T97" s="10" t="inlineStr"/>
      <c r="U97" s="10" t="inlineStr"/>
      <c r="V97" s="10" t="inlineStr"/>
      <c r="W97" s="10" t="inlineStr"/>
      <c r="X97" s="10" t="inlineStr"/>
      <c r="Y97" s="10" t="inlineStr"/>
      <c r="Z97" s="10" t="inlineStr"/>
      <c r="AA97" s="10" t="inlineStr"/>
      <c r="AB97" s="10" t="inlineStr"/>
      <c r="AC97" s="10" t="inlineStr"/>
      <c r="AD97" s="10" t="inlineStr"/>
      <c r="AE97" s="10" t="inlineStr"/>
      <c r="AF97" s="10" t="inlineStr"/>
      <c r="AG97" s="10" t="inlineStr"/>
      <c r="AH97" s="10" t="inlineStr"/>
      <c r="AI97" s="11">
        <f>IFERROR(INDEX(Country_Context!$B$2:$B$64,MATCH($C97,Country_Context!$A$2:$A$64,0)),"")</f>
        <v/>
      </c>
      <c r="AJ97" s="11">
        <f>IFERROR(INDEX(Country_Context!$C$2:$C$64,MATCH($C97,Country_Context!$A$2:$A$64,0)),"")</f>
        <v/>
      </c>
      <c r="AK97" s="11">
        <f>IFERROR(INDEX(Country_Context!$D$2:$D$64,MATCH($C97,Country_Context!$A$2:$A$64,0)),"")</f>
        <v/>
      </c>
      <c r="AL97" s="11">
        <f>IFERROR(INDEX(Country_Context!$E$2:$E$64,MATCH($C97,Country_Context!$A$2:$A$64,0)),"")</f>
        <v/>
      </c>
      <c r="AM97" s="11">
        <f>IFERROR(INDEX(Country_Context!$F$2:$F$64,MATCH($C97,Country_Context!$A$2:$A$64,0)),"")</f>
        <v/>
      </c>
      <c r="AN97" s="11">
        <f>IFERROR(INDEX(Country_Context!$G$2:$G$64,MATCH($C97,Country_Context!$A$2:$A$64,0)),"")</f>
        <v/>
      </c>
      <c r="AO97" s="12" t="inlineStr">
        <is>
          <t>https://api.worldbank.org/v2/country/AUS/indicator/PA.NUS.PRVT.PP?format=json&amp;mrv=30 | https://api.worldbank.org/v2/country/AUS/indicator/GC.TAX.TOTL.GD.ZS?format=json&amp;mrv=30 | https://api.worldbank.org/v2/country/AUS/indicator/FD.AST.PRVT.GD.ZS?format=json&amp;mrv=30</t>
        </is>
      </c>
      <c r="AP97" s="12" t="inlineStr">
        <is>
          <t>Tier 3</t>
        </is>
      </c>
      <c r="AQ97" s="12" t="inlineStr">
        <is>
          <t>2024-12-31</t>
        </is>
      </c>
      <c r="AR97" s="12" t="inlineStr">
        <is>
          <t>providers=world_bank; fields=ppp_private_consumption, tax_rate_assumption, household_debt_proxy</t>
        </is>
      </c>
      <c r="AS97" s="12" t="inlineStr"/>
      <c r="AT97" s="12" t="inlineStr"/>
      <c r="AU97" s="12" t="inlineStr"/>
      <c r="AV97" s="12" t="inlineStr"/>
      <c r="AW97" s="12" t="inlineStr">
        <is>
          <t>https://api.worldbank.org/v2/country/AUS/indicator/SI.POV.GINI?format=json&amp;mrv=30</t>
        </is>
      </c>
      <c r="AX97" s="12" t="inlineStr">
        <is>
          <t>Tier 3</t>
        </is>
      </c>
      <c r="AY97" s="12" t="inlineStr">
        <is>
          <t>2020-12-31</t>
        </is>
      </c>
      <c r="AZ97" s="12" t="inlineStr">
        <is>
          <t>providers=world_bank; fields=gini_coefficient</t>
        </is>
      </c>
      <c r="BA97" s="12" t="inlineStr"/>
      <c r="BB97" s="12" t="inlineStr"/>
      <c r="BC97" s="12" t="inlineStr"/>
      <c r="BD97" s="12" t="inlineStr"/>
      <c r="BE97" s="12" t="inlineStr">
        <is>
          <t>https://api.worldbank.org/v2/country/AUS/indicator/NY.GDP.PCAP.PP.CD?format=json&amp;mrv=30 | https://api.worldbank.org/v2/country/AUS/indicator/NY.GDP.MKTP.KD.ZG?format=json&amp;mrv=30</t>
        </is>
      </c>
      <c r="BF97" s="12" t="inlineStr">
        <is>
          <t>Tier 3</t>
        </is>
      </c>
      <c r="BG97" s="12" t="inlineStr">
        <is>
          <t>2024-12-31</t>
        </is>
      </c>
      <c r="BH97" s="12" t="inlineStr">
        <is>
          <t>providers=world_bank; fields=gdp_per_capita_ppp, gdp_growth</t>
        </is>
      </c>
    </row>
    <row r="98">
      <c r="A98" s="9" t="inlineStr">
        <is>
          <t>nz-wellington</t>
        </is>
      </c>
      <c r="B98" s="9" t="inlineStr">
        <is>
          <t>Wellington</t>
        </is>
      </c>
      <c r="C98" s="9" t="inlineStr">
        <is>
          <t>New Zealand</t>
        </is>
      </c>
      <c r="D98" s="9" t="inlineStr">
        <is>
          <t>Oceania</t>
        </is>
      </c>
      <c r="E98" s="9" t="inlineStr">
        <is>
          <t>primary</t>
        </is>
      </c>
      <c r="F98" s="9" t="inlineStr">
        <is>
          <t>locked</t>
        </is>
      </c>
      <c r="G98" s="10" t="inlineStr"/>
      <c r="H98" s="10" t="inlineStr"/>
      <c r="I98" s="10" t="inlineStr"/>
      <c r="J98" s="10" t="inlineStr"/>
      <c r="K98" s="10" t="inlineStr"/>
      <c r="L98" s="10" t="inlineStr"/>
      <c r="M98" s="11">
        <f>IF(OR($G98="",$H98="",$I98="",$J98="",$K98="",$L98="",$AL98="",$AM98=""),"",((($G98*(1-$AM98))-$H98-$I98-$J98-$K98-$L98)/$AL98))</f>
        <v/>
      </c>
      <c r="N98" s="10" t="inlineStr"/>
      <c r="O98" s="10" t="inlineStr"/>
      <c r="P98" s="11">
        <f>IF($O98&lt;&gt;"",$O98,$AN98)</f>
        <v/>
      </c>
      <c r="Q98" s="10" t="inlineStr"/>
      <c r="R98" s="10" t="inlineStr"/>
      <c r="S98" s="10" t="inlineStr"/>
      <c r="T98" s="10" t="inlineStr"/>
      <c r="U98" s="10" t="inlineStr"/>
      <c r="V98" s="10" t="inlineStr"/>
      <c r="W98" s="10" t="inlineStr"/>
      <c r="X98" s="10" t="inlineStr"/>
      <c r="Y98" s="10" t="inlineStr"/>
      <c r="Z98" s="10" t="inlineStr"/>
      <c r="AA98" s="10" t="inlineStr"/>
      <c r="AB98" s="10" t="inlineStr"/>
      <c r="AC98" s="10" t="inlineStr"/>
      <c r="AD98" s="10" t="inlineStr"/>
      <c r="AE98" s="10" t="inlineStr"/>
      <c r="AF98" s="10" t="inlineStr"/>
      <c r="AG98" s="10" t="inlineStr"/>
      <c r="AH98" s="10" t="inlineStr"/>
      <c r="AI98" s="11">
        <f>IFERROR(INDEX(Country_Context!$B$2:$B$64,MATCH($C98,Country_Context!$A$2:$A$64,0)),"")</f>
        <v/>
      </c>
      <c r="AJ98" s="11">
        <f>IFERROR(INDEX(Country_Context!$C$2:$C$64,MATCH($C98,Country_Context!$A$2:$A$64,0)),"")</f>
        <v/>
      </c>
      <c r="AK98" s="11">
        <f>IFERROR(INDEX(Country_Context!$D$2:$D$64,MATCH($C98,Country_Context!$A$2:$A$64,0)),"")</f>
        <v/>
      </c>
      <c r="AL98" s="11">
        <f>IFERROR(INDEX(Country_Context!$E$2:$E$64,MATCH($C98,Country_Context!$A$2:$A$64,0)),"")</f>
        <v/>
      </c>
      <c r="AM98" s="11">
        <f>IFERROR(INDEX(Country_Context!$F$2:$F$64,MATCH($C98,Country_Context!$A$2:$A$64,0)),"")</f>
        <v/>
      </c>
      <c r="AN98" s="11">
        <f>IFERROR(INDEX(Country_Context!$G$2:$G$64,MATCH($C98,Country_Context!$A$2:$A$64,0)),"")</f>
        <v/>
      </c>
      <c r="AO98" s="12" t="inlineStr">
        <is>
          <t>https://api.worldbank.org/v2/country/NZL/indicator/PA.NUS.PRVT.PP?format=json&amp;mrv=30 | https://api.worldbank.org/v2/country/NZL/indicator/GC.TAX.TOTL.GD.ZS?format=json&amp;mrv=30 | https://api.worldbank.org/v2/country/NZL/indicator/FD.AST.PRVT.GD.ZS?format=json&amp;mrv=30</t>
        </is>
      </c>
      <c r="AP98" s="12" t="inlineStr">
        <is>
          <t>Tier 3</t>
        </is>
      </c>
      <c r="AQ98" s="12" t="inlineStr">
        <is>
          <t>2024-12-31</t>
        </is>
      </c>
      <c r="AR98" s="12" t="inlineStr">
        <is>
          <t>providers=world_bank; fields=ppp_private_consumption, tax_rate_assumption, household_debt_proxy</t>
        </is>
      </c>
      <c r="AS98" s="12" t="inlineStr"/>
      <c r="AT98" s="12" t="inlineStr"/>
      <c r="AU98" s="12" t="inlineStr"/>
      <c r="AV98" s="12" t="inlineStr"/>
      <c r="AW98" s="12" t="inlineStr"/>
      <c r="AX98" s="12" t="inlineStr"/>
      <c r="AY98" s="12" t="inlineStr"/>
      <c r="AZ98" s="12" t="inlineStr"/>
      <c r="BA98" s="12" t="inlineStr"/>
      <c r="BB98" s="12" t="inlineStr"/>
      <c r="BC98" s="12" t="inlineStr"/>
      <c r="BD98" s="12" t="inlineStr"/>
      <c r="BE98" s="12" t="inlineStr">
        <is>
          <t>https://api.worldbank.org/v2/country/NZL/indicator/NY.GDP.PCAP.PP.CD?format=json&amp;mrv=30 | https://api.worldbank.org/v2/country/NZL/indicator/NY.GDP.MKTP.KD.ZG?format=json&amp;mrv=30</t>
        </is>
      </c>
      <c r="BF98" s="12" t="inlineStr">
        <is>
          <t>Tier 3</t>
        </is>
      </c>
      <c r="BG98" s="12" t="inlineStr">
        <is>
          <t>2024-12-31</t>
        </is>
      </c>
      <c r="BH98" s="12" t="inlineStr">
        <is>
          <t>providers=world_bank; fields=gdp_per_capita_ppp, gdp_growth</t>
        </is>
      </c>
    </row>
    <row r="99">
      <c r="A99" s="9" t="inlineStr">
        <is>
          <t>au-perth</t>
        </is>
      </c>
      <c r="B99" s="9" t="inlineStr">
        <is>
          <t>Perth</t>
        </is>
      </c>
      <c r="C99" s="9" t="inlineStr">
        <is>
          <t>Australia</t>
        </is>
      </c>
      <c r="D99" s="9" t="inlineStr">
        <is>
          <t>Oceania</t>
        </is>
      </c>
      <c r="E99" s="9" t="inlineStr">
        <is>
          <t>secondary</t>
        </is>
      </c>
      <c r="F99" s="9" t="inlineStr">
        <is>
          <t>locked</t>
        </is>
      </c>
      <c r="G99" s="10" t="inlineStr"/>
      <c r="H99" s="10" t="inlineStr"/>
      <c r="I99" s="10" t="inlineStr"/>
      <c r="J99" s="10" t="inlineStr"/>
      <c r="K99" s="10" t="inlineStr"/>
      <c r="L99" s="10" t="inlineStr"/>
      <c r="M99" s="11">
        <f>IF(OR($G99="",$H99="",$I99="",$J99="",$K99="",$L99="",$AL99="",$AM99=""),"",((($G99*(1-$AM99))-$H99-$I99-$J99-$K99-$L99)/$AL99))</f>
        <v/>
      </c>
      <c r="N99" s="10" t="inlineStr"/>
      <c r="O99" s="10" t="inlineStr"/>
      <c r="P99" s="11">
        <f>IF($O99&lt;&gt;"",$O99,$AN99)</f>
        <v/>
      </c>
      <c r="Q99" s="10" t="inlineStr"/>
      <c r="R99" s="10" t="inlineStr"/>
      <c r="S99" s="10" t="inlineStr"/>
      <c r="T99" s="10" t="inlineStr"/>
      <c r="U99" s="10" t="inlineStr"/>
      <c r="V99" s="10" t="inlineStr"/>
      <c r="W99" s="10" t="inlineStr"/>
      <c r="X99" s="10" t="inlineStr"/>
      <c r="Y99" s="10" t="inlineStr"/>
      <c r="Z99" s="10" t="inlineStr"/>
      <c r="AA99" s="10" t="inlineStr"/>
      <c r="AB99" s="10" t="inlineStr"/>
      <c r="AC99" s="10" t="inlineStr"/>
      <c r="AD99" s="10" t="inlineStr"/>
      <c r="AE99" s="10" t="inlineStr"/>
      <c r="AF99" s="10" t="inlineStr"/>
      <c r="AG99" s="10" t="inlineStr"/>
      <c r="AH99" s="10" t="inlineStr"/>
      <c r="AI99" s="11">
        <f>IFERROR(INDEX(Country_Context!$B$2:$B$64,MATCH($C99,Country_Context!$A$2:$A$64,0)),"")</f>
        <v/>
      </c>
      <c r="AJ99" s="11">
        <f>IFERROR(INDEX(Country_Context!$C$2:$C$64,MATCH($C99,Country_Context!$A$2:$A$64,0)),"")</f>
        <v/>
      </c>
      <c r="AK99" s="11">
        <f>IFERROR(INDEX(Country_Context!$D$2:$D$64,MATCH($C99,Country_Context!$A$2:$A$64,0)),"")</f>
        <v/>
      </c>
      <c r="AL99" s="11">
        <f>IFERROR(INDEX(Country_Context!$E$2:$E$64,MATCH($C99,Country_Context!$A$2:$A$64,0)),"")</f>
        <v/>
      </c>
      <c r="AM99" s="11">
        <f>IFERROR(INDEX(Country_Context!$F$2:$F$64,MATCH($C99,Country_Context!$A$2:$A$64,0)),"")</f>
        <v/>
      </c>
      <c r="AN99" s="11">
        <f>IFERROR(INDEX(Country_Context!$G$2:$G$64,MATCH($C99,Country_Context!$A$2:$A$64,0)),"")</f>
        <v/>
      </c>
      <c r="AO99" s="12" t="inlineStr">
        <is>
          <t>https://api.worldbank.org/v2/country/AUS/indicator/PA.NUS.PRVT.PP?format=json&amp;mrv=30 | https://api.worldbank.org/v2/country/AUS/indicator/GC.TAX.TOTL.GD.ZS?format=json&amp;mrv=30 | https://api.worldbank.org/v2/country/AUS/indicator/FD.AST.PRVT.GD.ZS?format=json&amp;mrv=30</t>
        </is>
      </c>
      <c r="AP99" s="12" t="inlineStr">
        <is>
          <t>Tier 3</t>
        </is>
      </c>
      <c r="AQ99" s="12" t="inlineStr">
        <is>
          <t>2024-12-31</t>
        </is>
      </c>
      <c r="AR99" s="12" t="inlineStr">
        <is>
          <t>providers=world_bank; fields=ppp_private_consumption, tax_rate_assumption, household_debt_proxy</t>
        </is>
      </c>
      <c r="AS99" s="12" t="inlineStr"/>
      <c r="AT99" s="12" t="inlineStr"/>
      <c r="AU99" s="12" t="inlineStr"/>
      <c r="AV99" s="12" t="inlineStr"/>
      <c r="AW99" s="12" t="inlineStr">
        <is>
          <t>https://api.worldbank.org/v2/country/AUS/indicator/SI.POV.GINI?format=json&amp;mrv=30</t>
        </is>
      </c>
      <c r="AX99" s="12" t="inlineStr">
        <is>
          <t>Tier 3</t>
        </is>
      </c>
      <c r="AY99" s="12" t="inlineStr">
        <is>
          <t>2020-12-31</t>
        </is>
      </c>
      <c r="AZ99" s="12" t="inlineStr">
        <is>
          <t>providers=world_bank; fields=gini_coefficient</t>
        </is>
      </c>
      <c r="BA99" s="12" t="inlineStr"/>
      <c r="BB99" s="12" t="inlineStr"/>
      <c r="BC99" s="12" t="inlineStr"/>
      <c r="BD99" s="12" t="inlineStr"/>
      <c r="BE99" s="12" t="inlineStr">
        <is>
          <t>https://api.worldbank.org/v2/country/AUS/indicator/NY.GDP.PCAP.PP.CD?format=json&amp;mrv=30 | https://api.worldbank.org/v2/country/AUS/indicator/NY.GDP.MKTP.KD.ZG?format=json&amp;mrv=30</t>
        </is>
      </c>
      <c r="BF99" s="12" t="inlineStr">
        <is>
          <t>Tier 3</t>
        </is>
      </c>
      <c r="BG99" s="12" t="inlineStr">
        <is>
          <t>2024-12-31</t>
        </is>
      </c>
      <c r="BH99" s="12" t="inlineStr">
        <is>
          <t>providers=world_bank; fields=gdp_per_capita_ppp, gdp_growth</t>
        </is>
      </c>
    </row>
    <row r="100">
      <c r="A100" s="9" t="inlineStr">
        <is>
          <t>au-adelaide</t>
        </is>
      </c>
      <c r="B100" s="9" t="inlineStr">
        <is>
          <t>Adelaide</t>
        </is>
      </c>
      <c r="C100" s="9" t="inlineStr">
        <is>
          <t>Australia</t>
        </is>
      </c>
      <c r="D100" s="9" t="inlineStr">
        <is>
          <t>Oceania</t>
        </is>
      </c>
      <c r="E100" s="9" t="inlineStr">
        <is>
          <t>secondary</t>
        </is>
      </c>
      <c r="F100" s="9" t="inlineStr">
        <is>
          <t>locked</t>
        </is>
      </c>
      <c r="G100" s="10" t="inlineStr"/>
      <c r="H100" s="10" t="inlineStr"/>
      <c r="I100" s="10" t="inlineStr"/>
      <c r="J100" s="10" t="inlineStr"/>
      <c r="K100" s="10" t="inlineStr"/>
      <c r="L100" s="10" t="inlineStr"/>
      <c r="M100" s="11">
        <f>IF(OR($G100="",$H100="",$I100="",$J100="",$K100="",$L100="",$AL100="",$AM100=""),"",((($G100*(1-$AM100))-$H100-$I100-$J100-$K100-$L100)/$AL100))</f>
        <v/>
      </c>
      <c r="N100" s="10" t="inlineStr"/>
      <c r="O100" s="10" t="inlineStr"/>
      <c r="P100" s="11">
        <f>IF($O100&lt;&gt;"",$O100,$AN100)</f>
        <v/>
      </c>
      <c r="Q100" s="10" t="inlineStr"/>
      <c r="R100" s="10" t="inlineStr"/>
      <c r="S100" s="10" t="inlineStr"/>
      <c r="T100" s="10" t="inlineStr"/>
      <c r="U100" s="10" t="inlineStr"/>
      <c r="V100" s="10" t="inlineStr"/>
      <c r="W100" s="10" t="inlineStr"/>
      <c r="X100" s="10" t="inlineStr"/>
      <c r="Y100" s="10" t="inlineStr"/>
      <c r="Z100" s="10" t="inlineStr"/>
      <c r="AA100" s="10" t="inlineStr"/>
      <c r="AB100" s="10" t="inlineStr"/>
      <c r="AC100" s="10" t="inlineStr"/>
      <c r="AD100" s="10" t="inlineStr"/>
      <c r="AE100" s="10" t="inlineStr"/>
      <c r="AF100" s="10" t="inlineStr"/>
      <c r="AG100" s="10" t="inlineStr"/>
      <c r="AH100" s="10" t="inlineStr"/>
      <c r="AI100" s="11">
        <f>IFERROR(INDEX(Country_Context!$B$2:$B$64,MATCH($C100,Country_Context!$A$2:$A$64,0)),"")</f>
        <v/>
      </c>
      <c r="AJ100" s="11">
        <f>IFERROR(INDEX(Country_Context!$C$2:$C$64,MATCH($C100,Country_Context!$A$2:$A$64,0)),"")</f>
        <v/>
      </c>
      <c r="AK100" s="11">
        <f>IFERROR(INDEX(Country_Context!$D$2:$D$64,MATCH($C100,Country_Context!$A$2:$A$64,0)),"")</f>
        <v/>
      </c>
      <c r="AL100" s="11">
        <f>IFERROR(INDEX(Country_Context!$E$2:$E$64,MATCH($C100,Country_Context!$A$2:$A$64,0)),"")</f>
        <v/>
      </c>
      <c r="AM100" s="11">
        <f>IFERROR(INDEX(Country_Context!$F$2:$F$64,MATCH($C100,Country_Context!$A$2:$A$64,0)),"")</f>
        <v/>
      </c>
      <c r="AN100" s="11">
        <f>IFERROR(INDEX(Country_Context!$G$2:$G$64,MATCH($C100,Country_Context!$A$2:$A$64,0)),"")</f>
        <v/>
      </c>
      <c r="AO100" s="12" t="inlineStr">
        <is>
          <t>https://api.worldbank.org/v2/country/AUS/indicator/PA.NUS.PRVT.PP?format=json&amp;mrv=30 | https://api.worldbank.org/v2/country/AUS/indicator/GC.TAX.TOTL.GD.ZS?format=json&amp;mrv=30 | https://api.worldbank.org/v2/country/AUS/indicator/FD.AST.PRVT.GD.ZS?format=json&amp;mrv=30</t>
        </is>
      </c>
      <c r="AP100" s="12" t="inlineStr">
        <is>
          <t>Tier 3</t>
        </is>
      </c>
      <c r="AQ100" s="12" t="inlineStr">
        <is>
          <t>2024-12-31</t>
        </is>
      </c>
      <c r="AR100" s="12" t="inlineStr">
        <is>
          <t>providers=world_bank; fields=ppp_private_consumption, tax_rate_assumption, household_debt_proxy</t>
        </is>
      </c>
      <c r="AS100" s="12" t="inlineStr"/>
      <c r="AT100" s="12" t="inlineStr"/>
      <c r="AU100" s="12" t="inlineStr"/>
      <c r="AV100" s="12" t="inlineStr"/>
      <c r="AW100" s="12" t="inlineStr">
        <is>
          <t>https://api.worldbank.org/v2/country/AUS/indicator/SI.POV.GINI?format=json&amp;mrv=30</t>
        </is>
      </c>
      <c r="AX100" s="12" t="inlineStr">
        <is>
          <t>Tier 3</t>
        </is>
      </c>
      <c r="AY100" s="12" t="inlineStr">
        <is>
          <t>2020-12-31</t>
        </is>
      </c>
      <c r="AZ100" s="12" t="inlineStr">
        <is>
          <t>providers=world_bank; fields=gini_coefficient</t>
        </is>
      </c>
      <c r="BA100" s="12" t="inlineStr"/>
      <c r="BB100" s="12" t="inlineStr"/>
      <c r="BC100" s="12" t="inlineStr"/>
      <c r="BD100" s="12" t="inlineStr"/>
      <c r="BE100" s="12" t="inlineStr">
        <is>
          <t>https://api.worldbank.org/v2/country/AUS/indicator/NY.GDP.PCAP.PP.CD?format=json&amp;mrv=30 | https://api.worldbank.org/v2/country/AUS/indicator/NY.GDP.MKTP.KD.ZG?format=json&amp;mrv=30</t>
        </is>
      </c>
      <c r="BF100" s="12" t="inlineStr">
        <is>
          <t>Tier 3</t>
        </is>
      </c>
      <c r="BG100" s="12" t="inlineStr">
        <is>
          <t>2024-12-31</t>
        </is>
      </c>
      <c r="BH100" s="12" t="inlineStr">
        <is>
          <t>providers=world_bank; fields=gdp_per_capita_ppp, gdp_growth</t>
        </is>
      </c>
    </row>
    <row r="101">
      <c r="A101" s="9" t="inlineStr">
        <is>
          <t>au-hobart</t>
        </is>
      </c>
      <c r="B101" s="9" t="inlineStr">
        <is>
          <t>Hobart</t>
        </is>
      </c>
      <c r="C101" s="9" t="inlineStr">
        <is>
          <t>Australia</t>
        </is>
      </c>
      <c r="D101" s="9" t="inlineStr">
        <is>
          <t>Oceania</t>
        </is>
      </c>
      <c r="E101" s="9" t="inlineStr">
        <is>
          <t>secondary</t>
        </is>
      </c>
      <c r="F101" s="9" t="inlineStr">
        <is>
          <t>locked</t>
        </is>
      </c>
      <c r="G101" s="10" t="inlineStr"/>
      <c r="H101" s="10" t="inlineStr"/>
      <c r="I101" s="10" t="inlineStr"/>
      <c r="J101" s="10" t="inlineStr"/>
      <c r="K101" s="10" t="inlineStr"/>
      <c r="L101" s="10" t="inlineStr"/>
      <c r="M101" s="11">
        <f>IF(OR($G101="",$H101="",$I101="",$J101="",$K101="",$L101="",$AL101="",$AM101=""),"",((($G101*(1-$AM101))-$H101-$I101-$J101-$K101-$L101)/$AL101))</f>
        <v/>
      </c>
      <c r="N101" s="10" t="inlineStr"/>
      <c r="O101" s="10" t="inlineStr"/>
      <c r="P101" s="11">
        <f>IF($O101&lt;&gt;"",$O101,$AN101)</f>
        <v/>
      </c>
      <c r="Q101" s="10" t="inlineStr"/>
      <c r="R101" s="10" t="inlineStr"/>
      <c r="S101" s="10" t="inlineStr"/>
      <c r="T101" s="10" t="inlineStr"/>
      <c r="U101" s="10" t="inlineStr"/>
      <c r="V101" s="10" t="inlineStr"/>
      <c r="W101" s="10" t="inlineStr"/>
      <c r="X101" s="10" t="inlineStr"/>
      <c r="Y101" s="10" t="inlineStr"/>
      <c r="Z101" s="10" t="inlineStr"/>
      <c r="AA101" s="10" t="inlineStr"/>
      <c r="AB101" s="10" t="inlineStr"/>
      <c r="AC101" s="10" t="inlineStr"/>
      <c r="AD101" s="10" t="inlineStr"/>
      <c r="AE101" s="10" t="inlineStr"/>
      <c r="AF101" s="10" t="inlineStr"/>
      <c r="AG101" s="10" t="inlineStr"/>
      <c r="AH101" s="10" t="inlineStr"/>
      <c r="AI101" s="11">
        <f>IFERROR(INDEX(Country_Context!$B$2:$B$64,MATCH($C101,Country_Context!$A$2:$A$64,0)),"")</f>
        <v/>
      </c>
      <c r="AJ101" s="11">
        <f>IFERROR(INDEX(Country_Context!$C$2:$C$64,MATCH($C101,Country_Context!$A$2:$A$64,0)),"")</f>
        <v/>
      </c>
      <c r="AK101" s="11">
        <f>IFERROR(INDEX(Country_Context!$D$2:$D$64,MATCH($C101,Country_Context!$A$2:$A$64,0)),"")</f>
        <v/>
      </c>
      <c r="AL101" s="11">
        <f>IFERROR(INDEX(Country_Context!$E$2:$E$64,MATCH($C101,Country_Context!$A$2:$A$64,0)),"")</f>
        <v/>
      </c>
      <c r="AM101" s="11">
        <f>IFERROR(INDEX(Country_Context!$F$2:$F$64,MATCH($C101,Country_Context!$A$2:$A$64,0)),"")</f>
        <v/>
      </c>
      <c r="AN101" s="11">
        <f>IFERROR(INDEX(Country_Context!$G$2:$G$64,MATCH($C101,Country_Context!$A$2:$A$64,0)),"")</f>
        <v/>
      </c>
      <c r="AO101" s="12" t="inlineStr">
        <is>
          <t>https://api.worldbank.org/v2/country/AUS/indicator/PA.NUS.PRVT.PP?format=json&amp;mrv=30 | https://api.worldbank.org/v2/country/AUS/indicator/GC.TAX.TOTL.GD.ZS?format=json&amp;mrv=30 | https://api.worldbank.org/v2/country/AUS/indicator/FD.AST.PRVT.GD.ZS?format=json&amp;mrv=30</t>
        </is>
      </c>
      <c r="AP101" s="12" t="inlineStr">
        <is>
          <t>Tier 3</t>
        </is>
      </c>
      <c r="AQ101" s="12" t="inlineStr">
        <is>
          <t>2024-12-31</t>
        </is>
      </c>
      <c r="AR101" s="12" t="inlineStr">
        <is>
          <t>providers=world_bank; fields=ppp_private_consumption, tax_rate_assumption, household_debt_proxy</t>
        </is>
      </c>
      <c r="AS101" s="12" t="inlineStr"/>
      <c r="AT101" s="12" t="inlineStr"/>
      <c r="AU101" s="12" t="inlineStr"/>
      <c r="AV101" s="12" t="inlineStr"/>
      <c r="AW101" s="12" t="inlineStr">
        <is>
          <t>https://api.worldbank.org/v2/country/AUS/indicator/SI.POV.GINI?format=json&amp;mrv=30</t>
        </is>
      </c>
      <c r="AX101" s="12" t="inlineStr">
        <is>
          <t>Tier 3</t>
        </is>
      </c>
      <c r="AY101" s="12" t="inlineStr">
        <is>
          <t>2020-12-31</t>
        </is>
      </c>
      <c r="AZ101" s="12" t="inlineStr">
        <is>
          <t>providers=world_bank; fields=gini_coefficient</t>
        </is>
      </c>
      <c r="BA101" s="12" t="inlineStr"/>
      <c r="BB101" s="12" t="inlineStr"/>
      <c r="BC101" s="12" t="inlineStr"/>
      <c r="BD101" s="12" t="inlineStr"/>
      <c r="BE101" s="12" t="inlineStr">
        <is>
          <t>https://api.worldbank.org/v2/country/AUS/indicator/NY.GDP.PCAP.PP.CD?format=json&amp;mrv=30 | https://api.worldbank.org/v2/country/AUS/indicator/NY.GDP.MKTP.KD.ZG?format=json&amp;mrv=30</t>
        </is>
      </c>
      <c r="BF101" s="12" t="inlineStr">
        <is>
          <t>Tier 3</t>
        </is>
      </c>
      <c r="BG101" s="12" t="inlineStr">
        <is>
          <t>2024-12-31</t>
        </is>
      </c>
      <c r="BH101" s="12" t="inlineStr">
        <is>
          <t>providers=world_bank; fields=gdp_per_capita_ppp, gdp_growth</t>
        </is>
      </c>
    </row>
    <row r="102">
      <c r="A102" s="9" t="inlineStr">
        <is>
          <t>nz-christchurch</t>
        </is>
      </c>
      <c r="B102" s="9" t="inlineStr">
        <is>
          <t>Christchurch</t>
        </is>
      </c>
      <c r="C102" s="9" t="inlineStr">
        <is>
          <t>New Zealand</t>
        </is>
      </c>
      <c r="D102" s="9" t="inlineStr">
        <is>
          <t>Oceania</t>
        </is>
      </c>
      <c r="E102" s="9" t="inlineStr">
        <is>
          <t>secondary</t>
        </is>
      </c>
      <c r="F102" s="9" t="inlineStr">
        <is>
          <t>provisional</t>
        </is>
      </c>
      <c r="G102" s="10" t="inlineStr"/>
      <c r="H102" s="10" t="inlineStr"/>
      <c r="I102" s="10" t="inlineStr"/>
      <c r="J102" s="10" t="inlineStr"/>
      <c r="K102" s="10" t="inlineStr"/>
      <c r="L102" s="10" t="inlineStr"/>
      <c r="M102" s="11">
        <f>IF(OR($G102="",$H102="",$I102="",$J102="",$K102="",$L102="",$AL102="",$AM102=""),"",((($G102*(1-$AM102))-$H102-$I102-$J102-$K102-$L102)/$AL102))</f>
        <v/>
      </c>
      <c r="N102" s="10" t="inlineStr"/>
      <c r="O102" s="10" t="inlineStr"/>
      <c r="P102" s="11">
        <f>IF($O102&lt;&gt;"",$O102,$AN102)</f>
        <v/>
      </c>
      <c r="Q102" s="10" t="inlineStr"/>
      <c r="R102" s="10" t="inlineStr"/>
      <c r="S102" s="10" t="inlineStr"/>
      <c r="T102" s="10" t="inlineStr"/>
      <c r="U102" s="10" t="inlineStr"/>
      <c r="V102" s="10" t="inlineStr"/>
      <c r="W102" s="10" t="inlineStr"/>
      <c r="X102" s="10" t="inlineStr"/>
      <c r="Y102" s="10" t="inlineStr"/>
      <c r="Z102" s="10" t="inlineStr"/>
      <c r="AA102" s="10" t="inlineStr"/>
      <c r="AB102" s="10" t="inlineStr"/>
      <c r="AC102" s="10" t="inlineStr"/>
      <c r="AD102" s="10" t="inlineStr"/>
      <c r="AE102" s="10" t="inlineStr"/>
      <c r="AF102" s="10" t="inlineStr"/>
      <c r="AG102" s="10" t="inlineStr"/>
      <c r="AH102" s="10" t="inlineStr"/>
      <c r="AI102" s="11">
        <f>IFERROR(INDEX(Country_Context!$B$2:$B$64,MATCH($C102,Country_Context!$A$2:$A$64,0)),"")</f>
        <v/>
      </c>
      <c r="AJ102" s="11">
        <f>IFERROR(INDEX(Country_Context!$C$2:$C$64,MATCH($C102,Country_Context!$A$2:$A$64,0)),"")</f>
        <v/>
      </c>
      <c r="AK102" s="11">
        <f>IFERROR(INDEX(Country_Context!$D$2:$D$64,MATCH($C102,Country_Context!$A$2:$A$64,0)),"")</f>
        <v/>
      </c>
      <c r="AL102" s="11">
        <f>IFERROR(INDEX(Country_Context!$E$2:$E$64,MATCH($C102,Country_Context!$A$2:$A$64,0)),"")</f>
        <v/>
      </c>
      <c r="AM102" s="11">
        <f>IFERROR(INDEX(Country_Context!$F$2:$F$64,MATCH($C102,Country_Context!$A$2:$A$64,0)),"")</f>
        <v/>
      </c>
      <c r="AN102" s="11">
        <f>IFERROR(INDEX(Country_Context!$G$2:$G$64,MATCH($C102,Country_Context!$A$2:$A$64,0)),"")</f>
        <v/>
      </c>
      <c r="AO102" s="12" t="inlineStr">
        <is>
          <t>https://api.worldbank.org/v2/country/NZL/indicator/PA.NUS.PRVT.PP?format=json&amp;mrv=30 | https://api.worldbank.org/v2/country/NZL/indicator/GC.TAX.TOTL.GD.ZS?format=json&amp;mrv=30 | https://api.worldbank.org/v2/country/NZL/indicator/FD.AST.PRVT.GD.ZS?format=json&amp;mrv=30</t>
        </is>
      </c>
      <c r="AP102" s="12" t="inlineStr">
        <is>
          <t>Tier 3</t>
        </is>
      </c>
      <c r="AQ102" s="12" t="inlineStr">
        <is>
          <t>2024-12-31</t>
        </is>
      </c>
      <c r="AR102" s="12" t="inlineStr">
        <is>
          <t>providers=world_bank; fields=ppp_private_consumption, tax_rate_assumption, household_debt_proxy</t>
        </is>
      </c>
      <c r="AS102" s="12" t="inlineStr"/>
      <c r="AT102" s="12" t="inlineStr"/>
      <c r="AU102" s="12" t="inlineStr"/>
      <c r="AV102" s="12" t="inlineStr"/>
      <c r="AW102" s="12" t="inlineStr"/>
      <c r="AX102" s="12" t="inlineStr"/>
      <c r="AY102" s="12" t="inlineStr"/>
      <c r="AZ102" s="12" t="inlineStr"/>
      <c r="BA102" s="12" t="inlineStr"/>
      <c r="BB102" s="12" t="inlineStr"/>
      <c r="BC102" s="12" t="inlineStr"/>
      <c r="BD102" s="12" t="inlineStr"/>
      <c r="BE102" s="12" t="inlineStr">
        <is>
          <t>https://api.worldbank.org/v2/country/NZL/indicator/NY.GDP.PCAP.PP.CD?format=json&amp;mrv=30 | https://api.worldbank.org/v2/country/NZL/indicator/NY.GDP.MKTP.KD.ZG?format=json&amp;mrv=30</t>
        </is>
      </c>
      <c r="BF102" s="12" t="inlineStr">
        <is>
          <t>Tier 3</t>
        </is>
      </c>
      <c r="BG102" s="12" t="inlineStr">
        <is>
          <t>2024-12-31</t>
        </is>
      </c>
      <c r="BH102" s="12" t="inlineStr">
        <is>
          <t>providers=world_bank; fields=gdp_per_capita_ppp, gdp_growth</t>
        </is>
      </c>
    </row>
    <row r="103">
      <c r="A103" s="9" t="inlineStr">
        <is>
          <t>fj-suva</t>
        </is>
      </c>
      <c r="B103" s="9" t="inlineStr">
        <is>
          <t>Suva</t>
        </is>
      </c>
      <c r="C103" s="9" t="inlineStr">
        <is>
          <t>Fiji</t>
        </is>
      </c>
      <c r="D103" s="9" t="inlineStr">
        <is>
          <t>Oceania</t>
        </is>
      </c>
      <c r="E103" s="9" t="inlineStr">
        <is>
          <t>secondary</t>
        </is>
      </c>
      <c r="F103" s="9" t="inlineStr">
        <is>
          <t>locked</t>
        </is>
      </c>
      <c r="G103" s="10" t="inlineStr"/>
      <c r="H103" s="10" t="inlineStr"/>
      <c r="I103" s="10" t="inlineStr"/>
      <c r="J103" s="10" t="inlineStr"/>
      <c r="K103" s="10" t="inlineStr"/>
      <c r="L103" s="10" t="inlineStr"/>
      <c r="M103" s="11">
        <f>IF(OR($G103="",$H103="",$I103="",$J103="",$K103="",$L103="",$AL103="",$AM103=""),"",((($G103*(1-$AM103))-$H103-$I103-$J103-$K103-$L103)/$AL103))</f>
        <v/>
      </c>
      <c r="N103" s="10" t="inlineStr"/>
      <c r="O103" s="10" t="inlineStr"/>
      <c r="P103" s="11">
        <f>IF($O103&lt;&gt;"",$O103,$AN103)</f>
        <v/>
      </c>
      <c r="Q103" s="10" t="inlineStr"/>
      <c r="R103" s="10" t="inlineStr"/>
      <c r="S103" s="10" t="inlineStr"/>
      <c r="T103" s="10" t="inlineStr"/>
      <c r="U103" s="10" t="inlineStr"/>
      <c r="V103" s="10" t="inlineStr"/>
      <c r="W103" s="10" t="inlineStr"/>
      <c r="X103" s="10" t="inlineStr"/>
      <c r="Y103" s="10" t="inlineStr"/>
      <c r="Z103" s="10" t="inlineStr"/>
      <c r="AA103" s="10" t="inlineStr"/>
      <c r="AB103" s="10" t="inlineStr"/>
      <c r="AC103" s="10" t="inlineStr"/>
      <c r="AD103" s="10" t="inlineStr"/>
      <c r="AE103" s="10" t="inlineStr"/>
      <c r="AF103" s="10" t="inlineStr"/>
      <c r="AG103" s="10" t="inlineStr"/>
      <c r="AH103" s="10" t="inlineStr"/>
      <c r="AI103" s="11">
        <f>IFERROR(INDEX(Country_Context!$B$2:$B$64,MATCH($C103,Country_Context!$A$2:$A$64,0)),"")</f>
        <v/>
      </c>
      <c r="AJ103" s="11">
        <f>IFERROR(INDEX(Country_Context!$C$2:$C$64,MATCH($C103,Country_Context!$A$2:$A$64,0)),"")</f>
        <v/>
      </c>
      <c r="AK103" s="11">
        <f>IFERROR(INDEX(Country_Context!$D$2:$D$64,MATCH($C103,Country_Context!$A$2:$A$64,0)),"")</f>
        <v/>
      </c>
      <c r="AL103" s="11">
        <f>IFERROR(INDEX(Country_Context!$E$2:$E$64,MATCH($C103,Country_Context!$A$2:$A$64,0)),"")</f>
        <v/>
      </c>
      <c r="AM103" s="11">
        <f>IFERROR(INDEX(Country_Context!$F$2:$F$64,MATCH($C103,Country_Context!$A$2:$A$64,0)),"")</f>
        <v/>
      </c>
      <c r="AN103" s="11">
        <f>IFERROR(INDEX(Country_Context!$G$2:$G$64,MATCH($C103,Country_Context!$A$2:$A$64,0)),"")</f>
        <v/>
      </c>
      <c r="AO103" s="12" t="inlineStr">
        <is>
          <t>https://api.worldbank.org/v2/country/FJI/indicator/PA.NUS.PRVT.PP?format=json&amp;mrv=30 | https://api.worldbank.org/v2/country/FJI/indicator/GC.TAX.TOTL.GD.ZS?format=json&amp;mrv=30 | https://api.worldbank.org/v2/country/FJI/indicator/FD.AST.PRVT.GD.ZS?format=json&amp;mrv=30</t>
        </is>
      </c>
      <c r="AP103" s="12" t="inlineStr">
        <is>
          <t>Tier 3</t>
        </is>
      </c>
      <c r="AQ103" s="12" t="inlineStr">
        <is>
          <t>2024-12-31</t>
        </is>
      </c>
      <c r="AR103" s="12" t="inlineStr">
        <is>
          <t>providers=world_bank; fields=ppp_private_consumption, tax_rate_assumption, household_debt_proxy</t>
        </is>
      </c>
      <c r="AS103" s="12" t="inlineStr"/>
      <c r="AT103" s="12" t="inlineStr"/>
      <c r="AU103" s="12" t="inlineStr"/>
      <c r="AV103" s="12" t="inlineStr"/>
      <c r="AW103" s="12" t="inlineStr">
        <is>
          <t>https://api.worldbank.org/v2/country/FJI/indicator/SI.POV.GINI?format=json&amp;mrv=30</t>
        </is>
      </c>
      <c r="AX103" s="12" t="inlineStr">
        <is>
          <t>Tier 3</t>
        </is>
      </c>
      <c r="AY103" s="12" t="inlineStr">
        <is>
          <t>2019-12-31</t>
        </is>
      </c>
      <c r="AZ103" s="12" t="inlineStr">
        <is>
          <t>providers=world_bank; fields=gini_coefficient</t>
        </is>
      </c>
      <c r="BA103" s="12" t="inlineStr"/>
      <c r="BB103" s="12" t="inlineStr"/>
      <c r="BC103" s="12" t="inlineStr"/>
      <c r="BD103" s="12" t="inlineStr"/>
      <c r="BE103" s="12" t="inlineStr">
        <is>
          <t>https://api.worldbank.org/v2/country/FJI/indicator/NY.GDP.PCAP.PP.CD?format=json&amp;mrv=30 | https://api.worldbank.org/v2/country/FJI/indicator/NY.GDP.MKTP.KD.ZG?format=json&amp;mrv=30</t>
        </is>
      </c>
      <c r="BF103" s="12" t="inlineStr">
        <is>
          <t>Tier 3</t>
        </is>
      </c>
      <c r="BG103" s="12" t="inlineStr">
        <is>
          <t>2024-12-31</t>
        </is>
      </c>
      <c r="BH103" s="12" t="inlineStr">
        <is>
          <t>providers=world_bank; fields=gdp_per_capita_ppp, gdp_growth</t>
        </is>
      </c>
    </row>
  </sheetData>
  <autoFilter ref="A1:BH10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16" customWidth="1" min="4" max="4"/>
    <col width="17" customWidth="1" min="5" max="5"/>
    <col width="36" customWidth="1" min="6" max="6"/>
    <col width="36" customWidth="1" min="7" max="7"/>
    <col width="36" customWidth="1" min="8" max="8"/>
  </cols>
  <sheetData>
    <row r="1">
      <c r="A1" s="6" t="inlineStr">
        <is>
          <t>input_key</t>
        </is>
      </c>
      <c r="B1" s="6" t="inlineStr">
        <is>
          <t>label</t>
        </is>
      </c>
      <c r="C1" s="6" t="inlineStr">
        <is>
          <t>source_column</t>
        </is>
      </c>
      <c r="D1" s="6" t="inlineStr">
        <is>
          <t>directionality</t>
        </is>
      </c>
      <c r="E1" s="6" t="inlineStr">
        <is>
          <t>coverage_weight</t>
        </is>
      </c>
      <c r="F1" s="6" t="inlineStr">
        <is>
          <t>p05</t>
        </is>
      </c>
      <c r="G1" s="6" t="inlineStr">
        <is>
          <t>p95</t>
        </is>
      </c>
      <c r="H1" s="6" t="inlineStr">
        <is>
          <t>notes</t>
        </is>
      </c>
    </row>
    <row r="2">
      <c r="A2" t="inlineStr">
        <is>
          <t>di_ppp_raw</t>
        </is>
      </c>
      <c r="B2" t="inlineStr">
        <is>
          <t>Tax-adjusted PPP disposable income raw</t>
        </is>
      </c>
      <c r="C2" t="inlineStr">
        <is>
          <t>di_ppp_raw</t>
        </is>
      </c>
      <c r="D2" t="inlineStr">
        <is>
          <t>positive</t>
        </is>
      </c>
      <c r="E2" t="n">
        <v>1</v>
      </c>
      <c r="F2" s="13">
        <f>IF(COUNT(City_Inputs!$M$2:$M$103)&gt;=2,PERCENTILE.INC(City_Inputs!$M$2:$M$103,0.05),"")</f>
        <v/>
      </c>
      <c r="G2" s="13">
        <f>IF(COUNT(City_Inputs!$M$2:$M$103)&gt;=2,PERCENTILE.INC(City_Inputs!$M$2:$M$103,0.95),"")</f>
        <v/>
      </c>
      <c r="H2" t="inlineStr">
        <is>
          <t>Derived in City_Inputs from country context and essential-cost deductions.</t>
        </is>
      </c>
    </row>
    <row r="3">
      <c r="A3" t="inlineStr">
        <is>
          <t>housing_burden_raw</t>
        </is>
      </c>
      <c r="B3" t="inlineStr">
        <is>
          <t>Housing burden raw</t>
        </is>
      </c>
      <c r="C3" t="inlineStr">
        <is>
          <t>housing_burden_raw</t>
        </is>
      </c>
      <c r="D3" t="inlineStr">
        <is>
          <t>negative</t>
        </is>
      </c>
      <c r="E3" t="n">
        <v>1</v>
      </c>
      <c r="F3" s="13">
        <f>IF(COUNT(City_Inputs!$N$2:$N$103)&gt;=2,PERCENTILE.INC(City_Inputs!$N$2:$N$103,0.05),"")</f>
        <v/>
      </c>
      <c r="G3" s="13">
        <f>IF(COUNT(City_Inputs!$N$2:$N$103)&gt;=2,PERCENTILE.INC(City_Inputs!$N$2:$N$103,0.95),"")</f>
        <v/>
      </c>
      <c r="H3" t="inlineStr">
        <is>
          <t>Higher housing share scores worse.</t>
        </is>
      </c>
    </row>
    <row r="4">
      <c r="A4" t="inlineStr">
        <is>
          <t>household_debt_effective_raw</t>
        </is>
      </c>
      <c r="B4" t="inlineStr">
        <is>
          <t>Household debt effective raw</t>
        </is>
      </c>
      <c r="C4" t="inlineStr">
        <is>
          <t>household_debt_effective_raw</t>
        </is>
      </c>
      <c r="D4" t="inlineStr">
        <is>
          <t>negative</t>
        </is>
      </c>
      <c r="E4" t="n">
        <v>1</v>
      </c>
      <c r="F4" s="13">
        <f>IF(COUNT(City_Inputs!$P$2:$P$103)&gt;=2,PERCENTILE.INC(City_Inputs!$P$2:$P$103,0.05),"")</f>
        <v/>
      </c>
      <c r="G4" s="13">
        <f>IF(COUNT(City_Inputs!$P$2:$P$103)&gt;=2,PERCENTILE.INC(City_Inputs!$P$2:$P$103,0.95),"")</f>
        <v/>
      </c>
      <c r="H4" t="inlineStr">
        <is>
          <t>Uses country proxy where city debt burden is missing.</t>
        </is>
      </c>
    </row>
    <row r="5">
      <c r="A5" t="inlineStr">
        <is>
          <t>working_time_pressure_raw</t>
        </is>
      </c>
      <c r="B5" t="inlineStr">
        <is>
          <t>Working time pressure raw</t>
        </is>
      </c>
      <c r="C5" t="inlineStr">
        <is>
          <t>working_time_pressure_raw</t>
        </is>
      </c>
      <c r="D5" t="inlineStr">
        <is>
          <t>negative</t>
        </is>
      </c>
      <c r="E5" t="n">
        <v>1</v>
      </c>
      <c r="F5" s="13">
        <f>IF(COUNT(City_Inputs!$Q$2:$Q$103)&gt;=2,PERCENTILE.INC(City_Inputs!$Q$2:$Q$103,0.05),"")</f>
        <v/>
      </c>
      <c r="G5" s="13">
        <f>IF(COUNT(City_Inputs!$Q$2:$Q$103)&gt;=2,PERCENTILE.INC(City_Inputs!$Q$2:$Q$103,0.95),"")</f>
        <v/>
      </c>
      <c r="H5" t="inlineStr">
        <is>
          <t>Higher weekly work burden scores worse.</t>
        </is>
      </c>
    </row>
    <row r="6">
      <c r="A6" t="inlineStr">
        <is>
          <t>suicide_mental_strain_raw</t>
        </is>
      </c>
      <c r="B6" t="inlineStr">
        <is>
          <t>Suicide and mental strain raw</t>
        </is>
      </c>
      <c r="C6" t="inlineStr">
        <is>
          <t>suicide_mental_strain_raw</t>
        </is>
      </c>
      <c r="D6" t="inlineStr">
        <is>
          <t>negative</t>
        </is>
      </c>
      <c r="E6" t="n">
        <v>1</v>
      </c>
      <c r="F6" s="13">
        <f>IF(COUNT(City_Inputs!$R$2:$R$103)&gt;=2,PERCENTILE.INC(City_Inputs!$R$2:$R$103,0.05),"")</f>
        <v/>
      </c>
      <c r="G6" s="13">
        <f>IF(COUNT(City_Inputs!$R$2:$R$103)&gt;=2,PERCENTILE.INC(City_Inputs!$R$2:$R$103,0.95),"")</f>
        <v/>
      </c>
      <c r="H6" t="inlineStr">
        <is>
          <t>Higher suicide or strain proxy scores worse.</t>
        </is>
      </c>
    </row>
    <row r="7">
      <c r="A7" t="inlineStr">
        <is>
          <t>personal_safety_raw</t>
        </is>
      </c>
      <c r="B7" t="inlineStr">
        <is>
          <t>Personal safety harm raw</t>
        </is>
      </c>
      <c r="C7" t="inlineStr">
        <is>
          <t>personal_safety_raw</t>
        </is>
      </c>
      <c r="D7" t="inlineStr">
        <is>
          <t>negative</t>
        </is>
      </c>
      <c r="E7" t="n">
        <v>1</v>
      </c>
      <c r="F7" s="13">
        <f>IF(COUNT(City_Inputs!$S$2:$S$103)&gt;=2,PERCENTILE.INC(City_Inputs!$S$2:$S$103,0.05),"")</f>
        <v/>
      </c>
      <c r="G7" s="13">
        <f>IF(COUNT(City_Inputs!$S$2:$S$103)&gt;=2,PERCENTILE.INC(City_Inputs!$S$2:$S$103,0.95),"")</f>
        <v/>
      </c>
      <c r="H7" t="inlineStr">
        <is>
          <t>Higher harm or victimization scores worse.</t>
        </is>
      </c>
    </row>
    <row r="8">
      <c r="A8" t="inlineStr">
        <is>
          <t>transit_access_commute_raw</t>
        </is>
      </c>
      <c r="B8" t="inlineStr">
        <is>
          <t>Transit access and commute raw</t>
        </is>
      </c>
      <c r="C8" t="inlineStr">
        <is>
          <t>transit_access_commute_raw</t>
        </is>
      </c>
      <c r="D8" t="inlineStr">
        <is>
          <t>positive</t>
        </is>
      </c>
      <c r="E8" t="n">
        <v>1</v>
      </c>
      <c r="F8" s="13">
        <f>IF(COUNT(City_Inputs!$T$2:$T$103)&gt;=2,PERCENTILE.INC(City_Inputs!$T$2:$T$103,0.05),"")</f>
        <v/>
      </c>
      <c r="G8" s="13">
        <f>IF(COUNT(City_Inputs!$T$2:$T$103)&gt;=2,PERCENTILE.INC(City_Inputs!$T$2:$T$103,0.95),"")</f>
        <v/>
      </c>
      <c r="H8" t="inlineStr">
        <is>
          <t>Higher access/lower burden composite scores better.</t>
        </is>
      </c>
    </row>
    <row r="9">
      <c r="A9" t="inlineStr">
        <is>
          <t>clean_air_raw</t>
        </is>
      </c>
      <c r="B9" t="inlineStr">
        <is>
          <t>Clean air raw</t>
        </is>
      </c>
      <c r="C9" t="inlineStr">
        <is>
          <t>clean_air_raw</t>
        </is>
      </c>
      <c r="D9" t="inlineStr">
        <is>
          <t>negative</t>
        </is>
      </c>
      <c r="E9" t="n">
        <v>1</v>
      </c>
      <c r="F9" s="13">
        <f>IF(COUNT(City_Inputs!$U$2:$U$103)&gt;=2,PERCENTILE.INC(City_Inputs!$U$2:$U$103,0.05),"")</f>
        <v/>
      </c>
      <c r="G9" s="13">
        <f>IF(COUNT(City_Inputs!$U$2:$U$103)&gt;=2,PERCENTILE.INC(City_Inputs!$U$2:$U$103,0.95),"")</f>
        <v/>
      </c>
      <c r="H9" t="inlineStr">
        <is>
          <t>Higher PM2.5 or pollution exposure scores worse.</t>
        </is>
      </c>
    </row>
    <row r="10">
      <c r="A10" t="inlineStr">
        <is>
          <t>water_sanitation_utility_raw</t>
        </is>
      </c>
      <c r="B10" t="inlineStr">
        <is>
          <t>Water, sanitation, and utility reliability raw</t>
        </is>
      </c>
      <c r="C10" t="inlineStr">
        <is>
          <t>water_sanitation_utility_raw</t>
        </is>
      </c>
      <c r="D10" t="inlineStr">
        <is>
          <t>positive</t>
        </is>
      </c>
      <c r="E10" t="n">
        <v>1</v>
      </c>
      <c r="F10" s="13">
        <f>IF(COUNT(City_Inputs!$V$2:$V$103)&gt;=2,PERCENTILE.INC(City_Inputs!$V$2:$V$103,0.05),"")</f>
        <v/>
      </c>
      <c r="G10" s="13">
        <f>IF(COUNT(City_Inputs!$V$2:$V$103)&gt;=2,PERCENTILE.INC(City_Inputs!$V$2:$V$103,0.95),"")</f>
        <v/>
      </c>
      <c r="H10" t="inlineStr">
        <is>
          <t>Higher safe-service composite scores better.</t>
        </is>
      </c>
    </row>
    <row r="11">
      <c r="A11" t="inlineStr">
        <is>
          <t>digital_infrastructure_raw</t>
        </is>
      </c>
      <c r="B11" t="inlineStr">
        <is>
          <t>Digital infrastructure raw</t>
        </is>
      </c>
      <c r="C11" t="inlineStr">
        <is>
          <t>digital_infrastructure_raw</t>
        </is>
      </c>
      <c r="D11" t="inlineStr">
        <is>
          <t>positive</t>
        </is>
      </c>
      <c r="E11" t="n">
        <v>1</v>
      </c>
      <c r="F11" s="13">
        <f>IF(COUNT(City_Inputs!$W$2:$W$103)&gt;=2,PERCENTILE.INC(City_Inputs!$W$2:$W$103,0.05),"")</f>
        <v/>
      </c>
      <c r="G11" s="13">
        <f>IF(COUNT(City_Inputs!$W$2:$W$103)&gt;=2,PERCENTILE.INC(City_Inputs!$W$2:$W$103,0.95),"")</f>
        <v/>
      </c>
      <c r="H11" t="inlineStr">
        <is>
          <t>Higher digital quality and affordability score better.</t>
        </is>
      </c>
    </row>
    <row r="12">
      <c r="A12" t="inlineStr">
        <is>
          <t>healthcare_quality_raw</t>
        </is>
      </c>
      <c r="B12" t="inlineStr">
        <is>
          <t>Healthcare quality raw</t>
        </is>
      </c>
      <c r="C12" t="inlineStr">
        <is>
          <t>healthcare_quality_raw</t>
        </is>
      </c>
      <c r="D12" t="inlineStr">
        <is>
          <t>positive</t>
        </is>
      </c>
      <c r="E12" t="n">
        <v>1</v>
      </c>
      <c r="F12" s="13">
        <f>IF(COUNT(City_Inputs!$X$2:$X$103)&gt;=2,PERCENTILE.INC(City_Inputs!$X$2:$X$103,0.05),"")</f>
        <v/>
      </c>
      <c r="G12" s="13">
        <f>IF(COUNT(City_Inputs!$X$2:$X$103)&gt;=2,PERCENTILE.INC(City_Inputs!$X$2:$X$103,0.95),"")</f>
        <v/>
      </c>
      <c r="H12" t="inlineStr">
        <is>
          <t>Higher effective-care quality scores better.</t>
        </is>
      </c>
    </row>
    <row r="13">
      <c r="A13" t="inlineStr">
        <is>
          <t>education_quality_raw</t>
        </is>
      </c>
      <c r="B13" t="inlineStr">
        <is>
          <t>Education quality raw</t>
        </is>
      </c>
      <c r="C13" t="inlineStr">
        <is>
          <t>education_quality_raw</t>
        </is>
      </c>
      <c r="D13" t="inlineStr">
        <is>
          <t>positive</t>
        </is>
      </c>
      <c r="E13" t="n">
        <v>1</v>
      </c>
      <c r="F13" s="13">
        <f>IF(COUNT(City_Inputs!$Y$2:$Y$103)&gt;=2,PERCENTILE.INC(City_Inputs!$Y$2:$Y$103,0.05),"")</f>
        <v/>
      </c>
      <c r="G13" s="13">
        <f>IF(COUNT(City_Inputs!$Y$2:$Y$103)&gt;=2,PERCENTILE.INC(City_Inputs!$Y$2:$Y$103,0.95),"")</f>
        <v/>
      </c>
      <c r="H13" t="inlineStr">
        <is>
          <t>Higher learning quality scores better.</t>
        </is>
      </c>
    </row>
    <row r="14">
      <c r="A14" t="inlineStr">
        <is>
          <t>equal_opportunity_raw</t>
        </is>
      </c>
      <c r="B14" t="inlineStr">
        <is>
          <t>Equal opportunity raw</t>
        </is>
      </c>
      <c r="C14" t="inlineStr">
        <is>
          <t>equal_opportunity_raw</t>
        </is>
      </c>
      <c r="D14" t="inlineStr">
        <is>
          <t>positive</t>
        </is>
      </c>
      <c r="E14" t="n">
        <v>0.7</v>
      </c>
      <c r="F14" s="13">
        <f>IF(COUNT(City_Inputs!$Z$2:$Z$103)&gt;=2,PERCENTILE.INC(City_Inputs!$Z$2:$Z$103,0.05),"")</f>
        <v/>
      </c>
      <c r="G14" s="13">
        <f>IF(COUNT(City_Inputs!$Z$2:$Z$103)&gt;=2,PERCENTILE.INC(City_Inputs!$Z$2:$Z$103,0.95),"")</f>
        <v/>
      </c>
      <c r="H14" t="inlineStr">
        <is>
          <t>Primary opportunity component.</t>
        </is>
      </c>
    </row>
    <row r="15">
      <c r="A15" t="inlineStr">
        <is>
          <t>gini_coefficient_context</t>
        </is>
      </c>
      <c r="B15" t="inlineStr">
        <is>
          <t>Gini coefficient context raw</t>
        </is>
      </c>
      <c r="C15" t="inlineStr">
        <is>
          <t>gini_coefficient_context</t>
        </is>
      </c>
      <c r="D15" t="inlineStr">
        <is>
          <t>negative</t>
        </is>
      </c>
      <c r="E15" t="n">
        <v>0.3</v>
      </c>
      <c r="F15" s="13">
        <f>IF(COUNT(City_Inputs!$AK$2:$AK$103)&gt;=2,PERCENTILE.INC(City_Inputs!$AK$2:$AK$103,0.05),"")</f>
        <v/>
      </c>
      <c r="G15" s="13">
        <f>IF(COUNT(City_Inputs!$AK$2:$AK$103)&gt;=2,PERCENTILE.INC(City_Inputs!$AK$2:$AK$103,0.95),"")</f>
        <v/>
      </c>
      <c r="H15" t="inlineStr">
        <is>
          <t>Country-context fairness component.</t>
        </is>
      </c>
    </row>
    <row r="16">
      <c r="A16" t="inlineStr">
        <is>
          <t>hospitality_belonging_raw</t>
        </is>
      </c>
      <c r="B16" t="inlineStr">
        <is>
          <t>Hospitality and belonging raw</t>
        </is>
      </c>
      <c r="C16" t="inlineStr">
        <is>
          <t>hospitality_belonging_raw</t>
        </is>
      </c>
      <c r="D16" t="inlineStr">
        <is>
          <t>positive</t>
        </is>
      </c>
      <c r="E16" t="n">
        <v>1</v>
      </c>
      <c r="F16" s="13">
        <f>IF(COUNT(City_Inputs!$AA$2:$AA$103)&gt;=2,PERCENTILE.INC(City_Inputs!$AA$2:$AA$103,0.05),"")</f>
        <v/>
      </c>
      <c r="G16" s="13">
        <f>IF(COUNT(City_Inputs!$AA$2:$AA$103)&gt;=2,PERCENTILE.INC(City_Inputs!$AA$2:$AA$103,0.95),"")</f>
        <v/>
      </c>
      <c r="H16" t="inlineStr">
        <is>
          <t>Higher civic warmth and belonging scores better.</t>
        </is>
      </c>
    </row>
    <row r="17">
      <c r="A17" t="inlineStr">
        <is>
          <t>tolerance_pluralism_raw</t>
        </is>
      </c>
      <c r="B17" t="inlineStr">
        <is>
          <t>Tolerance and pluralism raw</t>
        </is>
      </c>
      <c r="C17" t="inlineStr">
        <is>
          <t>tolerance_pluralism_raw</t>
        </is>
      </c>
      <c r="D17" t="inlineStr">
        <is>
          <t>positive</t>
        </is>
      </c>
      <c r="E17" t="n">
        <v>1</v>
      </c>
      <c r="F17" s="13">
        <f>IF(COUNT(City_Inputs!$AB$2:$AB$103)&gt;=2,PERCENTILE.INC(City_Inputs!$AB$2:$AB$103,0.05),"")</f>
        <v/>
      </c>
      <c r="G17" s="13">
        <f>IF(COUNT(City_Inputs!$AB$2:$AB$103)&gt;=2,PERCENTILE.INC(City_Inputs!$AB$2:$AB$103,0.95),"")</f>
        <v/>
      </c>
      <c r="H17" t="inlineStr">
        <is>
          <t>Higher coexistence and openness scores better.</t>
        </is>
      </c>
    </row>
    <row r="18">
      <c r="A18" t="inlineStr">
        <is>
          <t>cultural_public_life_raw</t>
        </is>
      </c>
      <c r="B18" t="inlineStr">
        <is>
          <t>Cultural, historic, and public-life vitality raw</t>
        </is>
      </c>
      <c r="C18" t="inlineStr">
        <is>
          <t>cultural_public_life_raw</t>
        </is>
      </c>
      <c r="D18" t="inlineStr">
        <is>
          <t>positive</t>
        </is>
      </c>
      <c r="E18" t="n">
        <v>1</v>
      </c>
      <c r="F18" s="13">
        <f>IF(COUNT(City_Inputs!$AC$2:$AC$103)&gt;=2,PERCENTILE.INC(City_Inputs!$AC$2:$AC$103,0.05),"")</f>
        <v/>
      </c>
      <c r="G18" s="13">
        <f>IF(COUNT(City_Inputs!$AC$2:$AC$103)&gt;=2,PERCENTILE.INC(City_Inputs!$AC$2:$AC$103,0.95),"")</f>
        <v/>
      </c>
      <c r="H18" t="inlineStr">
        <is>
          <t>Higher everyday cultural vitality scores better.</t>
        </is>
      </c>
    </row>
    <row r="19">
      <c r="A19" t="inlineStr">
        <is>
          <t>entrepreneurial_dynamism_raw</t>
        </is>
      </c>
      <c r="B19" t="inlineStr">
        <is>
          <t>Entrepreneurial dynamism raw</t>
        </is>
      </c>
      <c r="C19" t="inlineStr">
        <is>
          <t>entrepreneurial_dynamism_raw</t>
        </is>
      </c>
      <c r="D19" t="inlineStr">
        <is>
          <t>positive</t>
        </is>
      </c>
      <c r="E19" t="n">
        <v>1</v>
      </c>
      <c r="F19" s="13">
        <f>IF(COUNT(City_Inputs!$AD$2:$AD$103)&gt;=2,PERCENTILE.INC(City_Inputs!$AD$2:$AD$103,0.05),"")</f>
        <v/>
      </c>
      <c r="G19" s="13">
        <f>IF(COUNT(City_Inputs!$AD$2:$AD$103)&gt;=2,PERCENTILE.INC(City_Inputs!$AD$2:$AD$103,0.95),"")</f>
        <v/>
      </c>
      <c r="H19" t="inlineStr">
        <is>
          <t>Higher new-business dynamism scores better.</t>
        </is>
      </c>
    </row>
    <row r="20">
      <c r="A20" t="inlineStr">
        <is>
          <t>innovation_research_intensity_raw</t>
        </is>
      </c>
      <c r="B20" t="inlineStr">
        <is>
          <t>Innovation and research intensity raw</t>
        </is>
      </c>
      <c r="C20" t="inlineStr">
        <is>
          <t>innovation_research_intensity_raw</t>
        </is>
      </c>
      <c r="D20" t="inlineStr">
        <is>
          <t>positive</t>
        </is>
      </c>
      <c r="E20" t="n">
        <v>1</v>
      </c>
      <c r="F20" s="13">
        <f>IF(COUNT(City_Inputs!$AE$2:$AE$103)&gt;=2,PERCENTILE.INC(City_Inputs!$AE$2:$AE$103,0.05),"")</f>
        <v/>
      </c>
      <c r="G20" s="13">
        <f>IF(COUNT(City_Inputs!$AE$2:$AE$103)&gt;=2,PERCENTILE.INC(City_Inputs!$AE$2:$AE$103,0.95),"")</f>
        <v/>
      </c>
      <c r="H20" t="inlineStr">
        <is>
          <t>Higher research strength scores better.</t>
        </is>
      </c>
    </row>
    <row r="21">
      <c r="A21" t="inlineStr">
        <is>
          <t>investment_signal_raw</t>
        </is>
      </c>
      <c r="B21" t="inlineStr">
        <is>
          <t>Investment signal raw</t>
        </is>
      </c>
      <c r="C21" t="inlineStr">
        <is>
          <t>investment_signal_raw</t>
        </is>
      </c>
      <c r="D21" t="inlineStr">
        <is>
          <t>positive</t>
        </is>
      </c>
      <c r="E21" t="n">
        <v>0.5</v>
      </c>
      <c r="F21" s="13">
        <f>IF(COUNT(City_Inputs!$AF$2:$AF$103)&gt;=2,PERCENTILE.INC(City_Inputs!$AF$2:$AF$103,0.05),"")</f>
        <v/>
      </c>
      <c r="G21" s="13">
        <f>IF(COUNT(City_Inputs!$AF$2:$AF$103)&gt;=2,PERCENTILE.INC(City_Inputs!$AF$2:$AF$103,0.95),"")</f>
        <v/>
      </c>
      <c r="H21" t="inlineStr">
        <is>
          <t>Primary city-level productive-energy signal.</t>
        </is>
      </c>
    </row>
    <row r="22">
      <c r="A22" t="inlineStr">
        <is>
          <t>gdp_per_capita_ppp_context</t>
        </is>
      </c>
      <c r="B22" t="inlineStr">
        <is>
          <t>GDP per capita PPP context raw</t>
        </is>
      </c>
      <c r="C22" t="inlineStr">
        <is>
          <t>gdp_per_capita_ppp_context</t>
        </is>
      </c>
      <c r="D22" t="inlineStr">
        <is>
          <t>positive</t>
        </is>
      </c>
      <c r="E22" t="n">
        <v>0.3</v>
      </c>
      <c r="F22" s="13">
        <f>IF(COUNT(City_Inputs!$AI$2:$AI$103)&gt;=2,PERCENTILE.INC(City_Inputs!$AI$2:$AI$103,0.05),"")</f>
        <v/>
      </c>
      <c r="G22" s="13">
        <f>IF(COUNT(City_Inputs!$AI$2:$AI$103)&gt;=2,PERCENTILE.INC(City_Inputs!$AI$2:$AI$103,0.95),"")</f>
        <v/>
      </c>
      <c r="H22" t="inlineStr">
        <is>
          <t>Capped country macro context.</t>
        </is>
      </c>
    </row>
    <row r="23">
      <c r="A23" t="inlineStr">
        <is>
          <t>gdp_growth_context</t>
        </is>
      </c>
      <c r="B23" t="inlineStr">
        <is>
          <t>GDP growth context raw</t>
        </is>
      </c>
      <c r="C23" t="inlineStr">
        <is>
          <t>gdp_growth_context</t>
        </is>
      </c>
      <c r="D23" t="inlineStr">
        <is>
          <t>positive</t>
        </is>
      </c>
      <c r="E23" t="n">
        <v>0.2</v>
      </c>
      <c r="F23" s="13">
        <f>IF(COUNT(City_Inputs!$AJ$2:$AJ$103)&gt;=2,PERCENTILE.INC(City_Inputs!$AJ$2:$AJ$103,0.05),"")</f>
        <v/>
      </c>
      <c r="G23" s="13">
        <f>IF(COUNT(City_Inputs!$AJ$2:$AJ$103)&gt;=2,PERCENTILE.INC(City_Inputs!$AJ$2:$AJ$103,0.95),"")</f>
        <v/>
      </c>
      <c r="H23" t="inlineStr">
        <is>
          <t>Capped country momentum context.</t>
        </is>
      </c>
    </row>
    <row r="24">
      <c r="A24" t="inlineStr">
        <is>
          <t>administrative_investment_friction_raw</t>
        </is>
      </c>
      <c r="B24" t="inlineStr">
        <is>
          <t>Administrative and investment friction raw</t>
        </is>
      </c>
      <c r="C24" t="inlineStr">
        <is>
          <t>administrative_investment_friction_raw</t>
        </is>
      </c>
      <c r="D24" t="inlineStr">
        <is>
          <t>negative</t>
        </is>
      </c>
      <c r="E24" t="n">
        <v>1</v>
      </c>
      <c r="F24" s="13">
        <f>IF(COUNT(City_Inputs!$AG$2:$AG$103)&gt;=2,PERCENTILE.INC(City_Inputs!$AG$2:$AG$103,0.05),"")</f>
        <v/>
      </c>
      <c r="G24" s="13">
        <f>IF(COUNT(City_Inputs!$AG$2:$AG$103)&gt;=2,PERCENTILE.INC(City_Inputs!$AG$2:$AG$103,0.95),"")</f>
        <v/>
      </c>
      <c r="H24" t="inlineStr">
        <is>
          <t>Higher business friction scores worse.</t>
        </is>
      </c>
    </row>
  </sheetData>
  <autoFilter ref="A1:H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J103"/>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22" customWidth="1" min="3" max="3"/>
    <col width="28" customWidth="1" min="4" max="4"/>
    <col width="17" customWidth="1" min="5" max="5"/>
    <col width="1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6" customWidth="1" min="62" max="62"/>
  </cols>
  <sheetData>
    <row r="1">
      <c r="A1" s="6" t="inlineStr">
        <is>
          <t>city_id</t>
        </is>
      </c>
      <c r="B1" s="6" t="inlineStr">
        <is>
          <t>display_name</t>
        </is>
      </c>
      <c r="C1" s="6" t="inlineStr">
        <is>
          <t>country</t>
        </is>
      </c>
      <c r="D1" s="6" t="inlineStr">
        <is>
          <t>cohort</t>
        </is>
      </c>
      <c r="E1" s="6" t="inlineStr">
        <is>
          <t>manifest_status</t>
        </is>
      </c>
      <c r="F1" s="6" t="inlineStr">
        <is>
          <t>city_type</t>
        </is>
      </c>
      <c r="G1" s="6" t="inlineStr">
        <is>
          <t>pressure_disposable_income_ppp_score</t>
        </is>
      </c>
      <c r="H1" s="6" t="inlineStr">
        <is>
          <t>pressure_disposable_income_ppp_coverage</t>
        </is>
      </c>
      <c r="I1" s="6" t="inlineStr">
        <is>
          <t>pressure_housing_burden_score</t>
        </is>
      </c>
      <c r="J1" s="6" t="inlineStr">
        <is>
          <t>pressure_housing_burden_coverage</t>
        </is>
      </c>
      <c r="K1" s="6" t="inlineStr">
        <is>
          <t>pressure_household_debt_burden_score</t>
        </is>
      </c>
      <c r="L1" s="6" t="inlineStr">
        <is>
          <t>pressure_household_debt_burden_coverage</t>
        </is>
      </c>
      <c r="M1" s="6" t="inlineStr">
        <is>
          <t>pressure_working_time_pressure_score</t>
        </is>
      </c>
      <c r="N1" s="6" t="inlineStr">
        <is>
          <t>pressure_working_time_pressure_coverage</t>
        </is>
      </c>
      <c r="O1" s="6" t="inlineStr">
        <is>
          <t>pressure_suicide_mental_strain_score</t>
        </is>
      </c>
      <c r="P1" s="6" t="inlineStr">
        <is>
          <t>pressure_suicide_mental_strain_coverage</t>
        </is>
      </c>
      <c r="Q1" s="6" t="inlineStr">
        <is>
          <t>pressure_pillar_score</t>
        </is>
      </c>
      <c r="R1" s="6" t="inlineStr">
        <is>
          <t>pressure_pillar_coverage</t>
        </is>
      </c>
      <c r="S1" s="6" t="inlineStr">
        <is>
          <t>viability_personal_safety_score</t>
        </is>
      </c>
      <c r="T1" s="6" t="inlineStr">
        <is>
          <t>viability_personal_safety_coverage</t>
        </is>
      </c>
      <c r="U1" s="6" t="inlineStr">
        <is>
          <t>viability_transit_access_commute_score</t>
        </is>
      </c>
      <c r="V1" s="6" t="inlineStr">
        <is>
          <t>viability_transit_access_commute_coverage</t>
        </is>
      </c>
      <c r="W1" s="6" t="inlineStr">
        <is>
          <t>viability_clean_air_score</t>
        </is>
      </c>
      <c r="X1" s="6" t="inlineStr">
        <is>
          <t>viability_clean_air_coverage</t>
        </is>
      </c>
      <c r="Y1" s="6" t="inlineStr">
        <is>
          <t>viability_water_sanitation_utility_score</t>
        </is>
      </c>
      <c r="Z1" s="6" t="inlineStr">
        <is>
          <t>viability_water_sanitation_utility_coverage</t>
        </is>
      </c>
      <c r="AA1" s="6" t="inlineStr">
        <is>
          <t>viability_digital_infrastructure_score</t>
        </is>
      </c>
      <c r="AB1" s="6" t="inlineStr">
        <is>
          <t>viability_digital_infrastructure_coverage</t>
        </is>
      </c>
      <c r="AC1" s="6" t="inlineStr">
        <is>
          <t>viability_pillar_score</t>
        </is>
      </c>
      <c r="AD1" s="6" t="inlineStr">
        <is>
          <t>viability_pillar_coverage</t>
        </is>
      </c>
      <c r="AE1" s="6" t="inlineStr">
        <is>
          <t>capability_healthcare_quality_score</t>
        </is>
      </c>
      <c r="AF1" s="6" t="inlineStr">
        <is>
          <t>capability_healthcare_quality_coverage</t>
        </is>
      </c>
      <c r="AG1" s="6" t="inlineStr">
        <is>
          <t>capability_education_quality_score</t>
        </is>
      </c>
      <c r="AH1" s="6" t="inlineStr">
        <is>
          <t>capability_education_quality_coverage</t>
        </is>
      </c>
      <c r="AI1" s="6" t="inlineStr">
        <is>
          <t>capability_equal_opportunity_distributional_fairness_score</t>
        </is>
      </c>
      <c r="AJ1" s="6" t="inlineStr">
        <is>
          <t>capability_equal_opportunity_distributional_fairness_coverage</t>
        </is>
      </c>
      <c r="AK1" s="6" t="inlineStr">
        <is>
          <t>capability_pillar_score</t>
        </is>
      </c>
      <c r="AL1" s="6" t="inlineStr">
        <is>
          <t>capability_pillar_coverage</t>
        </is>
      </c>
      <c r="AM1" s="6" t="inlineStr">
        <is>
          <t>community_hospitality_belonging_score</t>
        </is>
      </c>
      <c r="AN1" s="6" t="inlineStr">
        <is>
          <t>community_hospitality_belonging_coverage</t>
        </is>
      </c>
      <c r="AO1" s="6" t="inlineStr">
        <is>
          <t>community_tolerance_pluralism_score</t>
        </is>
      </c>
      <c r="AP1" s="6" t="inlineStr">
        <is>
          <t>community_tolerance_pluralism_coverage</t>
        </is>
      </c>
      <c r="AQ1" s="6" t="inlineStr">
        <is>
          <t>community_cultural_historic_public_life_vitality_score</t>
        </is>
      </c>
      <c r="AR1" s="6" t="inlineStr">
        <is>
          <t>community_cultural_historic_public_life_vitality_coverage</t>
        </is>
      </c>
      <c r="AS1" s="6" t="inlineStr">
        <is>
          <t>community_pillar_score</t>
        </is>
      </c>
      <c r="AT1" s="6" t="inlineStr">
        <is>
          <t>community_pillar_coverage</t>
        </is>
      </c>
      <c r="AU1" s="6" t="inlineStr">
        <is>
          <t>creative_entrepreneurial_dynamism_score</t>
        </is>
      </c>
      <c r="AV1" s="6" t="inlineStr">
        <is>
          <t>creative_entrepreneurial_dynamism_coverage</t>
        </is>
      </c>
      <c r="AW1" s="6" t="inlineStr">
        <is>
          <t>creative_innovation_research_intensity_score</t>
        </is>
      </c>
      <c r="AX1" s="6" t="inlineStr">
        <is>
          <t>creative_innovation_research_intensity_coverage</t>
        </is>
      </c>
      <c r="AY1" s="6" t="inlineStr">
        <is>
          <t>creative_economic_vitality_productive_context_score</t>
        </is>
      </c>
      <c r="AZ1" s="6" t="inlineStr">
        <is>
          <t>creative_economic_vitality_productive_context_coverage</t>
        </is>
      </c>
      <c r="BA1" s="6" t="inlineStr">
        <is>
          <t>creative_administrative_investment_friction_score</t>
        </is>
      </c>
      <c r="BB1" s="6" t="inlineStr">
        <is>
          <t>creative_administrative_investment_friction_coverage</t>
        </is>
      </c>
      <c r="BC1" s="6" t="inlineStr">
        <is>
          <t>creative_pillar_score</t>
        </is>
      </c>
      <c r="BD1" s="6" t="inlineStr">
        <is>
          <t>creative_pillar_coverage</t>
        </is>
      </c>
      <c r="BE1" s="6" t="inlineStr">
        <is>
          <t>overall_weighted_coverage</t>
        </is>
      </c>
      <c r="BF1" s="6" t="inlineStr">
        <is>
          <t>coverage_grade</t>
        </is>
      </c>
      <c r="BG1" s="6" t="inlineStr">
        <is>
          <t>ranking_status</t>
        </is>
      </c>
      <c r="BH1" s="6" t="inlineStr">
        <is>
          <t>slic_score</t>
        </is>
      </c>
      <c r="BI1" s="6" t="inlineStr">
        <is>
          <t>rank</t>
        </is>
      </c>
      <c r="BJ1" s="6" t="inlineStr">
        <is>
          <t>visitor_flow_context_raw</t>
        </is>
      </c>
    </row>
    <row r="2">
      <c r="A2" t="inlineStr">
        <is>
          <t>th-bangkok</t>
        </is>
      </c>
      <c r="B2" t="inlineStr">
        <is>
          <t>Bangkok</t>
        </is>
      </c>
      <c r="C2" t="inlineStr">
        <is>
          <t>Thailand</t>
        </is>
      </c>
      <c r="D2" t="inlineStr">
        <is>
          <t>Southeast Asia</t>
        </is>
      </c>
      <c r="E2" t="inlineStr">
        <is>
          <t>locked</t>
        </is>
      </c>
      <c r="F2" t="inlineStr">
        <is>
          <t>primary</t>
        </is>
      </c>
      <c r="G2" s="11">
        <f>IF(OR(City_Inputs!$M2="",Norm_Stats!$F$2="",Norm_Stats!$G$2="",Norm_Stats!$G$2=Norm_Stats!$F$2),"",MAX(0,MIN(100,100*(MIN(MAX(City_Inputs!$M2,Norm_Stats!$F$2),Norm_Stats!$G$2)-Norm_Stats!$F$2)/(Norm_Stats!$G$2-Norm_Stats!$F$2))))</f>
        <v/>
      </c>
      <c r="H2" s="14">
        <f>IF(G2="","",1)</f>
        <v/>
      </c>
      <c r="I2" s="11">
        <f>IF(OR(City_Inputs!$N2="",Norm_Stats!$F$3="",Norm_Stats!$G$3="",Norm_Stats!$G$3=Norm_Stats!$F$3),"",MAX(0,MIN(100,100*(Norm_Stats!$G$3-MIN(MAX(City_Inputs!$N2,Norm_Stats!$F$3),Norm_Stats!$G$3))/(Norm_Stats!$G$3-Norm_Stats!$F$3))))</f>
        <v/>
      </c>
      <c r="J2" s="14">
        <f>IF(I2="","",1)</f>
        <v/>
      </c>
      <c r="K2" s="11">
        <f>IF(OR(City_Inputs!$P2="",Norm_Stats!$F$4="",Norm_Stats!$G$4="",Norm_Stats!$G$4=Norm_Stats!$F$4),"",MAX(0,MIN(100,100*(Norm_Stats!$G$4-MIN(MAX(City_Inputs!$P2,Norm_Stats!$F$4),Norm_Stats!$G$4))/(Norm_Stats!$G$4-Norm_Stats!$F$4))))</f>
        <v/>
      </c>
      <c r="L2" s="14">
        <f>IF(K2="","",1)</f>
        <v/>
      </c>
      <c r="M2" s="11">
        <f>IF(OR(City_Inputs!$Q2="",Norm_Stats!$F$5="",Norm_Stats!$G$5="",Norm_Stats!$G$5=Norm_Stats!$F$5),"",MAX(0,MIN(100,100*(Norm_Stats!$G$5-MIN(MAX(City_Inputs!$Q2,Norm_Stats!$F$5),Norm_Stats!$G$5))/(Norm_Stats!$G$5-Norm_Stats!$F$5))))</f>
        <v/>
      </c>
      <c r="N2" s="14">
        <f>IF(M2="","",1)</f>
        <v/>
      </c>
      <c r="O2" s="11">
        <f>IF(OR(City_Inputs!$R2="",Norm_Stats!$F$6="",Norm_Stats!$G$6="",Norm_Stats!$G$6=Norm_Stats!$F$6),"",MAX(0,MIN(100,100*(Norm_Stats!$G$6-MIN(MAX(City_Inputs!$R2,Norm_Stats!$F$6),Norm_Stats!$G$6))/(Norm_Stats!$G$6-Norm_Stats!$F$6))))</f>
        <v/>
      </c>
      <c r="P2" s="14">
        <f>IF(O2="","",1)</f>
        <v/>
      </c>
      <c r="Q2" s="15">
        <f>IF((IF(G2="",0,9)+IF(I2="",0,5)+IF(K2="",0,4)+IF(M2="",0,4)+IF(O2="",0,3))=0,"",(IF(G2="",0,G2*9)+IF(I2="",0,I2*5)+IF(K2="",0,K2*4)+IF(M2="",0,M2*4)+IF(O2="",0,O2*3))/(IF(G2="",0,9)+IF(I2="",0,5)+IF(K2="",0,4)+IF(M2="",0,4)+IF(O2="",0,3)))</f>
        <v/>
      </c>
      <c r="R2" s="14">
        <f>IF((IF(H2="",0,9)+IF(J2="",0,5)+IF(L2="",0,4)+IF(N2="",0,4)+IF(P2="",0,3))=0,"",(IF(H2="",0,H2*9)+IF(J2="",0,J2*5)+IF(L2="",0,L2*4)+IF(N2="",0,N2*4)+IF(P2="",0,P2*3))/25)</f>
        <v/>
      </c>
      <c r="S2" s="11">
        <f>IF(OR(City_Inputs!$S2="",Norm_Stats!$F$7="",Norm_Stats!$G$7="",Norm_Stats!$G$7=Norm_Stats!$F$7),"",MAX(0,MIN(100,100*(Norm_Stats!$G$7-MIN(MAX(City_Inputs!$S2,Norm_Stats!$F$7),Norm_Stats!$G$7))/(Norm_Stats!$G$7-Norm_Stats!$F$7))))</f>
        <v/>
      </c>
      <c r="T2" s="14">
        <f>IF(S2="","",1)</f>
        <v/>
      </c>
      <c r="U2" s="11">
        <f>IF(OR(City_Inputs!$T2="",Norm_Stats!$F$8="",Norm_Stats!$G$8="",Norm_Stats!$G$8=Norm_Stats!$F$8),"",MAX(0,MIN(100,100*(MIN(MAX(City_Inputs!$T2,Norm_Stats!$F$8),Norm_Stats!$G$8)-Norm_Stats!$F$8)/(Norm_Stats!$G$8-Norm_Stats!$F$8))))</f>
        <v/>
      </c>
      <c r="V2" s="14">
        <f>IF(U2="","",1)</f>
        <v/>
      </c>
      <c r="W2" s="11">
        <f>IF(OR(City_Inputs!$U2="",Norm_Stats!$F$9="",Norm_Stats!$G$9="",Norm_Stats!$G$9=Norm_Stats!$F$9),"",MAX(0,MIN(100,100*(Norm_Stats!$G$9-MIN(MAX(City_Inputs!$U2,Norm_Stats!$F$9),Norm_Stats!$G$9))/(Norm_Stats!$G$9-Norm_Stats!$F$9))))</f>
        <v/>
      </c>
      <c r="X2" s="14">
        <f>IF(W2="","",1)</f>
        <v/>
      </c>
      <c r="Y2" s="11">
        <f>IF(OR(City_Inputs!$V2="",Norm_Stats!$F$10="",Norm_Stats!$G$10="",Norm_Stats!$G$10=Norm_Stats!$F$10),"",MAX(0,MIN(100,100*(MIN(MAX(City_Inputs!$V2,Norm_Stats!$F$10),Norm_Stats!$G$10)-Norm_Stats!$F$10)/(Norm_Stats!$G$10-Norm_Stats!$F$10))))</f>
        <v/>
      </c>
      <c r="Z2" s="14">
        <f>IF(Y2="","",1)</f>
        <v/>
      </c>
      <c r="AA2" s="11">
        <f>IF(OR(City_Inputs!$W2="",Norm_Stats!$F$11="",Norm_Stats!$G$11="",Norm_Stats!$G$11=Norm_Stats!$F$11),"",MAX(0,MIN(100,100*(MIN(MAX(City_Inputs!$W2,Norm_Stats!$F$11),Norm_Stats!$G$11)-Norm_Stats!$F$11)/(Norm_Stats!$G$11-Norm_Stats!$F$11))))</f>
        <v/>
      </c>
      <c r="AB2" s="14">
        <f>IF(AA2="","",1)</f>
        <v/>
      </c>
      <c r="AC2" s="15">
        <f>IF((IF(S2="",0,5)+IF(U2="",0,5)+IF(W2="",0,4)+IF(Y2="",0,4)+IF(AA2="",0,4))=0,"",(IF(S2="",0,S2*5)+IF(U2="",0,U2*5)+IF(W2="",0,W2*4)+IF(Y2="",0,Y2*4)+IF(AA2="",0,AA2*4))/(IF(S2="",0,5)+IF(U2="",0,5)+IF(W2="",0,4)+IF(Y2="",0,4)+IF(AA2="",0,4)))</f>
        <v/>
      </c>
      <c r="AD2" s="14">
        <f>IF((IF(T2="",0,5)+IF(V2="",0,5)+IF(X2="",0,4)+IF(Z2="",0,4)+IF(AB2="",0,4))=0,"",(IF(T2="",0,T2*5)+IF(V2="",0,V2*5)+IF(X2="",0,X2*4)+IF(Z2="",0,Z2*4)+IF(AB2="",0,AB2*4))/22)</f>
        <v/>
      </c>
      <c r="AE2" s="11">
        <f>IF(OR(City_Inputs!$X2="",Norm_Stats!$F$12="",Norm_Stats!$G$12="",Norm_Stats!$G$12=Norm_Stats!$F$12),"",MAX(0,MIN(100,100*(MIN(MAX(City_Inputs!$X2,Norm_Stats!$F$12),Norm_Stats!$G$12)-Norm_Stats!$F$12)/(Norm_Stats!$G$12-Norm_Stats!$F$12))))</f>
        <v/>
      </c>
      <c r="AF2" s="14">
        <f>IF(AE2="","",1)</f>
        <v/>
      </c>
      <c r="AG2" s="11">
        <f>IF(OR(City_Inputs!$Y2="",Norm_Stats!$F$13="",Norm_Stats!$G$13="",Norm_Stats!$G$13=Norm_Stats!$F$13),"",MAX(0,MIN(100,100*(MIN(MAX(City_Inputs!$Y2,Norm_Stats!$F$13),Norm_Stats!$G$13)-Norm_Stats!$F$13)/(Norm_Stats!$G$13-Norm_Stats!$F$13))))</f>
        <v/>
      </c>
      <c r="AH2" s="14">
        <f>IF(AG2="","",1)</f>
        <v/>
      </c>
      <c r="AI2" s="11">
        <f>IF((IF((IF(OR(City_Inputs!$Z2="",Norm_Stats!$F$14="",Norm_Stats!$G$14="",Norm_Stats!$G$14=Norm_Stats!$F$14),"",MAX(0,MIN(100,100*(MIN(MAX(City_Inputs!$Z2,Norm_Stats!$F$14),Norm_Stats!$G$14)-Norm_Stats!$F$14)/(Norm_Stats!$G$14-Norm_Stats!$F$14)))))="",0,0.7)+IF((IF(OR(City_Inputs!$AK2="",Norm_Stats!$F$15="",Norm_Stats!$G$15="",Norm_Stats!$G$15=Norm_Stats!$F$15),"",MAX(0,MIN(100,100*(Norm_Stats!$G$15-MIN(MAX(City_Inputs!$AK2,Norm_Stats!$F$15),Norm_Stats!$G$15))/(Norm_Stats!$G$15-Norm_Stats!$F$15)))))="",0,0.3))=0,"",(IF((IF(OR(City_Inputs!$Z2="",Norm_Stats!$F$14="",Norm_Stats!$G$14="",Norm_Stats!$G$14=Norm_Stats!$F$14),"",MAX(0,MIN(100,100*(MIN(MAX(City_Inputs!$Z2,Norm_Stats!$F$14),Norm_Stats!$G$14)-Norm_Stats!$F$14)/(Norm_Stats!$G$14-Norm_Stats!$F$14)))))="",0,(IF(OR(City_Inputs!$Z2="",Norm_Stats!$F$14="",Norm_Stats!$G$14="",Norm_Stats!$G$14=Norm_Stats!$F$14),"",MAX(0,MIN(100,100*(MIN(MAX(City_Inputs!$Z2,Norm_Stats!$F$14),Norm_Stats!$G$14)-Norm_Stats!$F$14)/(Norm_Stats!$G$14-Norm_Stats!$F$14)))))*0.7)+IF((IF(OR(City_Inputs!$AK2="",Norm_Stats!$F$15="",Norm_Stats!$G$15="",Norm_Stats!$G$15=Norm_Stats!$F$15),"",MAX(0,MIN(100,100*(Norm_Stats!$G$15-MIN(MAX(City_Inputs!$AK2,Norm_Stats!$F$15),Norm_Stats!$G$15))/(Norm_Stats!$G$15-Norm_Stats!$F$15)))))="",0,(IF(OR(City_Inputs!$AK2="",Norm_Stats!$F$15="",Norm_Stats!$G$15="",Norm_Stats!$G$15=Norm_Stats!$F$15),"",MAX(0,MIN(100,100*(Norm_Stats!$G$15-MIN(MAX(City_Inputs!$AK2,Norm_Stats!$F$15),Norm_Stats!$G$15))/(Norm_Stats!$G$15-Norm_Stats!$F$15)))))*0.3))/(IF((IF(OR(City_Inputs!$Z2="",Norm_Stats!$F$14="",Norm_Stats!$G$14="",Norm_Stats!$G$14=Norm_Stats!$F$14),"",MAX(0,MIN(100,100*(MIN(MAX(City_Inputs!$Z2,Norm_Stats!$F$14),Norm_Stats!$G$14)-Norm_Stats!$F$14)/(Norm_Stats!$G$14-Norm_Stats!$F$14)))))="",0,0.7)+IF((IF(OR(City_Inputs!$AK2="",Norm_Stats!$F$15="",Norm_Stats!$G$15="",Norm_Stats!$G$15=Norm_Stats!$F$15),"",MAX(0,MIN(100,100*(Norm_Stats!$G$15-MIN(MAX(City_Inputs!$AK2,Norm_Stats!$F$15),Norm_Stats!$G$15))/(Norm_Stats!$G$15-Norm_Stats!$F$15)))))="",0,0.3)))</f>
        <v/>
      </c>
      <c r="AJ2" s="14">
        <f>IF((IF((IF(OR(City_Inputs!$Z2="",Norm_Stats!$F$14="",Norm_Stats!$G$14="",Norm_Stats!$G$14=Norm_Stats!$F$14),"",MAX(0,MIN(100,100*(MIN(MAX(City_Inputs!$Z2,Norm_Stats!$F$14),Norm_Stats!$G$14)-Norm_Stats!$F$14)/(Norm_Stats!$G$14-Norm_Stats!$F$14)))))="",0,0.7)+IF((IF(OR(City_Inputs!$AK2="",Norm_Stats!$F$15="",Norm_Stats!$G$15="",Norm_Stats!$G$15=Norm_Stats!$F$15),"",MAX(0,MIN(100,100*(Norm_Stats!$G$15-MIN(MAX(City_Inputs!$AK2,Norm_Stats!$F$15),Norm_Stats!$G$15))/(Norm_Stats!$G$15-Norm_Stats!$F$15)))))="",0,0.3))=0,"",(IF((IF(OR(City_Inputs!$Z2="",Norm_Stats!$F$14="",Norm_Stats!$G$14="",Norm_Stats!$G$14=Norm_Stats!$F$14),"",MAX(0,MIN(100,100*(MIN(MAX(City_Inputs!$Z2,Norm_Stats!$F$14),Norm_Stats!$G$14)-Norm_Stats!$F$14)/(Norm_Stats!$G$14-Norm_Stats!$F$14)))))="",0,0.7)+IF((IF(OR(City_Inputs!$AK2="",Norm_Stats!$F$15="",Norm_Stats!$G$15="",Norm_Stats!$G$15=Norm_Stats!$F$15),"",MAX(0,MIN(100,100*(Norm_Stats!$G$15-MIN(MAX(City_Inputs!$AK2,Norm_Stats!$F$15),Norm_Stats!$G$15))/(Norm_Stats!$G$15-Norm_Stats!$F$15)))))="",0,0.3)))</f>
        <v/>
      </c>
      <c r="AK2" s="15">
        <f>IF((IF(AE2="",0,8)+IF(AG2="",0,6)+IF(AI2="",0,4))=0,"",(IF(AE2="",0,AE2*8)+IF(AG2="",0,AG2*6)+IF(AI2="",0,AI2*4))/(IF(AE2="",0,8)+IF(AG2="",0,6)+IF(AI2="",0,4)))</f>
        <v/>
      </c>
      <c r="AL2" s="14">
        <f>IF((IF(AF2="",0,8)+IF(AH2="",0,6)+IF(AJ2="",0,4))=0,"",(IF(AF2="",0,AF2*8)+IF(AH2="",0,AH2*6)+IF(AJ2="",0,AJ2*4))/18)</f>
        <v/>
      </c>
      <c r="AM2" s="11">
        <f>IF(OR(City_Inputs!$AA2="",Norm_Stats!$F$16="",Norm_Stats!$G$16="",Norm_Stats!$G$16=Norm_Stats!$F$16),"",MAX(0,MIN(100,100*(MIN(MAX(City_Inputs!$AA2,Norm_Stats!$F$16),Norm_Stats!$G$16)-Norm_Stats!$F$16)/(Norm_Stats!$G$16-Norm_Stats!$F$16))))</f>
        <v/>
      </c>
      <c r="AN2" s="14">
        <f>IF(AM2="","",1)</f>
        <v/>
      </c>
      <c r="AO2" s="11">
        <f>IF(OR(City_Inputs!$AB2="",Norm_Stats!$F$17="",Norm_Stats!$G$17="",Norm_Stats!$G$17=Norm_Stats!$F$17),"",MAX(0,MIN(100,100*(MIN(MAX(City_Inputs!$AB2,Norm_Stats!$F$17),Norm_Stats!$G$17)-Norm_Stats!$F$17)/(Norm_Stats!$G$17-Norm_Stats!$F$17))))</f>
        <v/>
      </c>
      <c r="AP2" s="14">
        <f>IF(AO2="","",1)</f>
        <v/>
      </c>
      <c r="AQ2" s="11">
        <f>IF(OR(City_Inputs!$AC2="",Norm_Stats!$F$18="",Norm_Stats!$G$18="",Norm_Stats!$G$18=Norm_Stats!$F$18),"",MAX(0,MIN(100,100*(MIN(MAX(City_Inputs!$AC2,Norm_Stats!$F$18),Norm_Stats!$G$18)-Norm_Stats!$F$18)/(Norm_Stats!$G$18-Norm_Stats!$F$18))))</f>
        <v/>
      </c>
      <c r="AR2" s="14">
        <f>IF(AQ2="","",1)</f>
        <v/>
      </c>
      <c r="AS2" s="15">
        <f>IF((IF(AM2="",0,5)+IF(AO2="",0,5)+IF(AQ2="",0,5))=0,"",(IF(AM2="",0,AM2*5)+IF(AO2="",0,AO2*5)+IF(AQ2="",0,AQ2*5))/(IF(AM2="",0,5)+IF(AO2="",0,5)+IF(AQ2="",0,5)))</f>
        <v/>
      </c>
      <c r="AT2" s="14">
        <f>IF((IF(AN2="",0,5)+IF(AP2="",0,5)+IF(AR2="",0,5))=0,"",(IF(AN2="",0,AN2*5)+IF(AP2="",0,AP2*5)+IF(AR2="",0,AR2*5))/15)</f>
        <v/>
      </c>
      <c r="AU2" s="11">
        <f>IF(OR(City_Inputs!$AD2="",Norm_Stats!$F$19="",Norm_Stats!$G$19="",Norm_Stats!$G$19=Norm_Stats!$F$19),"",MAX(0,MIN(100,100*(MIN(MAX(City_Inputs!$AD2,Norm_Stats!$F$19),Norm_Stats!$G$19)-Norm_Stats!$F$19)/(Norm_Stats!$G$19-Norm_Stats!$F$19))))</f>
        <v/>
      </c>
      <c r="AV2" s="14">
        <f>IF(AU2="","",1)</f>
        <v/>
      </c>
      <c r="AW2" s="11">
        <f>IF(OR(City_Inputs!$AE2="",Norm_Stats!$F$20="",Norm_Stats!$G$20="",Norm_Stats!$G$20=Norm_Stats!$F$20),"",MAX(0,MIN(100,100*(MIN(MAX(City_Inputs!$AE2,Norm_Stats!$F$20),Norm_Stats!$G$20)-Norm_Stats!$F$20)/(Norm_Stats!$G$20-Norm_Stats!$F$20))))</f>
        <v/>
      </c>
      <c r="AX2" s="14">
        <f>IF(AW2="","",1)</f>
        <v/>
      </c>
      <c r="AY2" s="11">
        <f>IF((IF((IF(OR(City_Inputs!$AF2="",Norm_Stats!$F$21="",Norm_Stats!$G$21="",Norm_Stats!$G$21=Norm_Stats!$F$21),"",MAX(0,MIN(100,100*(MIN(MAX(City_Inputs!$AF2,Norm_Stats!$F$21),Norm_Stats!$G$21)-Norm_Stats!$F$21)/(Norm_Stats!$G$21-Norm_Stats!$F$21)))))="",0,0.5)+IF((IF(OR(City_Inputs!$AI2="",Norm_Stats!$F$22="",Norm_Stats!$G$22="",Norm_Stats!$G$22=Norm_Stats!$F$22),"",MAX(0,MIN(100,100*(MIN(MAX(City_Inputs!$AI2,Norm_Stats!$F$22),Norm_Stats!$G$22)-Norm_Stats!$F$22)/(Norm_Stats!$G$22-Norm_Stats!$F$22)))))="",0,0.3)+IF((IF(OR(City_Inputs!$AJ2="",Norm_Stats!$F$23="",Norm_Stats!$G$23="",Norm_Stats!$G$23=Norm_Stats!$F$23),"",MAX(0,MIN(100,100*(MIN(MAX(City_Inputs!$AJ2,Norm_Stats!$F$23),Norm_Stats!$G$23)-Norm_Stats!$F$23)/(Norm_Stats!$G$23-Norm_Stats!$F$23)))))="",0,0.2))=0,"",(IF((IF(OR(City_Inputs!$AF2="",Norm_Stats!$F$21="",Norm_Stats!$G$21="",Norm_Stats!$G$21=Norm_Stats!$F$21),"",MAX(0,MIN(100,100*(MIN(MAX(City_Inputs!$AF2,Norm_Stats!$F$21),Norm_Stats!$G$21)-Norm_Stats!$F$21)/(Norm_Stats!$G$21-Norm_Stats!$F$21)))))="",0,(IF(OR(City_Inputs!$AF2="",Norm_Stats!$F$21="",Norm_Stats!$G$21="",Norm_Stats!$G$21=Norm_Stats!$F$21),"",MAX(0,MIN(100,100*(MIN(MAX(City_Inputs!$AF2,Norm_Stats!$F$21),Norm_Stats!$G$21)-Norm_Stats!$F$21)/(Norm_Stats!$G$21-Norm_Stats!$F$21)))))*0.5)+IF((IF(OR(City_Inputs!$AI2="",Norm_Stats!$F$22="",Norm_Stats!$G$22="",Norm_Stats!$G$22=Norm_Stats!$F$22),"",MAX(0,MIN(100,100*(MIN(MAX(City_Inputs!$AI2,Norm_Stats!$F$22),Norm_Stats!$G$22)-Norm_Stats!$F$22)/(Norm_Stats!$G$22-Norm_Stats!$F$22)))))="",0,(IF(OR(City_Inputs!$AI2="",Norm_Stats!$F$22="",Norm_Stats!$G$22="",Norm_Stats!$G$22=Norm_Stats!$F$22),"",MAX(0,MIN(100,100*(MIN(MAX(City_Inputs!$AI2,Norm_Stats!$F$22),Norm_Stats!$G$22)-Norm_Stats!$F$22)/(Norm_Stats!$G$22-Norm_Stats!$F$22)))))*0.3)+IF((IF(OR(City_Inputs!$AJ2="",Norm_Stats!$F$23="",Norm_Stats!$G$23="",Norm_Stats!$G$23=Norm_Stats!$F$23),"",MAX(0,MIN(100,100*(MIN(MAX(City_Inputs!$AJ2,Norm_Stats!$F$23),Norm_Stats!$G$23)-Norm_Stats!$F$23)/(Norm_Stats!$G$23-Norm_Stats!$F$23)))))="",0,(IF(OR(City_Inputs!$AJ2="",Norm_Stats!$F$23="",Norm_Stats!$G$23="",Norm_Stats!$G$23=Norm_Stats!$F$23),"",MAX(0,MIN(100,100*(MIN(MAX(City_Inputs!$AJ2,Norm_Stats!$F$23),Norm_Stats!$G$23)-Norm_Stats!$F$23)/(Norm_Stats!$G$23-Norm_Stats!$F$23)))))*0.2))/(IF((IF(OR(City_Inputs!$AF2="",Norm_Stats!$F$21="",Norm_Stats!$G$21="",Norm_Stats!$G$21=Norm_Stats!$F$21),"",MAX(0,MIN(100,100*(MIN(MAX(City_Inputs!$AF2,Norm_Stats!$F$21),Norm_Stats!$G$21)-Norm_Stats!$F$21)/(Norm_Stats!$G$21-Norm_Stats!$F$21)))))="",0,0.5)+IF((IF(OR(City_Inputs!$AI2="",Norm_Stats!$F$22="",Norm_Stats!$G$22="",Norm_Stats!$G$22=Norm_Stats!$F$22),"",MAX(0,MIN(100,100*(MIN(MAX(City_Inputs!$AI2,Norm_Stats!$F$22),Norm_Stats!$G$22)-Norm_Stats!$F$22)/(Norm_Stats!$G$22-Norm_Stats!$F$22)))))="",0,0.3)+IF((IF(OR(City_Inputs!$AJ2="",Norm_Stats!$F$23="",Norm_Stats!$G$23="",Norm_Stats!$G$23=Norm_Stats!$F$23),"",MAX(0,MIN(100,100*(MIN(MAX(City_Inputs!$AJ2,Norm_Stats!$F$23),Norm_Stats!$G$23)-Norm_Stats!$F$23)/(Norm_Stats!$G$23-Norm_Stats!$F$23)))))="",0,0.2)))</f>
        <v/>
      </c>
      <c r="AZ2" s="14">
        <f>IF((IF((IF(OR(City_Inputs!$AF2="",Norm_Stats!$F$21="",Norm_Stats!$G$21="",Norm_Stats!$G$21=Norm_Stats!$F$21),"",MAX(0,MIN(100,100*(MIN(MAX(City_Inputs!$AF2,Norm_Stats!$F$21),Norm_Stats!$G$21)-Norm_Stats!$F$21)/(Norm_Stats!$G$21-Norm_Stats!$F$21)))))="",0,0.5)+IF((IF(OR(City_Inputs!$AI2="",Norm_Stats!$F$22="",Norm_Stats!$G$22="",Norm_Stats!$G$22=Norm_Stats!$F$22),"",MAX(0,MIN(100,100*(MIN(MAX(City_Inputs!$AI2,Norm_Stats!$F$22),Norm_Stats!$G$22)-Norm_Stats!$F$22)/(Norm_Stats!$G$22-Norm_Stats!$F$22)))))="",0,0.3)+IF((IF(OR(City_Inputs!$AJ2="",Norm_Stats!$F$23="",Norm_Stats!$G$23="",Norm_Stats!$G$23=Norm_Stats!$F$23),"",MAX(0,MIN(100,100*(MIN(MAX(City_Inputs!$AJ2,Norm_Stats!$F$23),Norm_Stats!$G$23)-Norm_Stats!$F$23)/(Norm_Stats!$G$23-Norm_Stats!$F$23)))))="",0,0.2))=0,"",(IF((IF(OR(City_Inputs!$AF2="",Norm_Stats!$F$21="",Norm_Stats!$G$21="",Norm_Stats!$G$21=Norm_Stats!$F$21),"",MAX(0,MIN(100,100*(MIN(MAX(City_Inputs!$AF2,Norm_Stats!$F$21),Norm_Stats!$G$21)-Norm_Stats!$F$21)/(Norm_Stats!$G$21-Norm_Stats!$F$21)))))="",0,0.5)+IF((IF(OR(City_Inputs!$AI2="",Norm_Stats!$F$22="",Norm_Stats!$G$22="",Norm_Stats!$G$22=Norm_Stats!$F$22),"",MAX(0,MIN(100,100*(MIN(MAX(City_Inputs!$AI2,Norm_Stats!$F$22),Norm_Stats!$G$22)-Norm_Stats!$F$22)/(Norm_Stats!$G$22-Norm_Stats!$F$22)))))="",0,0.3)+IF((IF(OR(City_Inputs!$AJ2="",Norm_Stats!$F$23="",Norm_Stats!$G$23="",Norm_Stats!$G$23=Norm_Stats!$F$23),"",MAX(0,MIN(100,100*(MIN(MAX(City_Inputs!$AJ2,Norm_Stats!$F$23),Norm_Stats!$G$23)-Norm_Stats!$F$23)/(Norm_Stats!$G$23-Norm_Stats!$F$23)))))="",0,0.2)))</f>
        <v/>
      </c>
      <c r="BA2" s="11">
        <f>IF(OR(City_Inputs!$AG2="",Norm_Stats!$F$24="",Norm_Stats!$G$24="",Norm_Stats!$G$24=Norm_Stats!$F$24),"",MAX(0,MIN(100,100*(Norm_Stats!$G$24-MIN(MAX(City_Inputs!$AG2,Norm_Stats!$F$24),Norm_Stats!$G$24))/(Norm_Stats!$G$24-Norm_Stats!$F$24))))</f>
        <v/>
      </c>
      <c r="BB2" s="14">
        <f>IF(BA2="","",1)</f>
        <v/>
      </c>
      <c r="BC2" s="15">
        <f>IF((IF(AU2="",0,6)+IF(AW2="",0,5)+IF(AY2="",0,5)+IF(BA2="",0,4))=0,"",(IF(AU2="",0,AU2*6)+IF(AW2="",0,AW2*5)+IF(AY2="",0,AY2*5)+IF(BA2="",0,BA2*4))/(IF(AU2="",0,6)+IF(AW2="",0,5)+IF(AY2="",0,5)+IF(BA2="",0,4)))</f>
        <v/>
      </c>
      <c r="BD2" s="14">
        <f>IF((IF(AV2="",0,6)+IF(AX2="",0,5)+IF(AZ2="",0,5)+IF(BB2="",0,4))=0,"",(IF(AV2="",0,AV2*6)+IF(AX2="",0,AX2*5)+IF(AZ2="",0,AZ2*5)+IF(BB2="",0,BB2*4))/20)</f>
        <v/>
      </c>
      <c r="BE2" s="14">
        <f>IF(AND(R2="",AD2="",AL2="",AT2="",BD2=""),"",((R2*25)+(AD2*22)+(AL2*18)+(AT2*15)+(BD2*20))/100)</f>
        <v/>
      </c>
      <c r="BF2" s="11">
        <f>IF(BE2="","",IF(BE2&gt;=0.75,"A",IF(BE2&gt;=0.5,"B",IF(BE2&gt;=0.35,"C","Watchlist"))))</f>
        <v/>
      </c>
      <c r="BG2" s="11">
        <f>IF(OR(BE2="",BE2&lt;0.5,R2="",R2&lt;0.35,AD2="",AD2&lt;0.35,AL2="",AL2&lt;0.35,AT2="",AT2&lt;0.35,BD2="",BD2&lt;0.35),"Watchlist","Ranked")</f>
        <v/>
      </c>
      <c r="BH2" s="15">
        <f>IF(AND(Q2="",AC2="",AK2="",AS2="",BC2=""),"",(IF(Q2="",0,Q2*25)+IF(AC2="",0,AC2*22)+IF(AK2="",0,AK2*18)+IF(AS2="",0,AS2*15)+IF(BC2="",0,BC2*20))/(IF(Q2="",0,25)+IF(AC2="",0,22)+IF(AK2="",0,18)+IF(AS2="",0,15)+IF(BC2="",0,20)))</f>
        <v/>
      </c>
      <c r="BI2" s="11">
        <f>IF(BG2="Ranked",1+COUNTIFS($BG$2:$BG$103,"Ranked",$BH$2:$BH$103,"&gt;"&amp;BH2),"")</f>
        <v/>
      </c>
      <c r="BJ2" s="11">
        <f>City_Inputs!$AH2</f>
        <v/>
      </c>
    </row>
    <row r="3">
      <c r="A3" t="inlineStr">
        <is>
          <t>sg-singapore</t>
        </is>
      </c>
      <c r="B3" t="inlineStr">
        <is>
          <t>Singapore</t>
        </is>
      </c>
      <c r="C3" t="inlineStr">
        <is>
          <t>Singapore</t>
        </is>
      </c>
      <c r="D3" t="inlineStr">
        <is>
          <t>Southeast Asia</t>
        </is>
      </c>
      <c r="E3" t="inlineStr">
        <is>
          <t>locked</t>
        </is>
      </c>
      <c r="F3" t="inlineStr">
        <is>
          <t>primary</t>
        </is>
      </c>
      <c r="G3" s="11">
        <f>IF(OR(City_Inputs!$M3="",Norm_Stats!$F$2="",Norm_Stats!$G$2="",Norm_Stats!$G$2=Norm_Stats!$F$2),"",MAX(0,MIN(100,100*(MIN(MAX(City_Inputs!$M3,Norm_Stats!$F$2),Norm_Stats!$G$2)-Norm_Stats!$F$2)/(Norm_Stats!$G$2-Norm_Stats!$F$2))))</f>
        <v/>
      </c>
      <c r="H3" s="14">
        <f>IF(G3="","",1)</f>
        <v/>
      </c>
      <c r="I3" s="11">
        <f>IF(OR(City_Inputs!$N3="",Norm_Stats!$F$3="",Norm_Stats!$G$3="",Norm_Stats!$G$3=Norm_Stats!$F$3),"",MAX(0,MIN(100,100*(Norm_Stats!$G$3-MIN(MAX(City_Inputs!$N3,Norm_Stats!$F$3),Norm_Stats!$G$3))/(Norm_Stats!$G$3-Norm_Stats!$F$3))))</f>
        <v/>
      </c>
      <c r="J3" s="14">
        <f>IF(I3="","",1)</f>
        <v/>
      </c>
      <c r="K3" s="11">
        <f>IF(OR(City_Inputs!$P3="",Norm_Stats!$F$4="",Norm_Stats!$G$4="",Norm_Stats!$G$4=Norm_Stats!$F$4),"",MAX(0,MIN(100,100*(Norm_Stats!$G$4-MIN(MAX(City_Inputs!$P3,Norm_Stats!$F$4),Norm_Stats!$G$4))/(Norm_Stats!$G$4-Norm_Stats!$F$4))))</f>
        <v/>
      </c>
      <c r="L3" s="14">
        <f>IF(K3="","",1)</f>
        <v/>
      </c>
      <c r="M3" s="11">
        <f>IF(OR(City_Inputs!$Q3="",Norm_Stats!$F$5="",Norm_Stats!$G$5="",Norm_Stats!$G$5=Norm_Stats!$F$5),"",MAX(0,MIN(100,100*(Norm_Stats!$G$5-MIN(MAX(City_Inputs!$Q3,Norm_Stats!$F$5),Norm_Stats!$G$5))/(Norm_Stats!$G$5-Norm_Stats!$F$5))))</f>
        <v/>
      </c>
      <c r="N3" s="14">
        <f>IF(M3="","",1)</f>
        <v/>
      </c>
      <c r="O3" s="11">
        <f>IF(OR(City_Inputs!$R3="",Norm_Stats!$F$6="",Norm_Stats!$G$6="",Norm_Stats!$G$6=Norm_Stats!$F$6),"",MAX(0,MIN(100,100*(Norm_Stats!$G$6-MIN(MAX(City_Inputs!$R3,Norm_Stats!$F$6),Norm_Stats!$G$6))/(Norm_Stats!$G$6-Norm_Stats!$F$6))))</f>
        <v/>
      </c>
      <c r="P3" s="14">
        <f>IF(O3="","",1)</f>
        <v/>
      </c>
      <c r="Q3" s="15">
        <f>IF((IF(G3="",0,9)+IF(I3="",0,5)+IF(K3="",0,4)+IF(M3="",0,4)+IF(O3="",0,3))=0,"",(IF(G3="",0,G3*9)+IF(I3="",0,I3*5)+IF(K3="",0,K3*4)+IF(M3="",0,M3*4)+IF(O3="",0,O3*3))/(IF(G3="",0,9)+IF(I3="",0,5)+IF(K3="",0,4)+IF(M3="",0,4)+IF(O3="",0,3)))</f>
        <v/>
      </c>
      <c r="R3" s="14">
        <f>IF((IF(H3="",0,9)+IF(J3="",0,5)+IF(L3="",0,4)+IF(N3="",0,4)+IF(P3="",0,3))=0,"",(IF(H3="",0,H3*9)+IF(J3="",0,J3*5)+IF(L3="",0,L3*4)+IF(N3="",0,N3*4)+IF(P3="",0,P3*3))/25)</f>
        <v/>
      </c>
      <c r="S3" s="11">
        <f>IF(OR(City_Inputs!$S3="",Norm_Stats!$F$7="",Norm_Stats!$G$7="",Norm_Stats!$G$7=Norm_Stats!$F$7),"",MAX(0,MIN(100,100*(Norm_Stats!$G$7-MIN(MAX(City_Inputs!$S3,Norm_Stats!$F$7),Norm_Stats!$G$7))/(Norm_Stats!$G$7-Norm_Stats!$F$7))))</f>
        <v/>
      </c>
      <c r="T3" s="14">
        <f>IF(S3="","",1)</f>
        <v/>
      </c>
      <c r="U3" s="11">
        <f>IF(OR(City_Inputs!$T3="",Norm_Stats!$F$8="",Norm_Stats!$G$8="",Norm_Stats!$G$8=Norm_Stats!$F$8),"",MAX(0,MIN(100,100*(MIN(MAX(City_Inputs!$T3,Norm_Stats!$F$8),Norm_Stats!$G$8)-Norm_Stats!$F$8)/(Norm_Stats!$G$8-Norm_Stats!$F$8))))</f>
        <v/>
      </c>
      <c r="V3" s="14">
        <f>IF(U3="","",1)</f>
        <v/>
      </c>
      <c r="W3" s="11">
        <f>IF(OR(City_Inputs!$U3="",Norm_Stats!$F$9="",Norm_Stats!$G$9="",Norm_Stats!$G$9=Norm_Stats!$F$9),"",MAX(0,MIN(100,100*(Norm_Stats!$G$9-MIN(MAX(City_Inputs!$U3,Norm_Stats!$F$9),Norm_Stats!$G$9))/(Norm_Stats!$G$9-Norm_Stats!$F$9))))</f>
        <v/>
      </c>
      <c r="X3" s="14">
        <f>IF(W3="","",1)</f>
        <v/>
      </c>
      <c r="Y3" s="11">
        <f>IF(OR(City_Inputs!$V3="",Norm_Stats!$F$10="",Norm_Stats!$G$10="",Norm_Stats!$G$10=Norm_Stats!$F$10),"",MAX(0,MIN(100,100*(MIN(MAX(City_Inputs!$V3,Norm_Stats!$F$10),Norm_Stats!$G$10)-Norm_Stats!$F$10)/(Norm_Stats!$G$10-Norm_Stats!$F$10))))</f>
        <v/>
      </c>
      <c r="Z3" s="14">
        <f>IF(Y3="","",1)</f>
        <v/>
      </c>
      <c r="AA3" s="11">
        <f>IF(OR(City_Inputs!$W3="",Norm_Stats!$F$11="",Norm_Stats!$G$11="",Norm_Stats!$G$11=Norm_Stats!$F$11),"",MAX(0,MIN(100,100*(MIN(MAX(City_Inputs!$W3,Norm_Stats!$F$11),Norm_Stats!$G$11)-Norm_Stats!$F$11)/(Norm_Stats!$G$11-Norm_Stats!$F$11))))</f>
        <v/>
      </c>
      <c r="AB3" s="14">
        <f>IF(AA3="","",1)</f>
        <v/>
      </c>
      <c r="AC3" s="15">
        <f>IF((IF(S3="",0,5)+IF(U3="",0,5)+IF(W3="",0,4)+IF(Y3="",0,4)+IF(AA3="",0,4))=0,"",(IF(S3="",0,S3*5)+IF(U3="",0,U3*5)+IF(W3="",0,W3*4)+IF(Y3="",0,Y3*4)+IF(AA3="",0,AA3*4))/(IF(S3="",0,5)+IF(U3="",0,5)+IF(W3="",0,4)+IF(Y3="",0,4)+IF(AA3="",0,4)))</f>
        <v/>
      </c>
      <c r="AD3" s="14">
        <f>IF((IF(T3="",0,5)+IF(V3="",0,5)+IF(X3="",0,4)+IF(Z3="",0,4)+IF(AB3="",0,4))=0,"",(IF(T3="",0,T3*5)+IF(V3="",0,V3*5)+IF(X3="",0,X3*4)+IF(Z3="",0,Z3*4)+IF(AB3="",0,AB3*4))/22)</f>
        <v/>
      </c>
      <c r="AE3" s="11">
        <f>IF(OR(City_Inputs!$X3="",Norm_Stats!$F$12="",Norm_Stats!$G$12="",Norm_Stats!$G$12=Norm_Stats!$F$12),"",MAX(0,MIN(100,100*(MIN(MAX(City_Inputs!$X3,Norm_Stats!$F$12),Norm_Stats!$G$12)-Norm_Stats!$F$12)/(Norm_Stats!$G$12-Norm_Stats!$F$12))))</f>
        <v/>
      </c>
      <c r="AF3" s="14">
        <f>IF(AE3="","",1)</f>
        <v/>
      </c>
      <c r="AG3" s="11">
        <f>IF(OR(City_Inputs!$Y3="",Norm_Stats!$F$13="",Norm_Stats!$G$13="",Norm_Stats!$G$13=Norm_Stats!$F$13),"",MAX(0,MIN(100,100*(MIN(MAX(City_Inputs!$Y3,Norm_Stats!$F$13),Norm_Stats!$G$13)-Norm_Stats!$F$13)/(Norm_Stats!$G$13-Norm_Stats!$F$13))))</f>
        <v/>
      </c>
      <c r="AH3" s="14">
        <f>IF(AG3="","",1)</f>
        <v/>
      </c>
      <c r="AI3" s="11">
        <f>IF((IF((IF(OR(City_Inputs!$Z3="",Norm_Stats!$F$14="",Norm_Stats!$G$14="",Norm_Stats!$G$14=Norm_Stats!$F$14),"",MAX(0,MIN(100,100*(MIN(MAX(City_Inputs!$Z3,Norm_Stats!$F$14),Norm_Stats!$G$14)-Norm_Stats!$F$14)/(Norm_Stats!$G$14-Norm_Stats!$F$14)))))="",0,0.7)+IF((IF(OR(City_Inputs!$AK3="",Norm_Stats!$F$15="",Norm_Stats!$G$15="",Norm_Stats!$G$15=Norm_Stats!$F$15),"",MAX(0,MIN(100,100*(Norm_Stats!$G$15-MIN(MAX(City_Inputs!$AK3,Norm_Stats!$F$15),Norm_Stats!$G$15))/(Norm_Stats!$G$15-Norm_Stats!$F$15)))))="",0,0.3))=0,"",(IF((IF(OR(City_Inputs!$Z3="",Norm_Stats!$F$14="",Norm_Stats!$G$14="",Norm_Stats!$G$14=Norm_Stats!$F$14),"",MAX(0,MIN(100,100*(MIN(MAX(City_Inputs!$Z3,Norm_Stats!$F$14),Norm_Stats!$G$14)-Norm_Stats!$F$14)/(Norm_Stats!$G$14-Norm_Stats!$F$14)))))="",0,(IF(OR(City_Inputs!$Z3="",Norm_Stats!$F$14="",Norm_Stats!$G$14="",Norm_Stats!$G$14=Norm_Stats!$F$14),"",MAX(0,MIN(100,100*(MIN(MAX(City_Inputs!$Z3,Norm_Stats!$F$14),Norm_Stats!$G$14)-Norm_Stats!$F$14)/(Norm_Stats!$G$14-Norm_Stats!$F$14)))))*0.7)+IF((IF(OR(City_Inputs!$AK3="",Norm_Stats!$F$15="",Norm_Stats!$G$15="",Norm_Stats!$G$15=Norm_Stats!$F$15),"",MAX(0,MIN(100,100*(Norm_Stats!$G$15-MIN(MAX(City_Inputs!$AK3,Norm_Stats!$F$15),Norm_Stats!$G$15))/(Norm_Stats!$G$15-Norm_Stats!$F$15)))))="",0,(IF(OR(City_Inputs!$AK3="",Norm_Stats!$F$15="",Norm_Stats!$G$15="",Norm_Stats!$G$15=Norm_Stats!$F$15),"",MAX(0,MIN(100,100*(Norm_Stats!$G$15-MIN(MAX(City_Inputs!$AK3,Norm_Stats!$F$15),Norm_Stats!$G$15))/(Norm_Stats!$G$15-Norm_Stats!$F$15)))))*0.3))/(IF((IF(OR(City_Inputs!$Z3="",Norm_Stats!$F$14="",Norm_Stats!$G$14="",Norm_Stats!$G$14=Norm_Stats!$F$14),"",MAX(0,MIN(100,100*(MIN(MAX(City_Inputs!$Z3,Norm_Stats!$F$14),Norm_Stats!$G$14)-Norm_Stats!$F$14)/(Norm_Stats!$G$14-Norm_Stats!$F$14)))))="",0,0.7)+IF((IF(OR(City_Inputs!$AK3="",Norm_Stats!$F$15="",Norm_Stats!$G$15="",Norm_Stats!$G$15=Norm_Stats!$F$15),"",MAX(0,MIN(100,100*(Norm_Stats!$G$15-MIN(MAX(City_Inputs!$AK3,Norm_Stats!$F$15),Norm_Stats!$G$15))/(Norm_Stats!$G$15-Norm_Stats!$F$15)))))="",0,0.3)))</f>
        <v/>
      </c>
      <c r="AJ3" s="14">
        <f>IF((IF((IF(OR(City_Inputs!$Z3="",Norm_Stats!$F$14="",Norm_Stats!$G$14="",Norm_Stats!$G$14=Norm_Stats!$F$14),"",MAX(0,MIN(100,100*(MIN(MAX(City_Inputs!$Z3,Norm_Stats!$F$14),Norm_Stats!$G$14)-Norm_Stats!$F$14)/(Norm_Stats!$G$14-Norm_Stats!$F$14)))))="",0,0.7)+IF((IF(OR(City_Inputs!$AK3="",Norm_Stats!$F$15="",Norm_Stats!$G$15="",Norm_Stats!$G$15=Norm_Stats!$F$15),"",MAX(0,MIN(100,100*(Norm_Stats!$G$15-MIN(MAX(City_Inputs!$AK3,Norm_Stats!$F$15),Norm_Stats!$G$15))/(Norm_Stats!$G$15-Norm_Stats!$F$15)))))="",0,0.3))=0,"",(IF((IF(OR(City_Inputs!$Z3="",Norm_Stats!$F$14="",Norm_Stats!$G$14="",Norm_Stats!$G$14=Norm_Stats!$F$14),"",MAX(0,MIN(100,100*(MIN(MAX(City_Inputs!$Z3,Norm_Stats!$F$14),Norm_Stats!$G$14)-Norm_Stats!$F$14)/(Norm_Stats!$G$14-Norm_Stats!$F$14)))))="",0,0.7)+IF((IF(OR(City_Inputs!$AK3="",Norm_Stats!$F$15="",Norm_Stats!$G$15="",Norm_Stats!$G$15=Norm_Stats!$F$15),"",MAX(0,MIN(100,100*(Norm_Stats!$G$15-MIN(MAX(City_Inputs!$AK3,Norm_Stats!$F$15),Norm_Stats!$G$15))/(Norm_Stats!$G$15-Norm_Stats!$F$15)))))="",0,0.3)))</f>
        <v/>
      </c>
      <c r="AK3" s="15">
        <f>IF((IF(AE3="",0,8)+IF(AG3="",0,6)+IF(AI3="",0,4))=0,"",(IF(AE3="",0,AE3*8)+IF(AG3="",0,AG3*6)+IF(AI3="",0,AI3*4))/(IF(AE3="",0,8)+IF(AG3="",0,6)+IF(AI3="",0,4)))</f>
        <v/>
      </c>
      <c r="AL3" s="14">
        <f>IF((IF(AF3="",0,8)+IF(AH3="",0,6)+IF(AJ3="",0,4))=0,"",(IF(AF3="",0,AF3*8)+IF(AH3="",0,AH3*6)+IF(AJ3="",0,AJ3*4))/18)</f>
        <v/>
      </c>
      <c r="AM3" s="11">
        <f>IF(OR(City_Inputs!$AA3="",Norm_Stats!$F$16="",Norm_Stats!$G$16="",Norm_Stats!$G$16=Norm_Stats!$F$16),"",MAX(0,MIN(100,100*(MIN(MAX(City_Inputs!$AA3,Norm_Stats!$F$16),Norm_Stats!$G$16)-Norm_Stats!$F$16)/(Norm_Stats!$G$16-Norm_Stats!$F$16))))</f>
        <v/>
      </c>
      <c r="AN3" s="14">
        <f>IF(AM3="","",1)</f>
        <v/>
      </c>
      <c r="AO3" s="11">
        <f>IF(OR(City_Inputs!$AB3="",Norm_Stats!$F$17="",Norm_Stats!$G$17="",Norm_Stats!$G$17=Norm_Stats!$F$17),"",MAX(0,MIN(100,100*(MIN(MAX(City_Inputs!$AB3,Norm_Stats!$F$17),Norm_Stats!$G$17)-Norm_Stats!$F$17)/(Norm_Stats!$G$17-Norm_Stats!$F$17))))</f>
        <v/>
      </c>
      <c r="AP3" s="14">
        <f>IF(AO3="","",1)</f>
        <v/>
      </c>
      <c r="AQ3" s="11">
        <f>IF(OR(City_Inputs!$AC3="",Norm_Stats!$F$18="",Norm_Stats!$G$18="",Norm_Stats!$G$18=Norm_Stats!$F$18),"",MAX(0,MIN(100,100*(MIN(MAX(City_Inputs!$AC3,Norm_Stats!$F$18),Norm_Stats!$G$18)-Norm_Stats!$F$18)/(Norm_Stats!$G$18-Norm_Stats!$F$18))))</f>
        <v/>
      </c>
      <c r="AR3" s="14">
        <f>IF(AQ3="","",1)</f>
        <v/>
      </c>
      <c r="AS3" s="15">
        <f>IF((IF(AM3="",0,5)+IF(AO3="",0,5)+IF(AQ3="",0,5))=0,"",(IF(AM3="",0,AM3*5)+IF(AO3="",0,AO3*5)+IF(AQ3="",0,AQ3*5))/(IF(AM3="",0,5)+IF(AO3="",0,5)+IF(AQ3="",0,5)))</f>
        <v/>
      </c>
      <c r="AT3" s="14">
        <f>IF((IF(AN3="",0,5)+IF(AP3="",0,5)+IF(AR3="",0,5))=0,"",(IF(AN3="",0,AN3*5)+IF(AP3="",0,AP3*5)+IF(AR3="",0,AR3*5))/15)</f>
        <v/>
      </c>
      <c r="AU3" s="11">
        <f>IF(OR(City_Inputs!$AD3="",Norm_Stats!$F$19="",Norm_Stats!$G$19="",Norm_Stats!$G$19=Norm_Stats!$F$19),"",MAX(0,MIN(100,100*(MIN(MAX(City_Inputs!$AD3,Norm_Stats!$F$19),Norm_Stats!$G$19)-Norm_Stats!$F$19)/(Norm_Stats!$G$19-Norm_Stats!$F$19))))</f>
        <v/>
      </c>
      <c r="AV3" s="14">
        <f>IF(AU3="","",1)</f>
        <v/>
      </c>
      <c r="AW3" s="11">
        <f>IF(OR(City_Inputs!$AE3="",Norm_Stats!$F$20="",Norm_Stats!$G$20="",Norm_Stats!$G$20=Norm_Stats!$F$20),"",MAX(0,MIN(100,100*(MIN(MAX(City_Inputs!$AE3,Norm_Stats!$F$20),Norm_Stats!$G$20)-Norm_Stats!$F$20)/(Norm_Stats!$G$20-Norm_Stats!$F$20))))</f>
        <v/>
      </c>
      <c r="AX3" s="14">
        <f>IF(AW3="","",1)</f>
        <v/>
      </c>
      <c r="AY3" s="11">
        <f>IF((IF((IF(OR(City_Inputs!$AF3="",Norm_Stats!$F$21="",Norm_Stats!$G$21="",Norm_Stats!$G$21=Norm_Stats!$F$21),"",MAX(0,MIN(100,100*(MIN(MAX(City_Inputs!$AF3,Norm_Stats!$F$21),Norm_Stats!$G$21)-Norm_Stats!$F$21)/(Norm_Stats!$G$21-Norm_Stats!$F$21)))))="",0,0.5)+IF((IF(OR(City_Inputs!$AI3="",Norm_Stats!$F$22="",Norm_Stats!$G$22="",Norm_Stats!$G$22=Norm_Stats!$F$22),"",MAX(0,MIN(100,100*(MIN(MAX(City_Inputs!$AI3,Norm_Stats!$F$22),Norm_Stats!$G$22)-Norm_Stats!$F$22)/(Norm_Stats!$G$22-Norm_Stats!$F$22)))))="",0,0.3)+IF((IF(OR(City_Inputs!$AJ3="",Norm_Stats!$F$23="",Norm_Stats!$G$23="",Norm_Stats!$G$23=Norm_Stats!$F$23),"",MAX(0,MIN(100,100*(MIN(MAX(City_Inputs!$AJ3,Norm_Stats!$F$23),Norm_Stats!$G$23)-Norm_Stats!$F$23)/(Norm_Stats!$G$23-Norm_Stats!$F$23)))))="",0,0.2))=0,"",(IF((IF(OR(City_Inputs!$AF3="",Norm_Stats!$F$21="",Norm_Stats!$G$21="",Norm_Stats!$G$21=Norm_Stats!$F$21),"",MAX(0,MIN(100,100*(MIN(MAX(City_Inputs!$AF3,Norm_Stats!$F$21),Norm_Stats!$G$21)-Norm_Stats!$F$21)/(Norm_Stats!$G$21-Norm_Stats!$F$21)))))="",0,(IF(OR(City_Inputs!$AF3="",Norm_Stats!$F$21="",Norm_Stats!$G$21="",Norm_Stats!$G$21=Norm_Stats!$F$21),"",MAX(0,MIN(100,100*(MIN(MAX(City_Inputs!$AF3,Norm_Stats!$F$21),Norm_Stats!$G$21)-Norm_Stats!$F$21)/(Norm_Stats!$G$21-Norm_Stats!$F$21)))))*0.5)+IF((IF(OR(City_Inputs!$AI3="",Norm_Stats!$F$22="",Norm_Stats!$G$22="",Norm_Stats!$G$22=Norm_Stats!$F$22),"",MAX(0,MIN(100,100*(MIN(MAX(City_Inputs!$AI3,Norm_Stats!$F$22),Norm_Stats!$G$22)-Norm_Stats!$F$22)/(Norm_Stats!$G$22-Norm_Stats!$F$22)))))="",0,(IF(OR(City_Inputs!$AI3="",Norm_Stats!$F$22="",Norm_Stats!$G$22="",Norm_Stats!$G$22=Norm_Stats!$F$22),"",MAX(0,MIN(100,100*(MIN(MAX(City_Inputs!$AI3,Norm_Stats!$F$22),Norm_Stats!$G$22)-Norm_Stats!$F$22)/(Norm_Stats!$G$22-Norm_Stats!$F$22)))))*0.3)+IF((IF(OR(City_Inputs!$AJ3="",Norm_Stats!$F$23="",Norm_Stats!$G$23="",Norm_Stats!$G$23=Norm_Stats!$F$23),"",MAX(0,MIN(100,100*(MIN(MAX(City_Inputs!$AJ3,Norm_Stats!$F$23),Norm_Stats!$G$23)-Norm_Stats!$F$23)/(Norm_Stats!$G$23-Norm_Stats!$F$23)))))="",0,(IF(OR(City_Inputs!$AJ3="",Norm_Stats!$F$23="",Norm_Stats!$G$23="",Norm_Stats!$G$23=Norm_Stats!$F$23),"",MAX(0,MIN(100,100*(MIN(MAX(City_Inputs!$AJ3,Norm_Stats!$F$23),Norm_Stats!$G$23)-Norm_Stats!$F$23)/(Norm_Stats!$G$23-Norm_Stats!$F$23)))))*0.2))/(IF((IF(OR(City_Inputs!$AF3="",Norm_Stats!$F$21="",Norm_Stats!$G$21="",Norm_Stats!$G$21=Norm_Stats!$F$21),"",MAX(0,MIN(100,100*(MIN(MAX(City_Inputs!$AF3,Norm_Stats!$F$21),Norm_Stats!$G$21)-Norm_Stats!$F$21)/(Norm_Stats!$G$21-Norm_Stats!$F$21)))))="",0,0.5)+IF((IF(OR(City_Inputs!$AI3="",Norm_Stats!$F$22="",Norm_Stats!$G$22="",Norm_Stats!$G$22=Norm_Stats!$F$22),"",MAX(0,MIN(100,100*(MIN(MAX(City_Inputs!$AI3,Norm_Stats!$F$22),Norm_Stats!$G$22)-Norm_Stats!$F$22)/(Norm_Stats!$G$22-Norm_Stats!$F$22)))))="",0,0.3)+IF((IF(OR(City_Inputs!$AJ3="",Norm_Stats!$F$23="",Norm_Stats!$G$23="",Norm_Stats!$G$23=Norm_Stats!$F$23),"",MAX(0,MIN(100,100*(MIN(MAX(City_Inputs!$AJ3,Norm_Stats!$F$23),Norm_Stats!$G$23)-Norm_Stats!$F$23)/(Norm_Stats!$G$23-Norm_Stats!$F$23)))))="",0,0.2)))</f>
        <v/>
      </c>
      <c r="AZ3" s="14">
        <f>IF((IF((IF(OR(City_Inputs!$AF3="",Norm_Stats!$F$21="",Norm_Stats!$G$21="",Norm_Stats!$G$21=Norm_Stats!$F$21),"",MAX(0,MIN(100,100*(MIN(MAX(City_Inputs!$AF3,Norm_Stats!$F$21),Norm_Stats!$G$21)-Norm_Stats!$F$21)/(Norm_Stats!$G$21-Norm_Stats!$F$21)))))="",0,0.5)+IF((IF(OR(City_Inputs!$AI3="",Norm_Stats!$F$22="",Norm_Stats!$G$22="",Norm_Stats!$G$22=Norm_Stats!$F$22),"",MAX(0,MIN(100,100*(MIN(MAX(City_Inputs!$AI3,Norm_Stats!$F$22),Norm_Stats!$G$22)-Norm_Stats!$F$22)/(Norm_Stats!$G$22-Norm_Stats!$F$22)))))="",0,0.3)+IF((IF(OR(City_Inputs!$AJ3="",Norm_Stats!$F$23="",Norm_Stats!$G$23="",Norm_Stats!$G$23=Norm_Stats!$F$23),"",MAX(0,MIN(100,100*(MIN(MAX(City_Inputs!$AJ3,Norm_Stats!$F$23),Norm_Stats!$G$23)-Norm_Stats!$F$23)/(Norm_Stats!$G$23-Norm_Stats!$F$23)))))="",0,0.2))=0,"",(IF((IF(OR(City_Inputs!$AF3="",Norm_Stats!$F$21="",Norm_Stats!$G$21="",Norm_Stats!$G$21=Norm_Stats!$F$21),"",MAX(0,MIN(100,100*(MIN(MAX(City_Inputs!$AF3,Norm_Stats!$F$21),Norm_Stats!$G$21)-Norm_Stats!$F$21)/(Norm_Stats!$G$21-Norm_Stats!$F$21)))))="",0,0.5)+IF((IF(OR(City_Inputs!$AI3="",Norm_Stats!$F$22="",Norm_Stats!$G$22="",Norm_Stats!$G$22=Norm_Stats!$F$22),"",MAX(0,MIN(100,100*(MIN(MAX(City_Inputs!$AI3,Norm_Stats!$F$22),Norm_Stats!$G$22)-Norm_Stats!$F$22)/(Norm_Stats!$G$22-Norm_Stats!$F$22)))))="",0,0.3)+IF((IF(OR(City_Inputs!$AJ3="",Norm_Stats!$F$23="",Norm_Stats!$G$23="",Norm_Stats!$G$23=Norm_Stats!$F$23),"",MAX(0,MIN(100,100*(MIN(MAX(City_Inputs!$AJ3,Norm_Stats!$F$23),Norm_Stats!$G$23)-Norm_Stats!$F$23)/(Norm_Stats!$G$23-Norm_Stats!$F$23)))))="",0,0.2)))</f>
        <v/>
      </c>
      <c r="BA3" s="11">
        <f>IF(OR(City_Inputs!$AG3="",Norm_Stats!$F$24="",Norm_Stats!$G$24="",Norm_Stats!$G$24=Norm_Stats!$F$24),"",MAX(0,MIN(100,100*(Norm_Stats!$G$24-MIN(MAX(City_Inputs!$AG3,Norm_Stats!$F$24),Norm_Stats!$G$24))/(Norm_Stats!$G$24-Norm_Stats!$F$24))))</f>
        <v/>
      </c>
      <c r="BB3" s="14">
        <f>IF(BA3="","",1)</f>
        <v/>
      </c>
      <c r="BC3" s="15">
        <f>IF((IF(AU3="",0,6)+IF(AW3="",0,5)+IF(AY3="",0,5)+IF(BA3="",0,4))=0,"",(IF(AU3="",0,AU3*6)+IF(AW3="",0,AW3*5)+IF(AY3="",0,AY3*5)+IF(BA3="",0,BA3*4))/(IF(AU3="",0,6)+IF(AW3="",0,5)+IF(AY3="",0,5)+IF(BA3="",0,4)))</f>
        <v/>
      </c>
      <c r="BD3" s="14">
        <f>IF((IF(AV3="",0,6)+IF(AX3="",0,5)+IF(AZ3="",0,5)+IF(BB3="",0,4))=0,"",(IF(AV3="",0,AV3*6)+IF(AX3="",0,AX3*5)+IF(AZ3="",0,AZ3*5)+IF(BB3="",0,BB3*4))/20)</f>
        <v/>
      </c>
      <c r="BE3" s="14">
        <f>IF(AND(R3="",AD3="",AL3="",AT3="",BD3=""),"",((R3*25)+(AD3*22)+(AL3*18)+(AT3*15)+(BD3*20))/100)</f>
        <v/>
      </c>
      <c r="BF3" s="11">
        <f>IF(BE3="","",IF(BE3&gt;=0.75,"A",IF(BE3&gt;=0.5,"B",IF(BE3&gt;=0.35,"C","Watchlist"))))</f>
        <v/>
      </c>
      <c r="BG3" s="11">
        <f>IF(OR(BE3="",BE3&lt;0.5,R3="",R3&lt;0.35,AD3="",AD3&lt;0.35,AL3="",AL3&lt;0.35,AT3="",AT3&lt;0.35,BD3="",BD3&lt;0.35),"Watchlist","Ranked")</f>
        <v/>
      </c>
      <c r="BH3" s="15">
        <f>IF(AND(Q3="",AC3="",AK3="",AS3="",BC3=""),"",(IF(Q3="",0,Q3*25)+IF(AC3="",0,AC3*22)+IF(AK3="",0,AK3*18)+IF(AS3="",0,AS3*15)+IF(BC3="",0,BC3*20))/(IF(Q3="",0,25)+IF(AC3="",0,22)+IF(AK3="",0,18)+IF(AS3="",0,15)+IF(BC3="",0,20)))</f>
        <v/>
      </c>
      <c r="BI3" s="11">
        <f>IF(BG3="Ranked",1+COUNTIFS($BG$2:$BG$103,"Ranked",$BH$2:$BH$103,"&gt;"&amp;BH3),"")</f>
        <v/>
      </c>
      <c r="BJ3" s="11">
        <f>City_Inputs!$AH3</f>
        <v/>
      </c>
    </row>
    <row r="4">
      <c r="A4" t="inlineStr">
        <is>
          <t>my-kuala-lumpur</t>
        </is>
      </c>
      <c r="B4" t="inlineStr">
        <is>
          <t>Kuala Lumpur</t>
        </is>
      </c>
      <c r="C4" t="inlineStr">
        <is>
          <t>Malaysia</t>
        </is>
      </c>
      <c r="D4" t="inlineStr">
        <is>
          <t>Southeast Asia</t>
        </is>
      </c>
      <c r="E4" t="inlineStr">
        <is>
          <t>locked</t>
        </is>
      </c>
      <c r="F4" t="inlineStr">
        <is>
          <t>primary</t>
        </is>
      </c>
      <c r="G4" s="11">
        <f>IF(OR(City_Inputs!$M4="",Norm_Stats!$F$2="",Norm_Stats!$G$2="",Norm_Stats!$G$2=Norm_Stats!$F$2),"",MAX(0,MIN(100,100*(MIN(MAX(City_Inputs!$M4,Norm_Stats!$F$2),Norm_Stats!$G$2)-Norm_Stats!$F$2)/(Norm_Stats!$G$2-Norm_Stats!$F$2))))</f>
        <v/>
      </c>
      <c r="H4" s="14">
        <f>IF(G4="","",1)</f>
        <v/>
      </c>
      <c r="I4" s="11">
        <f>IF(OR(City_Inputs!$N4="",Norm_Stats!$F$3="",Norm_Stats!$G$3="",Norm_Stats!$G$3=Norm_Stats!$F$3),"",MAX(0,MIN(100,100*(Norm_Stats!$G$3-MIN(MAX(City_Inputs!$N4,Norm_Stats!$F$3),Norm_Stats!$G$3))/(Norm_Stats!$G$3-Norm_Stats!$F$3))))</f>
        <v/>
      </c>
      <c r="J4" s="14">
        <f>IF(I4="","",1)</f>
        <v/>
      </c>
      <c r="K4" s="11">
        <f>IF(OR(City_Inputs!$P4="",Norm_Stats!$F$4="",Norm_Stats!$G$4="",Norm_Stats!$G$4=Norm_Stats!$F$4),"",MAX(0,MIN(100,100*(Norm_Stats!$G$4-MIN(MAX(City_Inputs!$P4,Norm_Stats!$F$4),Norm_Stats!$G$4))/(Norm_Stats!$G$4-Norm_Stats!$F$4))))</f>
        <v/>
      </c>
      <c r="L4" s="14">
        <f>IF(K4="","",1)</f>
        <v/>
      </c>
      <c r="M4" s="11">
        <f>IF(OR(City_Inputs!$Q4="",Norm_Stats!$F$5="",Norm_Stats!$G$5="",Norm_Stats!$G$5=Norm_Stats!$F$5),"",MAX(0,MIN(100,100*(Norm_Stats!$G$5-MIN(MAX(City_Inputs!$Q4,Norm_Stats!$F$5),Norm_Stats!$G$5))/(Norm_Stats!$G$5-Norm_Stats!$F$5))))</f>
        <v/>
      </c>
      <c r="N4" s="14">
        <f>IF(M4="","",1)</f>
        <v/>
      </c>
      <c r="O4" s="11">
        <f>IF(OR(City_Inputs!$R4="",Norm_Stats!$F$6="",Norm_Stats!$G$6="",Norm_Stats!$G$6=Norm_Stats!$F$6),"",MAX(0,MIN(100,100*(Norm_Stats!$G$6-MIN(MAX(City_Inputs!$R4,Norm_Stats!$F$6),Norm_Stats!$G$6))/(Norm_Stats!$G$6-Norm_Stats!$F$6))))</f>
        <v/>
      </c>
      <c r="P4" s="14">
        <f>IF(O4="","",1)</f>
        <v/>
      </c>
      <c r="Q4" s="15">
        <f>IF((IF(G4="",0,9)+IF(I4="",0,5)+IF(K4="",0,4)+IF(M4="",0,4)+IF(O4="",0,3))=0,"",(IF(G4="",0,G4*9)+IF(I4="",0,I4*5)+IF(K4="",0,K4*4)+IF(M4="",0,M4*4)+IF(O4="",0,O4*3))/(IF(G4="",0,9)+IF(I4="",0,5)+IF(K4="",0,4)+IF(M4="",0,4)+IF(O4="",0,3)))</f>
        <v/>
      </c>
      <c r="R4" s="14">
        <f>IF((IF(H4="",0,9)+IF(J4="",0,5)+IF(L4="",0,4)+IF(N4="",0,4)+IF(P4="",0,3))=0,"",(IF(H4="",0,H4*9)+IF(J4="",0,J4*5)+IF(L4="",0,L4*4)+IF(N4="",0,N4*4)+IF(P4="",0,P4*3))/25)</f>
        <v/>
      </c>
      <c r="S4" s="11">
        <f>IF(OR(City_Inputs!$S4="",Norm_Stats!$F$7="",Norm_Stats!$G$7="",Norm_Stats!$G$7=Norm_Stats!$F$7),"",MAX(0,MIN(100,100*(Norm_Stats!$G$7-MIN(MAX(City_Inputs!$S4,Norm_Stats!$F$7),Norm_Stats!$G$7))/(Norm_Stats!$G$7-Norm_Stats!$F$7))))</f>
        <v/>
      </c>
      <c r="T4" s="14">
        <f>IF(S4="","",1)</f>
        <v/>
      </c>
      <c r="U4" s="11">
        <f>IF(OR(City_Inputs!$T4="",Norm_Stats!$F$8="",Norm_Stats!$G$8="",Norm_Stats!$G$8=Norm_Stats!$F$8),"",MAX(0,MIN(100,100*(MIN(MAX(City_Inputs!$T4,Norm_Stats!$F$8),Norm_Stats!$G$8)-Norm_Stats!$F$8)/(Norm_Stats!$G$8-Norm_Stats!$F$8))))</f>
        <v/>
      </c>
      <c r="V4" s="14">
        <f>IF(U4="","",1)</f>
        <v/>
      </c>
      <c r="W4" s="11">
        <f>IF(OR(City_Inputs!$U4="",Norm_Stats!$F$9="",Norm_Stats!$G$9="",Norm_Stats!$G$9=Norm_Stats!$F$9),"",MAX(0,MIN(100,100*(Norm_Stats!$G$9-MIN(MAX(City_Inputs!$U4,Norm_Stats!$F$9),Norm_Stats!$G$9))/(Norm_Stats!$G$9-Norm_Stats!$F$9))))</f>
        <v/>
      </c>
      <c r="X4" s="14">
        <f>IF(W4="","",1)</f>
        <v/>
      </c>
      <c r="Y4" s="11">
        <f>IF(OR(City_Inputs!$V4="",Norm_Stats!$F$10="",Norm_Stats!$G$10="",Norm_Stats!$G$10=Norm_Stats!$F$10),"",MAX(0,MIN(100,100*(MIN(MAX(City_Inputs!$V4,Norm_Stats!$F$10),Norm_Stats!$G$10)-Norm_Stats!$F$10)/(Norm_Stats!$G$10-Norm_Stats!$F$10))))</f>
        <v/>
      </c>
      <c r="Z4" s="14">
        <f>IF(Y4="","",1)</f>
        <v/>
      </c>
      <c r="AA4" s="11">
        <f>IF(OR(City_Inputs!$W4="",Norm_Stats!$F$11="",Norm_Stats!$G$11="",Norm_Stats!$G$11=Norm_Stats!$F$11),"",MAX(0,MIN(100,100*(MIN(MAX(City_Inputs!$W4,Norm_Stats!$F$11),Norm_Stats!$G$11)-Norm_Stats!$F$11)/(Norm_Stats!$G$11-Norm_Stats!$F$11))))</f>
        <v/>
      </c>
      <c r="AB4" s="14">
        <f>IF(AA4="","",1)</f>
        <v/>
      </c>
      <c r="AC4" s="15">
        <f>IF((IF(S4="",0,5)+IF(U4="",0,5)+IF(W4="",0,4)+IF(Y4="",0,4)+IF(AA4="",0,4))=0,"",(IF(S4="",0,S4*5)+IF(U4="",0,U4*5)+IF(W4="",0,W4*4)+IF(Y4="",0,Y4*4)+IF(AA4="",0,AA4*4))/(IF(S4="",0,5)+IF(U4="",0,5)+IF(W4="",0,4)+IF(Y4="",0,4)+IF(AA4="",0,4)))</f>
        <v/>
      </c>
      <c r="AD4" s="14">
        <f>IF((IF(T4="",0,5)+IF(V4="",0,5)+IF(X4="",0,4)+IF(Z4="",0,4)+IF(AB4="",0,4))=0,"",(IF(T4="",0,T4*5)+IF(V4="",0,V4*5)+IF(X4="",0,X4*4)+IF(Z4="",0,Z4*4)+IF(AB4="",0,AB4*4))/22)</f>
        <v/>
      </c>
      <c r="AE4" s="11">
        <f>IF(OR(City_Inputs!$X4="",Norm_Stats!$F$12="",Norm_Stats!$G$12="",Norm_Stats!$G$12=Norm_Stats!$F$12),"",MAX(0,MIN(100,100*(MIN(MAX(City_Inputs!$X4,Norm_Stats!$F$12),Norm_Stats!$G$12)-Norm_Stats!$F$12)/(Norm_Stats!$G$12-Norm_Stats!$F$12))))</f>
        <v/>
      </c>
      <c r="AF4" s="14">
        <f>IF(AE4="","",1)</f>
        <v/>
      </c>
      <c r="AG4" s="11">
        <f>IF(OR(City_Inputs!$Y4="",Norm_Stats!$F$13="",Norm_Stats!$G$13="",Norm_Stats!$G$13=Norm_Stats!$F$13),"",MAX(0,MIN(100,100*(MIN(MAX(City_Inputs!$Y4,Norm_Stats!$F$13),Norm_Stats!$G$13)-Norm_Stats!$F$13)/(Norm_Stats!$G$13-Norm_Stats!$F$13))))</f>
        <v/>
      </c>
      <c r="AH4" s="14">
        <f>IF(AG4="","",1)</f>
        <v/>
      </c>
      <c r="AI4" s="11">
        <f>IF((IF((IF(OR(City_Inputs!$Z4="",Norm_Stats!$F$14="",Norm_Stats!$G$14="",Norm_Stats!$G$14=Norm_Stats!$F$14),"",MAX(0,MIN(100,100*(MIN(MAX(City_Inputs!$Z4,Norm_Stats!$F$14),Norm_Stats!$G$14)-Norm_Stats!$F$14)/(Norm_Stats!$G$14-Norm_Stats!$F$14)))))="",0,0.7)+IF((IF(OR(City_Inputs!$AK4="",Norm_Stats!$F$15="",Norm_Stats!$G$15="",Norm_Stats!$G$15=Norm_Stats!$F$15),"",MAX(0,MIN(100,100*(Norm_Stats!$G$15-MIN(MAX(City_Inputs!$AK4,Norm_Stats!$F$15),Norm_Stats!$G$15))/(Norm_Stats!$G$15-Norm_Stats!$F$15)))))="",0,0.3))=0,"",(IF((IF(OR(City_Inputs!$Z4="",Norm_Stats!$F$14="",Norm_Stats!$G$14="",Norm_Stats!$G$14=Norm_Stats!$F$14),"",MAX(0,MIN(100,100*(MIN(MAX(City_Inputs!$Z4,Norm_Stats!$F$14),Norm_Stats!$G$14)-Norm_Stats!$F$14)/(Norm_Stats!$G$14-Norm_Stats!$F$14)))))="",0,(IF(OR(City_Inputs!$Z4="",Norm_Stats!$F$14="",Norm_Stats!$G$14="",Norm_Stats!$G$14=Norm_Stats!$F$14),"",MAX(0,MIN(100,100*(MIN(MAX(City_Inputs!$Z4,Norm_Stats!$F$14),Norm_Stats!$G$14)-Norm_Stats!$F$14)/(Norm_Stats!$G$14-Norm_Stats!$F$14)))))*0.7)+IF((IF(OR(City_Inputs!$AK4="",Norm_Stats!$F$15="",Norm_Stats!$G$15="",Norm_Stats!$G$15=Norm_Stats!$F$15),"",MAX(0,MIN(100,100*(Norm_Stats!$G$15-MIN(MAX(City_Inputs!$AK4,Norm_Stats!$F$15),Norm_Stats!$G$15))/(Norm_Stats!$G$15-Norm_Stats!$F$15)))))="",0,(IF(OR(City_Inputs!$AK4="",Norm_Stats!$F$15="",Norm_Stats!$G$15="",Norm_Stats!$G$15=Norm_Stats!$F$15),"",MAX(0,MIN(100,100*(Norm_Stats!$G$15-MIN(MAX(City_Inputs!$AK4,Norm_Stats!$F$15),Norm_Stats!$G$15))/(Norm_Stats!$G$15-Norm_Stats!$F$15)))))*0.3))/(IF((IF(OR(City_Inputs!$Z4="",Norm_Stats!$F$14="",Norm_Stats!$G$14="",Norm_Stats!$G$14=Norm_Stats!$F$14),"",MAX(0,MIN(100,100*(MIN(MAX(City_Inputs!$Z4,Norm_Stats!$F$14),Norm_Stats!$G$14)-Norm_Stats!$F$14)/(Norm_Stats!$G$14-Norm_Stats!$F$14)))))="",0,0.7)+IF((IF(OR(City_Inputs!$AK4="",Norm_Stats!$F$15="",Norm_Stats!$G$15="",Norm_Stats!$G$15=Norm_Stats!$F$15),"",MAX(0,MIN(100,100*(Norm_Stats!$G$15-MIN(MAX(City_Inputs!$AK4,Norm_Stats!$F$15),Norm_Stats!$G$15))/(Norm_Stats!$G$15-Norm_Stats!$F$15)))))="",0,0.3)))</f>
        <v/>
      </c>
      <c r="AJ4" s="14">
        <f>IF((IF((IF(OR(City_Inputs!$Z4="",Norm_Stats!$F$14="",Norm_Stats!$G$14="",Norm_Stats!$G$14=Norm_Stats!$F$14),"",MAX(0,MIN(100,100*(MIN(MAX(City_Inputs!$Z4,Norm_Stats!$F$14),Norm_Stats!$G$14)-Norm_Stats!$F$14)/(Norm_Stats!$G$14-Norm_Stats!$F$14)))))="",0,0.7)+IF((IF(OR(City_Inputs!$AK4="",Norm_Stats!$F$15="",Norm_Stats!$G$15="",Norm_Stats!$G$15=Norm_Stats!$F$15),"",MAX(0,MIN(100,100*(Norm_Stats!$G$15-MIN(MAX(City_Inputs!$AK4,Norm_Stats!$F$15),Norm_Stats!$G$15))/(Norm_Stats!$G$15-Norm_Stats!$F$15)))))="",0,0.3))=0,"",(IF((IF(OR(City_Inputs!$Z4="",Norm_Stats!$F$14="",Norm_Stats!$G$14="",Norm_Stats!$G$14=Norm_Stats!$F$14),"",MAX(0,MIN(100,100*(MIN(MAX(City_Inputs!$Z4,Norm_Stats!$F$14),Norm_Stats!$G$14)-Norm_Stats!$F$14)/(Norm_Stats!$G$14-Norm_Stats!$F$14)))))="",0,0.7)+IF((IF(OR(City_Inputs!$AK4="",Norm_Stats!$F$15="",Norm_Stats!$G$15="",Norm_Stats!$G$15=Norm_Stats!$F$15),"",MAX(0,MIN(100,100*(Norm_Stats!$G$15-MIN(MAX(City_Inputs!$AK4,Norm_Stats!$F$15),Norm_Stats!$G$15))/(Norm_Stats!$G$15-Norm_Stats!$F$15)))))="",0,0.3)))</f>
        <v/>
      </c>
      <c r="AK4" s="15">
        <f>IF((IF(AE4="",0,8)+IF(AG4="",0,6)+IF(AI4="",0,4))=0,"",(IF(AE4="",0,AE4*8)+IF(AG4="",0,AG4*6)+IF(AI4="",0,AI4*4))/(IF(AE4="",0,8)+IF(AG4="",0,6)+IF(AI4="",0,4)))</f>
        <v/>
      </c>
      <c r="AL4" s="14">
        <f>IF((IF(AF4="",0,8)+IF(AH4="",0,6)+IF(AJ4="",0,4))=0,"",(IF(AF4="",0,AF4*8)+IF(AH4="",0,AH4*6)+IF(AJ4="",0,AJ4*4))/18)</f>
        <v/>
      </c>
      <c r="AM4" s="11">
        <f>IF(OR(City_Inputs!$AA4="",Norm_Stats!$F$16="",Norm_Stats!$G$16="",Norm_Stats!$G$16=Norm_Stats!$F$16),"",MAX(0,MIN(100,100*(MIN(MAX(City_Inputs!$AA4,Norm_Stats!$F$16),Norm_Stats!$G$16)-Norm_Stats!$F$16)/(Norm_Stats!$G$16-Norm_Stats!$F$16))))</f>
        <v/>
      </c>
      <c r="AN4" s="14">
        <f>IF(AM4="","",1)</f>
        <v/>
      </c>
      <c r="AO4" s="11">
        <f>IF(OR(City_Inputs!$AB4="",Norm_Stats!$F$17="",Norm_Stats!$G$17="",Norm_Stats!$G$17=Norm_Stats!$F$17),"",MAX(0,MIN(100,100*(MIN(MAX(City_Inputs!$AB4,Norm_Stats!$F$17),Norm_Stats!$G$17)-Norm_Stats!$F$17)/(Norm_Stats!$G$17-Norm_Stats!$F$17))))</f>
        <v/>
      </c>
      <c r="AP4" s="14">
        <f>IF(AO4="","",1)</f>
        <v/>
      </c>
      <c r="AQ4" s="11">
        <f>IF(OR(City_Inputs!$AC4="",Norm_Stats!$F$18="",Norm_Stats!$G$18="",Norm_Stats!$G$18=Norm_Stats!$F$18),"",MAX(0,MIN(100,100*(MIN(MAX(City_Inputs!$AC4,Norm_Stats!$F$18),Norm_Stats!$G$18)-Norm_Stats!$F$18)/(Norm_Stats!$G$18-Norm_Stats!$F$18))))</f>
        <v/>
      </c>
      <c r="AR4" s="14">
        <f>IF(AQ4="","",1)</f>
        <v/>
      </c>
      <c r="AS4" s="15">
        <f>IF((IF(AM4="",0,5)+IF(AO4="",0,5)+IF(AQ4="",0,5))=0,"",(IF(AM4="",0,AM4*5)+IF(AO4="",0,AO4*5)+IF(AQ4="",0,AQ4*5))/(IF(AM4="",0,5)+IF(AO4="",0,5)+IF(AQ4="",0,5)))</f>
        <v/>
      </c>
      <c r="AT4" s="14">
        <f>IF((IF(AN4="",0,5)+IF(AP4="",0,5)+IF(AR4="",0,5))=0,"",(IF(AN4="",0,AN4*5)+IF(AP4="",0,AP4*5)+IF(AR4="",0,AR4*5))/15)</f>
        <v/>
      </c>
      <c r="AU4" s="11">
        <f>IF(OR(City_Inputs!$AD4="",Norm_Stats!$F$19="",Norm_Stats!$G$19="",Norm_Stats!$G$19=Norm_Stats!$F$19),"",MAX(0,MIN(100,100*(MIN(MAX(City_Inputs!$AD4,Norm_Stats!$F$19),Norm_Stats!$G$19)-Norm_Stats!$F$19)/(Norm_Stats!$G$19-Norm_Stats!$F$19))))</f>
        <v/>
      </c>
      <c r="AV4" s="14">
        <f>IF(AU4="","",1)</f>
        <v/>
      </c>
      <c r="AW4" s="11">
        <f>IF(OR(City_Inputs!$AE4="",Norm_Stats!$F$20="",Norm_Stats!$G$20="",Norm_Stats!$G$20=Norm_Stats!$F$20),"",MAX(0,MIN(100,100*(MIN(MAX(City_Inputs!$AE4,Norm_Stats!$F$20),Norm_Stats!$G$20)-Norm_Stats!$F$20)/(Norm_Stats!$G$20-Norm_Stats!$F$20))))</f>
        <v/>
      </c>
      <c r="AX4" s="14">
        <f>IF(AW4="","",1)</f>
        <v/>
      </c>
      <c r="AY4" s="11">
        <f>IF((IF((IF(OR(City_Inputs!$AF4="",Norm_Stats!$F$21="",Norm_Stats!$G$21="",Norm_Stats!$G$21=Norm_Stats!$F$21),"",MAX(0,MIN(100,100*(MIN(MAX(City_Inputs!$AF4,Norm_Stats!$F$21),Norm_Stats!$G$21)-Norm_Stats!$F$21)/(Norm_Stats!$G$21-Norm_Stats!$F$21)))))="",0,0.5)+IF((IF(OR(City_Inputs!$AI4="",Norm_Stats!$F$22="",Norm_Stats!$G$22="",Norm_Stats!$G$22=Norm_Stats!$F$22),"",MAX(0,MIN(100,100*(MIN(MAX(City_Inputs!$AI4,Norm_Stats!$F$22),Norm_Stats!$G$22)-Norm_Stats!$F$22)/(Norm_Stats!$G$22-Norm_Stats!$F$22)))))="",0,0.3)+IF((IF(OR(City_Inputs!$AJ4="",Norm_Stats!$F$23="",Norm_Stats!$G$23="",Norm_Stats!$G$23=Norm_Stats!$F$23),"",MAX(0,MIN(100,100*(MIN(MAX(City_Inputs!$AJ4,Norm_Stats!$F$23),Norm_Stats!$G$23)-Norm_Stats!$F$23)/(Norm_Stats!$G$23-Norm_Stats!$F$23)))))="",0,0.2))=0,"",(IF((IF(OR(City_Inputs!$AF4="",Norm_Stats!$F$21="",Norm_Stats!$G$21="",Norm_Stats!$G$21=Norm_Stats!$F$21),"",MAX(0,MIN(100,100*(MIN(MAX(City_Inputs!$AF4,Norm_Stats!$F$21),Norm_Stats!$G$21)-Norm_Stats!$F$21)/(Norm_Stats!$G$21-Norm_Stats!$F$21)))))="",0,(IF(OR(City_Inputs!$AF4="",Norm_Stats!$F$21="",Norm_Stats!$G$21="",Norm_Stats!$G$21=Norm_Stats!$F$21),"",MAX(0,MIN(100,100*(MIN(MAX(City_Inputs!$AF4,Norm_Stats!$F$21),Norm_Stats!$G$21)-Norm_Stats!$F$21)/(Norm_Stats!$G$21-Norm_Stats!$F$21)))))*0.5)+IF((IF(OR(City_Inputs!$AI4="",Norm_Stats!$F$22="",Norm_Stats!$G$22="",Norm_Stats!$G$22=Norm_Stats!$F$22),"",MAX(0,MIN(100,100*(MIN(MAX(City_Inputs!$AI4,Norm_Stats!$F$22),Norm_Stats!$G$22)-Norm_Stats!$F$22)/(Norm_Stats!$G$22-Norm_Stats!$F$22)))))="",0,(IF(OR(City_Inputs!$AI4="",Norm_Stats!$F$22="",Norm_Stats!$G$22="",Norm_Stats!$G$22=Norm_Stats!$F$22),"",MAX(0,MIN(100,100*(MIN(MAX(City_Inputs!$AI4,Norm_Stats!$F$22),Norm_Stats!$G$22)-Norm_Stats!$F$22)/(Norm_Stats!$G$22-Norm_Stats!$F$22)))))*0.3)+IF((IF(OR(City_Inputs!$AJ4="",Norm_Stats!$F$23="",Norm_Stats!$G$23="",Norm_Stats!$G$23=Norm_Stats!$F$23),"",MAX(0,MIN(100,100*(MIN(MAX(City_Inputs!$AJ4,Norm_Stats!$F$23),Norm_Stats!$G$23)-Norm_Stats!$F$23)/(Norm_Stats!$G$23-Norm_Stats!$F$23)))))="",0,(IF(OR(City_Inputs!$AJ4="",Norm_Stats!$F$23="",Norm_Stats!$G$23="",Norm_Stats!$G$23=Norm_Stats!$F$23),"",MAX(0,MIN(100,100*(MIN(MAX(City_Inputs!$AJ4,Norm_Stats!$F$23),Norm_Stats!$G$23)-Norm_Stats!$F$23)/(Norm_Stats!$G$23-Norm_Stats!$F$23)))))*0.2))/(IF((IF(OR(City_Inputs!$AF4="",Norm_Stats!$F$21="",Norm_Stats!$G$21="",Norm_Stats!$G$21=Norm_Stats!$F$21),"",MAX(0,MIN(100,100*(MIN(MAX(City_Inputs!$AF4,Norm_Stats!$F$21),Norm_Stats!$G$21)-Norm_Stats!$F$21)/(Norm_Stats!$G$21-Norm_Stats!$F$21)))))="",0,0.5)+IF((IF(OR(City_Inputs!$AI4="",Norm_Stats!$F$22="",Norm_Stats!$G$22="",Norm_Stats!$G$22=Norm_Stats!$F$22),"",MAX(0,MIN(100,100*(MIN(MAX(City_Inputs!$AI4,Norm_Stats!$F$22),Norm_Stats!$G$22)-Norm_Stats!$F$22)/(Norm_Stats!$G$22-Norm_Stats!$F$22)))))="",0,0.3)+IF((IF(OR(City_Inputs!$AJ4="",Norm_Stats!$F$23="",Norm_Stats!$G$23="",Norm_Stats!$G$23=Norm_Stats!$F$23),"",MAX(0,MIN(100,100*(MIN(MAX(City_Inputs!$AJ4,Norm_Stats!$F$23),Norm_Stats!$G$23)-Norm_Stats!$F$23)/(Norm_Stats!$G$23-Norm_Stats!$F$23)))))="",0,0.2)))</f>
        <v/>
      </c>
      <c r="AZ4" s="14">
        <f>IF((IF((IF(OR(City_Inputs!$AF4="",Norm_Stats!$F$21="",Norm_Stats!$G$21="",Norm_Stats!$G$21=Norm_Stats!$F$21),"",MAX(0,MIN(100,100*(MIN(MAX(City_Inputs!$AF4,Norm_Stats!$F$21),Norm_Stats!$G$21)-Norm_Stats!$F$21)/(Norm_Stats!$G$21-Norm_Stats!$F$21)))))="",0,0.5)+IF((IF(OR(City_Inputs!$AI4="",Norm_Stats!$F$22="",Norm_Stats!$G$22="",Norm_Stats!$G$22=Norm_Stats!$F$22),"",MAX(0,MIN(100,100*(MIN(MAX(City_Inputs!$AI4,Norm_Stats!$F$22),Norm_Stats!$G$22)-Norm_Stats!$F$22)/(Norm_Stats!$G$22-Norm_Stats!$F$22)))))="",0,0.3)+IF((IF(OR(City_Inputs!$AJ4="",Norm_Stats!$F$23="",Norm_Stats!$G$23="",Norm_Stats!$G$23=Norm_Stats!$F$23),"",MAX(0,MIN(100,100*(MIN(MAX(City_Inputs!$AJ4,Norm_Stats!$F$23),Norm_Stats!$G$23)-Norm_Stats!$F$23)/(Norm_Stats!$G$23-Norm_Stats!$F$23)))))="",0,0.2))=0,"",(IF((IF(OR(City_Inputs!$AF4="",Norm_Stats!$F$21="",Norm_Stats!$G$21="",Norm_Stats!$G$21=Norm_Stats!$F$21),"",MAX(0,MIN(100,100*(MIN(MAX(City_Inputs!$AF4,Norm_Stats!$F$21),Norm_Stats!$G$21)-Norm_Stats!$F$21)/(Norm_Stats!$G$21-Norm_Stats!$F$21)))))="",0,0.5)+IF((IF(OR(City_Inputs!$AI4="",Norm_Stats!$F$22="",Norm_Stats!$G$22="",Norm_Stats!$G$22=Norm_Stats!$F$22),"",MAX(0,MIN(100,100*(MIN(MAX(City_Inputs!$AI4,Norm_Stats!$F$22),Norm_Stats!$G$22)-Norm_Stats!$F$22)/(Norm_Stats!$G$22-Norm_Stats!$F$22)))))="",0,0.3)+IF((IF(OR(City_Inputs!$AJ4="",Norm_Stats!$F$23="",Norm_Stats!$G$23="",Norm_Stats!$G$23=Norm_Stats!$F$23),"",MAX(0,MIN(100,100*(MIN(MAX(City_Inputs!$AJ4,Norm_Stats!$F$23),Norm_Stats!$G$23)-Norm_Stats!$F$23)/(Norm_Stats!$G$23-Norm_Stats!$F$23)))))="",0,0.2)))</f>
        <v/>
      </c>
      <c r="BA4" s="11">
        <f>IF(OR(City_Inputs!$AG4="",Norm_Stats!$F$24="",Norm_Stats!$G$24="",Norm_Stats!$G$24=Norm_Stats!$F$24),"",MAX(0,MIN(100,100*(Norm_Stats!$G$24-MIN(MAX(City_Inputs!$AG4,Norm_Stats!$F$24),Norm_Stats!$G$24))/(Norm_Stats!$G$24-Norm_Stats!$F$24))))</f>
        <v/>
      </c>
      <c r="BB4" s="14">
        <f>IF(BA4="","",1)</f>
        <v/>
      </c>
      <c r="BC4" s="15">
        <f>IF((IF(AU4="",0,6)+IF(AW4="",0,5)+IF(AY4="",0,5)+IF(BA4="",0,4))=0,"",(IF(AU4="",0,AU4*6)+IF(AW4="",0,AW4*5)+IF(AY4="",0,AY4*5)+IF(BA4="",0,BA4*4))/(IF(AU4="",0,6)+IF(AW4="",0,5)+IF(AY4="",0,5)+IF(BA4="",0,4)))</f>
        <v/>
      </c>
      <c r="BD4" s="14">
        <f>IF((IF(AV4="",0,6)+IF(AX4="",0,5)+IF(AZ4="",0,5)+IF(BB4="",0,4))=0,"",(IF(AV4="",0,AV4*6)+IF(AX4="",0,AX4*5)+IF(AZ4="",0,AZ4*5)+IF(BB4="",0,BB4*4))/20)</f>
        <v/>
      </c>
      <c r="BE4" s="14">
        <f>IF(AND(R4="",AD4="",AL4="",AT4="",BD4=""),"",((R4*25)+(AD4*22)+(AL4*18)+(AT4*15)+(BD4*20))/100)</f>
        <v/>
      </c>
      <c r="BF4" s="11">
        <f>IF(BE4="","",IF(BE4&gt;=0.75,"A",IF(BE4&gt;=0.5,"B",IF(BE4&gt;=0.35,"C","Watchlist"))))</f>
        <v/>
      </c>
      <c r="BG4" s="11">
        <f>IF(OR(BE4="",BE4&lt;0.5,R4="",R4&lt;0.35,AD4="",AD4&lt;0.35,AL4="",AL4&lt;0.35,AT4="",AT4&lt;0.35,BD4="",BD4&lt;0.35),"Watchlist","Ranked")</f>
        <v/>
      </c>
      <c r="BH4" s="15">
        <f>IF(AND(Q4="",AC4="",AK4="",AS4="",BC4=""),"",(IF(Q4="",0,Q4*25)+IF(AC4="",0,AC4*22)+IF(AK4="",0,AK4*18)+IF(AS4="",0,AS4*15)+IF(BC4="",0,BC4*20))/(IF(Q4="",0,25)+IF(AC4="",0,22)+IF(AK4="",0,18)+IF(AS4="",0,15)+IF(BC4="",0,20)))</f>
        <v/>
      </c>
      <c r="BI4" s="11">
        <f>IF(BG4="Ranked",1+COUNTIFS($BG$2:$BG$103,"Ranked",$BH$2:$BH$103,"&gt;"&amp;BH4),"")</f>
        <v/>
      </c>
      <c r="BJ4" s="11">
        <f>City_Inputs!$AH4</f>
        <v/>
      </c>
    </row>
    <row r="5">
      <c r="A5" t="inlineStr">
        <is>
          <t>id-jakarta</t>
        </is>
      </c>
      <c r="B5" t="inlineStr">
        <is>
          <t>Jakarta</t>
        </is>
      </c>
      <c r="C5" t="inlineStr">
        <is>
          <t>Indonesia</t>
        </is>
      </c>
      <c r="D5" t="inlineStr">
        <is>
          <t>Southeast Asia</t>
        </is>
      </c>
      <c r="E5" t="inlineStr">
        <is>
          <t>provisional</t>
        </is>
      </c>
      <c r="F5" t="inlineStr">
        <is>
          <t>primary</t>
        </is>
      </c>
      <c r="G5" s="11">
        <f>IF(OR(City_Inputs!$M5="",Norm_Stats!$F$2="",Norm_Stats!$G$2="",Norm_Stats!$G$2=Norm_Stats!$F$2),"",MAX(0,MIN(100,100*(MIN(MAX(City_Inputs!$M5,Norm_Stats!$F$2),Norm_Stats!$G$2)-Norm_Stats!$F$2)/(Norm_Stats!$G$2-Norm_Stats!$F$2))))</f>
        <v/>
      </c>
      <c r="H5" s="14">
        <f>IF(G5="","",1)</f>
        <v/>
      </c>
      <c r="I5" s="11">
        <f>IF(OR(City_Inputs!$N5="",Norm_Stats!$F$3="",Norm_Stats!$G$3="",Norm_Stats!$G$3=Norm_Stats!$F$3),"",MAX(0,MIN(100,100*(Norm_Stats!$G$3-MIN(MAX(City_Inputs!$N5,Norm_Stats!$F$3),Norm_Stats!$G$3))/(Norm_Stats!$G$3-Norm_Stats!$F$3))))</f>
        <v/>
      </c>
      <c r="J5" s="14">
        <f>IF(I5="","",1)</f>
        <v/>
      </c>
      <c r="K5" s="11">
        <f>IF(OR(City_Inputs!$P5="",Norm_Stats!$F$4="",Norm_Stats!$G$4="",Norm_Stats!$G$4=Norm_Stats!$F$4),"",MAX(0,MIN(100,100*(Norm_Stats!$G$4-MIN(MAX(City_Inputs!$P5,Norm_Stats!$F$4),Norm_Stats!$G$4))/(Norm_Stats!$G$4-Norm_Stats!$F$4))))</f>
        <v/>
      </c>
      <c r="L5" s="14">
        <f>IF(K5="","",1)</f>
        <v/>
      </c>
      <c r="M5" s="11">
        <f>IF(OR(City_Inputs!$Q5="",Norm_Stats!$F$5="",Norm_Stats!$G$5="",Norm_Stats!$G$5=Norm_Stats!$F$5),"",MAX(0,MIN(100,100*(Norm_Stats!$G$5-MIN(MAX(City_Inputs!$Q5,Norm_Stats!$F$5),Norm_Stats!$G$5))/(Norm_Stats!$G$5-Norm_Stats!$F$5))))</f>
        <v/>
      </c>
      <c r="N5" s="14">
        <f>IF(M5="","",1)</f>
        <v/>
      </c>
      <c r="O5" s="11">
        <f>IF(OR(City_Inputs!$R5="",Norm_Stats!$F$6="",Norm_Stats!$G$6="",Norm_Stats!$G$6=Norm_Stats!$F$6),"",MAX(0,MIN(100,100*(Norm_Stats!$G$6-MIN(MAX(City_Inputs!$R5,Norm_Stats!$F$6),Norm_Stats!$G$6))/(Norm_Stats!$G$6-Norm_Stats!$F$6))))</f>
        <v/>
      </c>
      <c r="P5" s="14">
        <f>IF(O5="","",1)</f>
        <v/>
      </c>
      <c r="Q5" s="15">
        <f>IF((IF(G5="",0,9)+IF(I5="",0,5)+IF(K5="",0,4)+IF(M5="",0,4)+IF(O5="",0,3))=0,"",(IF(G5="",0,G5*9)+IF(I5="",0,I5*5)+IF(K5="",0,K5*4)+IF(M5="",0,M5*4)+IF(O5="",0,O5*3))/(IF(G5="",0,9)+IF(I5="",0,5)+IF(K5="",0,4)+IF(M5="",0,4)+IF(O5="",0,3)))</f>
        <v/>
      </c>
      <c r="R5" s="14">
        <f>IF((IF(H5="",0,9)+IF(J5="",0,5)+IF(L5="",0,4)+IF(N5="",0,4)+IF(P5="",0,3))=0,"",(IF(H5="",0,H5*9)+IF(J5="",0,J5*5)+IF(L5="",0,L5*4)+IF(N5="",0,N5*4)+IF(P5="",0,P5*3))/25)</f>
        <v/>
      </c>
      <c r="S5" s="11">
        <f>IF(OR(City_Inputs!$S5="",Norm_Stats!$F$7="",Norm_Stats!$G$7="",Norm_Stats!$G$7=Norm_Stats!$F$7),"",MAX(0,MIN(100,100*(Norm_Stats!$G$7-MIN(MAX(City_Inputs!$S5,Norm_Stats!$F$7),Norm_Stats!$G$7))/(Norm_Stats!$G$7-Norm_Stats!$F$7))))</f>
        <v/>
      </c>
      <c r="T5" s="14">
        <f>IF(S5="","",1)</f>
        <v/>
      </c>
      <c r="U5" s="11">
        <f>IF(OR(City_Inputs!$T5="",Norm_Stats!$F$8="",Norm_Stats!$G$8="",Norm_Stats!$G$8=Norm_Stats!$F$8),"",MAX(0,MIN(100,100*(MIN(MAX(City_Inputs!$T5,Norm_Stats!$F$8),Norm_Stats!$G$8)-Norm_Stats!$F$8)/(Norm_Stats!$G$8-Norm_Stats!$F$8))))</f>
        <v/>
      </c>
      <c r="V5" s="14">
        <f>IF(U5="","",1)</f>
        <v/>
      </c>
      <c r="W5" s="11">
        <f>IF(OR(City_Inputs!$U5="",Norm_Stats!$F$9="",Norm_Stats!$G$9="",Norm_Stats!$G$9=Norm_Stats!$F$9),"",MAX(0,MIN(100,100*(Norm_Stats!$G$9-MIN(MAX(City_Inputs!$U5,Norm_Stats!$F$9),Norm_Stats!$G$9))/(Norm_Stats!$G$9-Norm_Stats!$F$9))))</f>
        <v/>
      </c>
      <c r="X5" s="14">
        <f>IF(W5="","",1)</f>
        <v/>
      </c>
      <c r="Y5" s="11">
        <f>IF(OR(City_Inputs!$V5="",Norm_Stats!$F$10="",Norm_Stats!$G$10="",Norm_Stats!$G$10=Norm_Stats!$F$10),"",MAX(0,MIN(100,100*(MIN(MAX(City_Inputs!$V5,Norm_Stats!$F$10),Norm_Stats!$G$10)-Norm_Stats!$F$10)/(Norm_Stats!$G$10-Norm_Stats!$F$10))))</f>
        <v/>
      </c>
      <c r="Z5" s="14">
        <f>IF(Y5="","",1)</f>
        <v/>
      </c>
      <c r="AA5" s="11">
        <f>IF(OR(City_Inputs!$W5="",Norm_Stats!$F$11="",Norm_Stats!$G$11="",Norm_Stats!$G$11=Norm_Stats!$F$11),"",MAX(0,MIN(100,100*(MIN(MAX(City_Inputs!$W5,Norm_Stats!$F$11),Norm_Stats!$G$11)-Norm_Stats!$F$11)/(Norm_Stats!$G$11-Norm_Stats!$F$11))))</f>
        <v/>
      </c>
      <c r="AB5" s="14">
        <f>IF(AA5="","",1)</f>
        <v/>
      </c>
      <c r="AC5" s="15">
        <f>IF((IF(S5="",0,5)+IF(U5="",0,5)+IF(W5="",0,4)+IF(Y5="",0,4)+IF(AA5="",0,4))=0,"",(IF(S5="",0,S5*5)+IF(U5="",0,U5*5)+IF(W5="",0,W5*4)+IF(Y5="",0,Y5*4)+IF(AA5="",0,AA5*4))/(IF(S5="",0,5)+IF(U5="",0,5)+IF(W5="",0,4)+IF(Y5="",0,4)+IF(AA5="",0,4)))</f>
        <v/>
      </c>
      <c r="AD5" s="14">
        <f>IF((IF(T5="",0,5)+IF(V5="",0,5)+IF(X5="",0,4)+IF(Z5="",0,4)+IF(AB5="",0,4))=0,"",(IF(T5="",0,T5*5)+IF(V5="",0,V5*5)+IF(X5="",0,X5*4)+IF(Z5="",0,Z5*4)+IF(AB5="",0,AB5*4))/22)</f>
        <v/>
      </c>
      <c r="AE5" s="11">
        <f>IF(OR(City_Inputs!$X5="",Norm_Stats!$F$12="",Norm_Stats!$G$12="",Norm_Stats!$G$12=Norm_Stats!$F$12),"",MAX(0,MIN(100,100*(MIN(MAX(City_Inputs!$X5,Norm_Stats!$F$12),Norm_Stats!$G$12)-Norm_Stats!$F$12)/(Norm_Stats!$G$12-Norm_Stats!$F$12))))</f>
        <v/>
      </c>
      <c r="AF5" s="14">
        <f>IF(AE5="","",1)</f>
        <v/>
      </c>
      <c r="AG5" s="11">
        <f>IF(OR(City_Inputs!$Y5="",Norm_Stats!$F$13="",Norm_Stats!$G$13="",Norm_Stats!$G$13=Norm_Stats!$F$13),"",MAX(0,MIN(100,100*(MIN(MAX(City_Inputs!$Y5,Norm_Stats!$F$13),Norm_Stats!$G$13)-Norm_Stats!$F$13)/(Norm_Stats!$G$13-Norm_Stats!$F$13))))</f>
        <v/>
      </c>
      <c r="AH5" s="14">
        <f>IF(AG5="","",1)</f>
        <v/>
      </c>
      <c r="AI5" s="11">
        <f>IF((IF((IF(OR(City_Inputs!$Z5="",Norm_Stats!$F$14="",Norm_Stats!$G$14="",Norm_Stats!$G$14=Norm_Stats!$F$14),"",MAX(0,MIN(100,100*(MIN(MAX(City_Inputs!$Z5,Norm_Stats!$F$14),Norm_Stats!$G$14)-Norm_Stats!$F$14)/(Norm_Stats!$G$14-Norm_Stats!$F$14)))))="",0,0.7)+IF((IF(OR(City_Inputs!$AK5="",Norm_Stats!$F$15="",Norm_Stats!$G$15="",Norm_Stats!$G$15=Norm_Stats!$F$15),"",MAX(0,MIN(100,100*(Norm_Stats!$G$15-MIN(MAX(City_Inputs!$AK5,Norm_Stats!$F$15),Norm_Stats!$G$15))/(Norm_Stats!$G$15-Norm_Stats!$F$15)))))="",0,0.3))=0,"",(IF((IF(OR(City_Inputs!$Z5="",Norm_Stats!$F$14="",Norm_Stats!$G$14="",Norm_Stats!$G$14=Norm_Stats!$F$14),"",MAX(0,MIN(100,100*(MIN(MAX(City_Inputs!$Z5,Norm_Stats!$F$14),Norm_Stats!$G$14)-Norm_Stats!$F$14)/(Norm_Stats!$G$14-Norm_Stats!$F$14)))))="",0,(IF(OR(City_Inputs!$Z5="",Norm_Stats!$F$14="",Norm_Stats!$G$14="",Norm_Stats!$G$14=Norm_Stats!$F$14),"",MAX(0,MIN(100,100*(MIN(MAX(City_Inputs!$Z5,Norm_Stats!$F$14),Norm_Stats!$G$14)-Norm_Stats!$F$14)/(Norm_Stats!$G$14-Norm_Stats!$F$14)))))*0.7)+IF((IF(OR(City_Inputs!$AK5="",Norm_Stats!$F$15="",Norm_Stats!$G$15="",Norm_Stats!$G$15=Norm_Stats!$F$15),"",MAX(0,MIN(100,100*(Norm_Stats!$G$15-MIN(MAX(City_Inputs!$AK5,Norm_Stats!$F$15),Norm_Stats!$G$15))/(Norm_Stats!$G$15-Norm_Stats!$F$15)))))="",0,(IF(OR(City_Inputs!$AK5="",Norm_Stats!$F$15="",Norm_Stats!$G$15="",Norm_Stats!$G$15=Norm_Stats!$F$15),"",MAX(0,MIN(100,100*(Norm_Stats!$G$15-MIN(MAX(City_Inputs!$AK5,Norm_Stats!$F$15),Norm_Stats!$G$15))/(Norm_Stats!$G$15-Norm_Stats!$F$15)))))*0.3))/(IF((IF(OR(City_Inputs!$Z5="",Norm_Stats!$F$14="",Norm_Stats!$G$14="",Norm_Stats!$G$14=Norm_Stats!$F$14),"",MAX(0,MIN(100,100*(MIN(MAX(City_Inputs!$Z5,Norm_Stats!$F$14),Norm_Stats!$G$14)-Norm_Stats!$F$14)/(Norm_Stats!$G$14-Norm_Stats!$F$14)))))="",0,0.7)+IF((IF(OR(City_Inputs!$AK5="",Norm_Stats!$F$15="",Norm_Stats!$G$15="",Norm_Stats!$G$15=Norm_Stats!$F$15),"",MAX(0,MIN(100,100*(Norm_Stats!$G$15-MIN(MAX(City_Inputs!$AK5,Norm_Stats!$F$15),Norm_Stats!$G$15))/(Norm_Stats!$G$15-Norm_Stats!$F$15)))))="",0,0.3)))</f>
        <v/>
      </c>
      <c r="AJ5" s="14">
        <f>IF((IF((IF(OR(City_Inputs!$Z5="",Norm_Stats!$F$14="",Norm_Stats!$G$14="",Norm_Stats!$G$14=Norm_Stats!$F$14),"",MAX(0,MIN(100,100*(MIN(MAX(City_Inputs!$Z5,Norm_Stats!$F$14),Norm_Stats!$G$14)-Norm_Stats!$F$14)/(Norm_Stats!$G$14-Norm_Stats!$F$14)))))="",0,0.7)+IF((IF(OR(City_Inputs!$AK5="",Norm_Stats!$F$15="",Norm_Stats!$G$15="",Norm_Stats!$G$15=Norm_Stats!$F$15),"",MAX(0,MIN(100,100*(Norm_Stats!$G$15-MIN(MAX(City_Inputs!$AK5,Norm_Stats!$F$15),Norm_Stats!$G$15))/(Norm_Stats!$G$15-Norm_Stats!$F$15)))))="",0,0.3))=0,"",(IF((IF(OR(City_Inputs!$Z5="",Norm_Stats!$F$14="",Norm_Stats!$G$14="",Norm_Stats!$G$14=Norm_Stats!$F$14),"",MAX(0,MIN(100,100*(MIN(MAX(City_Inputs!$Z5,Norm_Stats!$F$14),Norm_Stats!$G$14)-Norm_Stats!$F$14)/(Norm_Stats!$G$14-Norm_Stats!$F$14)))))="",0,0.7)+IF((IF(OR(City_Inputs!$AK5="",Norm_Stats!$F$15="",Norm_Stats!$G$15="",Norm_Stats!$G$15=Norm_Stats!$F$15),"",MAX(0,MIN(100,100*(Norm_Stats!$G$15-MIN(MAX(City_Inputs!$AK5,Norm_Stats!$F$15),Norm_Stats!$G$15))/(Norm_Stats!$G$15-Norm_Stats!$F$15)))))="",0,0.3)))</f>
        <v/>
      </c>
      <c r="AK5" s="15">
        <f>IF((IF(AE5="",0,8)+IF(AG5="",0,6)+IF(AI5="",0,4))=0,"",(IF(AE5="",0,AE5*8)+IF(AG5="",0,AG5*6)+IF(AI5="",0,AI5*4))/(IF(AE5="",0,8)+IF(AG5="",0,6)+IF(AI5="",0,4)))</f>
        <v/>
      </c>
      <c r="AL5" s="14">
        <f>IF((IF(AF5="",0,8)+IF(AH5="",0,6)+IF(AJ5="",0,4))=0,"",(IF(AF5="",0,AF5*8)+IF(AH5="",0,AH5*6)+IF(AJ5="",0,AJ5*4))/18)</f>
        <v/>
      </c>
      <c r="AM5" s="11">
        <f>IF(OR(City_Inputs!$AA5="",Norm_Stats!$F$16="",Norm_Stats!$G$16="",Norm_Stats!$G$16=Norm_Stats!$F$16),"",MAX(0,MIN(100,100*(MIN(MAX(City_Inputs!$AA5,Norm_Stats!$F$16),Norm_Stats!$G$16)-Norm_Stats!$F$16)/(Norm_Stats!$G$16-Norm_Stats!$F$16))))</f>
        <v/>
      </c>
      <c r="AN5" s="14">
        <f>IF(AM5="","",1)</f>
        <v/>
      </c>
      <c r="AO5" s="11">
        <f>IF(OR(City_Inputs!$AB5="",Norm_Stats!$F$17="",Norm_Stats!$G$17="",Norm_Stats!$G$17=Norm_Stats!$F$17),"",MAX(0,MIN(100,100*(MIN(MAX(City_Inputs!$AB5,Norm_Stats!$F$17),Norm_Stats!$G$17)-Norm_Stats!$F$17)/(Norm_Stats!$G$17-Norm_Stats!$F$17))))</f>
        <v/>
      </c>
      <c r="AP5" s="14">
        <f>IF(AO5="","",1)</f>
        <v/>
      </c>
      <c r="AQ5" s="11">
        <f>IF(OR(City_Inputs!$AC5="",Norm_Stats!$F$18="",Norm_Stats!$G$18="",Norm_Stats!$G$18=Norm_Stats!$F$18),"",MAX(0,MIN(100,100*(MIN(MAX(City_Inputs!$AC5,Norm_Stats!$F$18),Norm_Stats!$G$18)-Norm_Stats!$F$18)/(Norm_Stats!$G$18-Norm_Stats!$F$18))))</f>
        <v/>
      </c>
      <c r="AR5" s="14">
        <f>IF(AQ5="","",1)</f>
        <v/>
      </c>
      <c r="AS5" s="15">
        <f>IF((IF(AM5="",0,5)+IF(AO5="",0,5)+IF(AQ5="",0,5))=0,"",(IF(AM5="",0,AM5*5)+IF(AO5="",0,AO5*5)+IF(AQ5="",0,AQ5*5))/(IF(AM5="",0,5)+IF(AO5="",0,5)+IF(AQ5="",0,5)))</f>
        <v/>
      </c>
      <c r="AT5" s="14">
        <f>IF((IF(AN5="",0,5)+IF(AP5="",0,5)+IF(AR5="",0,5))=0,"",(IF(AN5="",0,AN5*5)+IF(AP5="",0,AP5*5)+IF(AR5="",0,AR5*5))/15)</f>
        <v/>
      </c>
      <c r="AU5" s="11">
        <f>IF(OR(City_Inputs!$AD5="",Norm_Stats!$F$19="",Norm_Stats!$G$19="",Norm_Stats!$G$19=Norm_Stats!$F$19),"",MAX(0,MIN(100,100*(MIN(MAX(City_Inputs!$AD5,Norm_Stats!$F$19),Norm_Stats!$G$19)-Norm_Stats!$F$19)/(Norm_Stats!$G$19-Norm_Stats!$F$19))))</f>
        <v/>
      </c>
      <c r="AV5" s="14">
        <f>IF(AU5="","",1)</f>
        <v/>
      </c>
      <c r="AW5" s="11">
        <f>IF(OR(City_Inputs!$AE5="",Norm_Stats!$F$20="",Norm_Stats!$G$20="",Norm_Stats!$G$20=Norm_Stats!$F$20),"",MAX(0,MIN(100,100*(MIN(MAX(City_Inputs!$AE5,Norm_Stats!$F$20),Norm_Stats!$G$20)-Norm_Stats!$F$20)/(Norm_Stats!$G$20-Norm_Stats!$F$20))))</f>
        <v/>
      </c>
      <c r="AX5" s="14">
        <f>IF(AW5="","",1)</f>
        <v/>
      </c>
      <c r="AY5" s="11">
        <f>IF((IF((IF(OR(City_Inputs!$AF5="",Norm_Stats!$F$21="",Norm_Stats!$G$21="",Norm_Stats!$G$21=Norm_Stats!$F$21),"",MAX(0,MIN(100,100*(MIN(MAX(City_Inputs!$AF5,Norm_Stats!$F$21),Norm_Stats!$G$21)-Norm_Stats!$F$21)/(Norm_Stats!$G$21-Norm_Stats!$F$21)))))="",0,0.5)+IF((IF(OR(City_Inputs!$AI5="",Norm_Stats!$F$22="",Norm_Stats!$G$22="",Norm_Stats!$G$22=Norm_Stats!$F$22),"",MAX(0,MIN(100,100*(MIN(MAX(City_Inputs!$AI5,Norm_Stats!$F$22),Norm_Stats!$G$22)-Norm_Stats!$F$22)/(Norm_Stats!$G$22-Norm_Stats!$F$22)))))="",0,0.3)+IF((IF(OR(City_Inputs!$AJ5="",Norm_Stats!$F$23="",Norm_Stats!$G$23="",Norm_Stats!$G$23=Norm_Stats!$F$23),"",MAX(0,MIN(100,100*(MIN(MAX(City_Inputs!$AJ5,Norm_Stats!$F$23),Norm_Stats!$G$23)-Norm_Stats!$F$23)/(Norm_Stats!$G$23-Norm_Stats!$F$23)))))="",0,0.2))=0,"",(IF((IF(OR(City_Inputs!$AF5="",Norm_Stats!$F$21="",Norm_Stats!$G$21="",Norm_Stats!$G$21=Norm_Stats!$F$21),"",MAX(0,MIN(100,100*(MIN(MAX(City_Inputs!$AF5,Norm_Stats!$F$21),Norm_Stats!$G$21)-Norm_Stats!$F$21)/(Norm_Stats!$G$21-Norm_Stats!$F$21)))))="",0,(IF(OR(City_Inputs!$AF5="",Norm_Stats!$F$21="",Norm_Stats!$G$21="",Norm_Stats!$G$21=Norm_Stats!$F$21),"",MAX(0,MIN(100,100*(MIN(MAX(City_Inputs!$AF5,Norm_Stats!$F$21),Norm_Stats!$G$21)-Norm_Stats!$F$21)/(Norm_Stats!$G$21-Norm_Stats!$F$21)))))*0.5)+IF((IF(OR(City_Inputs!$AI5="",Norm_Stats!$F$22="",Norm_Stats!$G$22="",Norm_Stats!$G$22=Norm_Stats!$F$22),"",MAX(0,MIN(100,100*(MIN(MAX(City_Inputs!$AI5,Norm_Stats!$F$22),Norm_Stats!$G$22)-Norm_Stats!$F$22)/(Norm_Stats!$G$22-Norm_Stats!$F$22)))))="",0,(IF(OR(City_Inputs!$AI5="",Norm_Stats!$F$22="",Norm_Stats!$G$22="",Norm_Stats!$G$22=Norm_Stats!$F$22),"",MAX(0,MIN(100,100*(MIN(MAX(City_Inputs!$AI5,Norm_Stats!$F$22),Norm_Stats!$G$22)-Norm_Stats!$F$22)/(Norm_Stats!$G$22-Norm_Stats!$F$22)))))*0.3)+IF((IF(OR(City_Inputs!$AJ5="",Norm_Stats!$F$23="",Norm_Stats!$G$23="",Norm_Stats!$G$23=Norm_Stats!$F$23),"",MAX(0,MIN(100,100*(MIN(MAX(City_Inputs!$AJ5,Norm_Stats!$F$23),Norm_Stats!$G$23)-Norm_Stats!$F$23)/(Norm_Stats!$G$23-Norm_Stats!$F$23)))))="",0,(IF(OR(City_Inputs!$AJ5="",Norm_Stats!$F$23="",Norm_Stats!$G$23="",Norm_Stats!$G$23=Norm_Stats!$F$23),"",MAX(0,MIN(100,100*(MIN(MAX(City_Inputs!$AJ5,Norm_Stats!$F$23),Norm_Stats!$G$23)-Norm_Stats!$F$23)/(Norm_Stats!$G$23-Norm_Stats!$F$23)))))*0.2))/(IF((IF(OR(City_Inputs!$AF5="",Norm_Stats!$F$21="",Norm_Stats!$G$21="",Norm_Stats!$G$21=Norm_Stats!$F$21),"",MAX(0,MIN(100,100*(MIN(MAX(City_Inputs!$AF5,Norm_Stats!$F$21),Norm_Stats!$G$21)-Norm_Stats!$F$21)/(Norm_Stats!$G$21-Norm_Stats!$F$21)))))="",0,0.5)+IF((IF(OR(City_Inputs!$AI5="",Norm_Stats!$F$22="",Norm_Stats!$G$22="",Norm_Stats!$G$22=Norm_Stats!$F$22),"",MAX(0,MIN(100,100*(MIN(MAX(City_Inputs!$AI5,Norm_Stats!$F$22),Norm_Stats!$G$22)-Norm_Stats!$F$22)/(Norm_Stats!$G$22-Norm_Stats!$F$22)))))="",0,0.3)+IF((IF(OR(City_Inputs!$AJ5="",Norm_Stats!$F$23="",Norm_Stats!$G$23="",Norm_Stats!$G$23=Norm_Stats!$F$23),"",MAX(0,MIN(100,100*(MIN(MAX(City_Inputs!$AJ5,Norm_Stats!$F$23),Norm_Stats!$G$23)-Norm_Stats!$F$23)/(Norm_Stats!$G$23-Norm_Stats!$F$23)))))="",0,0.2)))</f>
        <v/>
      </c>
      <c r="AZ5" s="14">
        <f>IF((IF((IF(OR(City_Inputs!$AF5="",Norm_Stats!$F$21="",Norm_Stats!$G$21="",Norm_Stats!$G$21=Norm_Stats!$F$21),"",MAX(0,MIN(100,100*(MIN(MAX(City_Inputs!$AF5,Norm_Stats!$F$21),Norm_Stats!$G$21)-Norm_Stats!$F$21)/(Norm_Stats!$G$21-Norm_Stats!$F$21)))))="",0,0.5)+IF((IF(OR(City_Inputs!$AI5="",Norm_Stats!$F$22="",Norm_Stats!$G$22="",Norm_Stats!$G$22=Norm_Stats!$F$22),"",MAX(0,MIN(100,100*(MIN(MAX(City_Inputs!$AI5,Norm_Stats!$F$22),Norm_Stats!$G$22)-Norm_Stats!$F$22)/(Norm_Stats!$G$22-Norm_Stats!$F$22)))))="",0,0.3)+IF((IF(OR(City_Inputs!$AJ5="",Norm_Stats!$F$23="",Norm_Stats!$G$23="",Norm_Stats!$G$23=Norm_Stats!$F$23),"",MAX(0,MIN(100,100*(MIN(MAX(City_Inputs!$AJ5,Norm_Stats!$F$23),Norm_Stats!$G$23)-Norm_Stats!$F$23)/(Norm_Stats!$G$23-Norm_Stats!$F$23)))))="",0,0.2))=0,"",(IF((IF(OR(City_Inputs!$AF5="",Norm_Stats!$F$21="",Norm_Stats!$G$21="",Norm_Stats!$G$21=Norm_Stats!$F$21),"",MAX(0,MIN(100,100*(MIN(MAX(City_Inputs!$AF5,Norm_Stats!$F$21),Norm_Stats!$G$21)-Norm_Stats!$F$21)/(Norm_Stats!$G$21-Norm_Stats!$F$21)))))="",0,0.5)+IF((IF(OR(City_Inputs!$AI5="",Norm_Stats!$F$22="",Norm_Stats!$G$22="",Norm_Stats!$G$22=Norm_Stats!$F$22),"",MAX(0,MIN(100,100*(MIN(MAX(City_Inputs!$AI5,Norm_Stats!$F$22),Norm_Stats!$G$22)-Norm_Stats!$F$22)/(Norm_Stats!$G$22-Norm_Stats!$F$22)))))="",0,0.3)+IF((IF(OR(City_Inputs!$AJ5="",Norm_Stats!$F$23="",Norm_Stats!$G$23="",Norm_Stats!$G$23=Norm_Stats!$F$23),"",MAX(0,MIN(100,100*(MIN(MAX(City_Inputs!$AJ5,Norm_Stats!$F$23),Norm_Stats!$G$23)-Norm_Stats!$F$23)/(Norm_Stats!$G$23-Norm_Stats!$F$23)))))="",0,0.2)))</f>
        <v/>
      </c>
      <c r="BA5" s="11">
        <f>IF(OR(City_Inputs!$AG5="",Norm_Stats!$F$24="",Norm_Stats!$G$24="",Norm_Stats!$G$24=Norm_Stats!$F$24),"",MAX(0,MIN(100,100*(Norm_Stats!$G$24-MIN(MAX(City_Inputs!$AG5,Norm_Stats!$F$24),Norm_Stats!$G$24))/(Norm_Stats!$G$24-Norm_Stats!$F$24))))</f>
        <v/>
      </c>
      <c r="BB5" s="14">
        <f>IF(BA5="","",1)</f>
        <v/>
      </c>
      <c r="BC5" s="15">
        <f>IF((IF(AU5="",0,6)+IF(AW5="",0,5)+IF(AY5="",0,5)+IF(BA5="",0,4))=0,"",(IF(AU5="",0,AU5*6)+IF(AW5="",0,AW5*5)+IF(AY5="",0,AY5*5)+IF(BA5="",0,BA5*4))/(IF(AU5="",0,6)+IF(AW5="",0,5)+IF(AY5="",0,5)+IF(BA5="",0,4)))</f>
        <v/>
      </c>
      <c r="BD5" s="14">
        <f>IF((IF(AV5="",0,6)+IF(AX5="",0,5)+IF(AZ5="",0,5)+IF(BB5="",0,4))=0,"",(IF(AV5="",0,AV5*6)+IF(AX5="",0,AX5*5)+IF(AZ5="",0,AZ5*5)+IF(BB5="",0,BB5*4))/20)</f>
        <v/>
      </c>
      <c r="BE5" s="14">
        <f>IF(AND(R5="",AD5="",AL5="",AT5="",BD5=""),"",((R5*25)+(AD5*22)+(AL5*18)+(AT5*15)+(BD5*20))/100)</f>
        <v/>
      </c>
      <c r="BF5" s="11">
        <f>IF(BE5="","",IF(BE5&gt;=0.75,"A",IF(BE5&gt;=0.5,"B",IF(BE5&gt;=0.35,"C","Watchlist"))))</f>
        <v/>
      </c>
      <c r="BG5" s="11">
        <f>IF(OR(BE5="",BE5&lt;0.5,R5="",R5&lt;0.35,AD5="",AD5&lt;0.35,AL5="",AL5&lt;0.35,AT5="",AT5&lt;0.35,BD5="",BD5&lt;0.35),"Watchlist","Ranked")</f>
        <v/>
      </c>
      <c r="BH5" s="15">
        <f>IF(AND(Q5="",AC5="",AK5="",AS5="",BC5=""),"",(IF(Q5="",0,Q5*25)+IF(AC5="",0,AC5*22)+IF(AK5="",0,AK5*18)+IF(AS5="",0,AS5*15)+IF(BC5="",0,BC5*20))/(IF(Q5="",0,25)+IF(AC5="",0,22)+IF(AK5="",0,18)+IF(AS5="",0,15)+IF(BC5="",0,20)))</f>
        <v/>
      </c>
      <c r="BI5" s="11">
        <f>IF(BG5="Ranked",1+COUNTIFS($BG$2:$BG$103,"Ranked",$BH$2:$BH$103,"&gt;"&amp;BH5),"")</f>
        <v/>
      </c>
      <c r="BJ5" s="11">
        <f>City_Inputs!$AH5</f>
        <v/>
      </c>
    </row>
    <row r="6">
      <c r="A6" t="inlineStr">
        <is>
          <t>ph-makati</t>
        </is>
      </c>
      <c r="B6" t="inlineStr">
        <is>
          <t>Makati</t>
        </is>
      </c>
      <c r="C6" t="inlineStr">
        <is>
          <t>Philippines</t>
        </is>
      </c>
      <c r="D6" t="inlineStr">
        <is>
          <t>Southeast Asia</t>
        </is>
      </c>
      <c r="E6" t="inlineStr">
        <is>
          <t>provisional</t>
        </is>
      </c>
      <c r="F6" t="inlineStr">
        <is>
          <t>primary</t>
        </is>
      </c>
      <c r="G6" s="11">
        <f>IF(OR(City_Inputs!$M6="",Norm_Stats!$F$2="",Norm_Stats!$G$2="",Norm_Stats!$G$2=Norm_Stats!$F$2),"",MAX(0,MIN(100,100*(MIN(MAX(City_Inputs!$M6,Norm_Stats!$F$2),Norm_Stats!$G$2)-Norm_Stats!$F$2)/(Norm_Stats!$G$2-Norm_Stats!$F$2))))</f>
        <v/>
      </c>
      <c r="H6" s="14">
        <f>IF(G6="","",1)</f>
        <v/>
      </c>
      <c r="I6" s="11">
        <f>IF(OR(City_Inputs!$N6="",Norm_Stats!$F$3="",Norm_Stats!$G$3="",Norm_Stats!$G$3=Norm_Stats!$F$3),"",MAX(0,MIN(100,100*(Norm_Stats!$G$3-MIN(MAX(City_Inputs!$N6,Norm_Stats!$F$3),Norm_Stats!$G$3))/(Norm_Stats!$G$3-Norm_Stats!$F$3))))</f>
        <v/>
      </c>
      <c r="J6" s="14">
        <f>IF(I6="","",1)</f>
        <v/>
      </c>
      <c r="K6" s="11">
        <f>IF(OR(City_Inputs!$P6="",Norm_Stats!$F$4="",Norm_Stats!$G$4="",Norm_Stats!$G$4=Norm_Stats!$F$4),"",MAX(0,MIN(100,100*(Norm_Stats!$G$4-MIN(MAX(City_Inputs!$P6,Norm_Stats!$F$4),Norm_Stats!$G$4))/(Norm_Stats!$G$4-Norm_Stats!$F$4))))</f>
        <v/>
      </c>
      <c r="L6" s="14">
        <f>IF(K6="","",1)</f>
        <v/>
      </c>
      <c r="M6" s="11">
        <f>IF(OR(City_Inputs!$Q6="",Norm_Stats!$F$5="",Norm_Stats!$G$5="",Norm_Stats!$G$5=Norm_Stats!$F$5),"",MAX(0,MIN(100,100*(Norm_Stats!$G$5-MIN(MAX(City_Inputs!$Q6,Norm_Stats!$F$5),Norm_Stats!$G$5))/(Norm_Stats!$G$5-Norm_Stats!$F$5))))</f>
        <v/>
      </c>
      <c r="N6" s="14">
        <f>IF(M6="","",1)</f>
        <v/>
      </c>
      <c r="O6" s="11">
        <f>IF(OR(City_Inputs!$R6="",Norm_Stats!$F$6="",Norm_Stats!$G$6="",Norm_Stats!$G$6=Norm_Stats!$F$6),"",MAX(0,MIN(100,100*(Norm_Stats!$G$6-MIN(MAX(City_Inputs!$R6,Norm_Stats!$F$6),Norm_Stats!$G$6))/(Norm_Stats!$G$6-Norm_Stats!$F$6))))</f>
        <v/>
      </c>
      <c r="P6" s="14">
        <f>IF(O6="","",1)</f>
        <v/>
      </c>
      <c r="Q6" s="15">
        <f>IF((IF(G6="",0,9)+IF(I6="",0,5)+IF(K6="",0,4)+IF(M6="",0,4)+IF(O6="",0,3))=0,"",(IF(G6="",0,G6*9)+IF(I6="",0,I6*5)+IF(K6="",0,K6*4)+IF(M6="",0,M6*4)+IF(O6="",0,O6*3))/(IF(G6="",0,9)+IF(I6="",0,5)+IF(K6="",0,4)+IF(M6="",0,4)+IF(O6="",0,3)))</f>
        <v/>
      </c>
      <c r="R6" s="14">
        <f>IF((IF(H6="",0,9)+IF(J6="",0,5)+IF(L6="",0,4)+IF(N6="",0,4)+IF(P6="",0,3))=0,"",(IF(H6="",0,H6*9)+IF(J6="",0,J6*5)+IF(L6="",0,L6*4)+IF(N6="",0,N6*4)+IF(P6="",0,P6*3))/25)</f>
        <v/>
      </c>
      <c r="S6" s="11">
        <f>IF(OR(City_Inputs!$S6="",Norm_Stats!$F$7="",Norm_Stats!$G$7="",Norm_Stats!$G$7=Norm_Stats!$F$7),"",MAX(0,MIN(100,100*(Norm_Stats!$G$7-MIN(MAX(City_Inputs!$S6,Norm_Stats!$F$7),Norm_Stats!$G$7))/(Norm_Stats!$G$7-Norm_Stats!$F$7))))</f>
        <v/>
      </c>
      <c r="T6" s="14">
        <f>IF(S6="","",1)</f>
        <v/>
      </c>
      <c r="U6" s="11">
        <f>IF(OR(City_Inputs!$T6="",Norm_Stats!$F$8="",Norm_Stats!$G$8="",Norm_Stats!$G$8=Norm_Stats!$F$8),"",MAX(0,MIN(100,100*(MIN(MAX(City_Inputs!$T6,Norm_Stats!$F$8),Norm_Stats!$G$8)-Norm_Stats!$F$8)/(Norm_Stats!$G$8-Norm_Stats!$F$8))))</f>
        <v/>
      </c>
      <c r="V6" s="14">
        <f>IF(U6="","",1)</f>
        <v/>
      </c>
      <c r="W6" s="11">
        <f>IF(OR(City_Inputs!$U6="",Norm_Stats!$F$9="",Norm_Stats!$G$9="",Norm_Stats!$G$9=Norm_Stats!$F$9),"",MAX(0,MIN(100,100*(Norm_Stats!$G$9-MIN(MAX(City_Inputs!$U6,Norm_Stats!$F$9),Norm_Stats!$G$9))/(Norm_Stats!$G$9-Norm_Stats!$F$9))))</f>
        <v/>
      </c>
      <c r="X6" s="14">
        <f>IF(W6="","",1)</f>
        <v/>
      </c>
      <c r="Y6" s="11">
        <f>IF(OR(City_Inputs!$V6="",Norm_Stats!$F$10="",Norm_Stats!$G$10="",Norm_Stats!$G$10=Norm_Stats!$F$10),"",MAX(0,MIN(100,100*(MIN(MAX(City_Inputs!$V6,Norm_Stats!$F$10),Norm_Stats!$G$10)-Norm_Stats!$F$10)/(Norm_Stats!$G$10-Norm_Stats!$F$10))))</f>
        <v/>
      </c>
      <c r="Z6" s="14">
        <f>IF(Y6="","",1)</f>
        <v/>
      </c>
      <c r="AA6" s="11">
        <f>IF(OR(City_Inputs!$W6="",Norm_Stats!$F$11="",Norm_Stats!$G$11="",Norm_Stats!$G$11=Norm_Stats!$F$11),"",MAX(0,MIN(100,100*(MIN(MAX(City_Inputs!$W6,Norm_Stats!$F$11),Norm_Stats!$G$11)-Norm_Stats!$F$11)/(Norm_Stats!$G$11-Norm_Stats!$F$11))))</f>
        <v/>
      </c>
      <c r="AB6" s="14">
        <f>IF(AA6="","",1)</f>
        <v/>
      </c>
      <c r="AC6" s="15">
        <f>IF((IF(S6="",0,5)+IF(U6="",0,5)+IF(W6="",0,4)+IF(Y6="",0,4)+IF(AA6="",0,4))=0,"",(IF(S6="",0,S6*5)+IF(U6="",0,U6*5)+IF(W6="",0,W6*4)+IF(Y6="",0,Y6*4)+IF(AA6="",0,AA6*4))/(IF(S6="",0,5)+IF(U6="",0,5)+IF(W6="",0,4)+IF(Y6="",0,4)+IF(AA6="",0,4)))</f>
        <v/>
      </c>
      <c r="AD6" s="14">
        <f>IF((IF(T6="",0,5)+IF(V6="",0,5)+IF(X6="",0,4)+IF(Z6="",0,4)+IF(AB6="",0,4))=0,"",(IF(T6="",0,T6*5)+IF(V6="",0,V6*5)+IF(X6="",0,X6*4)+IF(Z6="",0,Z6*4)+IF(AB6="",0,AB6*4))/22)</f>
        <v/>
      </c>
      <c r="AE6" s="11">
        <f>IF(OR(City_Inputs!$X6="",Norm_Stats!$F$12="",Norm_Stats!$G$12="",Norm_Stats!$G$12=Norm_Stats!$F$12),"",MAX(0,MIN(100,100*(MIN(MAX(City_Inputs!$X6,Norm_Stats!$F$12),Norm_Stats!$G$12)-Norm_Stats!$F$12)/(Norm_Stats!$G$12-Norm_Stats!$F$12))))</f>
        <v/>
      </c>
      <c r="AF6" s="14">
        <f>IF(AE6="","",1)</f>
        <v/>
      </c>
      <c r="AG6" s="11">
        <f>IF(OR(City_Inputs!$Y6="",Norm_Stats!$F$13="",Norm_Stats!$G$13="",Norm_Stats!$G$13=Norm_Stats!$F$13),"",MAX(0,MIN(100,100*(MIN(MAX(City_Inputs!$Y6,Norm_Stats!$F$13),Norm_Stats!$G$13)-Norm_Stats!$F$13)/(Norm_Stats!$G$13-Norm_Stats!$F$13))))</f>
        <v/>
      </c>
      <c r="AH6" s="14">
        <f>IF(AG6="","",1)</f>
        <v/>
      </c>
      <c r="AI6" s="11">
        <f>IF((IF((IF(OR(City_Inputs!$Z6="",Norm_Stats!$F$14="",Norm_Stats!$G$14="",Norm_Stats!$G$14=Norm_Stats!$F$14),"",MAX(0,MIN(100,100*(MIN(MAX(City_Inputs!$Z6,Norm_Stats!$F$14),Norm_Stats!$G$14)-Norm_Stats!$F$14)/(Norm_Stats!$G$14-Norm_Stats!$F$14)))))="",0,0.7)+IF((IF(OR(City_Inputs!$AK6="",Norm_Stats!$F$15="",Norm_Stats!$G$15="",Norm_Stats!$G$15=Norm_Stats!$F$15),"",MAX(0,MIN(100,100*(Norm_Stats!$G$15-MIN(MAX(City_Inputs!$AK6,Norm_Stats!$F$15),Norm_Stats!$G$15))/(Norm_Stats!$G$15-Norm_Stats!$F$15)))))="",0,0.3))=0,"",(IF((IF(OR(City_Inputs!$Z6="",Norm_Stats!$F$14="",Norm_Stats!$G$14="",Norm_Stats!$G$14=Norm_Stats!$F$14),"",MAX(0,MIN(100,100*(MIN(MAX(City_Inputs!$Z6,Norm_Stats!$F$14),Norm_Stats!$G$14)-Norm_Stats!$F$14)/(Norm_Stats!$G$14-Norm_Stats!$F$14)))))="",0,(IF(OR(City_Inputs!$Z6="",Norm_Stats!$F$14="",Norm_Stats!$G$14="",Norm_Stats!$G$14=Norm_Stats!$F$14),"",MAX(0,MIN(100,100*(MIN(MAX(City_Inputs!$Z6,Norm_Stats!$F$14),Norm_Stats!$G$14)-Norm_Stats!$F$14)/(Norm_Stats!$G$14-Norm_Stats!$F$14)))))*0.7)+IF((IF(OR(City_Inputs!$AK6="",Norm_Stats!$F$15="",Norm_Stats!$G$15="",Norm_Stats!$G$15=Norm_Stats!$F$15),"",MAX(0,MIN(100,100*(Norm_Stats!$G$15-MIN(MAX(City_Inputs!$AK6,Norm_Stats!$F$15),Norm_Stats!$G$15))/(Norm_Stats!$G$15-Norm_Stats!$F$15)))))="",0,(IF(OR(City_Inputs!$AK6="",Norm_Stats!$F$15="",Norm_Stats!$G$15="",Norm_Stats!$G$15=Norm_Stats!$F$15),"",MAX(0,MIN(100,100*(Norm_Stats!$G$15-MIN(MAX(City_Inputs!$AK6,Norm_Stats!$F$15),Norm_Stats!$G$15))/(Norm_Stats!$G$15-Norm_Stats!$F$15)))))*0.3))/(IF((IF(OR(City_Inputs!$Z6="",Norm_Stats!$F$14="",Norm_Stats!$G$14="",Norm_Stats!$G$14=Norm_Stats!$F$14),"",MAX(0,MIN(100,100*(MIN(MAX(City_Inputs!$Z6,Norm_Stats!$F$14),Norm_Stats!$G$14)-Norm_Stats!$F$14)/(Norm_Stats!$G$14-Norm_Stats!$F$14)))))="",0,0.7)+IF((IF(OR(City_Inputs!$AK6="",Norm_Stats!$F$15="",Norm_Stats!$G$15="",Norm_Stats!$G$15=Norm_Stats!$F$15),"",MAX(0,MIN(100,100*(Norm_Stats!$G$15-MIN(MAX(City_Inputs!$AK6,Norm_Stats!$F$15),Norm_Stats!$G$15))/(Norm_Stats!$G$15-Norm_Stats!$F$15)))))="",0,0.3)))</f>
        <v/>
      </c>
      <c r="AJ6" s="14">
        <f>IF((IF((IF(OR(City_Inputs!$Z6="",Norm_Stats!$F$14="",Norm_Stats!$G$14="",Norm_Stats!$G$14=Norm_Stats!$F$14),"",MAX(0,MIN(100,100*(MIN(MAX(City_Inputs!$Z6,Norm_Stats!$F$14),Norm_Stats!$G$14)-Norm_Stats!$F$14)/(Norm_Stats!$G$14-Norm_Stats!$F$14)))))="",0,0.7)+IF((IF(OR(City_Inputs!$AK6="",Norm_Stats!$F$15="",Norm_Stats!$G$15="",Norm_Stats!$G$15=Norm_Stats!$F$15),"",MAX(0,MIN(100,100*(Norm_Stats!$G$15-MIN(MAX(City_Inputs!$AK6,Norm_Stats!$F$15),Norm_Stats!$G$15))/(Norm_Stats!$G$15-Norm_Stats!$F$15)))))="",0,0.3))=0,"",(IF((IF(OR(City_Inputs!$Z6="",Norm_Stats!$F$14="",Norm_Stats!$G$14="",Norm_Stats!$G$14=Norm_Stats!$F$14),"",MAX(0,MIN(100,100*(MIN(MAX(City_Inputs!$Z6,Norm_Stats!$F$14),Norm_Stats!$G$14)-Norm_Stats!$F$14)/(Norm_Stats!$G$14-Norm_Stats!$F$14)))))="",0,0.7)+IF((IF(OR(City_Inputs!$AK6="",Norm_Stats!$F$15="",Norm_Stats!$G$15="",Norm_Stats!$G$15=Norm_Stats!$F$15),"",MAX(0,MIN(100,100*(Norm_Stats!$G$15-MIN(MAX(City_Inputs!$AK6,Norm_Stats!$F$15),Norm_Stats!$G$15))/(Norm_Stats!$G$15-Norm_Stats!$F$15)))))="",0,0.3)))</f>
        <v/>
      </c>
      <c r="AK6" s="15">
        <f>IF((IF(AE6="",0,8)+IF(AG6="",0,6)+IF(AI6="",0,4))=0,"",(IF(AE6="",0,AE6*8)+IF(AG6="",0,AG6*6)+IF(AI6="",0,AI6*4))/(IF(AE6="",0,8)+IF(AG6="",0,6)+IF(AI6="",0,4)))</f>
        <v/>
      </c>
      <c r="AL6" s="14">
        <f>IF((IF(AF6="",0,8)+IF(AH6="",0,6)+IF(AJ6="",0,4))=0,"",(IF(AF6="",0,AF6*8)+IF(AH6="",0,AH6*6)+IF(AJ6="",0,AJ6*4))/18)</f>
        <v/>
      </c>
      <c r="AM6" s="11">
        <f>IF(OR(City_Inputs!$AA6="",Norm_Stats!$F$16="",Norm_Stats!$G$16="",Norm_Stats!$G$16=Norm_Stats!$F$16),"",MAX(0,MIN(100,100*(MIN(MAX(City_Inputs!$AA6,Norm_Stats!$F$16),Norm_Stats!$G$16)-Norm_Stats!$F$16)/(Norm_Stats!$G$16-Norm_Stats!$F$16))))</f>
        <v/>
      </c>
      <c r="AN6" s="14">
        <f>IF(AM6="","",1)</f>
        <v/>
      </c>
      <c r="AO6" s="11">
        <f>IF(OR(City_Inputs!$AB6="",Norm_Stats!$F$17="",Norm_Stats!$G$17="",Norm_Stats!$G$17=Norm_Stats!$F$17),"",MAX(0,MIN(100,100*(MIN(MAX(City_Inputs!$AB6,Norm_Stats!$F$17),Norm_Stats!$G$17)-Norm_Stats!$F$17)/(Norm_Stats!$G$17-Norm_Stats!$F$17))))</f>
        <v/>
      </c>
      <c r="AP6" s="14">
        <f>IF(AO6="","",1)</f>
        <v/>
      </c>
      <c r="AQ6" s="11">
        <f>IF(OR(City_Inputs!$AC6="",Norm_Stats!$F$18="",Norm_Stats!$G$18="",Norm_Stats!$G$18=Norm_Stats!$F$18),"",MAX(0,MIN(100,100*(MIN(MAX(City_Inputs!$AC6,Norm_Stats!$F$18),Norm_Stats!$G$18)-Norm_Stats!$F$18)/(Norm_Stats!$G$18-Norm_Stats!$F$18))))</f>
        <v/>
      </c>
      <c r="AR6" s="14">
        <f>IF(AQ6="","",1)</f>
        <v/>
      </c>
      <c r="AS6" s="15">
        <f>IF((IF(AM6="",0,5)+IF(AO6="",0,5)+IF(AQ6="",0,5))=0,"",(IF(AM6="",0,AM6*5)+IF(AO6="",0,AO6*5)+IF(AQ6="",0,AQ6*5))/(IF(AM6="",0,5)+IF(AO6="",0,5)+IF(AQ6="",0,5)))</f>
        <v/>
      </c>
      <c r="AT6" s="14">
        <f>IF((IF(AN6="",0,5)+IF(AP6="",0,5)+IF(AR6="",0,5))=0,"",(IF(AN6="",0,AN6*5)+IF(AP6="",0,AP6*5)+IF(AR6="",0,AR6*5))/15)</f>
        <v/>
      </c>
      <c r="AU6" s="11">
        <f>IF(OR(City_Inputs!$AD6="",Norm_Stats!$F$19="",Norm_Stats!$G$19="",Norm_Stats!$G$19=Norm_Stats!$F$19),"",MAX(0,MIN(100,100*(MIN(MAX(City_Inputs!$AD6,Norm_Stats!$F$19),Norm_Stats!$G$19)-Norm_Stats!$F$19)/(Norm_Stats!$G$19-Norm_Stats!$F$19))))</f>
        <v/>
      </c>
      <c r="AV6" s="14">
        <f>IF(AU6="","",1)</f>
        <v/>
      </c>
      <c r="AW6" s="11">
        <f>IF(OR(City_Inputs!$AE6="",Norm_Stats!$F$20="",Norm_Stats!$G$20="",Norm_Stats!$G$20=Norm_Stats!$F$20),"",MAX(0,MIN(100,100*(MIN(MAX(City_Inputs!$AE6,Norm_Stats!$F$20),Norm_Stats!$G$20)-Norm_Stats!$F$20)/(Norm_Stats!$G$20-Norm_Stats!$F$20))))</f>
        <v/>
      </c>
      <c r="AX6" s="14">
        <f>IF(AW6="","",1)</f>
        <v/>
      </c>
      <c r="AY6" s="11">
        <f>IF((IF((IF(OR(City_Inputs!$AF6="",Norm_Stats!$F$21="",Norm_Stats!$G$21="",Norm_Stats!$G$21=Norm_Stats!$F$21),"",MAX(0,MIN(100,100*(MIN(MAX(City_Inputs!$AF6,Norm_Stats!$F$21),Norm_Stats!$G$21)-Norm_Stats!$F$21)/(Norm_Stats!$G$21-Norm_Stats!$F$21)))))="",0,0.5)+IF((IF(OR(City_Inputs!$AI6="",Norm_Stats!$F$22="",Norm_Stats!$G$22="",Norm_Stats!$G$22=Norm_Stats!$F$22),"",MAX(0,MIN(100,100*(MIN(MAX(City_Inputs!$AI6,Norm_Stats!$F$22),Norm_Stats!$G$22)-Norm_Stats!$F$22)/(Norm_Stats!$G$22-Norm_Stats!$F$22)))))="",0,0.3)+IF((IF(OR(City_Inputs!$AJ6="",Norm_Stats!$F$23="",Norm_Stats!$G$23="",Norm_Stats!$G$23=Norm_Stats!$F$23),"",MAX(0,MIN(100,100*(MIN(MAX(City_Inputs!$AJ6,Norm_Stats!$F$23),Norm_Stats!$G$23)-Norm_Stats!$F$23)/(Norm_Stats!$G$23-Norm_Stats!$F$23)))))="",0,0.2))=0,"",(IF((IF(OR(City_Inputs!$AF6="",Norm_Stats!$F$21="",Norm_Stats!$G$21="",Norm_Stats!$G$21=Norm_Stats!$F$21),"",MAX(0,MIN(100,100*(MIN(MAX(City_Inputs!$AF6,Norm_Stats!$F$21),Norm_Stats!$G$21)-Norm_Stats!$F$21)/(Norm_Stats!$G$21-Norm_Stats!$F$21)))))="",0,(IF(OR(City_Inputs!$AF6="",Norm_Stats!$F$21="",Norm_Stats!$G$21="",Norm_Stats!$G$21=Norm_Stats!$F$21),"",MAX(0,MIN(100,100*(MIN(MAX(City_Inputs!$AF6,Norm_Stats!$F$21),Norm_Stats!$G$21)-Norm_Stats!$F$21)/(Norm_Stats!$G$21-Norm_Stats!$F$21)))))*0.5)+IF((IF(OR(City_Inputs!$AI6="",Norm_Stats!$F$22="",Norm_Stats!$G$22="",Norm_Stats!$G$22=Norm_Stats!$F$22),"",MAX(0,MIN(100,100*(MIN(MAX(City_Inputs!$AI6,Norm_Stats!$F$22),Norm_Stats!$G$22)-Norm_Stats!$F$22)/(Norm_Stats!$G$22-Norm_Stats!$F$22)))))="",0,(IF(OR(City_Inputs!$AI6="",Norm_Stats!$F$22="",Norm_Stats!$G$22="",Norm_Stats!$G$22=Norm_Stats!$F$22),"",MAX(0,MIN(100,100*(MIN(MAX(City_Inputs!$AI6,Norm_Stats!$F$22),Norm_Stats!$G$22)-Norm_Stats!$F$22)/(Norm_Stats!$G$22-Norm_Stats!$F$22)))))*0.3)+IF((IF(OR(City_Inputs!$AJ6="",Norm_Stats!$F$23="",Norm_Stats!$G$23="",Norm_Stats!$G$23=Norm_Stats!$F$23),"",MAX(0,MIN(100,100*(MIN(MAX(City_Inputs!$AJ6,Norm_Stats!$F$23),Norm_Stats!$G$23)-Norm_Stats!$F$23)/(Norm_Stats!$G$23-Norm_Stats!$F$23)))))="",0,(IF(OR(City_Inputs!$AJ6="",Norm_Stats!$F$23="",Norm_Stats!$G$23="",Norm_Stats!$G$23=Norm_Stats!$F$23),"",MAX(0,MIN(100,100*(MIN(MAX(City_Inputs!$AJ6,Norm_Stats!$F$23),Norm_Stats!$G$23)-Norm_Stats!$F$23)/(Norm_Stats!$G$23-Norm_Stats!$F$23)))))*0.2))/(IF((IF(OR(City_Inputs!$AF6="",Norm_Stats!$F$21="",Norm_Stats!$G$21="",Norm_Stats!$G$21=Norm_Stats!$F$21),"",MAX(0,MIN(100,100*(MIN(MAX(City_Inputs!$AF6,Norm_Stats!$F$21),Norm_Stats!$G$21)-Norm_Stats!$F$21)/(Norm_Stats!$G$21-Norm_Stats!$F$21)))))="",0,0.5)+IF((IF(OR(City_Inputs!$AI6="",Norm_Stats!$F$22="",Norm_Stats!$G$22="",Norm_Stats!$G$22=Norm_Stats!$F$22),"",MAX(0,MIN(100,100*(MIN(MAX(City_Inputs!$AI6,Norm_Stats!$F$22),Norm_Stats!$G$22)-Norm_Stats!$F$22)/(Norm_Stats!$G$22-Norm_Stats!$F$22)))))="",0,0.3)+IF((IF(OR(City_Inputs!$AJ6="",Norm_Stats!$F$23="",Norm_Stats!$G$23="",Norm_Stats!$G$23=Norm_Stats!$F$23),"",MAX(0,MIN(100,100*(MIN(MAX(City_Inputs!$AJ6,Norm_Stats!$F$23),Norm_Stats!$G$23)-Norm_Stats!$F$23)/(Norm_Stats!$G$23-Norm_Stats!$F$23)))))="",0,0.2)))</f>
        <v/>
      </c>
      <c r="AZ6" s="14">
        <f>IF((IF((IF(OR(City_Inputs!$AF6="",Norm_Stats!$F$21="",Norm_Stats!$G$21="",Norm_Stats!$G$21=Norm_Stats!$F$21),"",MAX(0,MIN(100,100*(MIN(MAX(City_Inputs!$AF6,Norm_Stats!$F$21),Norm_Stats!$G$21)-Norm_Stats!$F$21)/(Norm_Stats!$G$21-Norm_Stats!$F$21)))))="",0,0.5)+IF((IF(OR(City_Inputs!$AI6="",Norm_Stats!$F$22="",Norm_Stats!$G$22="",Norm_Stats!$G$22=Norm_Stats!$F$22),"",MAX(0,MIN(100,100*(MIN(MAX(City_Inputs!$AI6,Norm_Stats!$F$22),Norm_Stats!$G$22)-Norm_Stats!$F$22)/(Norm_Stats!$G$22-Norm_Stats!$F$22)))))="",0,0.3)+IF((IF(OR(City_Inputs!$AJ6="",Norm_Stats!$F$23="",Norm_Stats!$G$23="",Norm_Stats!$G$23=Norm_Stats!$F$23),"",MAX(0,MIN(100,100*(MIN(MAX(City_Inputs!$AJ6,Norm_Stats!$F$23),Norm_Stats!$G$23)-Norm_Stats!$F$23)/(Norm_Stats!$G$23-Norm_Stats!$F$23)))))="",0,0.2))=0,"",(IF((IF(OR(City_Inputs!$AF6="",Norm_Stats!$F$21="",Norm_Stats!$G$21="",Norm_Stats!$G$21=Norm_Stats!$F$21),"",MAX(0,MIN(100,100*(MIN(MAX(City_Inputs!$AF6,Norm_Stats!$F$21),Norm_Stats!$G$21)-Norm_Stats!$F$21)/(Norm_Stats!$G$21-Norm_Stats!$F$21)))))="",0,0.5)+IF((IF(OR(City_Inputs!$AI6="",Norm_Stats!$F$22="",Norm_Stats!$G$22="",Norm_Stats!$G$22=Norm_Stats!$F$22),"",MAX(0,MIN(100,100*(MIN(MAX(City_Inputs!$AI6,Norm_Stats!$F$22),Norm_Stats!$G$22)-Norm_Stats!$F$22)/(Norm_Stats!$G$22-Norm_Stats!$F$22)))))="",0,0.3)+IF((IF(OR(City_Inputs!$AJ6="",Norm_Stats!$F$23="",Norm_Stats!$G$23="",Norm_Stats!$G$23=Norm_Stats!$F$23),"",MAX(0,MIN(100,100*(MIN(MAX(City_Inputs!$AJ6,Norm_Stats!$F$23),Norm_Stats!$G$23)-Norm_Stats!$F$23)/(Norm_Stats!$G$23-Norm_Stats!$F$23)))))="",0,0.2)))</f>
        <v/>
      </c>
      <c r="BA6" s="11">
        <f>IF(OR(City_Inputs!$AG6="",Norm_Stats!$F$24="",Norm_Stats!$G$24="",Norm_Stats!$G$24=Norm_Stats!$F$24),"",MAX(0,MIN(100,100*(Norm_Stats!$G$24-MIN(MAX(City_Inputs!$AG6,Norm_Stats!$F$24),Norm_Stats!$G$24))/(Norm_Stats!$G$24-Norm_Stats!$F$24))))</f>
        <v/>
      </c>
      <c r="BB6" s="14">
        <f>IF(BA6="","",1)</f>
        <v/>
      </c>
      <c r="BC6" s="15">
        <f>IF((IF(AU6="",0,6)+IF(AW6="",0,5)+IF(AY6="",0,5)+IF(BA6="",0,4))=0,"",(IF(AU6="",0,AU6*6)+IF(AW6="",0,AW6*5)+IF(AY6="",0,AY6*5)+IF(BA6="",0,BA6*4))/(IF(AU6="",0,6)+IF(AW6="",0,5)+IF(AY6="",0,5)+IF(BA6="",0,4)))</f>
        <v/>
      </c>
      <c r="BD6" s="14">
        <f>IF((IF(AV6="",0,6)+IF(AX6="",0,5)+IF(AZ6="",0,5)+IF(BB6="",0,4))=0,"",(IF(AV6="",0,AV6*6)+IF(AX6="",0,AX6*5)+IF(AZ6="",0,AZ6*5)+IF(BB6="",0,BB6*4))/20)</f>
        <v/>
      </c>
      <c r="BE6" s="14">
        <f>IF(AND(R6="",AD6="",AL6="",AT6="",BD6=""),"",((R6*25)+(AD6*22)+(AL6*18)+(AT6*15)+(BD6*20))/100)</f>
        <v/>
      </c>
      <c r="BF6" s="11">
        <f>IF(BE6="","",IF(BE6&gt;=0.75,"A",IF(BE6&gt;=0.5,"B",IF(BE6&gt;=0.35,"C","Watchlist"))))</f>
        <v/>
      </c>
      <c r="BG6" s="11">
        <f>IF(OR(BE6="",BE6&lt;0.5,R6="",R6&lt;0.35,AD6="",AD6&lt;0.35,AL6="",AL6&lt;0.35,AT6="",AT6&lt;0.35,BD6="",BD6&lt;0.35),"Watchlist","Ranked")</f>
        <v/>
      </c>
      <c r="BH6" s="15">
        <f>IF(AND(Q6="",AC6="",AK6="",AS6="",BC6=""),"",(IF(Q6="",0,Q6*25)+IF(AC6="",0,AC6*22)+IF(AK6="",0,AK6*18)+IF(AS6="",0,AS6*15)+IF(BC6="",0,BC6*20))/(IF(Q6="",0,25)+IF(AC6="",0,22)+IF(AK6="",0,18)+IF(AS6="",0,15)+IF(BC6="",0,20)))</f>
        <v/>
      </c>
      <c r="BI6" s="11">
        <f>IF(BG6="Ranked",1+COUNTIFS($BG$2:$BG$103,"Ranked",$BH$2:$BH$103,"&gt;"&amp;BH6),"")</f>
        <v/>
      </c>
      <c r="BJ6" s="11">
        <f>City_Inputs!$AH6</f>
        <v/>
      </c>
    </row>
    <row r="7">
      <c r="A7" t="inlineStr">
        <is>
          <t>my-george-town</t>
        </is>
      </c>
      <c r="B7" t="inlineStr">
        <is>
          <t>George Town</t>
        </is>
      </c>
      <c r="C7" t="inlineStr">
        <is>
          <t>Malaysia</t>
        </is>
      </c>
      <c r="D7" t="inlineStr">
        <is>
          <t>Southeast Asia</t>
        </is>
      </c>
      <c r="E7" t="inlineStr">
        <is>
          <t>locked</t>
        </is>
      </c>
      <c r="F7" t="inlineStr">
        <is>
          <t>secondary</t>
        </is>
      </c>
      <c r="G7" s="11">
        <f>IF(OR(City_Inputs!$M7="",Norm_Stats!$F$2="",Norm_Stats!$G$2="",Norm_Stats!$G$2=Norm_Stats!$F$2),"",MAX(0,MIN(100,100*(MIN(MAX(City_Inputs!$M7,Norm_Stats!$F$2),Norm_Stats!$G$2)-Norm_Stats!$F$2)/(Norm_Stats!$G$2-Norm_Stats!$F$2))))</f>
        <v/>
      </c>
      <c r="H7" s="14">
        <f>IF(G7="","",1)</f>
        <v/>
      </c>
      <c r="I7" s="11">
        <f>IF(OR(City_Inputs!$N7="",Norm_Stats!$F$3="",Norm_Stats!$G$3="",Norm_Stats!$G$3=Norm_Stats!$F$3),"",MAX(0,MIN(100,100*(Norm_Stats!$G$3-MIN(MAX(City_Inputs!$N7,Norm_Stats!$F$3),Norm_Stats!$G$3))/(Norm_Stats!$G$3-Norm_Stats!$F$3))))</f>
        <v/>
      </c>
      <c r="J7" s="14">
        <f>IF(I7="","",1)</f>
        <v/>
      </c>
      <c r="K7" s="11">
        <f>IF(OR(City_Inputs!$P7="",Norm_Stats!$F$4="",Norm_Stats!$G$4="",Norm_Stats!$G$4=Norm_Stats!$F$4),"",MAX(0,MIN(100,100*(Norm_Stats!$G$4-MIN(MAX(City_Inputs!$P7,Norm_Stats!$F$4),Norm_Stats!$G$4))/(Norm_Stats!$G$4-Norm_Stats!$F$4))))</f>
        <v/>
      </c>
      <c r="L7" s="14">
        <f>IF(K7="","",1)</f>
        <v/>
      </c>
      <c r="M7" s="11">
        <f>IF(OR(City_Inputs!$Q7="",Norm_Stats!$F$5="",Norm_Stats!$G$5="",Norm_Stats!$G$5=Norm_Stats!$F$5),"",MAX(0,MIN(100,100*(Norm_Stats!$G$5-MIN(MAX(City_Inputs!$Q7,Norm_Stats!$F$5),Norm_Stats!$G$5))/(Norm_Stats!$G$5-Norm_Stats!$F$5))))</f>
        <v/>
      </c>
      <c r="N7" s="14">
        <f>IF(M7="","",1)</f>
        <v/>
      </c>
      <c r="O7" s="11">
        <f>IF(OR(City_Inputs!$R7="",Norm_Stats!$F$6="",Norm_Stats!$G$6="",Norm_Stats!$G$6=Norm_Stats!$F$6),"",MAX(0,MIN(100,100*(Norm_Stats!$G$6-MIN(MAX(City_Inputs!$R7,Norm_Stats!$F$6),Norm_Stats!$G$6))/(Norm_Stats!$G$6-Norm_Stats!$F$6))))</f>
        <v/>
      </c>
      <c r="P7" s="14">
        <f>IF(O7="","",1)</f>
        <v/>
      </c>
      <c r="Q7" s="15">
        <f>IF((IF(G7="",0,9)+IF(I7="",0,5)+IF(K7="",0,4)+IF(M7="",0,4)+IF(O7="",0,3))=0,"",(IF(G7="",0,G7*9)+IF(I7="",0,I7*5)+IF(K7="",0,K7*4)+IF(M7="",0,M7*4)+IF(O7="",0,O7*3))/(IF(G7="",0,9)+IF(I7="",0,5)+IF(K7="",0,4)+IF(M7="",0,4)+IF(O7="",0,3)))</f>
        <v/>
      </c>
      <c r="R7" s="14">
        <f>IF((IF(H7="",0,9)+IF(J7="",0,5)+IF(L7="",0,4)+IF(N7="",0,4)+IF(P7="",0,3))=0,"",(IF(H7="",0,H7*9)+IF(J7="",0,J7*5)+IF(L7="",0,L7*4)+IF(N7="",0,N7*4)+IF(P7="",0,P7*3))/25)</f>
        <v/>
      </c>
      <c r="S7" s="11">
        <f>IF(OR(City_Inputs!$S7="",Norm_Stats!$F$7="",Norm_Stats!$G$7="",Norm_Stats!$G$7=Norm_Stats!$F$7),"",MAX(0,MIN(100,100*(Norm_Stats!$G$7-MIN(MAX(City_Inputs!$S7,Norm_Stats!$F$7),Norm_Stats!$G$7))/(Norm_Stats!$G$7-Norm_Stats!$F$7))))</f>
        <v/>
      </c>
      <c r="T7" s="14">
        <f>IF(S7="","",1)</f>
        <v/>
      </c>
      <c r="U7" s="11">
        <f>IF(OR(City_Inputs!$T7="",Norm_Stats!$F$8="",Norm_Stats!$G$8="",Norm_Stats!$G$8=Norm_Stats!$F$8),"",MAX(0,MIN(100,100*(MIN(MAX(City_Inputs!$T7,Norm_Stats!$F$8),Norm_Stats!$G$8)-Norm_Stats!$F$8)/(Norm_Stats!$G$8-Norm_Stats!$F$8))))</f>
        <v/>
      </c>
      <c r="V7" s="14">
        <f>IF(U7="","",1)</f>
        <v/>
      </c>
      <c r="W7" s="11">
        <f>IF(OR(City_Inputs!$U7="",Norm_Stats!$F$9="",Norm_Stats!$G$9="",Norm_Stats!$G$9=Norm_Stats!$F$9),"",MAX(0,MIN(100,100*(Norm_Stats!$G$9-MIN(MAX(City_Inputs!$U7,Norm_Stats!$F$9),Norm_Stats!$G$9))/(Norm_Stats!$G$9-Norm_Stats!$F$9))))</f>
        <v/>
      </c>
      <c r="X7" s="14">
        <f>IF(W7="","",1)</f>
        <v/>
      </c>
      <c r="Y7" s="11">
        <f>IF(OR(City_Inputs!$V7="",Norm_Stats!$F$10="",Norm_Stats!$G$10="",Norm_Stats!$G$10=Norm_Stats!$F$10),"",MAX(0,MIN(100,100*(MIN(MAX(City_Inputs!$V7,Norm_Stats!$F$10),Norm_Stats!$G$10)-Norm_Stats!$F$10)/(Norm_Stats!$G$10-Norm_Stats!$F$10))))</f>
        <v/>
      </c>
      <c r="Z7" s="14">
        <f>IF(Y7="","",1)</f>
        <v/>
      </c>
      <c r="AA7" s="11">
        <f>IF(OR(City_Inputs!$W7="",Norm_Stats!$F$11="",Norm_Stats!$G$11="",Norm_Stats!$G$11=Norm_Stats!$F$11),"",MAX(0,MIN(100,100*(MIN(MAX(City_Inputs!$W7,Norm_Stats!$F$11),Norm_Stats!$G$11)-Norm_Stats!$F$11)/(Norm_Stats!$G$11-Norm_Stats!$F$11))))</f>
        <v/>
      </c>
      <c r="AB7" s="14">
        <f>IF(AA7="","",1)</f>
        <v/>
      </c>
      <c r="AC7" s="15">
        <f>IF((IF(S7="",0,5)+IF(U7="",0,5)+IF(W7="",0,4)+IF(Y7="",0,4)+IF(AA7="",0,4))=0,"",(IF(S7="",0,S7*5)+IF(U7="",0,U7*5)+IF(W7="",0,W7*4)+IF(Y7="",0,Y7*4)+IF(AA7="",0,AA7*4))/(IF(S7="",0,5)+IF(U7="",0,5)+IF(W7="",0,4)+IF(Y7="",0,4)+IF(AA7="",0,4)))</f>
        <v/>
      </c>
      <c r="AD7" s="14">
        <f>IF((IF(T7="",0,5)+IF(V7="",0,5)+IF(X7="",0,4)+IF(Z7="",0,4)+IF(AB7="",0,4))=0,"",(IF(T7="",0,T7*5)+IF(V7="",0,V7*5)+IF(X7="",0,X7*4)+IF(Z7="",0,Z7*4)+IF(AB7="",0,AB7*4))/22)</f>
        <v/>
      </c>
      <c r="AE7" s="11">
        <f>IF(OR(City_Inputs!$X7="",Norm_Stats!$F$12="",Norm_Stats!$G$12="",Norm_Stats!$G$12=Norm_Stats!$F$12),"",MAX(0,MIN(100,100*(MIN(MAX(City_Inputs!$X7,Norm_Stats!$F$12),Norm_Stats!$G$12)-Norm_Stats!$F$12)/(Norm_Stats!$G$12-Norm_Stats!$F$12))))</f>
        <v/>
      </c>
      <c r="AF7" s="14">
        <f>IF(AE7="","",1)</f>
        <v/>
      </c>
      <c r="AG7" s="11">
        <f>IF(OR(City_Inputs!$Y7="",Norm_Stats!$F$13="",Norm_Stats!$G$13="",Norm_Stats!$G$13=Norm_Stats!$F$13),"",MAX(0,MIN(100,100*(MIN(MAX(City_Inputs!$Y7,Norm_Stats!$F$13),Norm_Stats!$G$13)-Norm_Stats!$F$13)/(Norm_Stats!$G$13-Norm_Stats!$F$13))))</f>
        <v/>
      </c>
      <c r="AH7" s="14">
        <f>IF(AG7="","",1)</f>
        <v/>
      </c>
      <c r="AI7" s="11">
        <f>IF((IF((IF(OR(City_Inputs!$Z7="",Norm_Stats!$F$14="",Norm_Stats!$G$14="",Norm_Stats!$G$14=Norm_Stats!$F$14),"",MAX(0,MIN(100,100*(MIN(MAX(City_Inputs!$Z7,Norm_Stats!$F$14),Norm_Stats!$G$14)-Norm_Stats!$F$14)/(Norm_Stats!$G$14-Norm_Stats!$F$14)))))="",0,0.7)+IF((IF(OR(City_Inputs!$AK7="",Norm_Stats!$F$15="",Norm_Stats!$G$15="",Norm_Stats!$G$15=Norm_Stats!$F$15),"",MAX(0,MIN(100,100*(Norm_Stats!$G$15-MIN(MAX(City_Inputs!$AK7,Norm_Stats!$F$15),Norm_Stats!$G$15))/(Norm_Stats!$G$15-Norm_Stats!$F$15)))))="",0,0.3))=0,"",(IF((IF(OR(City_Inputs!$Z7="",Norm_Stats!$F$14="",Norm_Stats!$G$14="",Norm_Stats!$G$14=Norm_Stats!$F$14),"",MAX(0,MIN(100,100*(MIN(MAX(City_Inputs!$Z7,Norm_Stats!$F$14),Norm_Stats!$G$14)-Norm_Stats!$F$14)/(Norm_Stats!$G$14-Norm_Stats!$F$14)))))="",0,(IF(OR(City_Inputs!$Z7="",Norm_Stats!$F$14="",Norm_Stats!$G$14="",Norm_Stats!$G$14=Norm_Stats!$F$14),"",MAX(0,MIN(100,100*(MIN(MAX(City_Inputs!$Z7,Norm_Stats!$F$14),Norm_Stats!$G$14)-Norm_Stats!$F$14)/(Norm_Stats!$G$14-Norm_Stats!$F$14)))))*0.7)+IF((IF(OR(City_Inputs!$AK7="",Norm_Stats!$F$15="",Norm_Stats!$G$15="",Norm_Stats!$G$15=Norm_Stats!$F$15),"",MAX(0,MIN(100,100*(Norm_Stats!$G$15-MIN(MAX(City_Inputs!$AK7,Norm_Stats!$F$15),Norm_Stats!$G$15))/(Norm_Stats!$G$15-Norm_Stats!$F$15)))))="",0,(IF(OR(City_Inputs!$AK7="",Norm_Stats!$F$15="",Norm_Stats!$G$15="",Norm_Stats!$G$15=Norm_Stats!$F$15),"",MAX(0,MIN(100,100*(Norm_Stats!$G$15-MIN(MAX(City_Inputs!$AK7,Norm_Stats!$F$15),Norm_Stats!$G$15))/(Norm_Stats!$G$15-Norm_Stats!$F$15)))))*0.3))/(IF((IF(OR(City_Inputs!$Z7="",Norm_Stats!$F$14="",Norm_Stats!$G$14="",Norm_Stats!$G$14=Norm_Stats!$F$14),"",MAX(0,MIN(100,100*(MIN(MAX(City_Inputs!$Z7,Norm_Stats!$F$14),Norm_Stats!$G$14)-Norm_Stats!$F$14)/(Norm_Stats!$G$14-Norm_Stats!$F$14)))))="",0,0.7)+IF((IF(OR(City_Inputs!$AK7="",Norm_Stats!$F$15="",Norm_Stats!$G$15="",Norm_Stats!$G$15=Norm_Stats!$F$15),"",MAX(0,MIN(100,100*(Norm_Stats!$G$15-MIN(MAX(City_Inputs!$AK7,Norm_Stats!$F$15),Norm_Stats!$G$15))/(Norm_Stats!$G$15-Norm_Stats!$F$15)))))="",0,0.3)))</f>
        <v/>
      </c>
      <c r="AJ7" s="14">
        <f>IF((IF((IF(OR(City_Inputs!$Z7="",Norm_Stats!$F$14="",Norm_Stats!$G$14="",Norm_Stats!$G$14=Norm_Stats!$F$14),"",MAX(0,MIN(100,100*(MIN(MAX(City_Inputs!$Z7,Norm_Stats!$F$14),Norm_Stats!$G$14)-Norm_Stats!$F$14)/(Norm_Stats!$G$14-Norm_Stats!$F$14)))))="",0,0.7)+IF((IF(OR(City_Inputs!$AK7="",Norm_Stats!$F$15="",Norm_Stats!$G$15="",Norm_Stats!$G$15=Norm_Stats!$F$15),"",MAX(0,MIN(100,100*(Norm_Stats!$G$15-MIN(MAX(City_Inputs!$AK7,Norm_Stats!$F$15),Norm_Stats!$G$15))/(Norm_Stats!$G$15-Norm_Stats!$F$15)))))="",0,0.3))=0,"",(IF((IF(OR(City_Inputs!$Z7="",Norm_Stats!$F$14="",Norm_Stats!$G$14="",Norm_Stats!$G$14=Norm_Stats!$F$14),"",MAX(0,MIN(100,100*(MIN(MAX(City_Inputs!$Z7,Norm_Stats!$F$14),Norm_Stats!$G$14)-Norm_Stats!$F$14)/(Norm_Stats!$G$14-Norm_Stats!$F$14)))))="",0,0.7)+IF((IF(OR(City_Inputs!$AK7="",Norm_Stats!$F$15="",Norm_Stats!$G$15="",Norm_Stats!$G$15=Norm_Stats!$F$15),"",MAX(0,MIN(100,100*(Norm_Stats!$G$15-MIN(MAX(City_Inputs!$AK7,Norm_Stats!$F$15),Norm_Stats!$G$15))/(Norm_Stats!$G$15-Norm_Stats!$F$15)))))="",0,0.3)))</f>
        <v/>
      </c>
      <c r="AK7" s="15">
        <f>IF((IF(AE7="",0,8)+IF(AG7="",0,6)+IF(AI7="",0,4))=0,"",(IF(AE7="",0,AE7*8)+IF(AG7="",0,AG7*6)+IF(AI7="",0,AI7*4))/(IF(AE7="",0,8)+IF(AG7="",0,6)+IF(AI7="",0,4)))</f>
        <v/>
      </c>
      <c r="AL7" s="14">
        <f>IF((IF(AF7="",0,8)+IF(AH7="",0,6)+IF(AJ7="",0,4))=0,"",(IF(AF7="",0,AF7*8)+IF(AH7="",0,AH7*6)+IF(AJ7="",0,AJ7*4))/18)</f>
        <v/>
      </c>
      <c r="AM7" s="11">
        <f>IF(OR(City_Inputs!$AA7="",Norm_Stats!$F$16="",Norm_Stats!$G$16="",Norm_Stats!$G$16=Norm_Stats!$F$16),"",MAX(0,MIN(100,100*(MIN(MAX(City_Inputs!$AA7,Norm_Stats!$F$16),Norm_Stats!$G$16)-Norm_Stats!$F$16)/(Norm_Stats!$G$16-Norm_Stats!$F$16))))</f>
        <v/>
      </c>
      <c r="AN7" s="14">
        <f>IF(AM7="","",1)</f>
        <v/>
      </c>
      <c r="AO7" s="11">
        <f>IF(OR(City_Inputs!$AB7="",Norm_Stats!$F$17="",Norm_Stats!$G$17="",Norm_Stats!$G$17=Norm_Stats!$F$17),"",MAX(0,MIN(100,100*(MIN(MAX(City_Inputs!$AB7,Norm_Stats!$F$17),Norm_Stats!$G$17)-Norm_Stats!$F$17)/(Norm_Stats!$G$17-Norm_Stats!$F$17))))</f>
        <v/>
      </c>
      <c r="AP7" s="14">
        <f>IF(AO7="","",1)</f>
        <v/>
      </c>
      <c r="AQ7" s="11">
        <f>IF(OR(City_Inputs!$AC7="",Norm_Stats!$F$18="",Norm_Stats!$G$18="",Norm_Stats!$G$18=Norm_Stats!$F$18),"",MAX(0,MIN(100,100*(MIN(MAX(City_Inputs!$AC7,Norm_Stats!$F$18),Norm_Stats!$G$18)-Norm_Stats!$F$18)/(Norm_Stats!$G$18-Norm_Stats!$F$18))))</f>
        <v/>
      </c>
      <c r="AR7" s="14">
        <f>IF(AQ7="","",1)</f>
        <v/>
      </c>
      <c r="AS7" s="15">
        <f>IF((IF(AM7="",0,5)+IF(AO7="",0,5)+IF(AQ7="",0,5))=0,"",(IF(AM7="",0,AM7*5)+IF(AO7="",0,AO7*5)+IF(AQ7="",0,AQ7*5))/(IF(AM7="",0,5)+IF(AO7="",0,5)+IF(AQ7="",0,5)))</f>
        <v/>
      </c>
      <c r="AT7" s="14">
        <f>IF((IF(AN7="",0,5)+IF(AP7="",0,5)+IF(AR7="",0,5))=0,"",(IF(AN7="",0,AN7*5)+IF(AP7="",0,AP7*5)+IF(AR7="",0,AR7*5))/15)</f>
        <v/>
      </c>
      <c r="AU7" s="11">
        <f>IF(OR(City_Inputs!$AD7="",Norm_Stats!$F$19="",Norm_Stats!$G$19="",Norm_Stats!$G$19=Norm_Stats!$F$19),"",MAX(0,MIN(100,100*(MIN(MAX(City_Inputs!$AD7,Norm_Stats!$F$19),Norm_Stats!$G$19)-Norm_Stats!$F$19)/(Norm_Stats!$G$19-Norm_Stats!$F$19))))</f>
        <v/>
      </c>
      <c r="AV7" s="14">
        <f>IF(AU7="","",1)</f>
        <v/>
      </c>
      <c r="AW7" s="11">
        <f>IF(OR(City_Inputs!$AE7="",Norm_Stats!$F$20="",Norm_Stats!$G$20="",Norm_Stats!$G$20=Norm_Stats!$F$20),"",MAX(0,MIN(100,100*(MIN(MAX(City_Inputs!$AE7,Norm_Stats!$F$20),Norm_Stats!$G$20)-Norm_Stats!$F$20)/(Norm_Stats!$G$20-Norm_Stats!$F$20))))</f>
        <v/>
      </c>
      <c r="AX7" s="14">
        <f>IF(AW7="","",1)</f>
        <v/>
      </c>
      <c r="AY7" s="11">
        <f>IF((IF((IF(OR(City_Inputs!$AF7="",Norm_Stats!$F$21="",Norm_Stats!$G$21="",Norm_Stats!$G$21=Norm_Stats!$F$21),"",MAX(0,MIN(100,100*(MIN(MAX(City_Inputs!$AF7,Norm_Stats!$F$21),Norm_Stats!$G$21)-Norm_Stats!$F$21)/(Norm_Stats!$G$21-Norm_Stats!$F$21)))))="",0,0.5)+IF((IF(OR(City_Inputs!$AI7="",Norm_Stats!$F$22="",Norm_Stats!$G$22="",Norm_Stats!$G$22=Norm_Stats!$F$22),"",MAX(0,MIN(100,100*(MIN(MAX(City_Inputs!$AI7,Norm_Stats!$F$22),Norm_Stats!$G$22)-Norm_Stats!$F$22)/(Norm_Stats!$G$22-Norm_Stats!$F$22)))))="",0,0.3)+IF((IF(OR(City_Inputs!$AJ7="",Norm_Stats!$F$23="",Norm_Stats!$G$23="",Norm_Stats!$G$23=Norm_Stats!$F$23),"",MAX(0,MIN(100,100*(MIN(MAX(City_Inputs!$AJ7,Norm_Stats!$F$23),Norm_Stats!$G$23)-Norm_Stats!$F$23)/(Norm_Stats!$G$23-Norm_Stats!$F$23)))))="",0,0.2))=0,"",(IF((IF(OR(City_Inputs!$AF7="",Norm_Stats!$F$21="",Norm_Stats!$G$21="",Norm_Stats!$G$21=Norm_Stats!$F$21),"",MAX(0,MIN(100,100*(MIN(MAX(City_Inputs!$AF7,Norm_Stats!$F$21),Norm_Stats!$G$21)-Norm_Stats!$F$21)/(Norm_Stats!$G$21-Norm_Stats!$F$21)))))="",0,(IF(OR(City_Inputs!$AF7="",Norm_Stats!$F$21="",Norm_Stats!$G$21="",Norm_Stats!$G$21=Norm_Stats!$F$21),"",MAX(0,MIN(100,100*(MIN(MAX(City_Inputs!$AF7,Norm_Stats!$F$21),Norm_Stats!$G$21)-Norm_Stats!$F$21)/(Norm_Stats!$G$21-Norm_Stats!$F$21)))))*0.5)+IF((IF(OR(City_Inputs!$AI7="",Norm_Stats!$F$22="",Norm_Stats!$G$22="",Norm_Stats!$G$22=Norm_Stats!$F$22),"",MAX(0,MIN(100,100*(MIN(MAX(City_Inputs!$AI7,Norm_Stats!$F$22),Norm_Stats!$G$22)-Norm_Stats!$F$22)/(Norm_Stats!$G$22-Norm_Stats!$F$22)))))="",0,(IF(OR(City_Inputs!$AI7="",Norm_Stats!$F$22="",Norm_Stats!$G$22="",Norm_Stats!$G$22=Norm_Stats!$F$22),"",MAX(0,MIN(100,100*(MIN(MAX(City_Inputs!$AI7,Norm_Stats!$F$22),Norm_Stats!$G$22)-Norm_Stats!$F$22)/(Norm_Stats!$G$22-Norm_Stats!$F$22)))))*0.3)+IF((IF(OR(City_Inputs!$AJ7="",Norm_Stats!$F$23="",Norm_Stats!$G$23="",Norm_Stats!$G$23=Norm_Stats!$F$23),"",MAX(0,MIN(100,100*(MIN(MAX(City_Inputs!$AJ7,Norm_Stats!$F$23),Norm_Stats!$G$23)-Norm_Stats!$F$23)/(Norm_Stats!$G$23-Norm_Stats!$F$23)))))="",0,(IF(OR(City_Inputs!$AJ7="",Norm_Stats!$F$23="",Norm_Stats!$G$23="",Norm_Stats!$G$23=Norm_Stats!$F$23),"",MAX(0,MIN(100,100*(MIN(MAX(City_Inputs!$AJ7,Norm_Stats!$F$23),Norm_Stats!$G$23)-Norm_Stats!$F$23)/(Norm_Stats!$G$23-Norm_Stats!$F$23)))))*0.2))/(IF((IF(OR(City_Inputs!$AF7="",Norm_Stats!$F$21="",Norm_Stats!$G$21="",Norm_Stats!$G$21=Norm_Stats!$F$21),"",MAX(0,MIN(100,100*(MIN(MAX(City_Inputs!$AF7,Norm_Stats!$F$21),Norm_Stats!$G$21)-Norm_Stats!$F$21)/(Norm_Stats!$G$21-Norm_Stats!$F$21)))))="",0,0.5)+IF((IF(OR(City_Inputs!$AI7="",Norm_Stats!$F$22="",Norm_Stats!$G$22="",Norm_Stats!$G$22=Norm_Stats!$F$22),"",MAX(0,MIN(100,100*(MIN(MAX(City_Inputs!$AI7,Norm_Stats!$F$22),Norm_Stats!$G$22)-Norm_Stats!$F$22)/(Norm_Stats!$G$22-Norm_Stats!$F$22)))))="",0,0.3)+IF((IF(OR(City_Inputs!$AJ7="",Norm_Stats!$F$23="",Norm_Stats!$G$23="",Norm_Stats!$G$23=Norm_Stats!$F$23),"",MAX(0,MIN(100,100*(MIN(MAX(City_Inputs!$AJ7,Norm_Stats!$F$23),Norm_Stats!$G$23)-Norm_Stats!$F$23)/(Norm_Stats!$G$23-Norm_Stats!$F$23)))))="",0,0.2)))</f>
        <v/>
      </c>
      <c r="AZ7" s="14">
        <f>IF((IF((IF(OR(City_Inputs!$AF7="",Norm_Stats!$F$21="",Norm_Stats!$G$21="",Norm_Stats!$G$21=Norm_Stats!$F$21),"",MAX(0,MIN(100,100*(MIN(MAX(City_Inputs!$AF7,Norm_Stats!$F$21),Norm_Stats!$G$21)-Norm_Stats!$F$21)/(Norm_Stats!$G$21-Norm_Stats!$F$21)))))="",0,0.5)+IF((IF(OR(City_Inputs!$AI7="",Norm_Stats!$F$22="",Norm_Stats!$G$22="",Norm_Stats!$G$22=Norm_Stats!$F$22),"",MAX(0,MIN(100,100*(MIN(MAX(City_Inputs!$AI7,Norm_Stats!$F$22),Norm_Stats!$G$22)-Norm_Stats!$F$22)/(Norm_Stats!$G$22-Norm_Stats!$F$22)))))="",0,0.3)+IF((IF(OR(City_Inputs!$AJ7="",Norm_Stats!$F$23="",Norm_Stats!$G$23="",Norm_Stats!$G$23=Norm_Stats!$F$23),"",MAX(0,MIN(100,100*(MIN(MAX(City_Inputs!$AJ7,Norm_Stats!$F$23),Norm_Stats!$G$23)-Norm_Stats!$F$23)/(Norm_Stats!$G$23-Norm_Stats!$F$23)))))="",0,0.2))=0,"",(IF((IF(OR(City_Inputs!$AF7="",Norm_Stats!$F$21="",Norm_Stats!$G$21="",Norm_Stats!$G$21=Norm_Stats!$F$21),"",MAX(0,MIN(100,100*(MIN(MAX(City_Inputs!$AF7,Norm_Stats!$F$21),Norm_Stats!$G$21)-Norm_Stats!$F$21)/(Norm_Stats!$G$21-Norm_Stats!$F$21)))))="",0,0.5)+IF((IF(OR(City_Inputs!$AI7="",Norm_Stats!$F$22="",Norm_Stats!$G$22="",Norm_Stats!$G$22=Norm_Stats!$F$22),"",MAX(0,MIN(100,100*(MIN(MAX(City_Inputs!$AI7,Norm_Stats!$F$22),Norm_Stats!$G$22)-Norm_Stats!$F$22)/(Norm_Stats!$G$22-Norm_Stats!$F$22)))))="",0,0.3)+IF((IF(OR(City_Inputs!$AJ7="",Norm_Stats!$F$23="",Norm_Stats!$G$23="",Norm_Stats!$G$23=Norm_Stats!$F$23),"",MAX(0,MIN(100,100*(MIN(MAX(City_Inputs!$AJ7,Norm_Stats!$F$23),Norm_Stats!$G$23)-Norm_Stats!$F$23)/(Norm_Stats!$G$23-Norm_Stats!$F$23)))))="",0,0.2)))</f>
        <v/>
      </c>
      <c r="BA7" s="11">
        <f>IF(OR(City_Inputs!$AG7="",Norm_Stats!$F$24="",Norm_Stats!$G$24="",Norm_Stats!$G$24=Norm_Stats!$F$24),"",MAX(0,MIN(100,100*(Norm_Stats!$G$24-MIN(MAX(City_Inputs!$AG7,Norm_Stats!$F$24),Norm_Stats!$G$24))/(Norm_Stats!$G$24-Norm_Stats!$F$24))))</f>
        <v/>
      </c>
      <c r="BB7" s="14">
        <f>IF(BA7="","",1)</f>
        <v/>
      </c>
      <c r="BC7" s="15">
        <f>IF((IF(AU7="",0,6)+IF(AW7="",0,5)+IF(AY7="",0,5)+IF(BA7="",0,4))=0,"",(IF(AU7="",0,AU7*6)+IF(AW7="",0,AW7*5)+IF(AY7="",0,AY7*5)+IF(BA7="",0,BA7*4))/(IF(AU7="",0,6)+IF(AW7="",0,5)+IF(AY7="",0,5)+IF(BA7="",0,4)))</f>
        <v/>
      </c>
      <c r="BD7" s="14">
        <f>IF((IF(AV7="",0,6)+IF(AX7="",0,5)+IF(AZ7="",0,5)+IF(BB7="",0,4))=0,"",(IF(AV7="",0,AV7*6)+IF(AX7="",0,AX7*5)+IF(AZ7="",0,AZ7*5)+IF(BB7="",0,BB7*4))/20)</f>
        <v/>
      </c>
      <c r="BE7" s="14">
        <f>IF(AND(R7="",AD7="",AL7="",AT7="",BD7=""),"",((R7*25)+(AD7*22)+(AL7*18)+(AT7*15)+(BD7*20))/100)</f>
        <v/>
      </c>
      <c r="BF7" s="11">
        <f>IF(BE7="","",IF(BE7&gt;=0.75,"A",IF(BE7&gt;=0.5,"B",IF(BE7&gt;=0.35,"C","Watchlist"))))</f>
        <v/>
      </c>
      <c r="BG7" s="11">
        <f>IF(OR(BE7="",BE7&lt;0.5,R7="",R7&lt;0.35,AD7="",AD7&lt;0.35,AL7="",AL7&lt;0.35,AT7="",AT7&lt;0.35,BD7="",BD7&lt;0.35),"Watchlist","Ranked")</f>
        <v/>
      </c>
      <c r="BH7" s="15">
        <f>IF(AND(Q7="",AC7="",AK7="",AS7="",BC7=""),"",(IF(Q7="",0,Q7*25)+IF(AC7="",0,AC7*22)+IF(AK7="",0,AK7*18)+IF(AS7="",0,AS7*15)+IF(BC7="",0,BC7*20))/(IF(Q7="",0,25)+IF(AC7="",0,22)+IF(AK7="",0,18)+IF(AS7="",0,15)+IF(BC7="",0,20)))</f>
        <v/>
      </c>
      <c r="BI7" s="11">
        <f>IF(BG7="Ranked",1+COUNTIFS($BG$2:$BG$103,"Ranked",$BH$2:$BH$103,"&gt;"&amp;BH7),"")</f>
        <v/>
      </c>
      <c r="BJ7" s="11">
        <f>City_Inputs!$AH7</f>
        <v/>
      </c>
    </row>
    <row r="8">
      <c r="A8" t="inlineStr">
        <is>
          <t>th-phuket</t>
        </is>
      </c>
      <c r="B8" t="inlineStr">
        <is>
          <t>Phuket</t>
        </is>
      </c>
      <c r="C8" t="inlineStr">
        <is>
          <t>Thailand</t>
        </is>
      </c>
      <c r="D8" t="inlineStr">
        <is>
          <t>Southeast Asia</t>
        </is>
      </c>
      <c r="E8" t="inlineStr">
        <is>
          <t>locked</t>
        </is>
      </c>
      <c r="F8" t="inlineStr">
        <is>
          <t>secondary</t>
        </is>
      </c>
      <c r="G8" s="11">
        <f>IF(OR(City_Inputs!$M8="",Norm_Stats!$F$2="",Norm_Stats!$G$2="",Norm_Stats!$G$2=Norm_Stats!$F$2),"",MAX(0,MIN(100,100*(MIN(MAX(City_Inputs!$M8,Norm_Stats!$F$2),Norm_Stats!$G$2)-Norm_Stats!$F$2)/(Norm_Stats!$G$2-Norm_Stats!$F$2))))</f>
        <v/>
      </c>
      <c r="H8" s="14">
        <f>IF(G8="","",1)</f>
        <v/>
      </c>
      <c r="I8" s="11">
        <f>IF(OR(City_Inputs!$N8="",Norm_Stats!$F$3="",Norm_Stats!$G$3="",Norm_Stats!$G$3=Norm_Stats!$F$3),"",MAX(0,MIN(100,100*(Norm_Stats!$G$3-MIN(MAX(City_Inputs!$N8,Norm_Stats!$F$3),Norm_Stats!$G$3))/(Norm_Stats!$G$3-Norm_Stats!$F$3))))</f>
        <v/>
      </c>
      <c r="J8" s="14">
        <f>IF(I8="","",1)</f>
        <v/>
      </c>
      <c r="K8" s="11">
        <f>IF(OR(City_Inputs!$P8="",Norm_Stats!$F$4="",Norm_Stats!$G$4="",Norm_Stats!$G$4=Norm_Stats!$F$4),"",MAX(0,MIN(100,100*(Norm_Stats!$G$4-MIN(MAX(City_Inputs!$P8,Norm_Stats!$F$4),Norm_Stats!$G$4))/(Norm_Stats!$G$4-Norm_Stats!$F$4))))</f>
        <v/>
      </c>
      <c r="L8" s="14">
        <f>IF(K8="","",1)</f>
        <v/>
      </c>
      <c r="M8" s="11">
        <f>IF(OR(City_Inputs!$Q8="",Norm_Stats!$F$5="",Norm_Stats!$G$5="",Norm_Stats!$G$5=Norm_Stats!$F$5),"",MAX(0,MIN(100,100*(Norm_Stats!$G$5-MIN(MAX(City_Inputs!$Q8,Norm_Stats!$F$5),Norm_Stats!$G$5))/(Norm_Stats!$G$5-Norm_Stats!$F$5))))</f>
        <v/>
      </c>
      <c r="N8" s="14">
        <f>IF(M8="","",1)</f>
        <v/>
      </c>
      <c r="O8" s="11">
        <f>IF(OR(City_Inputs!$R8="",Norm_Stats!$F$6="",Norm_Stats!$G$6="",Norm_Stats!$G$6=Norm_Stats!$F$6),"",MAX(0,MIN(100,100*(Norm_Stats!$G$6-MIN(MAX(City_Inputs!$R8,Norm_Stats!$F$6),Norm_Stats!$G$6))/(Norm_Stats!$G$6-Norm_Stats!$F$6))))</f>
        <v/>
      </c>
      <c r="P8" s="14">
        <f>IF(O8="","",1)</f>
        <v/>
      </c>
      <c r="Q8" s="15">
        <f>IF((IF(G8="",0,9)+IF(I8="",0,5)+IF(K8="",0,4)+IF(M8="",0,4)+IF(O8="",0,3))=0,"",(IF(G8="",0,G8*9)+IF(I8="",0,I8*5)+IF(K8="",0,K8*4)+IF(M8="",0,M8*4)+IF(O8="",0,O8*3))/(IF(G8="",0,9)+IF(I8="",0,5)+IF(K8="",0,4)+IF(M8="",0,4)+IF(O8="",0,3)))</f>
        <v/>
      </c>
      <c r="R8" s="14">
        <f>IF((IF(H8="",0,9)+IF(J8="",0,5)+IF(L8="",0,4)+IF(N8="",0,4)+IF(P8="",0,3))=0,"",(IF(H8="",0,H8*9)+IF(J8="",0,J8*5)+IF(L8="",0,L8*4)+IF(N8="",0,N8*4)+IF(P8="",0,P8*3))/25)</f>
        <v/>
      </c>
      <c r="S8" s="11">
        <f>IF(OR(City_Inputs!$S8="",Norm_Stats!$F$7="",Norm_Stats!$G$7="",Norm_Stats!$G$7=Norm_Stats!$F$7),"",MAX(0,MIN(100,100*(Norm_Stats!$G$7-MIN(MAX(City_Inputs!$S8,Norm_Stats!$F$7),Norm_Stats!$G$7))/(Norm_Stats!$G$7-Norm_Stats!$F$7))))</f>
        <v/>
      </c>
      <c r="T8" s="14">
        <f>IF(S8="","",1)</f>
        <v/>
      </c>
      <c r="U8" s="11">
        <f>IF(OR(City_Inputs!$T8="",Norm_Stats!$F$8="",Norm_Stats!$G$8="",Norm_Stats!$G$8=Norm_Stats!$F$8),"",MAX(0,MIN(100,100*(MIN(MAX(City_Inputs!$T8,Norm_Stats!$F$8),Norm_Stats!$G$8)-Norm_Stats!$F$8)/(Norm_Stats!$G$8-Norm_Stats!$F$8))))</f>
        <v/>
      </c>
      <c r="V8" s="14">
        <f>IF(U8="","",1)</f>
        <v/>
      </c>
      <c r="W8" s="11">
        <f>IF(OR(City_Inputs!$U8="",Norm_Stats!$F$9="",Norm_Stats!$G$9="",Norm_Stats!$G$9=Norm_Stats!$F$9),"",MAX(0,MIN(100,100*(Norm_Stats!$G$9-MIN(MAX(City_Inputs!$U8,Norm_Stats!$F$9),Norm_Stats!$G$9))/(Norm_Stats!$G$9-Norm_Stats!$F$9))))</f>
        <v/>
      </c>
      <c r="X8" s="14">
        <f>IF(W8="","",1)</f>
        <v/>
      </c>
      <c r="Y8" s="11">
        <f>IF(OR(City_Inputs!$V8="",Norm_Stats!$F$10="",Norm_Stats!$G$10="",Norm_Stats!$G$10=Norm_Stats!$F$10),"",MAX(0,MIN(100,100*(MIN(MAX(City_Inputs!$V8,Norm_Stats!$F$10),Norm_Stats!$G$10)-Norm_Stats!$F$10)/(Norm_Stats!$G$10-Norm_Stats!$F$10))))</f>
        <v/>
      </c>
      <c r="Z8" s="14">
        <f>IF(Y8="","",1)</f>
        <v/>
      </c>
      <c r="AA8" s="11">
        <f>IF(OR(City_Inputs!$W8="",Norm_Stats!$F$11="",Norm_Stats!$G$11="",Norm_Stats!$G$11=Norm_Stats!$F$11),"",MAX(0,MIN(100,100*(MIN(MAX(City_Inputs!$W8,Norm_Stats!$F$11),Norm_Stats!$G$11)-Norm_Stats!$F$11)/(Norm_Stats!$G$11-Norm_Stats!$F$11))))</f>
        <v/>
      </c>
      <c r="AB8" s="14">
        <f>IF(AA8="","",1)</f>
        <v/>
      </c>
      <c r="AC8" s="15">
        <f>IF((IF(S8="",0,5)+IF(U8="",0,5)+IF(W8="",0,4)+IF(Y8="",0,4)+IF(AA8="",0,4))=0,"",(IF(S8="",0,S8*5)+IF(U8="",0,U8*5)+IF(W8="",0,W8*4)+IF(Y8="",0,Y8*4)+IF(AA8="",0,AA8*4))/(IF(S8="",0,5)+IF(U8="",0,5)+IF(W8="",0,4)+IF(Y8="",0,4)+IF(AA8="",0,4)))</f>
        <v/>
      </c>
      <c r="AD8" s="14">
        <f>IF((IF(T8="",0,5)+IF(V8="",0,5)+IF(X8="",0,4)+IF(Z8="",0,4)+IF(AB8="",0,4))=0,"",(IF(T8="",0,T8*5)+IF(V8="",0,V8*5)+IF(X8="",0,X8*4)+IF(Z8="",0,Z8*4)+IF(AB8="",0,AB8*4))/22)</f>
        <v/>
      </c>
      <c r="AE8" s="11">
        <f>IF(OR(City_Inputs!$X8="",Norm_Stats!$F$12="",Norm_Stats!$G$12="",Norm_Stats!$G$12=Norm_Stats!$F$12),"",MAX(0,MIN(100,100*(MIN(MAX(City_Inputs!$X8,Norm_Stats!$F$12),Norm_Stats!$G$12)-Norm_Stats!$F$12)/(Norm_Stats!$G$12-Norm_Stats!$F$12))))</f>
        <v/>
      </c>
      <c r="AF8" s="14">
        <f>IF(AE8="","",1)</f>
        <v/>
      </c>
      <c r="AG8" s="11">
        <f>IF(OR(City_Inputs!$Y8="",Norm_Stats!$F$13="",Norm_Stats!$G$13="",Norm_Stats!$G$13=Norm_Stats!$F$13),"",MAX(0,MIN(100,100*(MIN(MAX(City_Inputs!$Y8,Norm_Stats!$F$13),Norm_Stats!$G$13)-Norm_Stats!$F$13)/(Norm_Stats!$G$13-Norm_Stats!$F$13))))</f>
        <v/>
      </c>
      <c r="AH8" s="14">
        <f>IF(AG8="","",1)</f>
        <v/>
      </c>
      <c r="AI8" s="11">
        <f>IF((IF((IF(OR(City_Inputs!$Z8="",Norm_Stats!$F$14="",Norm_Stats!$G$14="",Norm_Stats!$G$14=Norm_Stats!$F$14),"",MAX(0,MIN(100,100*(MIN(MAX(City_Inputs!$Z8,Norm_Stats!$F$14),Norm_Stats!$G$14)-Norm_Stats!$F$14)/(Norm_Stats!$G$14-Norm_Stats!$F$14)))))="",0,0.7)+IF((IF(OR(City_Inputs!$AK8="",Norm_Stats!$F$15="",Norm_Stats!$G$15="",Norm_Stats!$G$15=Norm_Stats!$F$15),"",MAX(0,MIN(100,100*(Norm_Stats!$G$15-MIN(MAX(City_Inputs!$AK8,Norm_Stats!$F$15),Norm_Stats!$G$15))/(Norm_Stats!$G$15-Norm_Stats!$F$15)))))="",0,0.3))=0,"",(IF((IF(OR(City_Inputs!$Z8="",Norm_Stats!$F$14="",Norm_Stats!$G$14="",Norm_Stats!$G$14=Norm_Stats!$F$14),"",MAX(0,MIN(100,100*(MIN(MAX(City_Inputs!$Z8,Norm_Stats!$F$14),Norm_Stats!$G$14)-Norm_Stats!$F$14)/(Norm_Stats!$G$14-Norm_Stats!$F$14)))))="",0,(IF(OR(City_Inputs!$Z8="",Norm_Stats!$F$14="",Norm_Stats!$G$14="",Norm_Stats!$G$14=Norm_Stats!$F$14),"",MAX(0,MIN(100,100*(MIN(MAX(City_Inputs!$Z8,Norm_Stats!$F$14),Norm_Stats!$G$14)-Norm_Stats!$F$14)/(Norm_Stats!$G$14-Norm_Stats!$F$14)))))*0.7)+IF((IF(OR(City_Inputs!$AK8="",Norm_Stats!$F$15="",Norm_Stats!$G$15="",Norm_Stats!$G$15=Norm_Stats!$F$15),"",MAX(0,MIN(100,100*(Norm_Stats!$G$15-MIN(MAX(City_Inputs!$AK8,Norm_Stats!$F$15),Norm_Stats!$G$15))/(Norm_Stats!$G$15-Norm_Stats!$F$15)))))="",0,(IF(OR(City_Inputs!$AK8="",Norm_Stats!$F$15="",Norm_Stats!$G$15="",Norm_Stats!$G$15=Norm_Stats!$F$15),"",MAX(0,MIN(100,100*(Norm_Stats!$G$15-MIN(MAX(City_Inputs!$AK8,Norm_Stats!$F$15),Norm_Stats!$G$15))/(Norm_Stats!$G$15-Norm_Stats!$F$15)))))*0.3))/(IF((IF(OR(City_Inputs!$Z8="",Norm_Stats!$F$14="",Norm_Stats!$G$14="",Norm_Stats!$G$14=Norm_Stats!$F$14),"",MAX(0,MIN(100,100*(MIN(MAX(City_Inputs!$Z8,Norm_Stats!$F$14),Norm_Stats!$G$14)-Norm_Stats!$F$14)/(Norm_Stats!$G$14-Norm_Stats!$F$14)))))="",0,0.7)+IF((IF(OR(City_Inputs!$AK8="",Norm_Stats!$F$15="",Norm_Stats!$G$15="",Norm_Stats!$G$15=Norm_Stats!$F$15),"",MAX(0,MIN(100,100*(Norm_Stats!$G$15-MIN(MAX(City_Inputs!$AK8,Norm_Stats!$F$15),Norm_Stats!$G$15))/(Norm_Stats!$G$15-Norm_Stats!$F$15)))))="",0,0.3)))</f>
        <v/>
      </c>
      <c r="AJ8" s="14">
        <f>IF((IF((IF(OR(City_Inputs!$Z8="",Norm_Stats!$F$14="",Norm_Stats!$G$14="",Norm_Stats!$G$14=Norm_Stats!$F$14),"",MAX(0,MIN(100,100*(MIN(MAX(City_Inputs!$Z8,Norm_Stats!$F$14),Norm_Stats!$G$14)-Norm_Stats!$F$14)/(Norm_Stats!$G$14-Norm_Stats!$F$14)))))="",0,0.7)+IF((IF(OR(City_Inputs!$AK8="",Norm_Stats!$F$15="",Norm_Stats!$G$15="",Norm_Stats!$G$15=Norm_Stats!$F$15),"",MAX(0,MIN(100,100*(Norm_Stats!$G$15-MIN(MAX(City_Inputs!$AK8,Norm_Stats!$F$15),Norm_Stats!$G$15))/(Norm_Stats!$G$15-Norm_Stats!$F$15)))))="",0,0.3))=0,"",(IF((IF(OR(City_Inputs!$Z8="",Norm_Stats!$F$14="",Norm_Stats!$G$14="",Norm_Stats!$G$14=Norm_Stats!$F$14),"",MAX(0,MIN(100,100*(MIN(MAX(City_Inputs!$Z8,Norm_Stats!$F$14),Norm_Stats!$G$14)-Norm_Stats!$F$14)/(Norm_Stats!$G$14-Norm_Stats!$F$14)))))="",0,0.7)+IF((IF(OR(City_Inputs!$AK8="",Norm_Stats!$F$15="",Norm_Stats!$G$15="",Norm_Stats!$G$15=Norm_Stats!$F$15),"",MAX(0,MIN(100,100*(Norm_Stats!$G$15-MIN(MAX(City_Inputs!$AK8,Norm_Stats!$F$15),Norm_Stats!$G$15))/(Norm_Stats!$G$15-Norm_Stats!$F$15)))))="",0,0.3)))</f>
        <v/>
      </c>
      <c r="AK8" s="15">
        <f>IF((IF(AE8="",0,8)+IF(AG8="",0,6)+IF(AI8="",0,4))=0,"",(IF(AE8="",0,AE8*8)+IF(AG8="",0,AG8*6)+IF(AI8="",0,AI8*4))/(IF(AE8="",0,8)+IF(AG8="",0,6)+IF(AI8="",0,4)))</f>
        <v/>
      </c>
      <c r="AL8" s="14">
        <f>IF((IF(AF8="",0,8)+IF(AH8="",0,6)+IF(AJ8="",0,4))=0,"",(IF(AF8="",0,AF8*8)+IF(AH8="",0,AH8*6)+IF(AJ8="",0,AJ8*4))/18)</f>
        <v/>
      </c>
      <c r="AM8" s="11">
        <f>IF(OR(City_Inputs!$AA8="",Norm_Stats!$F$16="",Norm_Stats!$G$16="",Norm_Stats!$G$16=Norm_Stats!$F$16),"",MAX(0,MIN(100,100*(MIN(MAX(City_Inputs!$AA8,Norm_Stats!$F$16),Norm_Stats!$G$16)-Norm_Stats!$F$16)/(Norm_Stats!$G$16-Norm_Stats!$F$16))))</f>
        <v/>
      </c>
      <c r="AN8" s="14">
        <f>IF(AM8="","",1)</f>
        <v/>
      </c>
      <c r="AO8" s="11">
        <f>IF(OR(City_Inputs!$AB8="",Norm_Stats!$F$17="",Norm_Stats!$G$17="",Norm_Stats!$G$17=Norm_Stats!$F$17),"",MAX(0,MIN(100,100*(MIN(MAX(City_Inputs!$AB8,Norm_Stats!$F$17),Norm_Stats!$G$17)-Norm_Stats!$F$17)/(Norm_Stats!$G$17-Norm_Stats!$F$17))))</f>
        <v/>
      </c>
      <c r="AP8" s="14">
        <f>IF(AO8="","",1)</f>
        <v/>
      </c>
      <c r="AQ8" s="11">
        <f>IF(OR(City_Inputs!$AC8="",Norm_Stats!$F$18="",Norm_Stats!$G$18="",Norm_Stats!$G$18=Norm_Stats!$F$18),"",MAX(0,MIN(100,100*(MIN(MAX(City_Inputs!$AC8,Norm_Stats!$F$18),Norm_Stats!$G$18)-Norm_Stats!$F$18)/(Norm_Stats!$G$18-Norm_Stats!$F$18))))</f>
        <v/>
      </c>
      <c r="AR8" s="14">
        <f>IF(AQ8="","",1)</f>
        <v/>
      </c>
      <c r="AS8" s="15">
        <f>IF((IF(AM8="",0,5)+IF(AO8="",0,5)+IF(AQ8="",0,5))=0,"",(IF(AM8="",0,AM8*5)+IF(AO8="",0,AO8*5)+IF(AQ8="",0,AQ8*5))/(IF(AM8="",0,5)+IF(AO8="",0,5)+IF(AQ8="",0,5)))</f>
        <v/>
      </c>
      <c r="AT8" s="14">
        <f>IF((IF(AN8="",0,5)+IF(AP8="",0,5)+IF(AR8="",0,5))=0,"",(IF(AN8="",0,AN8*5)+IF(AP8="",0,AP8*5)+IF(AR8="",0,AR8*5))/15)</f>
        <v/>
      </c>
      <c r="AU8" s="11">
        <f>IF(OR(City_Inputs!$AD8="",Norm_Stats!$F$19="",Norm_Stats!$G$19="",Norm_Stats!$G$19=Norm_Stats!$F$19),"",MAX(0,MIN(100,100*(MIN(MAX(City_Inputs!$AD8,Norm_Stats!$F$19),Norm_Stats!$G$19)-Norm_Stats!$F$19)/(Norm_Stats!$G$19-Norm_Stats!$F$19))))</f>
        <v/>
      </c>
      <c r="AV8" s="14">
        <f>IF(AU8="","",1)</f>
        <v/>
      </c>
      <c r="AW8" s="11">
        <f>IF(OR(City_Inputs!$AE8="",Norm_Stats!$F$20="",Norm_Stats!$G$20="",Norm_Stats!$G$20=Norm_Stats!$F$20),"",MAX(0,MIN(100,100*(MIN(MAX(City_Inputs!$AE8,Norm_Stats!$F$20),Norm_Stats!$G$20)-Norm_Stats!$F$20)/(Norm_Stats!$G$20-Norm_Stats!$F$20))))</f>
        <v/>
      </c>
      <c r="AX8" s="14">
        <f>IF(AW8="","",1)</f>
        <v/>
      </c>
      <c r="AY8" s="11">
        <f>IF((IF((IF(OR(City_Inputs!$AF8="",Norm_Stats!$F$21="",Norm_Stats!$G$21="",Norm_Stats!$G$21=Norm_Stats!$F$21),"",MAX(0,MIN(100,100*(MIN(MAX(City_Inputs!$AF8,Norm_Stats!$F$21),Norm_Stats!$G$21)-Norm_Stats!$F$21)/(Norm_Stats!$G$21-Norm_Stats!$F$21)))))="",0,0.5)+IF((IF(OR(City_Inputs!$AI8="",Norm_Stats!$F$22="",Norm_Stats!$G$22="",Norm_Stats!$G$22=Norm_Stats!$F$22),"",MAX(0,MIN(100,100*(MIN(MAX(City_Inputs!$AI8,Norm_Stats!$F$22),Norm_Stats!$G$22)-Norm_Stats!$F$22)/(Norm_Stats!$G$22-Norm_Stats!$F$22)))))="",0,0.3)+IF((IF(OR(City_Inputs!$AJ8="",Norm_Stats!$F$23="",Norm_Stats!$G$23="",Norm_Stats!$G$23=Norm_Stats!$F$23),"",MAX(0,MIN(100,100*(MIN(MAX(City_Inputs!$AJ8,Norm_Stats!$F$23),Norm_Stats!$G$23)-Norm_Stats!$F$23)/(Norm_Stats!$G$23-Norm_Stats!$F$23)))))="",0,0.2))=0,"",(IF((IF(OR(City_Inputs!$AF8="",Norm_Stats!$F$21="",Norm_Stats!$G$21="",Norm_Stats!$G$21=Norm_Stats!$F$21),"",MAX(0,MIN(100,100*(MIN(MAX(City_Inputs!$AF8,Norm_Stats!$F$21),Norm_Stats!$G$21)-Norm_Stats!$F$21)/(Norm_Stats!$G$21-Norm_Stats!$F$21)))))="",0,(IF(OR(City_Inputs!$AF8="",Norm_Stats!$F$21="",Norm_Stats!$G$21="",Norm_Stats!$G$21=Norm_Stats!$F$21),"",MAX(0,MIN(100,100*(MIN(MAX(City_Inputs!$AF8,Norm_Stats!$F$21),Norm_Stats!$G$21)-Norm_Stats!$F$21)/(Norm_Stats!$G$21-Norm_Stats!$F$21)))))*0.5)+IF((IF(OR(City_Inputs!$AI8="",Norm_Stats!$F$22="",Norm_Stats!$G$22="",Norm_Stats!$G$22=Norm_Stats!$F$22),"",MAX(0,MIN(100,100*(MIN(MAX(City_Inputs!$AI8,Norm_Stats!$F$22),Norm_Stats!$G$22)-Norm_Stats!$F$22)/(Norm_Stats!$G$22-Norm_Stats!$F$22)))))="",0,(IF(OR(City_Inputs!$AI8="",Norm_Stats!$F$22="",Norm_Stats!$G$22="",Norm_Stats!$G$22=Norm_Stats!$F$22),"",MAX(0,MIN(100,100*(MIN(MAX(City_Inputs!$AI8,Norm_Stats!$F$22),Norm_Stats!$G$22)-Norm_Stats!$F$22)/(Norm_Stats!$G$22-Norm_Stats!$F$22)))))*0.3)+IF((IF(OR(City_Inputs!$AJ8="",Norm_Stats!$F$23="",Norm_Stats!$G$23="",Norm_Stats!$G$23=Norm_Stats!$F$23),"",MAX(0,MIN(100,100*(MIN(MAX(City_Inputs!$AJ8,Norm_Stats!$F$23),Norm_Stats!$G$23)-Norm_Stats!$F$23)/(Norm_Stats!$G$23-Norm_Stats!$F$23)))))="",0,(IF(OR(City_Inputs!$AJ8="",Norm_Stats!$F$23="",Norm_Stats!$G$23="",Norm_Stats!$G$23=Norm_Stats!$F$23),"",MAX(0,MIN(100,100*(MIN(MAX(City_Inputs!$AJ8,Norm_Stats!$F$23),Norm_Stats!$G$23)-Norm_Stats!$F$23)/(Norm_Stats!$G$23-Norm_Stats!$F$23)))))*0.2))/(IF((IF(OR(City_Inputs!$AF8="",Norm_Stats!$F$21="",Norm_Stats!$G$21="",Norm_Stats!$G$21=Norm_Stats!$F$21),"",MAX(0,MIN(100,100*(MIN(MAX(City_Inputs!$AF8,Norm_Stats!$F$21),Norm_Stats!$G$21)-Norm_Stats!$F$21)/(Norm_Stats!$G$21-Norm_Stats!$F$21)))))="",0,0.5)+IF((IF(OR(City_Inputs!$AI8="",Norm_Stats!$F$22="",Norm_Stats!$G$22="",Norm_Stats!$G$22=Norm_Stats!$F$22),"",MAX(0,MIN(100,100*(MIN(MAX(City_Inputs!$AI8,Norm_Stats!$F$22),Norm_Stats!$G$22)-Norm_Stats!$F$22)/(Norm_Stats!$G$22-Norm_Stats!$F$22)))))="",0,0.3)+IF((IF(OR(City_Inputs!$AJ8="",Norm_Stats!$F$23="",Norm_Stats!$G$23="",Norm_Stats!$G$23=Norm_Stats!$F$23),"",MAX(0,MIN(100,100*(MIN(MAX(City_Inputs!$AJ8,Norm_Stats!$F$23),Norm_Stats!$G$23)-Norm_Stats!$F$23)/(Norm_Stats!$G$23-Norm_Stats!$F$23)))))="",0,0.2)))</f>
        <v/>
      </c>
      <c r="AZ8" s="14">
        <f>IF((IF((IF(OR(City_Inputs!$AF8="",Norm_Stats!$F$21="",Norm_Stats!$G$21="",Norm_Stats!$G$21=Norm_Stats!$F$21),"",MAX(0,MIN(100,100*(MIN(MAX(City_Inputs!$AF8,Norm_Stats!$F$21),Norm_Stats!$G$21)-Norm_Stats!$F$21)/(Norm_Stats!$G$21-Norm_Stats!$F$21)))))="",0,0.5)+IF((IF(OR(City_Inputs!$AI8="",Norm_Stats!$F$22="",Norm_Stats!$G$22="",Norm_Stats!$G$22=Norm_Stats!$F$22),"",MAX(0,MIN(100,100*(MIN(MAX(City_Inputs!$AI8,Norm_Stats!$F$22),Norm_Stats!$G$22)-Norm_Stats!$F$22)/(Norm_Stats!$G$22-Norm_Stats!$F$22)))))="",0,0.3)+IF((IF(OR(City_Inputs!$AJ8="",Norm_Stats!$F$23="",Norm_Stats!$G$23="",Norm_Stats!$G$23=Norm_Stats!$F$23),"",MAX(0,MIN(100,100*(MIN(MAX(City_Inputs!$AJ8,Norm_Stats!$F$23),Norm_Stats!$G$23)-Norm_Stats!$F$23)/(Norm_Stats!$G$23-Norm_Stats!$F$23)))))="",0,0.2))=0,"",(IF((IF(OR(City_Inputs!$AF8="",Norm_Stats!$F$21="",Norm_Stats!$G$21="",Norm_Stats!$G$21=Norm_Stats!$F$21),"",MAX(0,MIN(100,100*(MIN(MAX(City_Inputs!$AF8,Norm_Stats!$F$21),Norm_Stats!$G$21)-Norm_Stats!$F$21)/(Norm_Stats!$G$21-Norm_Stats!$F$21)))))="",0,0.5)+IF((IF(OR(City_Inputs!$AI8="",Norm_Stats!$F$22="",Norm_Stats!$G$22="",Norm_Stats!$G$22=Norm_Stats!$F$22),"",MAX(0,MIN(100,100*(MIN(MAX(City_Inputs!$AI8,Norm_Stats!$F$22),Norm_Stats!$G$22)-Norm_Stats!$F$22)/(Norm_Stats!$G$22-Norm_Stats!$F$22)))))="",0,0.3)+IF((IF(OR(City_Inputs!$AJ8="",Norm_Stats!$F$23="",Norm_Stats!$G$23="",Norm_Stats!$G$23=Norm_Stats!$F$23),"",MAX(0,MIN(100,100*(MIN(MAX(City_Inputs!$AJ8,Norm_Stats!$F$23),Norm_Stats!$G$23)-Norm_Stats!$F$23)/(Norm_Stats!$G$23-Norm_Stats!$F$23)))))="",0,0.2)))</f>
        <v/>
      </c>
      <c r="BA8" s="11">
        <f>IF(OR(City_Inputs!$AG8="",Norm_Stats!$F$24="",Norm_Stats!$G$24="",Norm_Stats!$G$24=Norm_Stats!$F$24),"",MAX(0,MIN(100,100*(Norm_Stats!$G$24-MIN(MAX(City_Inputs!$AG8,Norm_Stats!$F$24),Norm_Stats!$G$24))/(Norm_Stats!$G$24-Norm_Stats!$F$24))))</f>
        <v/>
      </c>
      <c r="BB8" s="14">
        <f>IF(BA8="","",1)</f>
        <v/>
      </c>
      <c r="BC8" s="15">
        <f>IF((IF(AU8="",0,6)+IF(AW8="",0,5)+IF(AY8="",0,5)+IF(BA8="",0,4))=0,"",(IF(AU8="",0,AU8*6)+IF(AW8="",0,AW8*5)+IF(AY8="",0,AY8*5)+IF(BA8="",0,BA8*4))/(IF(AU8="",0,6)+IF(AW8="",0,5)+IF(AY8="",0,5)+IF(BA8="",0,4)))</f>
        <v/>
      </c>
      <c r="BD8" s="14">
        <f>IF((IF(AV8="",0,6)+IF(AX8="",0,5)+IF(AZ8="",0,5)+IF(BB8="",0,4))=0,"",(IF(AV8="",0,AV8*6)+IF(AX8="",0,AX8*5)+IF(AZ8="",0,AZ8*5)+IF(BB8="",0,BB8*4))/20)</f>
        <v/>
      </c>
      <c r="BE8" s="14">
        <f>IF(AND(R8="",AD8="",AL8="",AT8="",BD8=""),"",((R8*25)+(AD8*22)+(AL8*18)+(AT8*15)+(BD8*20))/100)</f>
        <v/>
      </c>
      <c r="BF8" s="11">
        <f>IF(BE8="","",IF(BE8&gt;=0.75,"A",IF(BE8&gt;=0.5,"B",IF(BE8&gt;=0.35,"C","Watchlist"))))</f>
        <v/>
      </c>
      <c r="BG8" s="11">
        <f>IF(OR(BE8="",BE8&lt;0.5,R8="",R8&lt;0.35,AD8="",AD8&lt;0.35,AL8="",AL8&lt;0.35,AT8="",AT8&lt;0.35,BD8="",BD8&lt;0.35),"Watchlist","Ranked")</f>
        <v/>
      </c>
      <c r="BH8" s="15">
        <f>IF(AND(Q8="",AC8="",AK8="",AS8="",BC8=""),"",(IF(Q8="",0,Q8*25)+IF(AC8="",0,AC8*22)+IF(AK8="",0,AK8*18)+IF(AS8="",0,AS8*15)+IF(BC8="",0,BC8*20))/(IF(Q8="",0,25)+IF(AC8="",0,22)+IF(AK8="",0,18)+IF(AS8="",0,15)+IF(BC8="",0,20)))</f>
        <v/>
      </c>
      <c r="BI8" s="11">
        <f>IF(BG8="Ranked",1+COUNTIFS($BG$2:$BG$103,"Ranked",$BH$2:$BH$103,"&gt;"&amp;BH8),"")</f>
        <v/>
      </c>
      <c r="BJ8" s="11">
        <f>City_Inputs!$AH8</f>
        <v/>
      </c>
    </row>
    <row r="9">
      <c r="A9" t="inlineStr">
        <is>
          <t>th-chiang-mai</t>
        </is>
      </c>
      <c r="B9" t="inlineStr">
        <is>
          <t>Chiang Mai</t>
        </is>
      </c>
      <c r="C9" t="inlineStr">
        <is>
          <t>Thailand</t>
        </is>
      </c>
      <c r="D9" t="inlineStr">
        <is>
          <t>Southeast Asia</t>
        </is>
      </c>
      <c r="E9" t="inlineStr">
        <is>
          <t>locked</t>
        </is>
      </c>
      <c r="F9" t="inlineStr">
        <is>
          <t>secondary</t>
        </is>
      </c>
      <c r="G9" s="11">
        <f>IF(OR(City_Inputs!$M9="",Norm_Stats!$F$2="",Norm_Stats!$G$2="",Norm_Stats!$G$2=Norm_Stats!$F$2),"",MAX(0,MIN(100,100*(MIN(MAX(City_Inputs!$M9,Norm_Stats!$F$2),Norm_Stats!$G$2)-Norm_Stats!$F$2)/(Norm_Stats!$G$2-Norm_Stats!$F$2))))</f>
        <v/>
      </c>
      <c r="H9" s="14">
        <f>IF(G9="","",1)</f>
        <v/>
      </c>
      <c r="I9" s="11">
        <f>IF(OR(City_Inputs!$N9="",Norm_Stats!$F$3="",Norm_Stats!$G$3="",Norm_Stats!$G$3=Norm_Stats!$F$3),"",MAX(0,MIN(100,100*(Norm_Stats!$G$3-MIN(MAX(City_Inputs!$N9,Norm_Stats!$F$3),Norm_Stats!$G$3))/(Norm_Stats!$G$3-Norm_Stats!$F$3))))</f>
        <v/>
      </c>
      <c r="J9" s="14">
        <f>IF(I9="","",1)</f>
        <v/>
      </c>
      <c r="K9" s="11">
        <f>IF(OR(City_Inputs!$P9="",Norm_Stats!$F$4="",Norm_Stats!$G$4="",Norm_Stats!$G$4=Norm_Stats!$F$4),"",MAX(0,MIN(100,100*(Norm_Stats!$G$4-MIN(MAX(City_Inputs!$P9,Norm_Stats!$F$4),Norm_Stats!$G$4))/(Norm_Stats!$G$4-Norm_Stats!$F$4))))</f>
        <v/>
      </c>
      <c r="L9" s="14">
        <f>IF(K9="","",1)</f>
        <v/>
      </c>
      <c r="M9" s="11">
        <f>IF(OR(City_Inputs!$Q9="",Norm_Stats!$F$5="",Norm_Stats!$G$5="",Norm_Stats!$G$5=Norm_Stats!$F$5),"",MAX(0,MIN(100,100*(Norm_Stats!$G$5-MIN(MAX(City_Inputs!$Q9,Norm_Stats!$F$5),Norm_Stats!$G$5))/(Norm_Stats!$G$5-Norm_Stats!$F$5))))</f>
        <v/>
      </c>
      <c r="N9" s="14">
        <f>IF(M9="","",1)</f>
        <v/>
      </c>
      <c r="O9" s="11">
        <f>IF(OR(City_Inputs!$R9="",Norm_Stats!$F$6="",Norm_Stats!$G$6="",Norm_Stats!$G$6=Norm_Stats!$F$6),"",MAX(0,MIN(100,100*(Norm_Stats!$G$6-MIN(MAX(City_Inputs!$R9,Norm_Stats!$F$6),Norm_Stats!$G$6))/(Norm_Stats!$G$6-Norm_Stats!$F$6))))</f>
        <v/>
      </c>
      <c r="P9" s="14">
        <f>IF(O9="","",1)</f>
        <v/>
      </c>
      <c r="Q9" s="15">
        <f>IF((IF(G9="",0,9)+IF(I9="",0,5)+IF(K9="",0,4)+IF(M9="",0,4)+IF(O9="",0,3))=0,"",(IF(G9="",0,G9*9)+IF(I9="",0,I9*5)+IF(K9="",0,K9*4)+IF(M9="",0,M9*4)+IF(O9="",0,O9*3))/(IF(G9="",0,9)+IF(I9="",0,5)+IF(K9="",0,4)+IF(M9="",0,4)+IF(O9="",0,3)))</f>
        <v/>
      </c>
      <c r="R9" s="14">
        <f>IF((IF(H9="",0,9)+IF(J9="",0,5)+IF(L9="",0,4)+IF(N9="",0,4)+IF(P9="",0,3))=0,"",(IF(H9="",0,H9*9)+IF(J9="",0,J9*5)+IF(L9="",0,L9*4)+IF(N9="",0,N9*4)+IF(P9="",0,P9*3))/25)</f>
        <v/>
      </c>
      <c r="S9" s="11">
        <f>IF(OR(City_Inputs!$S9="",Norm_Stats!$F$7="",Norm_Stats!$G$7="",Norm_Stats!$G$7=Norm_Stats!$F$7),"",MAX(0,MIN(100,100*(Norm_Stats!$G$7-MIN(MAX(City_Inputs!$S9,Norm_Stats!$F$7),Norm_Stats!$G$7))/(Norm_Stats!$G$7-Norm_Stats!$F$7))))</f>
        <v/>
      </c>
      <c r="T9" s="14">
        <f>IF(S9="","",1)</f>
        <v/>
      </c>
      <c r="U9" s="11">
        <f>IF(OR(City_Inputs!$T9="",Norm_Stats!$F$8="",Norm_Stats!$G$8="",Norm_Stats!$G$8=Norm_Stats!$F$8),"",MAX(0,MIN(100,100*(MIN(MAX(City_Inputs!$T9,Norm_Stats!$F$8),Norm_Stats!$G$8)-Norm_Stats!$F$8)/(Norm_Stats!$G$8-Norm_Stats!$F$8))))</f>
        <v/>
      </c>
      <c r="V9" s="14">
        <f>IF(U9="","",1)</f>
        <v/>
      </c>
      <c r="W9" s="11">
        <f>IF(OR(City_Inputs!$U9="",Norm_Stats!$F$9="",Norm_Stats!$G$9="",Norm_Stats!$G$9=Norm_Stats!$F$9),"",MAX(0,MIN(100,100*(Norm_Stats!$G$9-MIN(MAX(City_Inputs!$U9,Norm_Stats!$F$9),Norm_Stats!$G$9))/(Norm_Stats!$G$9-Norm_Stats!$F$9))))</f>
        <v/>
      </c>
      <c r="X9" s="14">
        <f>IF(W9="","",1)</f>
        <v/>
      </c>
      <c r="Y9" s="11">
        <f>IF(OR(City_Inputs!$V9="",Norm_Stats!$F$10="",Norm_Stats!$G$10="",Norm_Stats!$G$10=Norm_Stats!$F$10),"",MAX(0,MIN(100,100*(MIN(MAX(City_Inputs!$V9,Norm_Stats!$F$10),Norm_Stats!$G$10)-Norm_Stats!$F$10)/(Norm_Stats!$G$10-Norm_Stats!$F$10))))</f>
        <v/>
      </c>
      <c r="Z9" s="14">
        <f>IF(Y9="","",1)</f>
        <v/>
      </c>
      <c r="AA9" s="11">
        <f>IF(OR(City_Inputs!$W9="",Norm_Stats!$F$11="",Norm_Stats!$G$11="",Norm_Stats!$G$11=Norm_Stats!$F$11),"",MAX(0,MIN(100,100*(MIN(MAX(City_Inputs!$W9,Norm_Stats!$F$11),Norm_Stats!$G$11)-Norm_Stats!$F$11)/(Norm_Stats!$G$11-Norm_Stats!$F$11))))</f>
        <v/>
      </c>
      <c r="AB9" s="14">
        <f>IF(AA9="","",1)</f>
        <v/>
      </c>
      <c r="AC9" s="15">
        <f>IF((IF(S9="",0,5)+IF(U9="",0,5)+IF(W9="",0,4)+IF(Y9="",0,4)+IF(AA9="",0,4))=0,"",(IF(S9="",0,S9*5)+IF(U9="",0,U9*5)+IF(W9="",0,W9*4)+IF(Y9="",0,Y9*4)+IF(AA9="",0,AA9*4))/(IF(S9="",0,5)+IF(U9="",0,5)+IF(W9="",0,4)+IF(Y9="",0,4)+IF(AA9="",0,4)))</f>
        <v/>
      </c>
      <c r="AD9" s="14">
        <f>IF((IF(T9="",0,5)+IF(V9="",0,5)+IF(X9="",0,4)+IF(Z9="",0,4)+IF(AB9="",0,4))=0,"",(IF(T9="",0,T9*5)+IF(V9="",0,V9*5)+IF(X9="",0,X9*4)+IF(Z9="",0,Z9*4)+IF(AB9="",0,AB9*4))/22)</f>
        <v/>
      </c>
      <c r="AE9" s="11">
        <f>IF(OR(City_Inputs!$X9="",Norm_Stats!$F$12="",Norm_Stats!$G$12="",Norm_Stats!$G$12=Norm_Stats!$F$12),"",MAX(0,MIN(100,100*(MIN(MAX(City_Inputs!$X9,Norm_Stats!$F$12),Norm_Stats!$G$12)-Norm_Stats!$F$12)/(Norm_Stats!$G$12-Norm_Stats!$F$12))))</f>
        <v/>
      </c>
      <c r="AF9" s="14">
        <f>IF(AE9="","",1)</f>
        <v/>
      </c>
      <c r="AG9" s="11">
        <f>IF(OR(City_Inputs!$Y9="",Norm_Stats!$F$13="",Norm_Stats!$G$13="",Norm_Stats!$G$13=Norm_Stats!$F$13),"",MAX(0,MIN(100,100*(MIN(MAX(City_Inputs!$Y9,Norm_Stats!$F$13),Norm_Stats!$G$13)-Norm_Stats!$F$13)/(Norm_Stats!$G$13-Norm_Stats!$F$13))))</f>
        <v/>
      </c>
      <c r="AH9" s="14">
        <f>IF(AG9="","",1)</f>
        <v/>
      </c>
      <c r="AI9" s="11">
        <f>IF((IF((IF(OR(City_Inputs!$Z9="",Norm_Stats!$F$14="",Norm_Stats!$G$14="",Norm_Stats!$G$14=Norm_Stats!$F$14),"",MAX(0,MIN(100,100*(MIN(MAX(City_Inputs!$Z9,Norm_Stats!$F$14),Norm_Stats!$G$14)-Norm_Stats!$F$14)/(Norm_Stats!$G$14-Norm_Stats!$F$14)))))="",0,0.7)+IF((IF(OR(City_Inputs!$AK9="",Norm_Stats!$F$15="",Norm_Stats!$G$15="",Norm_Stats!$G$15=Norm_Stats!$F$15),"",MAX(0,MIN(100,100*(Norm_Stats!$G$15-MIN(MAX(City_Inputs!$AK9,Norm_Stats!$F$15),Norm_Stats!$G$15))/(Norm_Stats!$G$15-Norm_Stats!$F$15)))))="",0,0.3))=0,"",(IF((IF(OR(City_Inputs!$Z9="",Norm_Stats!$F$14="",Norm_Stats!$G$14="",Norm_Stats!$G$14=Norm_Stats!$F$14),"",MAX(0,MIN(100,100*(MIN(MAX(City_Inputs!$Z9,Norm_Stats!$F$14),Norm_Stats!$G$14)-Norm_Stats!$F$14)/(Norm_Stats!$G$14-Norm_Stats!$F$14)))))="",0,(IF(OR(City_Inputs!$Z9="",Norm_Stats!$F$14="",Norm_Stats!$G$14="",Norm_Stats!$G$14=Norm_Stats!$F$14),"",MAX(0,MIN(100,100*(MIN(MAX(City_Inputs!$Z9,Norm_Stats!$F$14),Norm_Stats!$G$14)-Norm_Stats!$F$14)/(Norm_Stats!$G$14-Norm_Stats!$F$14)))))*0.7)+IF((IF(OR(City_Inputs!$AK9="",Norm_Stats!$F$15="",Norm_Stats!$G$15="",Norm_Stats!$G$15=Norm_Stats!$F$15),"",MAX(0,MIN(100,100*(Norm_Stats!$G$15-MIN(MAX(City_Inputs!$AK9,Norm_Stats!$F$15),Norm_Stats!$G$15))/(Norm_Stats!$G$15-Norm_Stats!$F$15)))))="",0,(IF(OR(City_Inputs!$AK9="",Norm_Stats!$F$15="",Norm_Stats!$G$15="",Norm_Stats!$G$15=Norm_Stats!$F$15),"",MAX(0,MIN(100,100*(Norm_Stats!$G$15-MIN(MAX(City_Inputs!$AK9,Norm_Stats!$F$15),Norm_Stats!$G$15))/(Norm_Stats!$G$15-Norm_Stats!$F$15)))))*0.3))/(IF((IF(OR(City_Inputs!$Z9="",Norm_Stats!$F$14="",Norm_Stats!$G$14="",Norm_Stats!$G$14=Norm_Stats!$F$14),"",MAX(0,MIN(100,100*(MIN(MAX(City_Inputs!$Z9,Norm_Stats!$F$14),Norm_Stats!$G$14)-Norm_Stats!$F$14)/(Norm_Stats!$G$14-Norm_Stats!$F$14)))))="",0,0.7)+IF((IF(OR(City_Inputs!$AK9="",Norm_Stats!$F$15="",Norm_Stats!$G$15="",Norm_Stats!$G$15=Norm_Stats!$F$15),"",MAX(0,MIN(100,100*(Norm_Stats!$G$15-MIN(MAX(City_Inputs!$AK9,Norm_Stats!$F$15),Norm_Stats!$G$15))/(Norm_Stats!$G$15-Norm_Stats!$F$15)))))="",0,0.3)))</f>
        <v/>
      </c>
      <c r="AJ9" s="14">
        <f>IF((IF((IF(OR(City_Inputs!$Z9="",Norm_Stats!$F$14="",Norm_Stats!$G$14="",Norm_Stats!$G$14=Norm_Stats!$F$14),"",MAX(0,MIN(100,100*(MIN(MAX(City_Inputs!$Z9,Norm_Stats!$F$14),Norm_Stats!$G$14)-Norm_Stats!$F$14)/(Norm_Stats!$G$14-Norm_Stats!$F$14)))))="",0,0.7)+IF((IF(OR(City_Inputs!$AK9="",Norm_Stats!$F$15="",Norm_Stats!$G$15="",Norm_Stats!$G$15=Norm_Stats!$F$15),"",MAX(0,MIN(100,100*(Norm_Stats!$G$15-MIN(MAX(City_Inputs!$AK9,Norm_Stats!$F$15),Norm_Stats!$G$15))/(Norm_Stats!$G$15-Norm_Stats!$F$15)))))="",0,0.3))=0,"",(IF((IF(OR(City_Inputs!$Z9="",Norm_Stats!$F$14="",Norm_Stats!$G$14="",Norm_Stats!$G$14=Norm_Stats!$F$14),"",MAX(0,MIN(100,100*(MIN(MAX(City_Inputs!$Z9,Norm_Stats!$F$14),Norm_Stats!$G$14)-Norm_Stats!$F$14)/(Norm_Stats!$G$14-Norm_Stats!$F$14)))))="",0,0.7)+IF((IF(OR(City_Inputs!$AK9="",Norm_Stats!$F$15="",Norm_Stats!$G$15="",Norm_Stats!$G$15=Norm_Stats!$F$15),"",MAX(0,MIN(100,100*(Norm_Stats!$G$15-MIN(MAX(City_Inputs!$AK9,Norm_Stats!$F$15),Norm_Stats!$G$15))/(Norm_Stats!$G$15-Norm_Stats!$F$15)))))="",0,0.3)))</f>
        <v/>
      </c>
      <c r="AK9" s="15">
        <f>IF((IF(AE9="",0,8)+IF(AG9="",0,6)+IF(AI9="",0,4))=0,"",(IF(AE9="",0,AE9*8)+IF(AG9="",0,AG9*6)+IF(AI9="",0,AI9*4))/(IF(AE9="",0,8)+IF(AG9="",0,6)+IF(AI9="",0,4)))</f>
        <v/>
      </c>
      <c r="AL9" s="14">
        <f>IF((IF(AF9="",0,8)+IF(AH9="",0,6)+IF(AJ9="",0,4))=0,"",(IF(AF9="",0,AF9*8)+IF(AH9="",0,AH9*6)+IF(AJ9="",0,AJ9*4))/18)</f>
        <v/>
      </c>
      <c r="AM9" s="11">
        <f>IF(OR(City_Inputs!$AA9="",Norm_Stats!$F$16="",Norm_Stats!$G$16="",Norm_Stats!$G$16=Norm_Stats!$F$16),"",MAX(0,MIN(100,100*(MIN(MAX(City_Inputs!$AA9,Norm_Stats!$F$16),Norm_Stats!$G$16)-Norm_Stats!$F$16)/(Norm_Stats!$G$16-Norm_Stats!$F$16))))</f>
        <v/>
      </c>
      <c r="AN9" s="14">
        <f>IF(AM9="","",1)</f>
        <v/>
      </c>
      <c r="AO9" s="11">
        <f>IF(OR(City_Inputs!$AB9="",Norm_Stats!$F$17="",Norm_Stats!$G$17="",Norm_Stats!$G$17=Norm_Stats!$F$17),"",MAX(0,MIN(100,100*(MIN(MAX(City_Inputs!$AB9,Norm_Stats!$F$17),Norm_Stats!$G$17)-Norm_Stats!$F$17)/(Norm_Stats!$G$17-Norm_Stats!$F$17))))</f>
        <v/>
      </c>
      <c r="AP9" s="14">
        <f>IF(AO9="","",1)</f>
        <v/>
      </c>
      <c r="AQ9" s="11">
        <f>IF(OR(City_Inputs!$AC9="",Norm_Stats!$F$18="",Norm_Stats!$G$18="",Norm_Stats!$G$18=Norm_Stats!$F$18),"",MAX(0,MIN(100,100*(MIN(MAX(City_Inputs!$AC9,Norm_Stats!$F$18),Norm_Stats!$G$18)-Norm_Stats!$F$18)/(Norm_Stats!$G$18-Norm_Stats!$F$18))))</f>
        <v/>
      </c>
      <c r="AR9" s="14">
        <f>IF(AQ9="","",1)</f>
        <v/>
      </c>
      <c r="AS9" s="15">
        <f>IF((IF(AM9="",0,5)+IF(AO9="",0,5)+IF(AQ9="",0,5))=0,"",(IF(AM9="",0,AM9*5)+IF(AO9="",0,AO9*5)+IF(AQ9="",0,AQ9*5))/(IF(AM9="",0,5)+IF(AO9="",0,5)+IF(AQ9="",0,5)))</f>
        <v/>
      </c>
      <c r="AT9" s="14">
        <f>IF((IF(AN9="",0,5)+IF(AP9="",0,5)+IF(AR9="",0,5))=0,"",(IF(AN9="",0,AN9*5)+IF(AP9="",0,AP9*5)+IF(AR9="",0,AR9*5))/15)</f>
        <v/>
      </c>
      <c r="AU9" s="11">
        <f>IF(OR(City_Inputs!$AD9="",Norm_Stats!$F$19="",Norm_Stats!$G$19="",Norm_Stats!$G$19=Norm_Stats!$F$19),"",MAX(0,MIN(100,100*(MIN(MAX(City_Inputs!$AD9,Norm_Stats!$F$19),Norm_Stats!$G$19)-Norm_Stats!$F$19)/(Norm_Stats!$G$19-Norm_Stats!$F$19))))</f>
        <v/>
      </c>
      <c r="AV9" s="14">
        <f>IF(AU9="","",1)</f>
        <v/>
      </c>
      <c r="AW9" s="11">
        <f>IF(OR(City_Inputs!$AE9="",Norm_Stats!$F$20="",Norm_Stats!$G$20="",Norm_Stats!$G$20=Norm_Stats!$F$20),"",MAX(0,MIN(100,100*(MIN(MAX(City_Inputs!$AE9,Norm_Stats!$F$20),Norm_Stats!$G$20)-Norm_Stats!$F$20)/(Norm_Stats!$G$20-Norm_Stats!$F$20))))</f>
        <v/>
      </c>
      <c r="AX9" s="14">
        <f>IF(AW9="","",1)</f>
        <v/>
      </c>
      <c r="AY9" s="11">
        <f>IF((IF((IF(OR(City_Inputs!$AF9="",Norm_Stats!$F$21="",Norm_Stats!$G$21="",Norm_Stats!$G$21=Norm_Stats!$F$21),"",MAX(0,MIN(100,100*(MIN(MAX(City_Inputs!$AF9,Norm_Stats!$F$21),Norm_Stats!$G$21)-Norm_Stats!$F$21)/(Norm_Stats!$G$21-Norm_Stats!$F$21)))))="",0,0.5)+IF((IF(OR(City_Inputs!$AI9="",Norm_Stats!$F$22="",Norm_Stats!$G$22="",Norm_Stats!$G$22=Norm_Stats!$F$22),"",MAX(0,MIN(100,100*(MIN(MAX(City_Inputs!$AI9,Norm_Stats!$F$22),Norm_Stats!$G$22)-Norm_Stats!$F$22)/(Norm_Stats!$G$22-Norm_Stats!$F$22)))))="",0,0.3)+IF((IF(OR(City_Inputs!$AJ9="",Norm_Stats!$F$23="",Norm_Stats!$G$23="",Norm_Stats!$G$23=Norm_Stats!$F$23),"",MAX(0,MIN(100,100*(MIN(MAX(City_Inputs!$AJ9,Norm_Stats!$F$23),Norm_Stats!$G$23)-Norm_Stats!$F$23)/(Norm_Stats!$G$23-Norm_Stats!$F$23)))))="",0,0.2))=0,"",(IF((IF(OR(City_Inputs!$AF9="",Norm_Stats!$F$21="",Norm_Stats!$G$21="",Norm_Stats!$G$21=Norm_Stats!$F$21),"",MAX(0,MIN(100,100*(MIN(MAX(City_Inputs!$AF9,Norm_Stats!$F$21),Norm_Stats!$G$21)-Norm_Stats!$F$21)/(Norm_Stats!$G$21-Norm_Stats!$F$21)))))="",0,(IF(OR(City_Inputs!$AF9="",Norm_Stats!$F$21="",Norm_Stats!$G$21="",Norm_Stats!$G$21=Norm_Stats!$F$21),"",MAX(0,MIN(100,100*(MIN(MAX(City_Inputs!$AF9,Norm_Stats!$F$21),Norm_Stats!$G$21)-Norm_Stats!$F$21)/(Norm_Stats!$G$21-Norm_Stats!$F$21)))))*0.5)+IF((IF(OR(City_Inputs!$AI9="",Norm_Stats!$F$22="",Norm_Stats!$G$22="",Norm_Stats!$G$22=Norm_Stats!$F$22),"",MAX(0,MIN(100,100*(MIN(MAX(City_Inputs!$AI9,Norm_Stats!$F$22),Norm_Stats!$G$22)-Norm_Stats!$F$22)/(Norm_Stats!$G$22-Norm_Stats!$F$22)))))="",0,(IF(OR(City_Inputs!$AI9="",Norm_Stats!$F$22="",Norm_Stats!$G$22="",Norm_Stats!$G$22=Norm_Stats!$F$22),"",MAX(0,MIN(100,100*(MIN(MAX(City_Inputs!$AI9,Norm_Stats!$F$22),Norm_Stats!$G$22)-Norm_Stats!$F$22)/(Norm_Stats!$G$22-Norm_Stats!$F$22)))))*0.3)+IF((IF(OR(City_Inputs!$AJ9="",Norm_Stats!$F$23="",Norm_Stats!$G$23="",Norm_Stats!$G$23=Norm_Stats!$F$23),"",MAX(0,MIN(100,100*(MIN(MAX(City_Inputs!$AJ9,Norm_Stats!$F$23),Norm_Stats!$G$23)-Norm_Stats!$F$23)/(Norm_Stats!$G$23-Norm_Stats!$F$23)))))="",0,(IF(OR(City_Inputs!$AJ9="",Norm_Stats!$F$23="",Norm_Stats!$G$23="",Norm_Stats!$G$23=Norm_Stats!$F$23),"",MAX(0,MIN(100,100*(MIN(MAX(City_Inputs!$AJ9,Norm_Stats!$F$23),Norm_Stats!$G$23)-Norm_Stats!$F$23)/(Norm_Stats!$G$23-Norm_Stats!$F$23)))))*0.2))/(IF((IF(OR(City_Inputs!$AF9="",Norm_Stats!$F$21="",Norm_Stats!$G$21="",Norm_Stats!$G$21=Norm_Stats!$F$21),"",MAX(0,MIN(100,100*(MIN(MAX(City_Inputs!$AF9,Norm_Stats!$F$21),Norm_Stats!$G$21)-Norm_Stats!$F$21)/(Norm_Stats!$G$21-Norm_Stats!$F$21)))))="",0,0.5)+IF((IF(OR(City_Inputs!$AI9="",Norm_Stats!$F$22="",Norm_Stats!$G$22="",Norm_Stats!$G$22=Norm_Stats!$F$22),"",MAX(0,MIN(100,100*(MIN(MAX(City_Inputs!$AI9,Norm_Stats!$F$22),Norm_Stats!$G$22)-Norm_Stats!$F$22)/(Norm_Stats!$G$22-Norm_Stats!$F$22)))))="",0,0.3)+IF((IF(OR(City_Inputs!$AJ9="",Norm_Stats!$F$23="",Norm_Stats!$G$23="",Norm_Stats!$G$23=Norm_Stats!$F$23),"",MAX(0,MIN(100,100*(MIN(MAX(City_Inputs!$AJ9,Norm_Stats!$F$23),Norm_Stats!$G$23)-Norm_Stats!$F$23)/(Norm_Stats!$G$23-Norm_Stats!$F$23)))))="",0,0.2)))</f>
        <v/>
      </c>
      <c r="AZ9" s="14">
        <f>IF((IF((IF(OR(City_Inputs!$AF9="",Norm_Stats!$F$21="",Norm_Stats!$G$21="",Norm_Stats!$G$21=Norm_Stats!$F$21),"",MAX(0,MIN(100,100*(MIN(MAX(City_Inputs!$AF9,Norm_Stats!$F$21),Norm_Stats!$G$21)-Norm_Stats!$F$21)/(Norm_Stats!$G$21-Norm_Stats!$F$21)))))="",0,0.5)+IF((IF(OR(City_Inputs!$AI9="",Norm_Stats!$F$22="",Norm_Stats!$G$22="",Norm_Stats!$G$22=Norm_Stats!$F$22),"",MAX(0,MIN(100,100*(MIN(MAX(City_Inputs!$AI9,Norm_Stats!$F$22),Norm_Stats!$G$22)-Norm_Stats!$F$22)/(Norm_Stats!$G$22-Norm_Stats!$F$22)))))="",0,0.3)+IF((IF(OR(City_Inputs!$AJ9="",Norm_Stats!$F$23="",Norm_Stats!$G$23="",Norm_Stats!$G$23=Norm_Stats!$F$23),"",MAX(0,MIN(100,100*(MIN(MAX(City_Inputs!$AJ9,Norm_Stats!$F$23),Norm_Stats!$G$23)-Norm_Stats!$F$23)/(Norm_Stats!$G$23-Norm_Stats!$F$23)))))="",0,0.2))=0,"",(IF((IF(OR(City_Inputs!$AF9="",Norm_Stats!$F$21="",Norm_Stats!$G$21="",Norm_Stats!$G$21=Norm_Stats!$F$21),"",MAX(0,MIN(100,100*(MIN(MAX(City_Inputs!$AF9,Norm_Stats!$F$21),Norm_Stats!$G$21)-Norm_Stats!$F$21)/(Norm_Stats!$G$21-Norm_Stats!$F$21)))))="",0,0.5)+IF((IF(OR(City_Inputs!$AI9="",Norm_Stats!$F$22="",Norm_Stats!$G$22="",Norm_Stats!$G$22=Norm_Stats!$F$22),"",MAX(0,MIN(100,100*(MIN(MAX(City_Inputs!$AI9,Norm_Stats!$F$22),Norm_Stats!$G$22)-Norm_Stats!$F$22)/(Norm_Stats!$G$22-Norm_Stats!$F$22)))))="",0,0.3)+IF((IF(OR(City_Inputs!$AJ9="",Norm_Stats!$F$23="",Norm_Stats!$G$23="",Norm_Stats!$G$23=Norm_Stats!$F$23),"",MAX(0,MIN(100,100*(MIN(MAX(City_Inputs!$AJ9,Norm_Stats!$F$23),Norm_Stats!$G$23)-Norm_Stats!$F$23)/(Norm_Stats!$G$23-Norm_Stats!$F$23)))))="",0,0.2)))</f>
        <v/>
      </c>
      <c r="BA9" s="11">
        <f>IF(OR(City_Inputs!$AG9="",Norm_Stats!$F$24="",Norm_Stats!$G$24="",Norm_Stats!$G$24=Norm_Stats!$F$24),"",MAX(0,MIN(100,100*(Norm_Stats!$G$24-MIN(MAX(City_Inputs!$AG9,Norm_Stats!$F$24),Norm_Stats!$G$24))/(Norm_Stats!$G$24-Norm_Stats!$F$24))))</f>
        <v/>
      </c>
      <c r="BB9" s="14">
        <f>IF(BA9="","",1)</f>
        <v/>
      </c>
      <c r="BC9" s="15">
        <f>IF((IF(AU9="",0,6)+IF(AW9="",0,5)+IF(AY9="",0,5)+IF(BA9="",0,4))=0,"",(IF(AU9="",0,AU9*6)+IF(AW9="",0,AW9*5)+IF(AY9="",0,AY9*5)+IF(BA9="",0,BA9*4))/(IF(AU9="",0,6)+IF(AW9="",0,5)+IF(AY9="",0,5)+IF(BA9="",0,4)))</f>
        <v/>
      </c>
      <c r="BD9" s="14">
        <f>IF((IF(AV9="",0,6)+IF(AX9="",0,5)+IF(AZ9="",0,5)+IF(BB9="",0,4))=0,"",(IF(AV9="",0,AV9*6)+IF(AX9="",0,AX9*5)+IF(AZ9="",0,AZ9*5)+IF(BB9="",0,BB9*4))/20)</f>
        <v/>
      </c>
      <c r="BE9" s="14">
        <f>IF(AND(R9="",AD9="",AL9="",AT9="",BD9=""),"",((R9*25)+(AD9*22)+(AL9*18)+(AT9*15)+(BD9*20))/100)</f>
        <v/>
      </c>
      <c r="BF9" s="11">
        <f>IF(BE9="","",IF(BE9&gt;=0.75,"A",IF(BE9&gt;=0.5,"B",IF(BE9&gt;=0.35,"C","Watchlist"))))</f>
        <v/>
      </c>
      <c r="BG9" s="11">
        <f>IF(OR(BE9="",BE9&lt;0.5,R9="",R9&lt;0.35,AD9="",AD9&lt;0.35,AL9="",AL9&lt;0.35,AT9="",AT9&lt;0.35,BD9="",BD9&lt;0.35),"Watchlist","Ranked")</f>
        <v/>
      </c>
      <c r="BH9" s="15">
        <f>IF(AND(Q9="",AC9="",AK9="",AS9="",BC9=""),"",(IF(Q9="",0,Q9*25)+IF(AC9="",0,AC9*22)+IF(AK9="",0,AK9*18)+IF(AS9="",0,AS9*15)+IF(BC9="",0,BC9*20))/(IF(Q9="",0,25)+IF(AC9="",0,22)+IF(AK9="",0,18)+IF(AS9="",0,15)+IF(BC9="",0,20)))</f>
        <v/>
      </c>
      <c r="BI9" s="11">
        <f>IF(BG9="Ranked",1+COUNTIFS($BG$2:$BG$103,"Ranked",$BH$2:$BH$103,"&gt;"&amp;BH9),"")</f>
        <v/>
      </c>
      <c r="BJ9" s="11">
        <f>City_Inputs!$AH9</f>
        <v/>
      </c>
    </row>
    <row r="10">
      <c r="A10" t="inlineStr">
        <is>
          <t>my-kuching</t>
        </is>
      </c>
      <c r="B10" t="inlineStr">
        <is>
          <t>Kuching</t>
        </is>
      </c>
      <c r="C10" t="inlineStr">
        <is>
          <t>Malaysia</t>
        </is>
      </c>
      <c r="D10" t="inlineStr">
        <is>
          <t>Southeast Asia</t>
        </is>
      </c>
      <c r="E10" t="inlineStr">
        <is>
          <t>locked</t>
        </is>
      </c>
      <c r="F10" t="inlineStr">
        <is>
          <t>secondary</t>
        </is>
      </c>
      <c r="G10" s="11">
        <f>IF(OR(City_Inputs!$M10="",Norm_Stats!$F$2="",Norm_Stats!$G$2="",Norm_Stats!$G$2=Norm_Stats!$F$2),"",MAX(0,MIN(100,100*(MIN(MAX(City_Inputs!$M10,Norm_Stats!$F$2),Norm_Stats!$G$2)-Norm_Stats!$F$2)/(Norm_Stats!$G$2-Norm_Stats!$F$2))))</f>
        <v/>
      </c>
      <c r="H10" s="14">
        <f>IF(G10="","",1)</f>
        <v/>
      </c>
      <c r="I10" s="11">
        <f>IF(OR(City_Inputs!$N10="",Norm_Stats!$F$3="",Norm_Stats!$G$3="",Norm_Stats!$G$3=Norm_Stats!$F$3),"",MAX(0,MIN(100,100*(Norm_Stats!$G$3-MIN(MAX(City_Inputs!$N10,Norm_Stats!$F$3),Norm_Stats!$G$3))/(Norm_Stats!$G$3-Norm_Stats!$F$3))))</f>
        <v/>
      </c>
      <c r="J10" s="14">
        <f>IF(I10="","",1)</f>
        <v/>
      </c>
      <c r="K10" s="11">
        <f>IF(OR(City_Inputs!$P10="",Norm_Stats!$F$4="",Norm_Stats!$G$4="",Norm_Stats!$G$4=Norm_Stats!$F$4),"",MAX(0,MIN(100,100*(Norm_Stats!$G$4-MIN(MAX(City_Inputs!$P10,Norm_Stats!$F$4),Norm_Stats!$G$4))/(Norm_Stats!$G$4-Norm_Stats!$F$4))))</f>
        <v/>
      </c>
      <c r="L10" s="14">
        <f>IF(K10="","",1)</f>
        <v/>
      </c>
      <c r="M10" s="11">
        <f>IF(OR(City_Inputs!$Q10="",Norm_Stats!$F$5="",Norm_Stats!$G$5="",Norm_Stats!$G$5=Norm_Stats!$F$5),"",MAX(0,MIN(100,100*(Norm_Stats!$G$5-MIN(MAX(City_Inputs!$Q10,Norm_Stats!$F$5),Norm_Stats!$G$5))/(Norm_Stats!$G$5-Norm_Stats!$F$5))))</f>
        <v/>
      </c>
      <c r="N10" s="14">
        <f>IF(M10="","",1)</f>
        <v/>
      </c>
      <c r="O10" s="11">
        <f>IF(OR(City_Inputs!$R10="",Norm_Stats!$F$6="",Norm_Stats!$G$6="",Norm_Stats!$G$6=Norm_Stats!$F$6),"",MAX(0,MIN(100,100*(Norm_Stats!$G$6-MIN(MAX(City_Inputs!$R10,Norm_Stats!$F$6),Norm_Stats!$G$6))/(Norm_Stats!$G$6-Norm_Stats!$F$6))))</f>
        <v/>
      </c>
      <c r="P10" s="14">
        <f>IF(O10="","",1)</f>
        <v/>
      </c>
      <c r="Q10" s="15">
        <f>IF((IF(G10="",0,9)+IF(I10="",0,5)+IF(K10="",0,4)+IF(M10="",0,4)+IF(O10="",0,3))=0,"",(IF(G10="",0,G10*9)+IF(I10="",0,I10*5)+IF(K10="",0,K10*4)+IF(M10="",0,M10*4)+IF(O10="",0,O10*3))/(IF(G10="",0,9)+IF(I10="",0,5)+IF(K10="",0,4)+IF(M10="",0,4)+IF(O10="",0,3)))</f>
        <v/>
      </c>
      <c r="R10" s="14">
        <f>IF((IF(H10="",0,9)+IF(J10="",0,5)+IF(L10="",0,4)+IF(N10="",0,4)+IF(P10="",0,3))=0,"",(IF(H10="",0,H10*9)+IF(J10="",0,J10*5)+IF(L10="",0,L10*4)+IF(N10="",0,N10*4)+IF(P10="",0,P10*3))/25)</f>
        <v/>
      </c>
      <c r="S10" s="11">
        <f>IF(OR(City_Inputs!$S10="",Norm_Stats!$F$7="",Norm_Stats!$G$7="",Norm_Stats!$G$7=Norm_Stats!$F$7),"",MAX(0,MIN(100,100*(Norm_Stats!$G$7-MIN(MAX(City_Inputs!$S10,Norm_Stats!$F$7),Norm_Stats!$G$7))/(Norm_Stats!$G$7-Norm_Stats!$F$7))))</f>
        <v/>
      </c>
      <c r="T10" s="14">
        <f>IF(S10="","",1)</f>
        <v/>
      </c>
      <c r="U10" s="11">
        <f>IF(OR(City_Inputs!$T10="",Norm_Stats!$F$8="",Norm_Stats!$G$8="",Norm_Stats!$G$8=Norm_Stats!$F$8),"",MAX(0,MIN(100,100*(MIN(MAX(City_Inputs!$T10,Norm_Stats!$F$8),Norm_Stats!$G$8)-Norm_Stats!$F$8)/(Norm_Stats!$G$8-Norm_Stats!$F$8))))</f>
        <v/>
      </c>
      <c r="V10" s="14">
        <f>IF(U10="","",1)</f>
        <v/>
      </c>
      <c r="W10" s="11">
        <f>IF(OR(City_Inputs!$U10="",Norm_Stats!$F$9="",Norm_Stats!$G$9="",Norm_Stats!$G$9=Norm_Stats!$F$9),"",MAX(0,MIN(100,100*(Norm_Stats!$G$9-MIN(MAX(City_Inputs!$U10,Norm_Stats!$F$9),Norm_Stats!$G$9))/(Norm_Stats!$G$9-Norm_Stats!$F$9))))</f>
        <v/>
      </c>
      <c r="X10" s="14">
        <f>IF(W10="","",1)</f>
        <v/>
      </c>
      <c r="Y10" s="11">
        <f>IF(OR(City_Inputs!$V10="",Norm_Stats!$F$10="",Norm_Stats!$G$10="",Norm_Stats!$G$10=Norm_Stats!$F$10),"",MAX(0,MIN(100,100*(MIN(MAX(City_Inputs!$V10,Norm_Stats!$F$10),Norm_Stats!$G$10)-Norm_Stats!$F$10)/(Norm_Stats!$G$10-Norm_Stats!$F$10))))</f>
        <v/>
      </c>
      <c r="Z10" s="14">
        <f>IF(Y10="","",1)</f>
        <v/>
      </c>
      <c r="AA10" s="11">
        <f>IF(OR(City_Inputs!$W10="",Norm_Stats!$F$11="",Norm_Stats!$G$11="",Norm_Stats!$G$11=Norm_Stats!$F$11),"",MAX(0,MIN(100,100*(MIN(MAX(City_Inputs!$W10,Norm_Stats!$F$11),Norm_Stats!$G$11)-Norm_Stats!$F$11)/(Norm_Stats!$G$11-Norm_Stats!$F$11))))</f>
        <v/>
      </c>
      <c r="AB10" s="14">
        <f>IF(AA10="","",1)</f>
        <v/>
      </c>
      <c r="AC10" s="15">
        <f>IF((IF(S10="",0,5)+IF(U10="",0,5)+IF(W10="",0,4)+IF(Y10="",0,4)+IF(AA10="",0,4))=0,"",(IF(S10="",0,S10*5)+IF(U10="",0,U10*5)+IF(W10="",0,W10*4)+IF(Y10="",0,Y10*4)+IF(AA10="",0,AA10*4))/(IF(S10="",0,5)+IF(U10="",0,5)+IF(W10="",0,4)+IF(Y10="",0,4)+IF(AA10="",0,4)))</f>
        <v/>
      </c>
      <c r="AD10" s="14">
        <f>IF((IF(T10="",0,5)+IF(V10="",0,5)+IF(X10="",0,4)+IF(Z10="",0,4)+IF(AB10="",0,4))=0,"",(IF(T10="",0,T10*5)+IF(V10="",0,V10*5)+IF(X10="",0,X10*4)+IF(Z10="",0,Z10*4)+IF(AB10="",0,AB10*4))/22)</f>
        <v/>
      </c>
      <c r="AE10" s="11">
        <f>IF(OR(City_Inputs!$X10="",Norm_Stats!$F$12="",Norm_Stats!$G$12="",Norm_Stats!$G$12=Norm_Stats!$F$12),"",MAX(0,MIN(100,100*(MIN(MAX(City_Inputs!$X10,Norm_Stats!$F$12),Norm_Stats!$G$12)-Norm_Stats!$F$12)/(Norm_Stats!$G$12-Norm_Stats!$F$12))))</f>
        <v/>
      </c>
      <c r="AF10" s="14">
        <f>IF(AE10="","",1)</f>
        <v/>
      </c>
      <c r="AG10" s="11">
        <f>IF(OR(City_Inputs!$Y10="",Norm_Stats!$F$13="",Norm_Stats!$G$13="",Norm_Stats!$G$13=Norm_Stats!$F$13),"",MAX(0,MIN(100,100*(MIN(MAX(City_Inputs!$Y10,Norm_Stats!$F$13),Norm_Stats!$G$13)-Norm_Stats!$F$13)/(Norm_Stats!$G$13-Norm_Stats!$F$13))))</f>
        <v/>
      </c>
      <c r="AH10" s="14">
        <f>IF(AG10="","",1)</f>
        <v/>
      </c>
      <c r="AI10" s="11">
        <f>IF((IF((IF(OR(City_Inputs!$Z10="",Norm_Stats!$F$14="",Norm_Stats!$G$14="",Norm_Stats!$G$14=Norm_Stats!$F$14),"",MAX(0,MIN(100,100*(MIN(MAX(City_Inputs!$Z10,Norm_Stats!$F$14),Norm_Stats!$G$14)-Norm_Stats!$F$14)/(Norm_Stats!$G$14-Norm_Stats!$F$14)))))="",0,0.7)+IF((IF(OR(City_Inputs!$AK10="",Norm_Stats!$F$15="",Norm_Stats!$G$15="",Norm_Stats!$G$15=Norm_Stats!$F$15),"",MAX(0,MIN(100,100*(Norm_Stats!$G$15-MIN(MAX(City_Inputs!$AK10,Norm_Stats!$F$15),Norm_Stats!$G$15))/(Norm_Stats!$G$15-Norm_Stats!$F$15)))))="",0,0.3))=0,"",(IF((IF(OR(City_Inputs!$Z10="",Norm_Stats!$F$14="",Norm_Stats!$G$14="",Norm_Stats!$G$14=Norm_Stats!$F$14),"",MAX(0,MIN(100,100*(MIN(MAX(City_Inputs!$Z10,Norm_Stats!$F$14),Norm_Stats!$G$14)-Norm_Stats!$F$14)/(Norm_Stats!$G$14-Norm_Stats!$F$14)))))="",0,(IF(OR(City_Inputs!$Z10="",Norm_Stats!$F$14="",Norm_Stats!$G$14="",Norm_Stats!$G$14=Norm_Stats!$F$14),"",MAX(0,MIN(100,100*(MIN(MAX(City_Inputs!$Z10,Norm_Stats!$F$14),Norm_Stats!$G$14)-Norm_Stats!$F$14)/(Norm_Stats!$G$14-Norm_Stats!$F$14)))))*0.7)+IF((IF(OR(City_Inputs!$AK10="",Norm_Stats!$F$15="",Norm_Stats!$G$15="",Norm_Stats!$G$15=Norm_Stats!$F$15),"",MAX(0,MIN(100,100*(Norm_Stats!$G$15-MIN(MAX(City_Inputs!$AK10,Norm_Stats!$F$15),Norm_Stats!$G$15))/(Norm_Stats!$G$15-Norm_Stats!$F$15)))))="",0,(IF(OR(City_Inputs!$AK10="",Norm_Stats!$F$15="",Norm_Stats!$G$15="",Norm_Stats!$G$15=Norm_Stats!$F$15),"",MAX(0,MIN(100,100*(Norm_Stats!$G$15-MIN(MAX(City_Inputs!$AK10,Norm_Stats!$F$15),Norm_Stats!$G$15))/(Norm_Stats!$G$15-Norm_Stats!$F$15)))))*0.3))/(IF((IF(OR(City_Inputs!$Z10="",Norm_Stats!$F$14="",Norm_Stats!$G$14="",Norm_Stats!$G$14=Norm_Stats!$F$14),"",MAX(0,MIN(100,100*(MIN(MAX(City_Inputs!$Z10,Norm_Stats!$F$14),Norm_Stats!$G$14)-Norm_Stats!$F$14)/(Norm_Stats!$G$14-Norm_Stats!$F$14)))))="",0,0.7)+IF((IF(OR(City_Inputs!$AK10="",Norm_Stats!$F$15="",Norm_Stats!$G$15="",Norm_Stats!$G$15=Norm_Stats!$F$15),"",MAX(0,MIN(100,100*(Norm_Stats!$G$15-MIN(MAX(City_Inputs!$AK10,Norm_Stats!$F$15),Norm_Stats!$G$15))/(Norm_Stats!$G$15-Norm_Stats!$F$15)))))="",0,0.3)))</f>
        <v/>
      </c>
      <c r="AJ10" s="14">
        <f>IF((IF((IF(OR(City_Inputs!$Z10="",Norm_Stats!$F$14="",Norm_Stats!$G$14="",Norm_Stats!$G$14=Norm_Stats!$F$14),"",MAX(0,MIN(100,100*(MIN(MAX(City_Inputs!$Z10,Norm_Stats!$F$14),Norm_Stats!$G$14)-Norm_Stats!$F$14)/(Norm_Stats!$G$14-Norm_Stats!$F$14)))))="",0,0.7)+IF((IF(OR(City_Inputs!$AK10="",Norm_Stats!$F$15="",Norm_Stats!$G$15="",Norm_Stats!$G$15=Norm_Stats!$F$15),"",MAX(0,MIN(100,100*(Norm_Stats!$G$15-MIN(MAX(City_Inputs!$AK10,Norm_Stats!$F$15),Norm_Stats!$G$15))/(Norm_Stats!$G$15-Norm_Stats!$F$15)))))="",0,0.3))=0,"",(IF((IF(OR(City_Inputs!$Z10="",Norm_Stats!$F$14="",Norm_Stats!$G$14="",Norm_Stats!$G$14=Norm_Stats!$F$14),"",MAX(0,MIN(100,100*(MIN(MAX(City_Inputs!$Z10,Norm_Stats!$F$14),Norm_Stats!$G$14)-Norm_Stats!$F$14)/(Norm_Stats!$G$14-Norm_Stats!$F$14)))))="",0,0.7)+IF((IF(OR(City_Inputs!$AK10="",Norm_Stats!$F$15="",Norm_Stats!$G$15="",Norm_Stats!$G$15=Norm_Stats!$F$15),"",MAX(0,MIN(100,100*(Norm_Stats!$G$15-MIN(MAX(City_Inputs!$AK10,Norm_Stats!$F$15),Norm_Stats!$G$15))/(Norm_Stats!$G$15-Norm_Stats!$F$15)))))="",0,0.3)))</f>
        <v/>
      </c>
      <c r="AK10" s="15">
        <f>IF((IF(AE10="",0,8)+IF(AG10="",0,6)+IF(AI10="",0,4))=0,"",(IF(AE10="",0,AE10*8)+IF(AG10="",0,AG10*6)+IF(AI10="",0,AI10*4))/(IF(AE10="",0,8)+IF(AG10="",0,6)+IF(AI10="",0,4)))</f>
        <v/>
      </c>
      <c r="AL10" s="14">
        <f>IF((IF(AF10="",0,8)+IF(AH10="",0,6)+IF(AJ10="",0,4))=0,"",(IF(AF10="",0,AF10*8)+IF(AH10="",0,AH10*6)+IF(AJ10="",0,AJ10*4))/18)</f>
        <v/>
      </c>
      <c r="AM10" s="11">
        <f>IF(OR(City_Inputs!$AA10="",Norm_Stats!$F$16="",Norm_Stats!$G$16="",Norm_Stats!$G$16=Norm_Stats!$F$16),"",MAX(0,MIN(100,100*(MIN(MAX(City_Inputs!$AA10,Norm_Stats!$F$16),Norm_Stats!$G$16)-Norm_Stats!$F$16)/(Norm_Stats!$G$16-Norm_Stats!$F$16))))</f>
        <v/>
      </c>
      <c r="AN10" s="14">
        <f>IF(AM10="","",1)</f>
        <v/>
      </c>
      <c r="AO10" s="11">
        <f>IF(OR(City_Inputs!$AB10="",Norm_Stats!$F$17="",Norm_Stats!$G$17="",Norm_Stats!$G$17=Norm_Stats!$F$17),"",MAX(0,MIN(100,100*(MIN(MAX(City_Inputs!$AB10,Norm_Stats!$F$17),Norm_Stats!$G$17)-Norm_Stats!$F$17)/(Norm_Stats!$G$17-Norm_Stats!$F$17))))</f>
        <v/>
      </c>
      <c r="AP10" s="14">
        <f>IF(AO10="","",1)</f>
        <v/>
      </c>
      <c r="AQ10" s="11">
        <f>IF(OR(City_Inputs!$AC10="",Norm_Stats!$F$18="",Norm_Stats!$G$18="",Norm_Stats!$G$18=Norm_Stats!$F$18),"",MAX(0,MIN(100,100*(MIN(MAX(City_Inputs!$AC10,Norm_Stats!$F$18),Norm_Stats!$G$18)-Norm_Stats!$F$18)/(Norm_Stats!$G$18-Norm_Stats!$F$18))))</f>
        <v/>
      </c>
      <c r="AR10" s="14">
        <f>IF(AQ10="","",1)</f>
        <v/>
      </c>
      <c r="AS10" s="15">
        <f>IF((IF(AM10="",0,5)+IF(AO10="",0,5)+IF(AQ10="",0,5))=0,"",(IF(AM10="",0,AM10*5)+IF(AO10="",0,AO10*5)+IF(AQ10="",0,AQ10*5))/(IF(AM10="",0,5)+IF(AO10="",0,5)+IF(AQ10="",0,5)))</f>
        <v/>
      </c>
      <c r="AT10" s="14">
        <f>IF((IF(AN10="",0,5)+IF(AP10="",0,5)+IF(AR10="",0,5))=0,"",(IF(AN10="",0,AN10*5)+IF(AP10="",0,AP10*5)+IF(AR10="",0,AR10*5))/15)</f>
        <v/>
      </c>
      <c r="AU10" s="11">
        <f>IF(OR(City_Inputs!$AD10="",Norm_Stats!$F$19="",Norm_Stats!$G$19="",Norm_Stats!$G$19=Norm_Stats!$F$19),"",MAX(0,MIN(100,100*(MIN(MAX(City_Inputs!$AD10,Norm_Stats!$F$19),Norm_Stats!$G$19)-Norm_Stats!$F$19)/(Norm_Stats!$G$19-Norm_Stats!$F$19))))</f>
        <v/>
      </c>
      <c r="AV10" s="14">
        <f>IF(AU10="","",1)</f>
        <v/>
      </c>
      <c r="AW10" s="11">
        <f>IF(OR(City_Inputs!$AE10="",Norm_Stats!$F$20="",Norm_Stats!$G$20="",Norm_Stats!$G$20=Norm_Stats!$F$20),"",MAX(0,MIN(100,100*(MIN(MAX(City_Inputs!$AE10,Norm_Stats!$F$20),Norm_Stats!$G$20)-Norm_Stats!$F$20)/(Norm_Stats!$G$20-Norm_Stats!$F$20))))</f>
        <v/>
      </c>
      <c r="AX10" s="14">
        <f>IF(AW10="","",1)</f>
        <v/>
      </c>
      <c r="AY10" s="11">
        <f>IF((IF((IF(OR(City_Inputs!$AF10="",Norm_Stats!$F$21="",Norm_Stats!$G$21="",Norm_Stats!$G$21=Norm_Stats!$F$21),"",MAX(0,MIN(100,100*(MIN(MAX(City_Inputs!$AF10,Norm_Stats!$F$21),Norm_Stats!$G$21)-Norm_Stats!$F$21)/(Norm_Stats!$G$21-Norm_Stats!$F$21)))))="",0,0.5)+IF((IF(OR(City_Inputs!$AI10="",Norm_Stats!$F$22="",Norm_Stats!$G$22="",Norm_Stats!$G$22=Norm_Stats!$F$22),"",MAX(0,MIN(100,100*(MIN(MAX(City_Inputs!$AI10,Norm_Stats!$F$22),Norm_Stats!$G$22)-Norm_Stats!$F$22)/(Norm_Stats!$G$22-Norm_Stats!$F$22)))))="",0,0.3)+IF((IF(OR(City_Inputs!$AJ10="",Norm_Stats!$F$23="",Norm_Stats!$G$23="",Norm_Stats!$G$23=Norm_Stats!$F$23),"",MAX(0,MIN(100,100*(MIN(MAX(City_Inputs!$AJ10,Norm_Stats!$F$23),Norm_Stats!$G$23)-Norm_Stats!$F$23)/(Norm_Stats!$G$23-Norm_Stats!$F$23)))))="",0,0.2))=0,"",(IF((IF(OR(City_Inputs!$AF10="",Norm_Stats!$F$21="",Norm_Stats!$G$21="",Norm_Stats!$G$21=Norm_Stats!$F$21),"",MAX(0,MIN(100,100*(MIN(MAX(City_Inputs!$AF10,Norm_Stats!$F$21),Norm_Stats!$G$21)-Norm_Stats!$F$21)/(Norm_Stats!$G$21-Norm_Stats!$F$21)))))="",0,(IF(OR(City_Inputs!$AF10="",Norm_Stats!$F$21="",Norm_Stats!$G$21="",Norm_Stats!$G$21=Norm_Stats!$F$21),"",MAX(0,MIN(100,100*(MIN(MAX(City_Inputs!$AF10,Norm_Stats!$F$21),Norm_Stats!$G$21)-Norm_Stats!$F$21)/(Norm_Stats!$G$21-Norm_Stats!$F$21)))))*0.5)+IF((IF(OR(City_Inputs!$AI10="",Norm_Stats!$F$22="",Norm_Stats!$G$22="",Norm_Stats!$G$22=Norm_Stats!$F$22),"",MAX(0,MIN(100,100*(MIN(MAX(City_Inputs!$AI10,Norm_Stats!$F$22),Norm_Stats!$G$22)-Norm_Stats!$F$22)/(Norm_Stats!$G$22-Norm_Stats!$F$22)))))="",0,(IF(OR(City_Inputs!$AI10="",Norm_Stats!$F$22="",Norm_Stats!$G$22="",Norm_Stats!$G$22=Norm_Stats!$F$22),"",MAX(0,MIN(100,100*(MIN(MAX(City_Inputs!$AI10,Norm_Stats!$F$22),Norm_Stats!$G$22)-Norm_Stats!$F$22)/(Norm_Stats!$G$22-Norm_Stats!$F$22)))))*0.3)+IF((IF(OR(City_Inputs!$AJ10="",Norm_Stats!$F$23="",Norm_Stats!$G$23="",Norm_Stats!$G$23=Norm_Stats!$F$23),"",MAX(0,MIN(100,100*(MIN(MAX(City_Inputs!$AJ10,Norm_Stats!$F$23),Norm_Stats!$G$23)-Norm_Stats!$F$23)/(Norm_Stats!$G$23-Norm_Stats!$F$23)))))="",0,(IF(OR(City_Inputs!$AJ10="",Norm_Stats!$F$23="",Norm_Stats!$G$23="",Norm_Stats!$G$23=Norm_Stats!$F$23),"",MAX(0,MIN(100,100*(MIN(MAX(City_Inputs!$AJ10,Norm_Stats!$F$23),Norm_Stats!$G$23)-Norm_Stats!$F$23)/(Norm_Stats!$G$23-Norm_Stats!$F$23)))))*0.2))/(IF((IF(OR(City_Inputs!$AF10="",Norm_Stats!$F$21="",Norm_Stats!$G$21="",Norm_Stats!$G$21=Norm_Stats!$F$21),"",MAX(0,MIN(100,100*(MIN(MAX(City_Inputs!$AF10,Norm_Stats!$F$21),Norm_Stats!$G$21)-Norm_Stats!$F$21)/(Norm_Stats!$G$21-Norm_Stats!$F$21)))))="",0,0.5)+IF((IF(OR(City_Inputs!$AI10="",Norm_Stats!$F$22="",Norm_Stats!$G$22="",Norm_Stats!$G$22=Norm_Stats!$F$22),"",MAX(0,MIN(100,100*(MIN(MAX(City_Inputs!$AI10,Norm_Stats!$F$22),Norm_Stats!$G$22)-Norm_Stats!$F$22)/(Norm_Stats!$G$22-Norm_Stats!$F$22)))))="",0,0.3)+IF((IF(OR(City_Inputs!$AJ10="",Norm_Stats!$F$23="",Norm_Stats!$G$23="",Norm_Stats!$G$23=Norm_Stats!$F$23),"",MAX(0,MIN(100,100*(MIN(MAX(City_Inputs!$AJ10,Norm_Stats!$F$23),Norm_Stats!$G$23)-Norm_Stats!$F$23)/(Norm_Stats!$G$23-Norm_Stats!$F$23)))))="",0,0.2)))</f>
        <v/>
      </c>
      <c r="AZ10" s="14">
        <f>IF((IF((IF(OR(City_Inputs!$AF10="",Norm_Stats!$F$21="",Norm_Stats!$G$21="",Norm_Stats!$G$21=Norm_Stats!$F$21),"",MAX(0,MIN(100,100*(MIN(MAX(City_Inputs!$AF10,Norm_Stats!$F$21),Norm_Stats!$G$21)-Norm_Stats!$F$21)/(Norm_Stats!$G$21-Norm_Stats!$F$21)))))="",0,0.5)+IF((IF(OR(City_Inputs!$AI10="",Norm_Stats!$F$22="",Norm_Stats!$G$22="",Norm_Stats!$G$22=Norm_Stats!$F$22),"",MAX(0,MIN(100,100*(MIN(MAX(City_Inputs!$AI10,Norm_Stats!$F$22),Norm_Stats!$G$22)-Norm_Stats!$F$22)/(Norm_Stats!$G$22-Norm_Stats!$F$22)))))="",0,0.3)+IF((IF(OR(City_Inputs!$AJ10="",Norm_Stats!$F$23="",Norm_Stats!$G$23="",Norm_Stats!$G$23=Norm_Stats!$F$23),"",MAX(0,MIN(100,100*(MIN(MAX(City_Inputs!$AJ10,Norm_Stats!$F$23),Norm_Stats!$G$23)-Norm_Stats!$F$23)/(Norm_Stats!$G$23-Norm_Stats!$F$23)))))="",0,0.2))=0,"",(IF((IF(OR(City_Inputs!$AF10="",Norm_Stats!$F$21="",Norm_Stats!$G$21="",Norm_Stats!$G$21=Norm_Stats!$F$21),"",MAX(0,MIN(100,100*(MIN(MAX(City_Inputs!$AF10,Norm_Stats!$F$21),Norm_Stats!$G$21)-Norm_Stats!$F$21)/(Norm_Stats!$G$21-Norm_Stats!$F$21)))))="",0,0.5)+IF((IF(OR(City_Inputs!$AI10="",Norm_Stats!$F$22="",Norm_Stats!$G$22="",Norm_Stats!$G$22=Norm_Stats!$F$22),"",MAX(0,MIN(100,100*(MIN(MAX(City_Inputs!$AI10,Norm_Stats!$F$22),Norm_Stats!$G$22)-Norm_Stats!$F$22)/(Norm_Stats!$G$22-Norm_Stats!$F$22)))))="",0,0.3)+IF((IF(OR(City_Inputs!$AJ10="",Norm_Stats!$F$23="",Norm_Stats!$G$23="",Norm_Stats!$G$23=Norm_Stats!$F$23),"",MAX(0,MIN(100,100*(MIN(MAX(City_Inputs!$AJ10,Norm_Stats!$F$23),Norm_Stats!$G$23)-Norm_Stats!$F$23)/(Norm_Stats!$G$23-Norm_Stats!$F$23)))))="",0,0.2)))</f>
        <v/>
      </c>
      <c r="BA10" s="11">
        <f>IF(OR(City_Inputs!$AG10="",Norm_Stats!$F$24="",Norm_Stats!$G$24="",Norm_Stats!$G$24=Norm_Stats!$F$24),"",MAX(0,MIN(100,100*(Norm_Stats!$G$24-MIN(MAX(City_Inputs!$AG10,Norm_Stats!$F$24),Norm_Stats!$G$24))/(Norm_Stats!$G$24-Norm_Stats!$F$24))))</f>
        <v/>
      </c>
      <c r="BB10" s="14">
        <f>IF(BA10="","",1)</f>
        <v/>
      </c>
      <c r="BC10" s="15">
        <f>IF((IF(AU10="",0,6)+IF(AW10="",0,5)+IF(AY10="",0,5)+IF(BA10="",0,4))=0,"",(IF(AU10="",0,AU10*6)+IF(AW10="",0,AW10*5)+IF(AY10="",0,AY10*5)+IF(BA10="",0,BA10*4))/(IF(AU10="",0,6)+IF(AW10="",0,5)+IF(AY10="",0,5)+IF(BA10="",0,4)))</f>
        <v/>
      </c>
      <c r="BD10" s="14">
        <f>IF((IF(AV10="",0,6)+IF(AX10="",0,5)+IF(AZ10="",0,5)+IF(BB10="",0,4))=0,"",(IF(AV10="",0,AV10*6)+IF(AX10="",0,AX10*5)+IF(AZ10="",0,AZ10*5)+IF(BB10="",0,BB10*4))/20)</f>
        <v/>
      </c>
      <c r="BE10" s="14">
        <f>IF(AND(R10="",AD10="",AL10="",AT10="",BD10=""),"",((R10*25)+(AD10*22)+(AL10*18)+(AT10*15)+(BD10*20))/100)</f>
        <v/>
      </c>
      <c r="BF10" s="11">
        <f>IF(BE10="","",IF(BE10&gt;=0.75,"A",IF(BE10&gt;=0.5,"B",IF(BE10&gt;=0.35,"C","Watchlist"))))</f>
        <v/>
      </c>
      <c r="BG10" s="11">
        <f>IF(OR(BE10="",BE10&lt;0.5,R10="",R10&lt;0.35,AD10="",AD10&lt;0.35,AL10="",AL10&lt;0.35,AT10="",AT10&lt;0.35,BD10="",BD10&lt;0.35),"Watchlist","Ranked")</f>
        <v/>
      </c>
      <c r="BH10" s="15">
        <f>IF(AND(Q10="",AC10="",AK10="",AS10="",BC10=""),"",(IF(Q10="",0,Q10*25)+IF(AC10="",0,AC10*22)+IF(AK10="",0,AK10*18)+IF(AS10="",0,AS10*15)+IF(BC10="",0,BC10*20))/(IF(Q10="",0,25)+IF(AC10="",0,22)+IF(AK10="",0,18)+IF(AS10="",0,15)+IF(BC10="",0,20)))</f>
        <v/>
      </c>
      <c r="BI10" s="11">
        <f>IF(BG10="Ranked",1+COUNTIFS($BG$2:$BG$103,"Ranked",$BH$2:$BH$103,"&gt;"&amp;BH10),"")</f>
        <v/>
      </c>
      <c r="BJ10" s="11">
        <f>City_Inputs!$AH10</f>
        <v/>
      </c>
    </row>
    <row r="11">
      <c r="A11" t="inlineStr">
        <is>
          <t>th-hat-yai</t>
        </is>
      </c>
      <c r="B11" t="inlineStr">
        <is>
          <t>Hat Yai</t>
        </is>
      </c>
      <c r="C11" t="inlineStr">
        <is>
          <t>Thailand</t>
        </is>
      </c>
      <c r="D11" t="inlineStr">
        <is>
          <t>Southeast Asia</t>
        </is>
      </c>
      <c r="E11" t="inlineStr">
        <is>
          <t>provisional</t>
        </is>
      </c>
      <c r="F11" t="inlineStr">
        <is>
          <t>secondary</t>
        </is>
      </c>
      <c r="G11" s="11">
        <f>IF(OR(City_Inputs!$M11="",Norm_Stats!$F$2="",Norm_Stats!$G$2="",Norm_Stats!$G$2=Norm_Stats!$F$2),"",MAX(0,MIN(100,100*(MIN(MAX(City_Inputs!$M11,Norm_Stats!$F$2),Norm_Stats!$G$2)-Norm_Stats!$F$2)/(Norm_Stats!$G$2-Norm_Stats!$F$2))))</f>
        <v/>
      </c>
      <c r="H11" s="14">
        <f>IF(G11="","",1)</f>
        <v/>
      </c>
      <c r="I11" s="11">
        <f>IF(OR(City_Inputs!$N11="",Norm_Stats!$F$3="",Norm_Stats!$G$3="",Norm_Stats!$G$3=Norm_Stats!$F$3),"",MAX(0,MIN(100,100*(Norm_Stats!$G$3-MIN(MAX(City_Inputs!$N11,Norm_Stats!$F$3),Norm_Stats!$G$3))/(Norm_Stats!$G$3-Norm_Stats!$F$3))))</f>
        <v/>
      </c>
      <c r="J11" s="14">
        <f>IF(I11="","",1)</f>
        <v/>
      </c>
      <c r="K11" s="11">
        <f>IF(OR(City_Inputs!$P11="",Norm_Stats!$F$4="",Norm_Stats!$G$4="",Norm_Stats!$G$4=Norm_Stats!$F$4),"",MAX(0,MIN(100,100*(Norm_Stats!$G$4-MIN(MAX(City_Inputs!$P11,Norm_Stats!$F$4),Norm_Stats!$G$4))/(Norm_Stats!$G$4-Norm_Stats!$F$4))))</f>
        <v/>
      </c>
      <c r="L11" s="14">
        <f>IF(K11="","",1)</f>
        <v/>
      </c>
      <c r="M11" s="11">
        <f>IF(OR(City_Inputs!$Q11="",Norm_Stats!$F$5="",Norm_Stats!$G$5="",Norm_Stats!$G$5=Norm_Stats!$F$5),"",MAX(0,MIN(100,100*(Norm_Stats!$G$5-MIN(MAX(City_Inputs!$Q11,Norm_Stats!$F$5),Norm_Stats!$G$5))/(Norm_Stats!$G$5-Norm_Stats!$F$5))))</f>
        <v/>
      </c>
      <c r="N11" s="14">
        <f>IF(M11="","",1)</f>
        <v/>
      </c>
      <c r="O11" s="11">
        <f>IF(OR(City_Inputs!$R11="",Norm_Stats!$F$6="",Norm_Stats!$G$6="",Norm_Stats!$G$6=Norm_Stats!$F$6),"",MAX(0,MIN(100,100*(Norm_Stats!$G$6-MIN(MAX(City_Inputs!$R11,Norm_Stats!$F$6),Norm_Stats!$G$6))/(Norm_Stats!$G$6-Norm_Stats!$F$6))))</f>
        <v/>
      </c>
      <c r="P11" s="14">
        <f>IF(O11="","",1)</f>
        <v/>
      </c>
      <c r="Q11" s="15">
        <f>IF((IF(G11="",0,9)+IF(I11="",0,5)+IF(K11="",0,4)+IF(M11="",0,4)+IF(O11="",0,3))=0,"",(IF(G11="",0,G11*9)+IF(I11="",0,I11*5)+IF(K11="",0,K11*4)+IF(M11="",0,M11*4)+IF(O11="",0,O11*3))/(IF(G11="",0,9)+IF(I11="",0,5)+IF(K11="",0,4)+IF(M11="",0,4)+IF(O11="",0,3)))</f>
        <v/>
      </c>
      <c r="R11" s="14">
        <f>IF((IF(H11="",0,9)+IF(J11="",0,5)+IF(L11="",0,4)+IF(N11="",0,4)+IF(P11="",0,3))=0,"",(IF(H11="",0,H11*9)+IF(J11="",0,J11*5)+IF(L11="",0,L11*4)+IF(N11="",0,N11*4)+IF(P11="",0,P11*3))/25)</f>
        <v/>
      </c>
      <c r="S11" s="11">
        <f>IF(OR(City_Inputs!$S11="",Norm_Stats!$F$7="",Norm_Stats!$G$7="",Norm_Stats!$G$7=Norm_Stats!$F$7),"",MAX(0,MIN(100,100*(Norm_Stats!$G$7-MIN(MAX(City_Inputs!$S11,Norm_Stats!$F$7),Norm_Stats!$G$7))/(Norm_Stats!$G$7-Norm_Stats!$F$7))))</f>
        <v/>
      </c>
      <c r="T11" s="14">
        <f>IF(S11="","",1)</f>
        <v/>
      </c>
      <c r="U11" s="11">
        <f>IF(OR(City_Inputs!$T11="",Norm_Stats!$F$8="",Norm_Stats!$G$8="",Norm_Stats!$G$8=Norm_Stats!$F$8),"",MAX(0,MIN(100,100*(MIN(MAX(City_Inputs!$T11,Norm_Stats!$F$8),Norm_Stats!$G$8)-Norm_Stats!$F$8)/(Norm_Stats!$G$8-Norm_Stats!$F$8))))</f>
        <v/>
      </c>
      <c r="V11" s="14">
        <f>IF(U11="","",1)</f>
        <v/>
      </c>
      <c r="W11" s="11">
        <f>IF(OR(City_Inputs!$U11="",Norm_Stats!$F$9="",Norm_Stats!$G$9="",Norm_Stats!$G$9=Norm_Stats!$F$9),"",MAX(0,MIN(100,100*(Norm_Stats!$G$9-MIN(MAX(City_Inputs!$U11,Norm_Stats!$F$9),Norm_Stats!$G$9))/(Norm_Stats!$G$9-Norm_Stats!$F$9))))</f>
        <v/>
      </c>
      <c r="X11" s="14">
        <f>IF(W11="","",1)</f>
        <v/>
      </c>
      <c r="Y11" s="11">
        <f>IF(OR(City_Inputs!$V11="",Norm_Stats!$F$10="",Norm_Stats!$G$10="",Norm_Stats!$G$10=Norm_Stats!$F$10),"",MAX(0,MIN(100,100*(MIN(MAX(City_Inputs!$V11,Norm_Stats!$F$10),Norm_Stats!$G$10)-Norm_Stats!$F$10)/(Norm_Stats!$G$10-Norm_Stats!$F$10))))</f>
        <v/>
      </c>
      <c r="Z11" s="14">
        <f>IF(Y11="","",1)</f>
        <v/>
      </c>
      <c r="AA11" s="11">
        <f>IF(OR(City_Inputs!$W11="",Norm_Stats!$F$11="",Norm_Stats!$G$11="",Norm_Stats!$G$11=Norm_Stats!$F$11),"",MAX(0,MIN(100,100*(MIN(MAX(City_Inputs!$W11,Norm_Stats!$F$11),Norm_Stats!$G$11)-Norm_Stats!$F$11)/(Norm_Stats!$G$11-Norm_Stats!$F$11))))</f>
        <v/>
      </c>
      <c r="AB11" s="14">
        <f>IF(AA11="","",1)</f>
        <v/>
      </c>
      <c r="AC11" s="15">
        <f>IF((IF(S11="",0,5)+IF(U11="",0,5)+IF(W11="",0,4)+IF(Y11="",0,4)+IF(AA11="",0,4))=0,"",(IF(S11="",0,S11*5)+IF(U11="",0,U11*5)+IF(W11="",0,W11*4)+IF(Y11="",0,Y11*4)+IF(AA11="",0,AA11*4))/(IF(S11="",0,5)+IF(U11="",0,5)+IF(W11="",0,4)+IF(Y11="",0,4)+IF(AA11="",0,4)))</f>
        <v/>
      </c>
      <c r="AD11" s="14">
        <f>IF((IF(T11="",0,5)+IF(V11="",0,5)+IF(X11="",0,4)+IF(Z11="",0,4)+IF(AB11="",0,4))=0,"",(IF(T11="",0,T11*5)+IF(V11="",0,V11*5)+IF(X11="",0,X11*4)+IF(Z11="",0,Z11*4)+IF(AB11="",0,AB11*4))/22)</f>
        <v/>
      </c>
      <c r="AE11" s="11">
        <f>IF(OR(City_Inputs!$X11="",Norm_Stats!$F$12="",Norm_Stats!$G$12="",Norm_Stats!$G$12=Norm_Stats!$F$12),"",MAX(0,MIN(100,100*(MIN(MAX(City_Inputs!$X11,Norm_Stats!$F$12),Norm_Stats!$G$12)-Norm_Stats!$F$12)/(Norm_Stats!$G$12-Norm_Stats!$F$12))))</f>
        <v/>
      </c>
      <c r="AF11" s="14">
        <f>IF(AE11="","",1)</f>
        <v/>
      </c>
      <c r="AG11" s="11">
        <f>IF(OR(City_Inputs!$Y11="",Norm_Stats!$F$13="",Norm_Stats!$G$13="",Norm_Stats!$G$13=Norm_Stats!$F$13),"",MAX(0,MIN(100,100*(MIN(MAX(City_Inputs!$Y11,Norm_Stats!$F$13),Norm_Stats!$G$13)-Norm_Stats!$F$13)/(Norm_Stats!$G$13-Norm_Stats!$F$13))))</f>
        <v/>
      </c>
      <c r="AH11" s="14">
        <f>IF(AG11="","",1)</f>
        <v/>
      </c>
      <c r="AI11" s="11">
        <f>IF((IF((IF(OR(City_Inputs!$Z11="",Norm_Stats!$F$14="",Norm_Stats!$G$14="",Norm_Stats!$G$14=Norm_Stats!$F$14),"",MAX(0,MIN(100,100*(MIN(MAX(City_Inputs!$Z11,Norm_Stats!$F$14),Norm_Stats!$G$14)-Norm_Stats!$F$14)/(Norm_Stats!$G$14-Norm_Stats!$F$14)))))="",0,0.7)+IF((IF(OR(City_Inputs!$AK11="",Norm_Stats!$F$15="",Norm_Stats!$G$15="",Norm_Stats!$G$15=Norm_Stats!$F$15),"",MAX(0,MIN(100,100*(Norm_Stats!$G$15-MIN(MAX(City_Inputs!$AK11,Norm_Stats!$F$15),Norm_Stats!$G$15))/(Norm_Stats!$G$15-Norm_Stats!$F$15)))))="",0,0.3))=0,"",(IF((IF(OR(City_Inputs!$Z11="",Norm_Stats!$F$14="",Norm_Stats!$G$14="",Norm_Stats!$G$14=Norm_Stats!$F$14),"",MAX(0,MIN(100,100*(MIN(MAX(City_Inputs!$Z11,Norm_Stats!$F$14),Norm_Stats!$G$14)-Norm_Stats!$F$14)/(Norm_Stats!$G$14-Norm_Stats!$F$14)))))="",0,(IF(OR(City_Inputs!$Z11="",Norm_Stats!$F$14="",Norm_Stats!$G$14="",Norm_Stats!$G$14=Norm_Stats!$F$14),"",MAX(0,MIN(100,100*(MIN(MAX(City_Inputs!$Z11,Norm_Stats!$F$14),Norm_Stats!$G$14)-Norm_Stats!$F$14)/(Norm_Stats!$G$14-Norm_Stats!$F$14)))))*0.7)+IF((IF(OR(City_Inputs!$AK11="",Norm_Stats!$F$15="",Norm_Stats!$G$15="",Norm_Stats!$G$15=Norm_Stats!$F$15),"",MAX(0,MIN(100,100*(Norm_Stats!$G$15-MIN(MAX(City_Inputs!$AK11,Norm_Stats!$F$15),Norm_Stats!$G$15))/(Norm_Stats!$G$15-Norm_Stats!$F$15)))))="",0,(IF(OR(City_Inputs!$AK11="",Norm_Stats!$F$15="",Norm_Stats!$G$15="",Norm_Stats!$G$15=Norm_Stats!$F$15),"",MAX(0,MIN(100,100*(Norm_Stats!$G$15-MIN(MAX(City_Inputs!$AK11,Norm_Stats!$F$15),Norm_Stats!$G$15))/(Norm_Stats!$G$15-Norm_Stats!$F$15)))))*0.3))/(IF((IF(OR(City_Inputs!$Z11="",Norm_Stats!$F$14="",Norm_Stats!$G$14="",Norm_Stats!$G$14=Norm_Stats!$F$14),"",MAX(0,MIN(100,100*(MIN(MAX(City_Inputs!$Z11,Norm_Stats!$F$14),Norm_Stats!$G$14)-Norm_Stats!$F$14)/(Norm_Stats!$G$14-Norm_Stats!$F$14)))))="",0,0.7)+IF((IF(OR(City_Inputs!$AK11="",Norm_Stats!$F$15="",Norm_Stats!$G$15="",Norm_Stats!$G$15=Norm_Stats!$F$15),"",MAX(0,MIN(100,100*(Norm_Stats!$G$15-MIN(MAX(City_Inputs!$AK11,Norm_Stats!$F$15),Norm_Stats!$G$15))/(Norm_Stats!$G$15-Norm_Stats!$F$15)))))="",0,0.3)))</f>
        <v/>
      </c>
      <c r="AJ11" s="14">
        <f>IF((IF((IF(OR(City_Inputs!$Z11="",Norm_Stats!$F$14="",Norm_Stats!$G$14="",Norm_Stats!$G$14=Norm_Stats!$F$14),"",MAX(0,MIN(100,100*(MIN(MAX(City_Inputs!$Z11,Norm_Stats!$F$14),Norm_Stats!$G$14)-Norm_Stats!$F$14)/(Norm_Stats!$G$14-Norm_Stats!$F$14)))))="",0,0.7)+IF((IF(OR(City_Inputs!$AK11="",Norm_Stats!$F$15="",Norm_Stats!$G$15="",Norm_Stats!$G$15=Norm_Stats!$F$15),"",MAX(0,MIN(100,100*(Norm_Stats!$G$15-MIN(MAX(City_Inputs!$AK11,Norm_Stats!$F$15),Norm_Stats!$G$15))/(Norm_Stats!$G$15-Norm_Stats!$F$15)))))="",0,0.3))=0,"",(IF((IF(OR(City_Inputs!$Z11="",Norm_Stats!$F$14="",Norm_Stats!$G$14="",Norm_Stats!$G$14=Norm_Stats!$F$14),"",MAX(0,MIN(100,100*(MIN(MAX(City_Inputs!$Z11,Norm_Stats!$F$14),Norm_Stats!$G$14)-Norm_Stats!$F$14)/(Norm_Stats!$G$14-Norm_Stats!$F$14)))))="",0,0.7)+IF((IF(OR(City_Inputs!$AK11="",Norm_Stats!$F$15="",Norm_Stats!$G$15="",Norm_Stats!$G$15=Norm_Stats!$F$15),"",MAX(0,MIN(100,100*(Norm_Stats!$G$15-MIN(MAX(City_Inputs!$AK11,Norm_Stats!$F$15),Norm_Stats!$G$15))/(Norm_Stats!$G$15-Norm_Stats!$F$15)))))="",0,0.3)))</f>
        <v/>
      </c>
      <c r="AK11" s="15">
        <f>IF((IF(AE11="",0,8)+IF(AG11="",0,6)+IF(AI11="",0,4))=0,"",(IF(AE11="",0,AE11*8)+IF(AG11="",0,AG11*6)+IF(AI11="",0,AI11*4))/(IF(AE11="",0,8)+IF(AG11="",0,6)+IF(AI11="",0,4)))</f>
        <v/>
      </c>
      <c r="AL11" s="14">
        <f>IF((IF(AF11="",0,8)+IF(AH11="",0,6)+IF(AJ11="",0,4))=0,"",(IF(AF11="",0,AF11*8)+IF(AH11="",0,AH11*6)+IF(AJ11="",0,AJ11*4))/18)</f>
        <v/>
      </c>
      <c r="AM11" s="11">
        <f>IF(OR(City_Inputs!$AA11="",Norm_Stats!$F$16="",Norm_Stats!$G$16="",Norm_Stats!$G$16=Norm_Stats!$F$16),"",MAX(0,MIN(100,100*(MIN(MAX(City_Inputs!$AA11,Norm_Stats!$F$16),Norm_Stats!$G$16)-Norm_Stats!$F$16)/(Norm_Stats!$G$16-Norm_Stats!$F$16))))</f>
        <v/>
      </c>
      <c r="AN11" s="14">
        <f>IF(AM11="","",1)</f>
        <v/>
      </c>
      <c r="AO11" s="11">
        <f>IF(OR(City_Inputs!$AB11="",Norm_Stats!$F$17="",Norm_Stats!$G$17="",Norm_Stats!$G$17=Norm_Stats!$F$17),"",MAX(0,MIN(100,100*(MIN(MAX(City_Inputs!$AB11,Norm_Stats!$F$17),Norm_Stats!$G$17)-Norm_Stats!$F$17)/(Norm_Stats!$G$17-Norm_Stats!$F$17))))</f>
        <v/>
      </c>
      <c r="AP11" s="14">
        <f>IF(AO11="","",1)</f>
        <v/>
      </c>
      <c r="AQ11" s="11">
        <f>IF(OR(City_Inputs!$AC11="",Norm_Stats!$F$18="",Norm_Stats!$G$18="",Norm_Stats!$G$18=Norm_Stats!$F$18),"",MAX(0,MIN(100,100*(MIN(MAX(City_Inputs!$AC11,Norm_Stats!$F$18),Norm_Stats!$G$18)-Norm_Stats!$F$18)/(Norm_Stats!$G$18-Norm_Stats!$F$18))))</f>
        <v/>
      </c>
      <c r="AR11" s="14">
        <f>IF(AQ11="","",1)</f>
        <v/>
      </c>
      <c r="AS11" s="15">
        <f>IF((IF(AM11="",0,5)+IF(AO11="",0,5)+IF(AQ11="",0,5))=0,"",(IF(AM11="",0,AM11*5)+IF(AO11="",0,AO11*5)+IF(AQ11="",0,AQ11*5))/(IF(AM11="",0,5)+IF(AO11="",0,5)+IF(AQ11="",0,5)))</f>
        <v/>
      </c>
      <c r="AT11" s="14">
        <f>IF((IF(AN11="",0,5)+IF(AP11="",0,5)+IF(AR11="",0,5))=0,"",(IF(AN11="",0,AN11*5)+IF(AP11="",0,AP11*5)+IF(AR11="",0,AR11*5))/15)</f>
        <v/>
      </c>
      <c r="AU11" s="11">
        <f>IF(OR(City_Inputs!$AD11="",Norm_Stats!$F$19="",Norm_Stats!$G$19="",Norm_Stats!$G$19=Norm_Stats!$F$19),"",MAX(0,MIN(100,100*(MIN(MAX(City_Inputs!$AD11,Norm_Stats!$F$19),Norm_Stats!$G$19)-Norm_Stats!$F$19)/(Norm_Stats!$G$19-Norm_Stats!$F$19))))</f>
        <v/>
      </c>
      <c r="AV11" s="14">
        <f>IF(AU11="","",1)</f>
        <v/>
      </c>
      <c r="AW11" s="11">
        <f>IF(OR(City_Inputs!$AE11="",Norm_Stats!$F$20="",Norm_Stats!$G$20="",Norm_Stats!$G$20=Norm_Stats!$F$20),"",MAX(0,MIN(100,100*(MIN(MAX(City_Inputs!$AE11,Norm_Stats!$F$20),Norm_Stats!$G$20)-Norm_Stats!$F$20)/(Norm_Stats!$G$20-Norm_Stats!$F$20))))</f>
        <v/>
      </c>
      <c r="AX11" s="14">
        <f>IF(AW11="","",1)</f>
        <v/>
      </c>
      <c r="AY11" s="11">
        <f>IF((IF((IF(OR(City_Inputs!$AF11="",Norm_Stats!$F$21="",Norm_Stats!$G$21="",Norm_Stats!$G$21=Norm_Stats!$F$21),"",MAX(0,MIN(100,100*(MIN(MAX(City_Inputs!$AF11,Norm_Stats!$F$21),Norm_Stats!$G$21)-Norm_Stats!$F$21)/(Norm_Stats!$G$21-Norm_Stats!$F$21)))))="",0,0.5)+IF((IF(OR(City_Inputs!$AI11="",Norm_Stats!$F$22="",Norm_Stats!$G$22="",Norm_Stats!$G$22=Norm_Stats!$F$22),"",MAX(0,MIN(100,100*(MIN(MAX(City_Inputs!$AI11,Norm_Stats!$F$22),Norm_Stats!$G$22)-Norm_Stats!$F$22)/(Norm_Stats!$G$22-Norm_Stats!$F$22)))))="",0,0.3)+IF((IF(OR(City_Inputs!$AJ11="",Norm_Stats!$F$23="",Norm_Stats!$G$23="",Norm_Stats!$G$23=Norm_Stats!$F$23),"",MAX(0,MIN(100,100*(MIN(MAX(City_Inputs!$AJ11,Norm_Stats!$F$23),Norm_Stats!$G$23)-Norm_Stats!$F$23)/(Norm_Stats!$G$23-Norm_Stats!$F$23)))))="",0,0.2))=0,"",(IF((IF(OR(City_Inputs!$AF11="",Norm_Stats!$F$21="",Norm_Stats!$G$21="",Norm_Stats!$G$21=Norm_Stats!$F$21),"",MAX(0,MIN(100,100*(MIN(MAX(City_Inputs!$AF11,Norm_Stats!$F$21),Norm_Stats!$G$21)-Norm_Stats!$F$21)/(Norm_Stats!$G$21-Norm_Stats!$F$21)))))="",0,(IF(OR(City_Inputs!$AF11="",Norm_Stats!$F$21="",Norm_Stats!$G$21="",Norm_Stats!$G$21=Norm_Stats!$F$21),"",MAX(0,MIN(100,100*(MIN(MAX(City_Inputs!$AF11,Norm_Stats!$F$21),Norm_Stats!$G$21)-Norm_Stats!$F$21)/(Norm_Stats!$G$21-Norm_Stats!$F$21)))))*0.5)+IF((IF(OR(City_Inputs!$AI11="",Norm_Stats!$F$22="",Norm_Stats!$G$22="",Norm_Stats!$G$22=Norm_Stats!$F$22),"",MAX(0,MIN(100,100*(MIN(MAX(City_Inputs!$AI11,Norm_Stats!$F$22),Norm_Stats!$G$22)-Norm_Stats!$F$22)/(Norm_Stats!$G$22-Norm_Stats!$F$22)))))="",0,(IF(OR(City_Inputs!$AI11="",Norm_Stats!$F$22="",Norm_Stats!$G$22="",Norm_Stats!$G$22=Norm_Stats!$F$22),"",MAX(0,MIN(100,100*(MIN(MAX(City_Inputs!$AI11,Norm_Stats!$F$22),Norm_Stats!$G$22)-Norm_Stats!$F$22)/(Norm_Stats!$G$22-Norm_Stats!$F$22)))))*0.3)+IF((IF(OR(City_Inputs!$AJ11="",Norm_Stats!$F$23="",Norm_Stats!$G$23="",Norm_Stats!$G$23=Norm_Stats!$F$23),"",MAX(0,MIN(100,100*(MIN(MAX(City_Inputs!$AJ11,Norm_Stats!$F$23),Norm_Stats!$G$23)-Norm_Stats!$F$23)/(Norm_Stats!$G$23-Norm_Stats!$F$23)))))="",0,(IF(OR(City_Inputs!$AJ11="",Norm_Stats!$F$23="",Norm_Stats!$G$23="",Norm_Stats!$G$23=Norm_Stats!$F$23),"",MAX(0,MIN(100,100*(MIN(MAX(City_Inputs!$AJ11,Norm_Stats!$F$23),Norm_Stats!$G$23)-Norm_Stats!$F$23)/(Norm_Stats!$G$23-Norm_Stats!$F$23)))))*0.2))/(IF((IF(OR(City_Inputs!$AF11="",Norm_Stats!$F$21="",Norm_Stats!$G$21="",Norm_Stats!$G$21=Norm_Stats!$F$21),"",MAX(0,MIN(100,100*(MIN(MAX(City_Inputs!$AF11,Norm_Stats!$F$21),Norm_Stats!$G$21)-Norm_Stats!$F$21)/(Norm_Stats!$G$21-Norm_Stats!$F$21)))))="",0,0.5)+IF((IF(OR(City_Inputs!$AI11="",Norm_Stats!$F$22="",Norm_Stats!$G$22="",Norm_Stats!$G$22=Norm_Stats!$F$22),"",MAX(0,MIN(100,100*(MIN(MAX(City_Inputs!$AI11,Norm_Stats!$F$22),Norm_Stats!$G$22)-Norm_Stats!$F$22)/(Norm_Stats!$G$22-Norm_Stats!$F$22)))))="",0,0.3)+IF((IF(OR(City_Inputs!$AJ11="",Norm_Stats!$F$23="",Norm_Stats!$G$23="",Norm_Stats!$G$23=Norm_Stats!$F$23),"",MAX(0,MIN(100,100*(MIN(MAX(City_Inputs!$AJ11,Norm_Stats!$F$23),Norm_Stats!$G$23)-Norm_Stats!$F$23)/(Norm_Stats!$G$23-Norm_Stats!$F$23)))))="",0,0.2)))</f>
        <v/>
      </c>
      <c r="AZ11" s="14">
        <f>IF((IF((IF(OR(City_Inputs!$AF11="",Norm_Stats!$F$21="",Norm_Stats!$G$21="",Norm_Stats!$G$21=Norm_Stats!$F$21),"",MAX(0,MIN(100,100*(MIN(MAX(City_Inputs!$AF11,Norm_Stats!$F$21),Norm_Stats!$G$21)-Norm_Stats!$F$21)/(Norm_Stats!$G$21-Norm_Stats!$F$21)))))="",0,0.5)+IF((IF(OR(City_Inputs!$AI11="",Norm_Stats!$F$22="",Norm_Stats!$G$22="",Norm_Stats!$G$22=Norm_Stats!$F$22),"",MAX(0,MIN(100,100*(MIN(MAX(City_Inputs!$AI11,Norm_Stats!$F$22),Norm_Stats!$G$22)-Norm_Stats!$F$22)/(Norm_Stats!$G$22-Norm_Stats!$F$22)))))="",0,0.3)+IF((IF(OR(City_Inputs!$AJ11="",Norm_Stats!$F$23="",Norm_Stats!$G$23="",Norm_Stats!$G$23=Norm_Stats!$F$23),"",MAX(0,MIN(100,100*(MIN(MAX(City_Inputs!$AJ11,Norm_Stats!$F$23),Norm_Stats!$G$23)-Norm_Stats!$F$23)/(Norm_Stats!$G$23-Norm_Stats!$F$23)))))="",0,0.2))=0,"",(IF((IF(OR(City_Inputs!$AF11="",Norm_Stats!$F$21="",Norm_Stats!$G$21="",Norm_Stats!$G$21=Norm_Stats!$F$21),"",MAX(0,MIN(100,100*(MIN(MAX(City_Inputs!$AF11,Norm_Stats!$F$21),Norm_Stats!$G$21)-Norm_Stats!$F$21)/(Norm_Stats!$G$21-Norm_Stats!$F$21)))))="",0,0.5)+IF((IF(OR(City_Inputs!$AI11="",Norm_Stats!$F$22="",Norm_Stats!$G$22="",Norm_Stats!$G$22=Norm_Stats!$F$22),"",MAX(0,MIN(100,100*(MIN(MAX(City_Inputs!$AI11,Norm_Stats!$F$22),Norm_Stats!$G$22)-Norm_Stats!$F$22)/(Norm_Stats!$G$22-Norm_Stats!$F$22)))))="",0,0.3)+IF((IF(OR(City_Inputs!$AJ11="",Norm_Stats!$F$23="",Norm_Stats!$G$23="",Norm_Stats!$G$23=Norm_Stats!$F$23),"",MAX(0,MIN(100,100*(MIN(MAX(City_Inputs!$AJ11,Norm_Stats!$F$23),Norm_Stats!$G$23)-Norm_Stats!$F$23)/(Norm_Stats!$G$23-Norm_Stats!$F$23)))))="",0,0.2)))</f>
        <v/>
      </c>
      <c r="BA11" s="11">
        <f>IF(OR(City_Inputs!$AG11="",Norm_Stats!$F$24="",Norm_Stats!$G$24="",Norm_Stats!$G$24=Norm_Stats!$F$24),"",MAX(0,MIN(100,100*(Norm_Stats!$G$24-MIN(MAX(City_Inputs!$AG11,Norm_Stats!$F$24),Norm_Stats!$G$24))/(Norm_Stats!$G$24-Norm_Stats!$F$24))))</f>
        <v/>
      </c>
      <c r="BB11" s="14">
        <f>IF(BA11="","",1)</f>
        <v/>
      </c>
      <c r="BC11" s="15">
        <f>IF((IF(AU11="",0,6)+IF(AW11="",0,5)+IF(AY11="",0,5)+IF(BA11="",0,4))=0,"",(IF(AU11="",0,AU11*6)+IF(AW11="",0,AW11*5)+IF(AY11="",0,AY11*5)+IF(BA11="",0,BA11*4))/(IF(AU11="",0,6)+IF(AW11="",0,5)+IF(AY11="",0,5)+IF(BA11="",0,4)))</f>
        <v/>
      </c>
      <c r="BD11" s="14">
        <f>IF((IF(AV11="",0,6)+IF(AX11="",0,5)+IF(AZ11="",0,5)+IF(BB11="",0,4))=0,"",(IF(AV11="",0,AV11*6)+IF(AX11="",0,AX11*5)+IF(AZ11="",0,AZ11*5)+IF(BB11="",0,BB11*4))/20)</f>
        <v/>
      </c>
      <c r="BE11" s="14">
        <f>IF(AND(R11="",AD11="",AL11="",AT11="",BD11=""),"",((R11*25)+(AD11*22)+(AL11*18)+(AT11*15)+(BD11*20))/100)</f>
        <v/>
      </c>
      <c r="BF11" s="11">
        <f>IF(BE11="","",IF(BE11&gt;=0.75,"A",IF(BE11&gt;=0.5,"B",IF(BE11&gt;=0.35,"C","Watchlist"))))</f>
        <v/>
      </c>
      <c r="BG11" s="11">
        <f>IF(OR(BE11="",BE11&lt;0.5,R11="",R11&lt;0.35,AD11="",AD11&lt;0.35,AL11="",AL11&lt;0.35,AT11="",AT11&lt;0.35,BD11="",BD11&lt;0.35),"Watchlist","Ranked")</f>
        <v/>
      </c>
      <c r="BH11" s="15">
        <f>IF(AND(Q11="",AC11="",AK11="",AS11="",BC11=""),"",(IF(Q11="",0,Q11*25)+IF(AC11="",0,AC11*22)+IF(AK11="",0,AK11*18)+IF(AS11="",0,AS11*15)+IF(BC11="",0,BC11*20))/(IF(Q11="",0,25)+IF(AC11="",0,22)+IF(AK11="",0,18)+IF(AS11="",0,15)+IF(BC11="",0,20)))</f>
        <v/>
      </c>
      <c r="BI11" s="11">
        <f>IF(BG11="Ranked",1+COUNTIFS($BG$2:$BG$103,"Ranked",$BH$2:$BH$103,"&gt;"&amp;BH11),"")</f>
        <v/>
      </c>
      <c r="BJ11" s="11">
        <f>City_Inputs!$AH11</f>
        <v/>
      </c>
    </row>
    <row r="12">
      <c r="A12" t="inlineStr">
        <is>
          <t>tw-taipei</t>
        </is>
      </c>
      <c r="B12" t="inlineStr">
        <is>
          <t>Taipei</t>
        </is>
      </c>
      <c r="C12" t="inlineStr">
        <is>
          <t>Taiwan</t>
        </is>
      </c>
      <c r="D12" t="inlineStr">
        <is>
          <t>East Asia</t>
        </is>
      </c>
      <c r="E12" t="inlineStr">
        <is>
          <t>locked</t>
        </is>
      </c>
      <c r="F12" t="inlineStr">
        <is>
          <t>primary</t>
        </is>
      </c>
      <c r="G12" s="11">
        <f>IF(OR(City_Inputs!$M12="",Norm_Stats!$F$2="",Norm_Stats!$G$2="",Norm_Stats!$G$2=Norm_Stats!$F$2),"",MAX(0,MIN(100,100*(MIN(MAX(City_Inputs!$M12,Norm_Stats!$F$2),Norm_Stats!$G$2)-Norm_Stats!$F$2)/(Norm_Stats!$G$2-Norm_Stats!$F$2))))</f>
        <v/>
      </c>
      <c r="H12" s="14">
        <f>IF(G12="","",1)</f>
        <v/>
      </c>
      <c r="I12" s="11">
        <f>IF(OR(City_Inputs!$N12="",Norm_Stats!$F$3="",Norm_Stats!$G$3="",Norm_Stats!$G$3=Norm_Stats!$F$3),"",MAX(0,MIN(100,100*(Norm_Stats!$G$3-MIN(MAX(City_Inputs!$N12,Norm_Stats!$F$3),Norm_Stats!$G$3))/(Norm_Stats!$G$3-Norm_Stats!$F$3))))</f>
        <v/>
      </c>
      <c r="J12" s="14">
        <f>IF(I12="","",1)</f>
        <v/>
      </c>
      <c r="K12" s="11">
        <f>IF(OR(City_Inputs!$P12="",Norm_Stats!$F$4="",Norm_Stats!$G$4="",Norm_Stats!$G$4=Norm_Stats!$F$4),"",MAX(0,MIN(100,100*(Norm_Stats!$G$4-MIN(MAX(City_Inputs!$P12,Norm_Stats!$F$4),Norm_Stats!$G$4))/(Norm_Stats!$G$4-Norm_Stats!$F$4))))</f>
        <v/>
      </c>
      <c r="L12" s="14">
        <f>IF(K12="","",1)</f>
        <v/>
      </c>
      <c r="M12" s="11">
        <f>IF(OR(City_Inputs!$Q12="",Norm_Stats!$F$5="",Norm_Stats!$G$5="",Norm_Stats!$G$5=Norm_Stats!$F$5),"",MAX(0,MIN(100,100*(Norm_Stats!$G$5-MIN(MAX(City_Inputs!$Q12,Norm_Stats!$F$5),Norm_Stats!$G$5))/(Norm_Stats!$G$5-Norm_Stats!$F$5))))</f>
        <v/>
      </c>
      <c r="N12" s="14">
        <f>IF(M12="","",1)</f>
        <v/>
      </c>
      <c r="O12" s="11">
        <f>IF(OR(City_Inputs!$R12="",Norm_Stats!$F$6="",Norm_Stats!$G$6="",Norm_Stats!$G$6=Norm_Stats!$F$6),"",MAX(0,MIN(100,100*(Norm_Stats!$G$6-MIN(MAX(City_Inputs!$R12,Norm_Stats!$F$6),Norm_Stats!$G$6))/(Norm_Stats!$G$6-Norm_Stats!$F$6))))</f>
        <v/>
      </c>
      <c r="P12" s="14">
        <f>IF(O12="","",1)</f>
        <v/>
      </c>
      <c r="Q12" s="15">
        <f>IF((IF(G12="",0,9)+IF(I12="",0,5)+IF(K12="",0,4)+IF(M12="",0,4)+IF(O12="",0,3))=0,"",(IF(G12="",0,G12*9)+IF(I12="",0,I12*5)+IF(K12="",0,K12*4)+IF(M12="",0,M12*4)+IF(O12="",0,O12*3))/(IF(G12="",0,9)+IF(I12="",0,5)+IF(K12="",0,4)+IF(M12="",0,4)+IF(O12="",0,3)))</f>
        <v/>
      </c>
      <c r="R12" s="14">
        <f>IF((IF(H12="",0,9)+IF(J12="",0,5)+IF(L12="",0,4)+IF(N12="",0,4)+IF(P12="",0,3))=0,"",(IF(H12="",0,H12*9)+IF(J12="",0,J12*5)+IF(L12="",0,L12*4)+IF(N12="",0,N12*4)+IF(P12="",0,P12*3))/25)</f>
        <v/>
      </c>
      <c r="S12" s="11">
        <f>IF(OR(City_Inputs!$S12="",Norm_Stats!$F$7="",Norm_Stats!$G$7="",Norm_Stats!$G$7=Norm_Stats!$F$7),"",MAX(0,MIN(100,100*(Norm_Stats!$G$7-MIN(MAX(City_Inputs!$S12,Norm_Stats!$F$7),Norm_Stats!$G$7))/(Norm_Stats!$G$7-Norm_Stats!$F$7))))</f>
        <v/>
      </c>
      <c r="T12" s="14">
        <f>IF(S12="","",1)</f>
        <v/>
      </c>
      <c r="U12" s="11">
        <f>IF(OR(City_Inputs!$T12="",Norm_Stats!$F$8="",Norm_Stats!$G$8="",Norm_Stats!$G$8=Norm_Stats!$F$8),"",MAX(0,MIN(100,100*(MIN(MAX(City_Inputs!$T12,Norm_Stats!$F$8),Norm_Stats!$G$8)-Norm_Stats!$F$8)/(Norm_Stats!$G$8-Norm_Stats!$F$8))))</f>
        <v/>
      </c>
      <c r="V12" s="14">
        <f>IF(U12="","",1)</f>
        <v/>
      </c>
      <c r="W12" s="11">
        <f>IF(OR(City_Inputs!$U12="",Norm_Stats!$F$9="",Norm_Stats!$G$9="",Norm_Stats!$G$9=Norm_Stats!$F$9),"",MAX(0,MIN(100,100*(Norm_Stats!$G$9-MIN(MAX(City_Inputs!$U12,Norm_Stats!$F$9),Norm_Stats!$G$9))/(Norm_Stats!$G$9-Norm_Stats!$F$9))))</f>
        <v/>
      </c>
      <c r="X12" s="14">
        <f>IF(W12="","",1)</f>
        <v/>
      </c>
      <c r="Y12" s="11">
        <f>IF(OR(City_Inputs!$V12="",Norm_Stats!$F$10="",Norm_Stats!$G$10="",Norm_Stats!$G$10=Norm_Stats!$F$10),"",MAX(0,MIN(100,100*(MIN(MAX(City_Inputs!$V12,Norm_Stats!$F$10),Norm_Stats!$G$10)-Norm_Stats!$F$10)/(Norm_Stats!$G$10-Norm_Stats!$F$10))))</f>
        <v/>
      </c>
      <c r="Z12" s="14">
        <f>IF(Y12="","",1)</f>
        <v/>
      </c>
      <c r="AA12" s="11">
        <f>IF(OR(City_Inputs!$W12="",Norm_Stats!$F$11="",Norm_Stats!$G$11="",Norm_Stats!$G$11=Norm_Stats!$F$11),"",MAX(0,MIN(100,100*(MIN(MAX(City_Inputs!$W12,Norm_Stats!$F$11),Norm_Stats!$G$11)-Norm_Stats!$F$11)/(Norm_Stats!$G$11-Norm_Stats!$F$11))))</f>
        <v/>
      </c>
      <c r="AB12" s="14">
        <f>IF(AA12="","",1)</f>
        <v/>
      </c>
      <c r="AC12" s="15">
        <f>IF((IF(S12="",0,5)+IF(U12="",0,5)+IF(W12="",0,4)+IF(Y12="",0,4)+IF(AA12="",0,4))=0,"",(IF(S12="",0,S12*5)+IF(U12="",0,U12*5)+IF(W12="",0,W12*4)+IF(Y12="",0,Y12*4)+IF(AA12="",0,AA12*4))/(IF(S12="",0,5)+IF(U12="",0,5)+IF(W12="",0,4)+IF(Y12="",0,4)+IF(AA12="",0,4)))</f>
        <v/>
      </c>
      <c r="AD12" s="14">
        <f>IF((IF(T12="",0,5)+IF(V12="",0,5)+IF(X12="",0,4)+IF(Z12="",0,4)+IF(AB12="",0,4))=0,"",(IF(T12="",0,T12*5)+IF(V12="",0,V12*5)+IF(X12="",0,X12*4)+IF(Z12="",0,Z12*4)+IF(AB12="",0,AB12*4))/22)</f>
        <v/>
      </c>
      <c r="AE12" s="11">
        <f>IF(OR(City_Inputs!$X12="",Norm_Stats!$F$12="",Norm_Stats!$G$12="",Norm_Stats!$G$12=Norm_Stats!$F$12),"",MAX(0,MIN(100,100*(MIN(MAX(City_Inputs!$X12,Norm_Stats!$F$12),Norm_Stats!$G$12)-Norm_Stats!$F$12)/(Norm_Stats!$G$12-Norm_Stats!$F$12))))</f>
        <v/>
      </c>
      <c r="AF12" s="14">
        <f>IF(AE12="","",1)</f>
        <v/>
      </c>
      <c r="AG12" s="11">
        <f>IF(OR(City_Inputs!$Y12="",Norm_Stats!$F$13="",Norm_Stats!$G$13="",Norm_Stats!$G$13=Norm_Stats!$F$13),"",MAX(0,MIN(100,100*(MIN(MAX(City_Inputs!$Y12,Norm_Stats!$F$13),Norm_Stats!$G$13)-Norm_Stats!$F$13)/(Norm_Stats!$G$13-Norm_Stats!$F$13))))</f>
        <v/>
      </c>
      <c r="AH12" s="14">
        <f>IF(AG12="","",1)</f>
        <v/>
      </c>
      <c r="AI12" s="11">
        <f>IF((IF((IF(OR(City_Inputs!$Z12="",Norm_Stats!$F$14="",Norm_Stats!$G$14="",Norm_Stats!$G$14=Norm_Stats!$F$14),"",MAX(0,MIN(100,100*(MIN(MAX(City_Inputs!$Z12,Norm_Stats!$F$14),Norm_Stats!$G$14)-Norm_Stats!$F$14)/(Norm_Stats!$G$14-Norm_Stats!$F$14)))))="",0,0.7)+IF((IF(OR(City_Inputs!$AK12="",Norm_Stats!$F$15="",Norm_Stats!$G$15="",Norm_Stats!$G$15=Norm_Stats!$F$15),"",MAX(0,MIN(100,100*(Norm_Stats!$G$15-MIN(MAX(City_Inputs!$AK12,Norm_Stats!$F$15),Norm_Stats!$G$15))/(Norm_Stats!$G$15-Norm_Stats!$F$15)))))="",0,0.3))=0,"",(IF((IF(OR(City_Inputs!$Z12="",Norm_Stats!$F$14="",Norm_Stats!$G$14="",Norm_Stats!$G$14=Norm_Stats!$F$14),"",MAX(0,MIN(100,100*(MIN(MAX(City_Inputs!$Z12,Norm_Stats!$F$14),Norm_Stats!$G$14)-Norm_Stats!$F$14)/(Norm_Stats!$G$14-Norm_Stats!$F$14)))))="",0,(IF(OR(City_Inputs!$Z12="",Norm_Stats!$F$14="",Norm_Stats!$G$14="",Norm_Stats!$G$14=Norm_Stats!$F$14),"",MAX(0,MIN(100,100*(MIN(MAX(City_Inputs!$Z12,Norm_Stats!$F$14),Norm_Stats!$G$14)-Norm_Stats!$F$14)/(Norm_Stats!$G$14-Norm_Stats!$F$14)))))*0.7)+IF((IF(OR(City_Inputs!$AK12="",Norm_Stats!$F$15="",Norm_Stats!$G$15="",Norm_Stats!$G$15=Norm_Stats!$F$15),"",MAX(0,MIN(100,100*(Norm_Stats!$G$15-MIN(MAX(City_Inputs!$AK12,Norm_Stats!$F$15),Norm_Stats!$G$15))/(Norm_Stats!$G$15-Norm_Stats!$F$15)))))="",0,(IF(OR(City_Inputs!$AK12="",Norm_Stats!$F$15="",Norm_Stats!$G$15="",Norm_Stats!$G$15=Norm_Stats!$F$15),"",MAX(0,MIN(100,100*(Norm_Stats!$G$15-MIN(MAX(City_Inputs!$AK12,Norm_Stats!$F$15),Norm_Stats!$G$15))/(Norm_Stats!$G$15-Norm_Stats!$F$15)))))*0.3))/(IF((IF(OR(City_Inputs!$Z12="",Norm_Stats!$F$14="",Norm_Stats!$G$14="",Norm_Stats!$G$14=Norm_Stats!$F$14),"",MAX(0,MIN(100,100*(MIN(MAX(City_Inputs!$Z12,Norm_Stats!$F$14),Norm_Stats!$G$14)-Norm_Stats!$F$14)/(Norm_Stats!$G$14-Norm_Stats!$F$14)))))="",0,0.7)+IF((IF(OR(City_Inputs!$AK12="",Norm_Stats!$F$15="",Norm_Stats!$G$15="",Norm_Stats!$G$15=Norm_Stats!$F$15),"",MAX(0,MIN(100,100*(Norm_Stats!$G$15-MIN(MAX(City_Inputs!$AK12,Norm_Stats!$F$15),Norm_Stats!$G$15))/(Norm_Stats!$G$15-Norm_Stats!$F$15)))))="",0,0.3)))</f>
        <v/>
      </c>
      <c r="AJ12" s="14">
        <f>IF((IF((IF(OR(City_Inputs!$Z12="",Norm_Stats!$F$14="",Norm_Stats!$G$14="",Norm_Stats!$G$14=Norm_Stats!$F$14),"",MAX(0,MIN(100,100*(MIN(MAX(City_Inputs!$Z12,Norm_Stats!$F$14),Norm_Stats!$G$14)-Norm_Stats!$F$14)/(Norm_Stats!$G$14-Norm_Stats!$F$14)))))="",0,0.7)+IF((IF(OR(City_Inputs!$AK12="",Norm_Stats!$F$15="",Norm_Stats!$G$15="",Norm_Stats!$G$15=Norm_Stats!$F$15),"",MAX(0,MIN(100,100*(Norm_Stats!$G$15-MIN(MAX(City_Inputs!$AK12,Norm_Stats!$F$15),Norm_Stats!$G$15))/(Norm_Stats!$G$15-Norm_Stats!$F$15)))))="",0,0.3))=0,"",(IF((IF(OR(City_Inputs!$Z12="",Norm_Stats!$F$14="",Norm_Stats!$G$14="",Norm_Stats!$G$14=Norm_Stats!$F$14),"",MAX(0,MIN(100,100*(MIN(MAX(City_Inputs!$Z12,Norm_Stats!$F$14),Norm_Stats!$G$14)-Norm_Stats!$F$14)/(Norm_Stats!$G$14-Norm_Stats!$F$14)))))="",0,0.7)+IF((IF(OR(City_Inputs!$AK12="",Norm_Stats!$F$15="",Norm_Stats!$G$15="",Norm_Stats!$G$15=Norm_Stats!$F$15),"",MAX(0,MIN(100,100*(Norm_Stats!$G$15-MIN(MAX(City_Inputs!$AK12,Norm_Stats!$F$15),Norm_Stats!$G$15))/(Norm_Stats!$G$15-Norm_Stats!$F$15)))))="",0,0.3)))</f>
        <v/>
      </c>
      <c r="AK12" s="15">
        <f>IF((IF(AE12="",0,8)+IF(AG12="",0,6)+IF(AI12="",0,4))=0,"",(IF(AE12="",0,AE12*8)+IF(AG12="",0,AG12*6)+IF(AI12="",0,AI12*4))/(IF(AE12="",0,8)+IF(AG12="",0,6)+IF(AI12="",0,4)))</f>
        <v/>
      </c>
      <c r="AL12" s="14">
        <f>IF((IF(AF12="",0,8)+IF(AH12="",0,6)+IF(AJ12="",0,4))=0,"",(IF(AF12="",0,AF12*8)+IF(AH12="",0,AH12*6)+IF(AJ12="",0,AJ12*4))/18)</f>
        <v/>
      </c>
      <c r="AM12" s="11">
        <f>IF(OR(City_Inputs!$AA12="",Norm_Stats!$F$16="",Norm_Stats!$G$16="",Norm_Stats!$G$16=Norm_Stats!$F$16),"",MAX(0,MIN(100,100*(MIN(MAX(City_Inputs!$AA12,Norm_Stats!$F$16),Norm_Stats!$G$16)-Norm_Stats!$F$16)/(Norm_Stats!$G$16-Norm_Stats!$F$16))))</f>
        <v/>
      </c>
      <c r="AN12" s="14">
        <f>IF(AM12="","",1)</f>
        <v/>
      </c>
      <c r="AO12" s="11">
        <f>IF(OR(City_Inputs!$AB12="",Norm_Stats!$F$17="",Norm_Stats!$G$17="",Norm_Stats!$G$17=Norm_Stats!$F$17),"",MAX(0,MIN(100,100*(MIN(MAX(City_Inputs!$AB12,Norm_Stats!$F$17),Norm_Stats!$G$17)-Norm_Stats!$F$17)/(Norm_Stats!$G$17-Norm_Stats!$F$17))))</f>
        <v/>
      </c>
      <c r="AP12" s="14">
        <f>IF(AO12="","",1)</f>
        <v/>
      </c>
      <c r="AQ12" s="11">
        <f>IF(OR(City_Inputs!$AC12="",Norm_Stats!$F$18="",Norm_Stats!$G$18="",Norm_Stats!$G$18=Norm_Stats!$F$18),"",MAX(0,MIN(100,100*(MIN(MAX(City_Inputs!$AC12,Norm_Stats!$F$18),Norm_Stats!$G$18)-Norm_Stats!$F$18)/(Norm_Stats!$G$18-Norm_Stats!$F$18))))</f>
        <v/>
      </c>
      <c r="AR12" s="14">
        <f>IF(AQ12="","",1)</f>
        <v/>
      </c>
      <c r="AS12" s="15">
        <f>IF((IF(AM12="",0,5)+IF(AO12="",0,5)+IF(AQ12="",0,5))=0,"",(IF(AM12="",0,AM12*5)+IF(AO12="",0,AO12*5)+IF(AQ12="",0,AQ12*5))/(IF(AM12="",0,5)+IF(AO12="",0,5)+IF(AQ12="",0,5)))</f>
        <v/>
      </c>
      <c r="AT12" s="14">
        <f>IF((IF(AN12="",0,5)+IF(AP12="",0,5)+IF(AR12="",0,5))=0,"",(IF(AN12="",0,AN12*5)+IF(AP12="",0,AP12*5)+IF(AR12="",0,AR12*5))/15)</f>
        <v/>
      </c>
      <c r="AU12" s="11">
        <f>IF(OR(City_Inputs!$AD12="",Norm_Stats!$F$19="",Norm_Stats!$G$19="",Norm_Stats!$G$19=Norm_Stats!$F$19),"",MAX(0,MIN(100,100*(MIN(MAX(City_Inputs!$AD12,Norm_Stats!$F$19),Norm_Stats!$G$19)-Norm_Stats!$F$19)/(Norm_Stats!$G$19-Norm_Stats!$F$19))))</f>
        <v/>
      </c>
      <c r="AV12" s="14">
        <f>IF(AU12="","",1)</f>
        <v/>
      </c>
      <c r="AW12" s="11">
        <f>IF(OR(City_Inputs!$AE12="",Norm_Stats!$F$20="",Norm_Stats!$G$20="",Norm_Stats!$G$20=Norm_Stats!$F$20),"",MAX(0,MIN(100,100*(MIN(MAX(City_Inputs!$AE12,Norm_Stats!$F$20),Norm_Stats!$G$20)-Norm_Stats!$F$20)/(Norm_Stats!$G$20-Norm_Stats!$F$20))))</f>
        <v/>
      </c>
      <c r="AX12" s="14">
        <f>IF(AW12="","",1)</f>
        <v/>
      </c>
      <c r="AY12" s="11">
        <f>IF((IF((IF(OR(City_Inputs!$AF12="",Norm_Stats!$F$21="",Norm_Stats!$G$21="",Norm_Stats!$G$21=Norm_Stats!$F$21),"",MAX(0,MIN(100,100*(MIN(MAX(City_Inputs!$AF12,Norm_Stats!$F$21),Norm_Stats!$G$21)-Norm_Stats!$F$21)/(Norm_Stats!$G$21-Norm_Stats!$F$21)))))="",0,0.5)+IF((IF(OR(City_Inputs!$AI12="",Norm_Stats!$F$22="",Norm_Stats!$G$22="",Norm_Stats!$G$22=Norm_Stats!$F$22),"",MAX(0,MIN(100,100*(MIN(MAX(City_Inputs!$AI12,Norm_Stats!$F$22),Norm_Stats!$G$22)-Norm_Stats!$F$22)/(Norm_Stats!$G$22-Norm_Stats!$F$22)))))="",0,0.3)+IF((IF(OR(City_Inputs!$AJ12="",Norm_Stats!$F$23="",Norm_Stats!$G$23="",Norm_Stats!$G$23=Norm_Stats!$F$23),"",MAX(0,MIN(100,100*(MIN(MAX(City_Inputs!$AJ12,Norm_Stats!$F$23),Norm_Stats!$G$23)-Norm_Stats!$F$23)/(Norm_Stats!$G$23-Norm_Stats!$F$23)))))="",0,0.2))=0,"",(IF((IF(OR(City_Inputs!$AF12="",Norm_Stats!$F$21="",Norm_Stats!$G$21="",Norm_Stats!$G$21=Norm_Stats!$F$21),"",MAX(0,MIN(100,100*(MIN(MAX(City_Inputs!$AF12,Norm_Stats!$F$21),Norm_Stats!$G$21)-Norm_Stats!$F$21)/(Norm_Stats!$G$21-Norm_Stats!$F$21)))))="",0,(IF(OR(City_Inputs!$AF12="",Norm_Stats!$F$21="",Norm_Stats!$G$21="",Norm_Stats!$G$21=Norm_Stats!$F$21),"",MAX(0,MIN(100,100*(MIN(MAX(City_Inputs!$AF12,Norm_Stats!$F$21),Norm_Stats!$G$21)-Norm_Stats!$F$21)/(Norm_Stats!$G$21-Norm_Stats!$F$21)))))*0.5)+IF((IF(OR(City_Inputs!$AI12="",Norm_Stats!$F$22="",Norm_Stats!$G$22="",Norm_Stats!$G$22=Norm_Stats!$F$22),"",MAX(0,MIN(100,100*(MIN(MAX(City_Inputs!$AI12,Norm_Stats!$F$22),Norm_Stats!$G$22)-Norm_Stats!$F$22)/(Norm_Stats!$G$22-Norm_Stats!$F$22)))))="",0,(IF(OR(City_Inputs!$AI12="",Norm_Stats!$F$22="",Norm_Stats!$G$22="",Norm_Stats!$G$22=Norm_Stats!$F$22),"",MAX(0,MIN(100,100*(MIN(MAX(City_Inputs!$AI12,Norm_Stats!$F$22),Norm_Stats!$G$22)-Norm_Stats!$F$22)/(Norm_Stats!$G$22-Norm_Stats!$F$22)))))*0.3)+IF((IF(OR(City_Inputs!$AJ12="",Norm_Stats!$F$23="",Norm_Stats!$G$23="",Norm_Stats!$G$23=Norm_Stats!$F$23),"",MAX(0,MIN(100,100*(MIN(MAX(City_Inputs!$AJ12,Norm_Stats!$F$23),Norm_Stats!$G$23)-Norm_Stats!$F$23)/(Norm_Stats!$G$23-Norm_Stats!$F$23)))))="",0,(IF(OR(City_Inputs!$AJ12="",Norm_Stats!$F$23="",Norm_Stats!$G$23="",Norm_Stats!$G$23=Norm_Stats!$F$23),"",MAX(0,MIN(100,100*(MIN(MAX(City_Inputs!$AJ12,Norm_Stats!$F$23),Norm_Stats!$G$23)-Norm_Stats!$F$23)/(Norm_Stats!$G$23-Norm_Stats!$F$23)))))*0.2))/(IF((IF(OR(City_Inputs!$AF12="",Norm_Stats!$F$21="",Norm_Stats!$G$21="",Norm_Stats!$G$21=Norm_Stats!$F$21),"",MAX(0,MIN(100,100*(MIN(MAX(City_Inputs!$AF12,Norm_Stats!$F$21),Norm_Stats!$G$21)-Norm_Stats!$F$21)/(Norm_Stats!$G$21-Norm_Stats!$F$21)))))="",0,0.5)+IF((IF(OR(City_Inputs!$AI12="",Norm_Stats!$F$22="",Norm_Stats!$G$22="",Norm_Stats!$G$22=Norm_Stats!$F$22),"",MAX(0,MIN(100,100*(MIN(MAX(City_Inputs!$AI12,Norm_Stats!$F$22),Norm_Stats!$G$22)-Norm_Stats!$F$22)/(Norm_Stats!$G$22-Norm_Stats!$F$22)))))="",0,0.3)+IF((IF(OR(City_Inputs!$AJ12="",Norm_Stats!$F$23="",Norm_Stats!$G$23="",Norm_Stats!$G$23=Norm_Stats!$F$23),"",MAX(0,MIN(100,100*(MIN(MAX(City_Inputs!$AJ12,Norm_Stats!$F$23),Norm_Stats!$G$23)-Norm_Stats!$F$23)/(Norm_Stats!$G$23-Norm_Stats!$F$23)))))="",0,0.2)))</f>
        <v/>
      </c>
      <c r="AZ12" s="14">
        <f>IF((IF((IF(OR(City_Inputs!$AF12="",Norm_Stats!$F$21="",Norm_Stats!$G$21="",Norm_Stats!$G$21=Norm_Stats!$F$21),"",MAX(0,MIN(100,100*(MIN(MAX(City_Inputs!$AF12,Norm_Stats!$F$21),Norm_Stats!$G$21)-Norm_Stats!$F$21)/(Norm_Stats!$G$21-Norm_Stats!$F$21)))))="",0,0.5)+IF((IF(OR(City_Inputs!$AI12="",Norm_Stats!$F$22="",Norm_Stats!$G$22="",Norm_Stats!$G$22=Norm_Stats!$F$22),"",MAX(0,MIN(100,100*(MIN(MAX(City_Inputs!$AI12,Norm_Stats!$F$22),Norm_Stats!$G$22)-Norm_Stats!$F$22)/(Norm_Stats!$G$22-Norm_Stats!$F$22)))))="",0,0.3)+IF((IF(OR(City_Inputs!$AJ12="",Norm_Stats!$F$23="",Norm_Stats!$G$23="",Norm_Stats!$G$23=Norm_Stats!$F$23),"",MAX(0,MIN(100,100*(MIN(MAX(City_Inputs!$AJ12,Norm_Stats!$F$23),Norm_Stats!$G$23)-Norm_Stats!$F$23)/(Norm_Stats!$G$23-Norm_Stats!$F$23)))))="",0,0.2))=0,"",(IF((IF(OR(City_Inputs!$AF12="",Norm_Stats!$F$21="",Norm_Stats!$G$21="",Norm_Stats!$G$21=Norm_Stats!$F$21),"",MAX(0,MIN(100,100*(MIN(MAX(City_Inputs!$AF12,Norm_Stats!$F$21),Norm_Stats!$G$21)-Norm_Stats!$F$21)/(Norm_Stats!$G$21-Norm_Stats!$F$21)))))="",0,0.5)+IF((IF(OR(City_Inputs!$AI12="",Norm_Stats!$F$22="",Norm_Stats!$G$22="",Norm_Stats!$G$22=Norm_Stats!$F$22),"",MAX(0,MIN(100,100*(MIN(MAX(City_Inputs!$AI12,Norm_Stats!$F$22),Norm_Stats!$G$22)-Norm_Stats!$F$22)/(Norm_Stats!$G$22-Norm_Stats!$F$22)))))="",0,0.3)+IF((IF(OR(City_Inputs!$AJ12="",Norm_Stats!$F$23="",Norm_Stats!$G$23="",Norm_Stats!$G$23=Norm_Stats!$F$23),"",MAX(0,MIN(100,100*(MIN(MAX(City_Inputs!$AJ12,Norm_Stats!$F$23),Norm_Stats!$G$23)-Norm_Stats!$F$23)/(Norm_Stats!$G$23-Norm_Stats!$F$23)))))="",0,0.2)))</f>
        <v/>
      </c>
      <c r="BA12" s="11">
        <f>IF(OR(City_Inputs!$AG12="",Norm_Stats!$F$24="",Norm_Stats!$G$24="",Norm_Stats!$G$24=Norm_Stats!$F$24),"",MAX(0,MIN(100,100*(Norm_Stats!$G$24-MIN(MAX(City_Inputs!$AG12,Norm_Stats!$F$24),Norm_Stats!$G$24))/(Norm_Stats!$G$24-Norm_Stats!$F$24))))</f>
        <v/>
      </c>
      <c r="BB12" s="14">
        <f>IF(BA12="","",1)</f>
        <v/>
      </c>
      <c r="BC12" s="15">
        <f>IF((IF(AU12="",0,6)+IF(AW12="",0,5)+IF(AY12="",0,5)+IF(BA12="",0,4))=0,"",(IF(AU12="",0,AU12*6)+IF(AW12="",0,AW12*5)+IF(AY12="",0,AY12*5)+IF(BA12="",0,BA12*4))/(IF(AU12="",0,6)+IF(AW12="",0,5)+IF(AY12="",0,5)+IF(BA12="",0,4)))</f>
        <v/>
      </c>
      <c r="BD12" s="14">
        <f>IF((IF(AV12="",0,6)+IF(AX12="",0,5)+IF(AZ12="",0,5)+IF(BB12="",0,4))=0,"",(IF(AV12="",0,AV12*6)+IF(AX12="",0,AX12*5)+IF(AZ12="",0,AZ12*5)+IF(BB12="",0,BB12*4))/20)</f>
        <v/>
      </c>
      <c r="BE12" s="14">
        <f>IF(AND(R12="",AD12="",AL12="",AT12="",BD12=""),"",((R12*25)+(AD12*22)+(AL12*18)+(AT12*15)+(BD12*20))/100)</f>
        <v/>
      </c>
      <c r="BF12" s="11">
        <f>IF(BE12="","",IF(BE12&gt;=0.75,"A",IF(BE12&gt;=0.5,"B",IF(BE12&gt;=0.35,"C","Watchlist"))))</f>
        <v/>
      </c>
      <c r="BG12" s="11">
        <f>IF(OR(BE12="",BE12&lt;0.5,R12="",R12&lt;0.35,AD12="",AD12&lt;0.35,AL12="",AL12&lt;0.35,AT12="",AT12&lt;0.35,BD12="",BD12&lt;0.35),"Watchlist","Ranked")</f>
        <v/>
      </c>
      <c r="BH12" s="15">
        <f>IF(AND(Q12="",AC12="",AK12="",AS12="",BC12=""),"",(IF(Q12="",0,Q12*25)+IF(AC12="",0,AC12*22)+IF(AK12="",0,AK12*18)+IF(AS12="",0,AS12*15)+IF(BC12="",0,BC12*20))/(IF(Q12="",0,25)+IF(AC12="",0,22)+IF(AK12="",0,18)+IF(AS12="",0,15)+IF(BC12="",0,20)))</f>
        <v/>
      </c>
      <c r="BI12" s="11">
        <f>IF(BG12="Ranked",1+COUNTIFS($BG$2:$BG$103,"Ranked",$BH$2:$BH$103,"&gt;"&amp;BH12),"")</f>
        <v/>
      </c>
      <c r="BJ12" s="11">
        <f>City_Inputs!$AH12</f>
        <v/>
      </c>
    </row>
    <row r="13">
      <c r="A13" t="inlineStr">
        <is>
          <t>kr-busan</t>
        </is>
      </c>
      <c r="B13" t="inlineStr">
        <is>
          <t>Busan</t>
        </is>
      </c>
      <c r="C13" t="inlineStr">
        <is>
          <t>South Korea</t>
        </is>
      </c>
      <c r="D13" t="inlineStr">
        <is>
          <t>East Asia</t>
        </is>
      </c>
      <c r="E13" t="inlineStr">
        <is>
          <t>locked</t>
        </is>
      </c>
      <c r="F13" t="inlineStr">
        <is>
          <t>primary</t>
        </is>
      </c>
      <c r="G13" s="11">
        <f>IF(OR(City_Inputs!$M13="",Norm_Stats!$F$2="",Norm_Stats!$G$2="",Norm_Stats!$G$2=Norm_Stats!$F$2),"",MAX(0,MIN(100,100*(MIN(MAX(City_Inputs!$M13,Norm_Stats!$F$2),Norm_Stats!$G$2)-Norm_Stats!$F$2)/(Norm_Stats!$G$2-Norm_Stats!$F$2))))</f>
        <v/>
      </c>
      <c r="H13" s="14">
        <f>IF(G13="","",1)</f>
        <v/>
      </c>
      <c r="I13" s="11">
        <f>IF(OR(City_Inputs!$N13="",Norm_Stats!$F$3="",Norm_Stats!$G$3="",Norm_Stats!$G$3=Norm_Stats!$F$3),"",MAX(0,MIN(100,100*(Norm_Stats!$G$3-MIN(MAX(City_Inputs!$N13,Norm_Stats!$F$3),Norm_Stats!$G$3))/(Norm_Stats!$G$3-Norm_Stats!$F$3))))</f>
        <v/>
      </c>
      <c r="J13" s="14">
        <f>IF(I13="","",1)</f>
        <v/>
      </c>
      <c r="K13" s="11">
        <f>IF(OR(City_Inputs!$P13="",Norm_Stats!$F$4="",Norm_Stats!$G$4="",Norm_Stats!$G$4=Norm_Stats!$F$4),"",MAX(0,MIN(100,100*(Norm_Stats!$G$4-MIN(MAX(City_Inputs!$P13,Norm_Stats!$F$4),Norm_Stats!$G$4))/(Norm_Stats!$G$4-Norm_Stats!$F$4))))</f>
        <v/>
      </c>
      <c r="L13" s="14">
        <f>IF(K13="","",1)</f>
        <v/>
      </c>
      <c r="M13" s="11">
        <f>IF(OR(City_Inputs!$Q13="",Norm_Stats!$F$5="",Norm_Stats!$G$5="",Norm_Stats!$G$5=Norm_Stats!$F$5),"",MAX(0,MIN(100,100*(Norm_Stats!$G$5-MIN(MAX(City_Inputs!$Q13,Norm_Stats!$F$5),Norm_Stats!$G$5))/(Norm_Stats!$G$5-Norm_Stats!$F$5))))</f>
        <v/>
      </c>
      <c r="N13" s="14">
        <f>IF(M13="","",1)</f>
        <v/>
      </c>
      <c r="O13" s="11">
        <f>IF(OR(City_Inputs!$R13="",Norm_Stats!$F$6="",Norm_Stats!$G$6="",Norm_Stats!$G$6=Norm_Stats!$F$6),"",MAX(0,MIN(100,100*(Norm_Stats!$G$6-MIN(MAX(City_Inputs!$R13,Norm_Stats!$F$6),Norm_Stats!$G$6))/(Norm_Stats!$G$6-Norm_Stats!$F$6))))</f>
        <v/>
      </c>
      <c r="P13" s="14">
        <f>IF(O13="","",1)</f>
        <v/>
      </c>
      <c r="Q13" s="15">
        <f>IF((IF(G13="",0,9)+IF(I13="",0,5)+IF(K13="",0,4)+IF(M13="",0,4)+IF(O13="",0,3))=0,"",(IF(G13="",0,G13*9)+IF(I13="",0,I13*5)+IF(K13="",0,K13*4)+IF(M13="",0,M13*4)+IF(O13="",0,O13*3))/(IF(G13="",0,9)+IF(I13="",0,5)+IF(K13="",0,4)+IF(M13="",0,4)+IF(O13="",0,3)))</f>
        <v/>
      </c>
      <c r="R13" s="14">
        <f>IF((IF(H13="",0,9)+IF(J13="",0,5)+IF(L13="",0,4)+IF(N13="",0,4)+IF(P13="",0,3))=0,"",(IF(H13="",0,H13*9)+IF(J13="",0,J13*5)+IF(L13="",0,L13*4)+IF(N13="",0,N13*4)+IF(P13="",0,P13*3))/25)</f>
        <v/>
      </c>
      <c r="S13" s="11">
        <f>IF(OR(City_Inputs!$S13="",Norm_Stats!$F$7="",Norm_Stats!$G$7="",Norm_Stats!$G$7=Norm_Stats!$F$7),"",MAX(0,MIN(100,100*(Norm_Stats!$G$7-MIN(MAX(City_Inputs!$S13,Norm_Stats!$F$7),Norm_Stats!$G$7))/(Norm_Stats!$G$7-Norm_Stats!$F$7))))</f>
        <v/>
      </c>
      <c r="T13" s="14">
        <f>IF(S13="","",1)</f>
        <v/>
      </c>
      <c r="U13" s="11">
        <f>IF(OR(City_Inputs!$T13="",Norm_Stats!$F$8="",Norm_Stats!$G$8="",Norm_Stats!$G$8=Norm_Stats!$F$8),"",MAX(0,MIN(100,100*(MIN(MAX(City_Inputs!$T13,Norm_Stats!$F$8),Norm_Stats!$G$8)-Norm_Stats!$F$8)/(Norm_Stats!$G$8-Norm_Stats!$F$8))))</f>
        <v/>
      </c>
      <c r="V13" s="14">
        <f>IF(U13="","",1)</f>
        <v/>
      </c>
      <c r="W13" s="11">
        <f>IF(OR(City_Inputs!$U13="",Norm_Stats!$F$9="",Norm_Stats!$G$9="",Norm_Stats!$G$9=Norm_Stats!$F$9),"",MAX(0,MIN(100,100*(Norm_Stats!$G$9-MIN(MAX(City_Inputs!$U13,Norm_Stats!$F$9),Norm_Stats!$G$9))/(Norm_Stats!$G$9-Norm_Stats!$F$9))))</f>
        <v/>
      </c>
      <c r="X13" s="14">
        <f>IF(W13="","",1)</f>
        <v/>
      </c>
      <c r="Y13" s="11">
        <f>IF(OR(City_Inputs!$V13="",Norm_Stats!$F$10="",Norm_Stats!$G$10="",Norm_Stats!$G$10=Norm_Stats!$F$10),"",MAX(0,MIN(100,100*(MIN(MAX(City_Inputs!$V13,Norm_Stats!$F$10),Norm_Stats!$G$10)-Norm_Stats!$F$10)/(Norm_Stats!$G$10-Norm_Stats!$F$10))))</f>
        <v/>
      </c>
      <c r="Z13" s="14">
        <f>IF(Y13="","",1)</f>
        <v/>
      </c>
      <c r="AA13" s="11">
        <f>IF(OR(City_Inputs!$W13="",Norm_Stats!$F$11="",Norm_Stats!$G$11="",Norm_Stats!$G$11=Norm_Stats!$F$11),"",MAX(0,MIN(100,100*(MIN(MAX(City_Inputs!$W13,Norm_Stats!$F$11),Norm_Stats!$G$11)-Norm_Stats!$F$11)/(Norm_Stats!$G$11-Norm_Stats!$F$11))))</f>
        <v/>
      </c>
      <c r="AB13" s="14">
        <f>IF(AA13="","",1)</f>
        <v/>
      </c>
      <c r="AC13" s="15">
        <f>IF((IF(S13="",0,5)+IF(U13="",0,5)+IF(W13="",0,4)+IF(Y13="",0,4)+IF(AA13="",0,4))=0,"",(IF(S13="",0,S13*5)+IF(U13="",0,U13*5)+IF(W13="",0,W13*4)+IF(Y13="",0,Y13*4)+IF(AA13="",0,AA13*4))/(IF(S13="",0,5)+IF(U13="",0,5)+IF(W13="",0,4)+IF(Y13="",0,4)+IF(AA13="",0,4)))</f>
        <v/>
      </c>
      <c r="AD13" s="14">
        <f>IF((IF(T13="",0,5)+IF(V13="",0,5)+IF(X13="",0,4)+IF(Z13="",0,4)+IF(AB13="",0,4))=0,"",(IF(T13="",0,T13*5)+IF(V13="",0,V13*5)+IF(X13="",0,X13*4)+IF(Z13="",0,Z13*4)+IF(AB13="",0,AB13*4))/22)</f>
        <v/>
      </c>
      <c r="AE13" s="11">
        <f>IF(OR(City_Inputs!$X13="",Norm_Stats!$F$12="",Norm_Stats!$G$12="",Norm_Stats!$G$12=Norm_Stats!$F$12),"",MAX(0,MIN(100,100*(MIN(MAX(City_Inputs!$X13,Norm_Stats!$F$12),Norm_Stats!$G$12)-Norm_Stats!$F$12)/(Norm_Stats!$G$12-Norm_Stats!$F$12))))</f>
        <v/>
      </c>
      <c r="AF13" s="14">
        <f>IF(AE13="","",1)</f>
        <v/>
      </c>
      <c r="AG13" s="11">
        <f>IF(OR(City_Inputs!$Y13="",Norm_Stats!$F$13="",Norm_Stats!$G$13="",Norm_Stats!$G$13=Norm_Stats!$F$13),"",MAX(0,MIN(100,100*(MIN(MAX(City_Inputs!$Y13,Norm_Stats!$F$13),Norm_Stats!$G$13)-Norm_Stats!$F$13)/(Norm_Stats!$G$13-Norm_Stats!$F$13))))</f>
        <v/>
      </c>
      <c r="AH13" s="14">
        <f>IF(AG13="","",1)</f>
        <v/>
      </c>
      <c r="AI13" s="11">
        <f>IF((IF((IF(OR(City_Inputs!$Z13="",Norm_Stats!$F$14="",Norm_Stats!$G$14="",Norm_Stats!$G$14=Norm_Stats!$F$14),"",MAX(0,MIN(100,100*(MIN(MAX(City_Inputs!$Z13,Norm_Stats!$F$14),Norm_Stats!$G$14)-Norm_Stats!$F$14)/(Norm_Stats!$G$14-Norm_Stats!$F$14)))))="",0,0.7)+IF((IF(OR(City_Inputs!$AK13="",Norm_Stats!$F$15="",Norm_Stats!$G$15="",Norm_Stats!$G$15=Norm_Stats!$F$15),"",MAX(0,MIN(100,100*(Norm_Stats!$G$15-MIN(MAX(City_Inputs!$AK13,Norm_Stats!$F$15),Norm_Stats!$G$15))/(Norm_Stats!$G$15-Norm_Stats!$F$15)))))="",0,0.3))=0,"",(IF((IF(OR(City_Inputs!$Z13="",Norm_Stats!$F$14="",Norm_Stats!$G$14="",Norm_Stats!$G$14=Norm_Stats!$F$14),"",MAX(0,MIN(100,100*(MIN(MAX(City_Inputs!$Z13,Norm_Stats!$F$14),Norm_Stats!$G$14)-Norm_Stats!$F$14)/(Norm_Stats!$G$14-Norm_Stats!$F$14)))))="",0,(IF(OR(City_Inputs!$Z13="",Norm_Stats!$F$14="",Norm_Stats!$G$14="",Norm_Stats!$G$14=Norm_Stats!$F$14),"",MAX(0,MIN(100,100*(MIN(MAX(City_Inputs!$Z13,Norm_Stats!$F$14),Norm_Stats!$G$14)-Norm_Stats!$F$14)/(Norm_Stats!$G$14-Norm_Stats!$F$14)))))*0.7)+IF((IF(OR(City_Inputs!$AK13="",Norm_Stats!$F$15="",Norm_Stats!$G$15="",Norm_Stats!$G$15=Norm_Stats!$F$15),"",MAX(0,MIN(100,100*(Norm_Stats!$G$15-MIN(MAX(City_Inputs!$AK13,Norm_Stats!$F$15),Norm_Stats!$G$15))/(Norm_Stats!$G$15-Norm_Stats!$F$15)))))="",0,(IF(OR(City_Inputs!$AK13="",Norm_Stats!$F$15="",Norm_Stats!$G$15="",Norm_Stats!$G$15=Norm_Stats!$F$15),"",MAX(0,MIN(100,100*(Norm_Stats!$G$15-MIN(MAX(City_Inputs!$AK13,Norm_Stats!$F$15),Norm_Stats!$G$15))/(Norm_Stats!$G$15-Norm_Stats!$F$15)))))*0.3))/(IF((IF(OR(City_Inputs!$Z13="",Norm_Stats!$F$14="",Norm_Stats!$G$14="",Norm_Stats!$G$14=Norm_Stats!$F$14),"",MAX(0,MIN(100,100*(MIN(MAX(City_Inputs!$Z13,Norm_Stats!$F$14),Norm_Stats!$G$14)-Norm_Stats!$F$14)/(Norm_Stats!$G$14-Norm_Stats!$F$14)))))="",0,0.7)+IF((IF(OR(City_Inputs!$AK13="",Norm_Stats!$F$15="",Norm_Stats!$G$15="",Norm_Stats!$G$15=Norm_Stats!$F$15),"",MAX(0,MIN(100,100*(Norm_Stats!$G$15-MIN(MAX(City_Inputs!$AK13,Norm_Stats!$F$15),Norm_Stats!$G$15))/(Norm_Stats!$G$15-Norm_Stats!$F$15)))))="",0,0.3)))</f>
        <v/>
      </c>
      <c r="AJ13" s="14">
        <f>IF((IF((IF(OR(City_Inputs!$Z13="",Norm_Stats!$F$14="",Norm_Stats!$G$14="",Norm_Stats!$G$14=Norm_Stats!$F$14),"",MAX(0,MIN(100,100*(MIN(MAX(City_Inputs!$Z13,Norm_Stats!$F$14),Norm_Stats!$G$14)-Norm_Stats!$F$14)/(Norm_Stats!$G$14-Norm_Stats!$F$14)))))="",0,0.7)+IF((IF(OR(City_Inputs!$AK13="",Norm_Stats!$F$15="",Norm_Stats!$G$15="",Norm_Stats!$G$15=Norm_Stats!$F$15),"",MAX(0,MIN(100,100*(Norm_Stats!$G$15-MIN(MAX(City_Inputs!$AK13,Norm_Stats!$F$15),Norm_Stats!$G$15))/(Norm_Stats!$G$15-Norm_Stats!$F$15)))))="",0,0.3))=0,"",(IF((IF(OR(City_Inputs!$Z13="",Norm_Stats!$F$14="",Norm_Stats!$G$14="",Norm_Stats!$G$14=Norm_Stats!$F$14),"",MAX(0,MIN(100,100*(MIN(MAX(City_Inputs!$Z13,Norm_Stats!$F$14),Norm_Stats!$G$14)-Norm_Stats!$F$14)/(Norm_Stats!$G$14-Norm_Stats!$F$14)))))="",0,0.7)+IF((IF(OR(City_Inputs!$AK13="",Norm_Stats!$F$15="",Norm_Stats!$G$15="",Norm_Stats!$G$15=Norm_Stats!$F$15),"",MAX(0,MIN(100,100*(Norm_Stats!$G$15-MIN(MAX(City_Inputs!$AK13,Norm_Stats!$F$15),Norm_Stats!$G$15))/(Norm_Stats!$G$15-Norm_Stats!$F$15)))))="",0,0.3)))</f>
        <v/>
      </c>
      <c r="AK13" s="15">
        <f>IF((IF(AE13="",0,8)+IF(AG13="",0,6)+IF(AI13="",0,4))=0,"",(IF(AE13="",0,AE13*8)+IF(AG13="",0,AG13*6)+IF(AI13="",0,AI13*4))/(IF(AE13="",0,8)+IF(AG13="",0,6)+IF(AI13="",0,4)))</f>
        <v/>
      </c>
      <c r="AL13" s="14">
        <f>IF((IF(AF13="",0,8)+IF(AH13="",0,6)+IF(AJ13="",0,4))=0,"",(IF(AF13="",0,AF13*8)+IF(AH13="",0,AH13*6)+IF(AJ13="",0,AJ13*4))/18)</f>
        <v/>
      </c>
      <c r="AM13" s="11">
        <f>IF(OR(City_Inputs!$AA13="",Norm_Stats!$F$16="",Norm_Stats!$G$16="",Norm_Stats!$G$16=Norm_Stats!$F$16),"",MAX(0,MIN(100,100*(MIN(MAX(City_Inputs!$AA13,Norm_Stats!$F$16),Norm_Stats!$G$16)-Norm_Stats!$F$16)/(Norm_Stats!$G$16-Norm_Stats!$F$16))))</f>
        <v/>
      </c>
      <c r="AN13" s="14">
        <f>IF(AM13="","",1)</f>
        <v/>
      </c>
      <c r="AO13" s="11">
        <f>IF(OR(City_Inputs!$AB13="",Norm_Stats!$F$17="",Norm_Stats!$G$17="",Norm_Stats!$G$17=Norm_Stats!$F$17),"",MAX(0,MIN(100,100*(MIN(MAX(City_Inputs!$AB13,Norm_Stats!$F$17),Norm_Stats!$G$17)-Norm_Stats!$F$17)/(Norm_Stats!$G$17-Norm_Stats!$F$17))))</f>
        <v/>
      </c>
      <c r="AP13" s="14">
        <f>IF(AO13="","",1)</f>
        <v/>
      </c>
      <c r="AQ13" s="11">
        <f>IF(OR(City_Inputs!$AC13="",Norm_Stats!$F$18="",Norm_Stats!$G$18="",Norm_Stats!$G$18=Norm_Stats!$F$18),"",MAX(0,MIN(100,100*(MIN(MAX(City_Inputs!$AC13,Norm_Stats!$F$18),Norm_Stats!$G$18)-Norm_Stats!$F$18)/(Norm_Stats!$G$18-Norm_Stats!$F$18))))</f>
        <v/>
      </c>
      <c r="AR13" s="14">
        <f>IF(AQ13="","",1)</f>
        <v/>
      </c>
      <c r="AS13" s="15">
        <f>IF((IF(AM13="",0,5)+IF(AO13="",0,5)+IF(AQ13="",0,5))=0,"",(IF(AM13="",0,AM13*5)+IF(AO13="",0,AO13*5)+IF(AQ13="",0,AQ13*5))/(IF(AM13="",0,5)+IF(AO13="",0,5)+IF(AQ13="",0,5)))</f>
        <v/>
      </c>
      <c r="AT13" s="14">
        <f>IF((IF(AN13="",0,5)+IF(AP13="",0,5)+IF(AR13="",0,5))=0,"",(IF(AN13="",0,AN13*5)+IF(AP13="",0,AP13*5)+IF(AR13="",0,AR13*5))/15)</f>
        <v/>
      </c>
      <c r="AU13" s="11">
        <f>IF(OR(City_Inputs!$AD13="",Norm_Stats!$F$19="",Norm_Stats!$G$19="",Norm_Stats!$G$19=Norm_Stats!$F$19),"",MAX(0,MIN(100,100*(MIN(MAX(City_Inputs!$AD13,Norm_Stats!$F$19),Norm_Stats!$G$19)-Norm_Stats!$F$19)/(Norm_Stats!$G$19-Norm_Stats!$F$19))))</f>
        <v/>
      </c>
      <c r="AV13" s="14">
        <f>IF(AU13="","",1)</f>
        <v/>
      </c>
      <c r="AW13" s="11">
        <f>IF(OR(City_Inputs!$AE13="",Norm_Stats!$F$20="",Norm_Stats!$G$20="",Norm_Stats!$G$20=Norm_Stats!$F$20),"",MAX(0,MIN(100,100*(MIN(MAX(City_Inputs!$AE13,Norm_Stats!$F$20),Norm_Stats!$G$20)-Norm_Stats!$F$20)/(Norm_Stats!$G$20-Norm_Stats!$F$20))))</f>
        <v/>
      </c>
      <c r="AX13" s="14">
        <f>IF(AW13="","",1)</f>
        <v/>
      </c>
      <c r="AY13" s="11">
        <f>IF((IF((IF(OR(City_Inputs!$AF13="",Norm_Stats!$F$21="",Norm_Stats!$G$21="",Norm_Stats!$G$21=Norm_Stats!$F$21),"",MAX(0,MIN(100,100*(MIN(MAX(City_Inputs!$AF13,Norm_Stats!$F$21),Norm_Stats!$G$21)-Norm_Stats!$F$21)/(Norm_Stats!$G$21-Norm_Stats!$F$21)))))="",0,0.5)+IF((IF(OR(City_Inputs!$AI13="",Norm_Stats!$F$22="",Norm_Stats!$G$22="",Norm_Stats!$G$22=Norm_Stats!$F$22),"",MAX(0,MIN(100,100*(MIN(MAX(City_Inputs!$AI13,Norm_Stats!$F$22),Norm_Stats!$G$22)-Norm_Stats!$F$22)/(Norm_Stats!$G$22-Norm_Stats!$F$22)))))="",0,0.3)+IF((IF(OR(City_Inputs!$AJ13="",Norm_Stats!$F$23="",Norm_Stats!$G$23="",Norm_Stats!$G$23=Norm_Stats!$F$23),"",MAX(0,MIN(100,100*(MIN(MAX(City_Inputs!$AJ13,Norm_Stats!$F$23),Norm_Stats!$G$23)-Norm_Stats!$F$23)/(Norm_Stats!$G$23-Norm_Stats!$F$23)))))="",0,0.2))=0,"",(IF((IF(OR(City_Inputs!$AF13="",Norm_Stats!$F$21="",Norm_Stats!$G$21="",Norm_Stats!$G$21=Norm_Stats!$F$21),"",MAX(0,MIN(100,100*(MIN(MAX(City_Inputs!$AF13,Norm_Stats!$F$21),Norm_Stats!$G$21)-Norm_Stats!$F$21)/(Norm_Stats!$G$21-Norm_Stats!$F$21)))))="",0,(IF(OR(City_Inputs!$AF13="",Norm_Stats!$F$21="",Norm_Stats!$G$21="",Norm_Stats!$G$21=Norm_Stats!$F$21),"",MAX(0,MIN(100,100*(MIN(MAX(City_Inputs!$AF13,Norm_Stats!$F$21),Norm_Stats!$G$21)-Norm_Stats!$F$21)/(Norm_Stats!$G$21-Norm_Stats!$F$21)))))*0.5)+IF((IF(OR(City_Inputs!$AI13="",Norm_Stats!$F$22="",Norm_Stats!$G$22="",Norm_Stats!$G$22=Norm_Stats!$F$22),"",MAX(0,MIN(100,100*(MIN(MAX(City_Inputs!$AI13,Norm_Stats!$F$22),Norm_Stats!$G$22)-Norm_Stats!$F$22)/(Norm_Stats!$G$22-Norm_Stats!$F$22)))))="",0,(IF(OR(City_Inputs!$AI13="",Norm_Stats!$F$22="",Norm_Stats!$G$22="",Norm_Stats!$G$22=Norm_Stats!$F$22),"",MAX(0,MIN(100,100*(MIN(MAX(City_Inputs!$AI13,Norm_Stats!$F$22),Norm_Stats!$G$22)-Norm_Stats!$F$22)/(Norm_Stats!$G$22-Norm_Stats!$F$22)))))*0.3)+IF((IF(OR(City_Inputs!$AJ13="",Norm_Stats!$F$23="",Norm_Stats!$G$23="",Norm_Stats!$G$23=Norm_Stats!$F$23),"",MAX(0,MIN(100,100*(MIN(MAX(City_Inputs!$AJ13,Norm_Stats!$F$23),Norm_Stats!$G$23)-Norm_Stats!$F$23)/(Norm_Stats!$G$23-Norm_Stats!$F$23)))))="",0,(IF(OR(City_Inputs!$AJ13="",Norm_Stats!$F$23="",Norm_Stats!$G$23="",Norm_Stats!$G$23=Norm_Stats!$F$23),"",MAX(0,MIN(100,100*(MIN(MAX(City_Inputs!$AJ13,Norm_Stats!$F$23),Norm_Stats!$G$23)-Norm_Stats!$F$23)/(Norm_Stats!$G$23-Norm_Stats!$F$23)))))*0.2))/(IF((IF(OR(City_Inputs!$AF13="",Norm_Stats!$F$21="",Norm_Stats!$G$21="",Norm_Stats!$G$21=Norm_Stats!$F$21),"",MAX(0,MIN(100,100*(MIN(MAX(City_Inputs!$AF13,Norm_Stats!$F$21),Norm_Stats!$G$21)-Norm_Stats!$F$21)/(Norm_Stats!$G$21-Norm_Stats!$F$21)))))="",0,0.5)+IF((IF(OR(City_Inputs!$AI13="",Norm_Stats!$F$22="",Norm_Stats!$G$22="",Norm_Stats!$G$22=Norm_Stats!$F$22),"",MAX(0,MIN(100,100*(MIN(MAX(City_Inputs!$AI13,Norm_Stats!$F$22),Norm_Stats!$G$22)-Norm_Stats!$F$22)/(Norm_Stats!$G$22-Norm_Stats!$F$22)))))="",0,0.3)+IF((IF(OR(City_Inputs!$AJ13="",Norm_Stats!$F$23="",Norm_Stats!$G$23="",Norm_Stats!$G$23=Norm_Stats!$F$23),"",MAX(0,MIN(100,100*(MIN(MAX(City_Inputs!$AJ13,Norm_Stats!$F$23),Norm_Stats!$G$23)-Norm_Stats!$F$23)/(Norm_Stats!$G$23-Norm_Stats!$F$23)))))="",0,0.2)))</f>
        <v/>
      </c>
      <c r="AZ13" s="14">
        <f>IF((IF((IF(OR(City_Inputs!$AF13="",Norm_Stats!$F$21="",Norm_Stats!$G$21="",Norm_Stats!$G$21=Norm_Stats!$F$21),"",MAX(0,MIN(100,100*(MIN(MAX(City_Inputs!$AF13,Norm_Stats!$F$21),Norm_Stats!$G$21)-Norm_Stats!$F$21)/(Norm_Stats!$G$21-Norm_Stats!$F$21)))))="",0,0.5)+IF((IF(OR(City_Inputs!$AI13="",Norm_Stats!$F$22="",Norm_Stats!$G$22="",Norm_Stats!$G$22=Norm_Stats!$F$22),"",MAX(0,MIN(100,100*(MIN(MAX(City_Inputs!$AI13,Norm_Stats!$F$22),Norm_Stats!$G$22)-Norm_Stats!$F$22)/(Norm_Stats!$G$22-Norm_Stats!$F$22)))))="",0,0.3)+IF((IF(OR(City_Inputs!$AJ13="",Norm_Stats!$F$23="",Norm_Stats!$G$23="",Norm_Stats!$G$23=Norm_Stats!$F$23),"",MAX(0,MIN(100,100*(MIN(MAX(City_Inputs!$AJ13,Norm_Stats!$F$23),Norm_Stats!$G$23)-Norm_Stats!$F$23)/(Norm_Stats!$G$23-Norm_Stats!$F$23)))))="",0,0.2))=0,"",(IF((IF(OR(City_Inputs!$AF13="",Norm_Stats!$F$21="",Norm_Stats!$G$21="",Norm_Stats!$G$21=Norm_Stats!$F$21),"",MAX(0,MIN(100,100*(MIN(MAX(City_Inputs!$AF13,Norm_Stats!$F$21),Norm_Stats!$G$21)-Norm_Stats!$F$21)/(Norm_Stats!$G$21-Norm_Stats!$F$21)))))="",0,0.5)+IF((IF(OR(City_Inputs!$AI13="",Norm_Stats!$F$22="",Norm_Stats!$G$22="",Norm_Stats!$G$22=Norm_Stats!$F$22),"",MAX(0,MIN(100,100*(MIN(MAX(City_Inputs!$AI13,Norm_Stats!$F$22),Norm_Stats!$G$22)-Norm_Stats!$F$22)/(Norm_Stats!$G$22-Norm_Stats!$F$22)))))="",0,0.3)+IF((IF(OR(City_Inputs!$AJ13="",Norm_Stats!$F$23="",Norm_Stats!$G$23="",Norm_Stats!$G$23=Norm_Stats!$F$23),"",MAX(0,MIN(100,100*(MIN(MAX(City_Inputs!$AJ13,Norm_Stats!$F$23),Norm_Stats!$G$23)-Norm_Stats!$F$23)/(Norm_Stats!$G$23-Norm_Stats!$F$23)))))="",0,0.2)))</f>
        <v/>
      </c>
      <c r="BA13" s="11">
        <f>IF(OR(City_Inputs!$AG13="",Norm_Stats!$F$24="",Norm_Stats!$G$24="",Norm_Stats!$G$24=Norm_Stats!$F$24),"",MAX(0,MIN(100,100*(Norm_Stats!$G$24-MIN(MAX(City_Inputs!$AG13,Norm_Stats!$F$24),Norm_Stats!$G$24))/(Norm_Stats!$G$24-Norm_Stats!$F$24))))</f>
        <v/>
      </c>
      <c r="BB13" s="14">
        <f>IF(BA13="","",1)</f>
        <v/>
      </c>
      <c r="BC13" s="15">
        <f>IF((IF(AU13="",0,6)+IF(AW13="",0,5)+IF(AY13="",0,5)+IF(BA13="",0,4))=0,"",(IF(AU13="",0,AU13*6)+IF(AW13="",0,AW13*5)+IF(AY13="",0,AY13*5)+IF(BA13="",0,BA13*4))/(IF(AU13="",0,6)+IF(AW13="",0,5)+IF(AY13="",0,5)+IF(BA13="",0,4)))</f>
        <v/>
      </c>
      <c r="BD13" s="14">
        <f>IF((IF(AV13="",0,6)+IF(AX13="",0,5)+IF(AZ13="",0,5)+IF(BB13="",0,4))=0,"",(IF(AV13="",0,AV13*6)+IF(AX13="",0,AX13*5)+IF(AZ13="",0,AZ13*5)+IF(BB13="",0,BB13*4))/20)</f>
        <v/>
      </c>
      <c r="BE13" s="14">
        <f>IF(AND(R13="",AD13="",AL13="",AT13="",BD13=""),"",((R13*25)+(AD13*22)+(AL13*18)+(AT13*15)+(BD13*20))/100)</f>
        <v/>
      </c>
      <c r="BF13" s="11">
        <f>IF(BE13="","",IF(BE13&gt;=0.75,"A",IF(BE13&gt;=0.5,"B",IF(BE13&gt;=0.35,"C","Watchlist"))))</f>
        <v/>
      </c>
      <c r="BG13" s="11">
        <f>IF(OR(BE13="",BE13&lt;0.5,R13="",R13&lt;0.35,AD13="",AD13&lt;0.35,AL13="",AL13&lt;0.35,AT13="",AT13&lt;0.35,BD13="",BD13&lt;0.35),"Watchlist","Ranked")</f>
        <v/>
      </c>
      <c r="BH13" s="15">
        <f>IF(AND(Q13="",AC13="",AK13="",AS13="",BC13=""),"",(IF(Q13="",0,Q13*25)+IF(AC13="",0,AC13*22)+IF(AK13="",0,AK13*18)+IF(AS13="",0,AS13*15)+IF(BC13="",0,BC13*20))/(IF(Q13="",0,25)+IF(AC13="",0,22)+IF(AK13="",0,18)+IF(AS13="",0,15)+IF(BC13="",0,20)))</f>
        <v/>
      </c>
      <c r="BI13" s="11">
        <f>IF(BG13="Ranked",1+COUNTIFS($BG$2:$BG$103,"Ranked",$BH$2:$BH$103,"&gt;"&amp;BH13),"")</f>
        <v/>
      </c>
      <c r="BJ13" s="11">
        <f>City_Inputs!$AH13</f>
        <v/>
      </c>
    </row>
    <row r="14">
      <c r="A14" t="inlineStr">
        <is>
          <t>cn-shanghai</t>
        </is>
      </c>
      <c r="B14" t="inlineStr">
        <is>
          <t>Shanghai</t>
        </is>
      </c>
      <c r="C14" t="inlineStr">
        <is>
          <t>China</t>
        </is>
      </c>
      <c r="D14" t="inlineStr">
        <is>
          <t>East Asia</t>
        </is>
      </c>
      <c r="E14" t="inlineStr">
        <is>
          <t>provisional</t>
        </is>
      </c>
      <c r="F14" t="inlineStr">
        <is>
          <t>primary</t>
        </is>
      </c>
      <c r="G14" s="11">
        <f>IF(OR(City_Inputs!$M14="",Norm_Stats!$F$2="",Norm_Stats!$G$2="",Norm_Stats!$G$2=Norm_Stats!$F$2),"",MAX(0,MIN(100,100*(MIN(MAX(City_Inputs!$M14,Norm_Stats!$F$2),Norm_Stats!$G$2)-Norm_Stats!$F$2)/(Norm_Stats!$G$2-Norm_Stats!$F$2))))</f>
        <v/>
      </c>
      <c r="H14" s="14">
        <f>IF(G14="","",1)</f>
        <v/>
      </c>
      <c r="I14" s="11">
        <f>IF(OR(City_Inputs!$N14="",Norm_Stats!$F$3="",Norm_Stats!$G$3="",Norm_Stats!$G$3=Norm_Stats!$F$3),"",MAX(0,MIN(100,100*(Norm_Stats!$G$3-MIN(MAX(City_Inputs!$N14,Norm_Stats!$F$3),Norm_Stats!$G$3))/(Norm_Stats!$G$3-Norm_Stats!$F$3))))</f>
        <v/>
      </c>
      <c r="J14" s="14">
        <f>IF(I14="","",1)</f>
        <v/>
      </c>
      <c r="K14" s="11">
        <f>IF(OR(City_Inputs!$P14="",Norm_Stats!$F$4="",Norm_Stats!$G$4="",Norm_Stats!$G$4=Norm_Stats!$F$4),"",MAX(0,MIN(100,100*(Norm_Stats!$G$4-MIN(MAX(City_Inputs!$P14,Norm_Stats!$F$4),Norm_Stats!$G$4))/(Norm_Stats!$G$4-Norm_Stats!$F$4))))</f>
        <v/>
      </c>
      <c r="L14" s="14">
        <f>IF(K14="","",1)</f>
        <v/>
      </c>
      <c r="M14" s="11">
        <f>IF(OR(City_Inputs!$Q14="",Norm_Stats!$F$5="",Norm_Stats!$G$5="",Norm_Stats!$G$5=Norm_Stats!$F$5),"",MAX(0,MIN(100,100*(Norm_Stats!$G$5-MIN(MAX(City_Inputs!$Q14,Norm_Stats!$F$5),Norm_Stats!$G$5))/(Norm_Stats!$G$5-Norm_Stats!$F$5))))</f>
        <v/>
      </c>
      <c r="N14" s="14">
        <f>IF(M14="","",1)</f>
        <v/>
      </c>
      <c r="O14" s="11">
        <f>IF(OR(City_Inputs!$R14="",Norm_Stats!$F$6="",Norm_Stats!$G$6="",Norm_Stats!$G$6=Norm_Stats!$F$6),"",MAX(0,MIN(100,100*(Norm_Stats!$G$6-MIN(MAX(City_Inputs!$R14,Norm_Stats!$F$6),Norm_Stats!$G$6))/(Norm_Stats!$G$6-Norm_Stats!$F$6))))</f>
        <v/>
      </c>
      <c r="P14" s="14">
        <f>IF(O14="","",1)</f>
        <v/>
      </c>
      <c r="Q14" s="15">
        <f>IF((IF(G14="",0,9)+IF(I14="",0,5)+IF(K14="",0,4)+IF(M14="",0,4)+IF(O14="",0,3))=0,"",(IF(G14="",0,G14*9)+IF(I14="",0,I14*5)+IF(K14="",0,K14*4)+IF(M14="",0,M14*4)+IF(O14="",0,O14*3))/(IF(G14="",0,9)+IF(I14="",0,5)+IF(K14="",0,4)+IF(M14="",0,4)+IF(O14="",0,3)))</f>
        <v/>
      </c>
      <c r="R14" s="14">
        <f>IF((IF(H14="",0,9)+IF(J14="",0,5)+IF(L14="",0,4)+IF(N14="",0,4)+IF(P14="",0,3))=0,"",(IF(H14="",0,H14*9)+IF(J14="",0,J14*5)+IF(L14="",0,L14*4)+IF(N14="",0,N14*4)+IF(P14="",0,P14*3))/25)</f>
        <v/>
      </c>
      <c r="S14" s="11">
        <f>IF(OR(City_Inputs!$S14="",Norm_Stats!$F$7="",Norm_Stats!$G$7="",Norm_Stats!$G$7=Norm_Stats!$F$7),"",MAX(0,MIN(100,100*(Norm_Stats!$G$7-MIN(MAX(City_Inputs!$S14,Norm_Stats!$F$7),Norm_Stats!$G$7))/(Norm_Stats!$G$7-Norm_Stats!$F$7))))</f>
        <v/>
      </c>
      <c r="T14" s="14">
        <f>IF(S14="","",1)</f>
        <v/>
      </c>
      <c r="U14" s="11">
        <f>IF(OR(City_Inputs!$T14="",Norm_Stats!$F$8="",Norm_Stats!$G$8="",Norm_Stats!$G$8=Norm_Stats!$F$8),"",MAX(0,MIN(100,100*(MIN(MAX(City_Inputs!$T14,Norm_Stats!$F$8),Norm_Stats!$G$8)-Norm_Stats!$F$8)/(Norm_Stats!$G$8-Norm_Stats!$F$8))))</f>
        <v/>
      </c>
      <c r="V14" s="14">
        <f>IF(U14="","",1)</f>
        <v/>
      </c>
      <c r="W14" s="11">
        <f>IF(OR(City_Inputs!$U14="",Norm_Stats!$F$9="",Norm_Stats!$G$9="",Norm_Stats!$G$9=Norm_Stats!$F$9),"",MAX(0,MIN(100,100*(Norm_Stats!$G$9-MIN(MAX(City_Inputs!$U14,Norm_Stats!$F$9),Norm_Stats!$G$9))/(Norm_Stats!$G$9-Norm_Stats!$F$9))))</f>
        <v/>
      </c>
      <c r="X14" s="14">
        <f>IF(W14="","",1)</f>
        <v/>
      </c>
      <c r="Y14" s="11">
        <f>IF(OR(City_Inputs!$V14="",Norm_Stats!$F$10="",Norm_Stats!$G$10="",Norm_Stats!$G$10=Norm_Stats!$F$10),"",MAX(0,MIN(100,100*(MIN(MAX(City_Inputs!$V14,Norm_Stats!$F$10),Norm_Stats!$G$10)-Norm_Stats!$F$10)/(Norm_Stats!$G$10-Norm_Stats!$F$10))))</f>
        <v/>
      </c>
      <c r="Z14" s="14">
        <f>IF(Y14="","",1)</f>
        <v/>
      </c>
      <c r="AA14" s="11">
        <f>IF(OR(City_Inputs!$W14="",Norm_Stats!$F$11="",Norm_Stats!$G$11="",Norm_Stats!$G$11=Norm_Stats!$F$11),"",MAX(0,MIN(100,100*(MIN(MAX(City_Inputs!$W14,Norm_Stats!$F$11),Norm_Stats!$G$11)-Norm_Stats!$F$11)/(Norm_Stats!$G$11-Norm_Stats!$F$11))))</f>
        <v/>
      </c>
      <c r="AB14" s="14">
        <f>IF(AA14="","",1)</f>
        <v/>
      </c>
      <c r="AC14" s="15">
        <f>IF((IF(S14="",0,5)+IF(U14="",0,5)+IF(W14="",0,4)+IF(Y14="",0,4)+IF(AA14="",0,4))=0,"",(IF(S14="",0,S14*5)+IF(U14="",0,U14*5)+IF(W14="",0,W14*4)+IF(Y14="",0,Y14*4)+IF(AA14="",0,AA14*4))/(IF(S14="",0,5)+IF(U14="",0,5)+IF(W14="",0,4)+IF(Y14="",0,4)+IF(AA14="",0,4)))</f>
        <v/>
      </c>
      <c r="AD14" s="14">
        <f>IF((IF(T14="",0,5)+IF(V14="",0,5)+IF(X14="",0,4)+IF(Z14="",0,4)+IF(AB14="",0,4))=0,"",(IF(T14="",0,T14*5)+IF(V14="",0,V14*5)+IF(X14="",0,X14*4)+IF(Z14="",0,Z14*4)+IF(AB14="",0,AB14*4))/22)</f>
        <v/>
      </c>
      <c r="AE14" s="11">
        <f>IF(OR(City_Inputs!$X14="",Norm_Stats!$F$12="",Norm_Stats!$G$12="",Norm_Stats!$G$12=Norm_Stats!$F$12),"",MAX(0,MIN(100,100*(MIN(MAX(City_Inputs!$X14,Norm_Stats!$F$12),Norm_Stats!$G$12)-Norm_Stats!$F$12)/(Norm_Stats!$G$12-Norm_Stats!$F$12))))</f>
        <v/>
      </c>
      <c r="AF14" s="14">
        <f>IF(AE14="","",1)</f>
        <v/>
      </c>
      <c r="AG14" s="11">
        <f>IF(OR(City_Inputs!$Y14="",Norm_Stats!$F$13="",Norm_Stats!$G$13="",Norm_Stats!$G$13=Norm_Stats!$F$13),"",MAX(0,MIN(100,100*(MIN(MAX(City_Inputs!$Y14,Norm_Stats!$F$13),Norm_Stats!$G$13)-Norm_Stats!$F$13)/(Norm_Stats!$G$13-Norm_Stats!$F$13))))</f>
        <v/>
      </c>
      <c r="AH14" s="14">
        <f>IF(AG14="","",1)</f>
        <v/>
      </c>
      <c r="AI14" s="11">
        <f>IF((IF((IF(OR(City_Inputs!$Z14="",Norm_Stats!$F$14="",Norm_Stats!$G$14="",Norm_Stats!$G$14=Norm_Stats!$F$14),"",MAX(0,MIN(100,100*(MIN(MAX(City_Inputs!$Z14,Norm_Stats!$F$14),Norm_Stats!$G$14)-Norm_Stats!$F$14)/(Norm_Stats!$G$14-Norm_Stats!$F$14)))))="",0,0.7)+IF((IF(OR(City_Inputs!$AK14="",Norm_Stats!$F$15="",Norm_Stats!$G$15="",Norm_Stats!$G$15=Norm_Stats!$F$15),"",MAX(0,MIN(100,100*(Norm_Stats!$G$15-MIN(MAX(City_Inputs!$AK14,Norm_Stats!$F$15),Norm_Stats!$G$15))/(Norm_Stats!$G$15-Norm_Stats!$F$15)))))="",0,0.3))=0,"",(IF((IF(OR(City_Inputs!$Z14="",Norm_Stats!$F$14="",Norm_Stats!$G$14="",Norm_Stats!$G$14=Norm_Stats!$F$14),"",MAX(0,MIN(100,100*(MIN(MAX(City_Inputs!$Z14,Norm_Stats!$F$14),Norm_Stats!$G$14)-Norm_Stats!$F$14)/(Norm_Stats!$G$14-Norm_Stats!$F$14)))))="",0,(IF(OR(City_Inputs!$Z14="",Norm_Stats!$F$14="",Norm_Stats!$G$14="",Norm_Stats!$G$14=Norm_Stats!$F$14),"",MAX(0,MIN(100,100*(MIN(MAX(City_Inputs!$Z14,Norm_Stats!$F$14),Norm_Stats!$G$14)-Norm_Stats!$F$14)/(Norm_Stats!$G$14-Norm_Stats!$F$14)))))*0.7)+IF((IF(OR(City_Inputs!$AK14="",Norm_Stats!$F$15="",Norm_Stats!$G$15="",Norm_Stats!$G$15=Norm_Stats!$F$15),"",MAX(0,MIN(100,100*(Norm_Stats!$G$15-MIN(MAX(City_Inputs!$AK14,Norm_Stats!$F$15),Norm_Stats!$G$15))/(Norm_Stats!$G$15-Norm_Stats!$F$15)))))="",0,(IF(OR(City_Inputs!$AK14="",Norm_Stats!$F$15="",Norm_Stats!$G$15="",Norm_Stats!$G$15=Norm_Stats!$F$15),"",MAX(0,MIN(100,100*(Norm_Stats!$G$15-MIN(MAX(City_Inputs!$AK14,Norm_Stats!$F$15),Norm_Stats!$G$15))/(Norm_Stats!$G$15-Norm_Stats!$F$15)))))*0.3))/(IF((IF(OR(City_Inputs!$Z14="",Norm_Stats!$F$14="",Norm_Stats!$G$14="",Norm_Stats!$G$14=Norm_Stats!$F$14),"",MAX(0,MIN(100,100*(MIN(MAX(City_Inputs!$Z14,Norm_Stats!$F$14),Norm_Stats!$G$14)-Norm_Stats!$F$14)/(Norm_Stats!$G$14-Norm_Stats!$F$14)))))="",0,0.7)+IF((IF(OR(City_Inputs!$AK14="",Norm_Stats!$F$15="",Norm_Stats!$G$15="",Norm_Stats!$G$15=Norm_Stats!$F$15),"",MAX(0,MIN(100,100*(Norm_Stats!$G$15-MIN(MAX(City_Inputs!$AK14,Norm_Stats!$F$15),Norm_Stats!$G$15))/(Norm_Stats!$G$15-Norm_Stats!$F$15)))))="",0,0.3)))</f>
        <v/>
      </c>
      <c r="AJ14" s="14">
        <f>IF((IF((IF(OR(City_Inputs!$Z14="",Norm_Stats!$F$14="",Norm_Stats!$G$14="",Norm_Stats!$G$14=Norm_Stats!$F$14),"",MAX(0,MIN(100,100*(MIN(MAX(City_Inputs!$Z14,Norm_Stats!$F$14),Norm_Stats!$G$14)-Norm_Stats!$F$14)/(Norm_Stats!$G$14-Norm_Stats!$F$14)))))="",0,0.7)+IF((IF(OR(City_Inputs!$AK14="",Norm_Stats!$F$15="",Norm_Stats!$G$15="",Norm_Stats!$G$15=Norm_Stats!$F$15),"",MAX(0,MIN(100,100*(Norm_Stats!$G$15-MIN(MAX(City_Inputs!$AK14,Norm_Stats!$F$15),Norm_Stats!$G$15))/(Norm_Stats!$G$15-Norm_Stats!$F$15)))))="",0,0.3))=0,"",(IF((IF(OR(City_Inputs!$Z14="",Norm_Stats!$F$14="",Norm_Stats!$G$14="",Norm_Stats!$G$14=Norm_Stats!$F$14),"",MAX(0,MIN(100,100*(MIN(MAX(City_Inputs!$Z14,Norm_Stats!$F$14),Norm_Stats!$G$14)-Norm_Stats!$F$14)/(Norm_Stats!$G$14-Norm_Stats!$F$14)))))="",0,0.7)+IF((IF(OR(City_Inputs!$AK14="",Norm_Stats!$F$15="",Norm_Stats!$G$15="",Norm_Stats!$G$15=Norm_Stats!$F$15),"",MAX(0,MIN(100,100*(Norm_Stats!$G$15-MIN(MAX(City_Inputs!$AK14,Norm_Stats!$F$15),Norm_Stats!$G$15))/(Norm_Stats!$G$15-Norm_Stats!$F$15)))))="",0,0.3)))</f>
        <v/>
      </c>
      <c r="AK14" s="15">
        <f>IF((IF(AE14="",0,8)+IF(AG14="",0,6)+IF(AI14="",0,4))=0,"",(IF(AE14="",0,AE14*8)+IF(AG14="",0,AG14*6)+IF(AI14="",0,AI14*4))/(IF(AE14="",0,8)+IF(AG14="",0,6)+IF(AI14="",0,4)))</f>
        <v/>
      </c>
      <c r="AL14" s="14">
        <f>IF((IF(AF14="",0,8)+IF(AH14="",0,6)+IF(AJ14="",0,4))=0,"",(IF(AF14="",0,AF14*8)+IF(AH14="",0,AH14*6)+IF(AJ14="",0,AJ14*4))/18)</f>
        <v/>
      </c>
      <c r="AM14" s="11">
        <f>IF(OR(City_Inputs!$AA14="",Norm_Stats!$F$16="",Norm_Stats!$G$16="",Norm_Stats!$G$16=Norm_Stats!$F$16),"",MAX(0,MIN(100,100*(MIN(MAX(City_Inputs!$AA14,Norm_Stats!$F$16),Norm_Stats!$G$16)-Norm_Stats!$F$16)/(Norm_Stats!$G$16-Norm_Stats!$F$16))))</f>
        <v/>
      </c>
      <c r="AN14" s="14">
        <f>IF(AM14="","",1)</f>
        <v/>
      </c>
      <c r="AO14" s="11">
        <f>IF(OR(City_Inputs!$AB14="",Norm_Stats!$F$17="",Norm_Stats!$G$17="",Norm_Stats!$G$17=Norm_Stats!$F$17),"",MAX(0,MIN(100,100*(MIN(MAX(City_Inputs!$AB14,Norm_Stats!$F$17),Norm_Stats!$G$17)-Norm_Stats!$F$17)/(Norm_Stats!$G$17-Norm_Stats!$F$17))))</f>
        <v/>
      </c>
      <c r="AP14" s="14">
        <f>IF(AO14="","",1)</f>
        <v/>
      </c>
      <c r="AQ14" s="11">
        <f>IF(OR(City_Inputs!$AC14="",Norm_Stats!$F$18="",Norm_Stats!$G$18="",Norm_Stats!$G$18=Norm_Stats!$F$18),"",MAX(0,MIN(100,100*(MIN(MAX(City_Inputs!$AC14,Norm_Stats!$F$18),Norm_Stats!$G$18)-Norm_Stats!$F$18)/(Norm_Stats!$G$18-Norm_Stats!$F$18))))</f>
        <v/>
      </c>
      <c r="AR14" s="14">
        <f>IF(AQ14="","",1)</f>
        <v/>
      </c>
      <c r="AS14" s="15">
        <f>IF((IF(AM14="",0,5)+IF(AO14="",0,5)+IF(AQ14="",0,5))=0,"",(IF(AM14="",0,AM14*5)+IF(AO14="",0,AO14*5)+IF(AQ14="",0,AQ14*5))/(IF(AM14="",0,5)+IF(AO14="",0,5)+IF(AQ14="",0,5)))</f>
        <v/>
      </c>
      <c r="AT14" s="14">
        <f>IF((IF(AN14="",0,5)+IF(AP14="",0,5)+IF(AR14="",0,5))=0,"",(IF(AN14="",0,AN14*5)+IF(AP14="",0,AP14*5)+IF(AR14="",0,AR14*5))/15)</f>
        <v/>
      </c>
      <c r="AU14" s="11">
        <f>IF(OR(City_Inputs!$AD14="",Norm_Stats!$F$19="",Norm_Stats!$G$19="",Norm_Stats!$G$19=Norm_Stats!$F$19),"",MAX(0,MIN(100,100*(MIN(MAX(City_Inputs!$AD14,Norm_Stats!$F$19),Norm_Stats!$G$19)-Norm_Stats!$F$19)/(Norm_Stats!$G$19-Norm_Stats!$F$19))))</f>
        <v/>
      </c>
      <c r="AV14" s="14">
        <f>IF(AU14="","",1)</f>
        <v/>
      </c>
      <c r="AW14" s="11">
        <f>IF(OR(City_Inputs!$AE14="",Norm_Stats!$F$20="",Norm_Stats!$G$20="",Norm_Stats!$G$20=Norm_Stats!$F$20),"",MAX(0,MIN(100,100*(MIN(MAX(City_Inputs!$AE14,Norm_Stats!$F$20),Norm_Stats!$G$20)-Norm_Stats!$F$20)/(Norm_Stats!$G$20-Norm_Stats!$F$20))))</f>
        <v/>
      </c>
      <c r="AX14" s="14">
        <f>IF(AW14="","",1)</f>
        <v/>
      </c>
      <c r="AY14" s="11">
        <f>IF((IF((IF(OR(City_Inputs!$AF14="",Norm_Stats!$F$21="",Norm_Stats!$G$21="",Norm_Stats!$G$21=Norm_Stats!$F$21),"",MAX(0,MIN(100,100*(MIN(MAX(City_Inputs!$AF14,Norm_Stats!$F$21),Norm_Stats!$G$21)-Norm_Stats!$F$21)/(Norm_Stats!$G$21-Norm_Stats!$F$21)))))="",0,0.5)+IF((IF(OR(City_Inputs!$AI14="",Norm_Stats!$F$22="",Norm_Stats!$G$22="",Norm_Stats!$G$22=Norm_Stats!$F$22),"",MAX(0,MIN(100,100*(MIN(MAX(City_Inputs!$AI14,Norm_Stats!$F$22),Norm_Stats!$G$22)-Norm_Stats!$F$22)/(Norm_Stats!$G$22-Norm_Stats!$F$22)))))="",0,0.3)+IF((IF(OR(City_Inputs!$AJ14="",Norm_Stats!$F$23="",Norm_Stats!$G$23="",Norm_Stats!$G$23=Norm_Stats!$F$23),"",MAX(0,MIN(100,100*(MIN(MAX(City_Inputs!$AJ14,Norm_Stats!$F$23),Norm_Stats!$G$23)-Norm_Stats!$F$23)/(Norm_Stats!$G$23-Norm_Stats!$F$23)))))="",0,0.2))=0,"",(IF((IF(OR(City_Inputs!$AF14="",Norm_Stats!$F$21="",Norm_Stats!$G$21="",Norm_Stats!$G$21=Norm_Stats!$F$21),"",MAX(0,MIN(100,100*(MIN(MAX(City_Inputs!$AF14,Norm_Stats!$F$21),Norm_Stats!$G$21)-Norm_Stats!$F$21)/(Norm_Stats!$G$21-Norm_Stats!$F$21)))))="",0,(IF(OR(City_Inputs!$AF14="",Norm_Stats!$F$21="",Norm_Stats!$G$21="",Norm_Stats!$G$21=Norm_Stats!$F$21),"",MAX(0,MIN(100,100*(MIN(MAX(City_Inputs!$AF14,Norm_Stats!$F$21),Norm_Stats!$G$21)-Norm_Stats!$F$21)/(Norm_Stats!$G$21-Norm_Stats!$F$21)))))*0.5)+IF((IF(OR(City_Inputs!$AI14="",Norm_Stats!$F$22="",Norm_Stats!$G$22="",Norm_Stats!$G$22=Norm_Stats!$F$22),"",MAX(0,MIN(100,100*(MIN(MAX(City_Inputs!$AI14,Norm_Stats!$F$22),Norm_Stats!$G$22)-Norm_Stats!$F$22)/(Norm_Stats!$G$22-Norm_Stats!$F$22)))))="",0,(IF(OR(City_Inputs!$AI14="",Norm_Stats!$F$22="",Norm_Stats!$G$22="",Norm_Stats!$G$22=Norm_Stats!$F$22),"",MAX(0,MIN(100,100*(MIN(MAX(City_Inputs!$AI14,Norm_Stats!$F$22),Norm_Stats!$G$22)-Norm_Stats!$F$22)/(Norm_Stats!$G$22-Norm_Stats!$F$22)))))*0.3)+IF((IF(OR(City_Inputs!$AJ14="",Norm_Stats!$F$23="",Norm_Stats!$G$23="",Norm_Stats!$G$23=Norm_Stats!$F$23),"",MAX(0,MIN(100,100*(MIN(MAX(City_Inputs!$AJ14,Norm_Stats!$F$23),Norm_Stats!$G$23)-Norm_Stats!$F$23)/(Norm_Stats!$G$23-Norm_Stats!$F$23)))))="",0,(IF(OR(City_Inputs!$AJ14="",Norm_Stats!$F$23="",Norm_Stats!$G$23="",Norm_Stats!$G$23=Norm_Stats!$F$23),"",MAX(0,MIN(100,100*(MIN(MAX(City_Inputs!$AJ14,Norm_Stats!$F$23),Norm_Stats!$G$23)-Norm_Stats!$F$23)/(Norm_Stats!$G$23-Norm_Stats!$F$23)))))*0.2))/(IF((IF(OR(City_Inputs!$AF14="",Norm_Stats!$F$21="",Norm_Stats!$G$21="",Norm_Stats!$G$21=Norm_Stats!$F$21),"",MAX(0,MIN(100,100*(MIN(MAX(City_Inputs!$AF14,Norm_Stats!$F$21),Norm_Stats!$G$21)-Norm_Stats!$F$21)/(Norm_Stats!$G$21-Norm_Stats!$F$21)))))="",0,0.5)+IF((IF(OR(City_Inputs!$AI14="",Norm_Stats!$F$22="",Norm_Stats!$G$22="",Norm_Stats!$G$22=Norm_Stats!$F$22),"",MAX(0,MIN(100,100*(MIN(MAX(City_Inputs!$AI14,Norm_Stats!$F$22),Norm_Stats!$G$22)-Norm_Stats!$F$22)/(Norm_Stats!$G$22-Norm_Stats!$F$22)))))="",0,0.3)+IF((IF(OR(City_Inputs!$AJ14="",Norm_Stats!$F$23="",Norm_Stats!$G$23="",Norm_Stats!$G$23=Norm_Stats!$F$23),"",MAX(0,MIN(100,100*(MIN(MAX(City_Inputs!$AJ14,Norm_Stats!$F$23),Norm_Stats!$G$23)-Norm_Stats!$F$23)/(Norm_Stats!$G$23-Norm_Stats!$F$23)))))="",0,0.2)))</f>
        <v/>
      </c>
      <c r="AZ14" s="14">
        <f>IF((IF((IF(OR(City_Inputs!$AF14="",Norm_Stats!$F$21="",Norm_Stats!$G$21="",Norm_Stats!$G$21=Norm_Stats!$F$21),"",MAX(0,MIN(100,100*(MIN(MAX(City_Inputs!$AF14,Norm_Stats!$F$21),Norm_Stats!$G$21)-Norm_Stats!$F$21)/(Norm_Stats!$G$21-Norm_Stats!$F$21)))))="",0,0.5)+IF((IF(OR(City_Inputs!$AI14="",Norm_Stats!$F$22="",Norm_Stats!$G$22="",Norm_Stats!$G$22=Norm_Stats!$F$22),"",MAX(0,MIN(100,100*(MIN(MAX(City_Inputs!$AI14,Norm_Stats!$F$22),Norm_Stats!$G$22)-Norm_Stats!$F$22)/(Norm_Stats!$G$22-Norm_Stats!$F$22)))))="",0,0.3)+IF((IF(OR(City_Inputs!$AJ14="",Norm_Stats!$F$23="",Norm_Stats!$G$23="",Norm_Stats!$G$23=Norm_Stats!$F$23),"",MAX(0,MIN(100,100*(MIN(MAX(City_Inputs!$AJ14,Norm_Stats!$F$23),Norm_Stats!$G$23)-Norm_Stats!$F$23)/(Norm_Stats!$G$23-Norm_Stats!$F$23)))))="",0,0.2))=0,"",(IF((IF(OR(City_Inputs!$AF14="",Norm_Stats!$F$21="",Norm_Stats!$G$21="",Norm_Stats!$G$21=Norm_Stats!$F$21),"",MAX(0,MIN(100,100*(MIN(MAX(City_Inputs!$AF14,Norm_Stats!$F$21),Norm_Stats!$G$21)-Norm_Stats!$F$21)/(Norm_Stats!$G$21-Norm_Stats!$F$21)))))="",0,0.5)+IF((IF(OR(City_Inputs!$AI14="",Norm_Stats!$F$22="",Norm_Stats!$G$22="",Norm_Stats!$G$22=Norm_Stats!$F$22),"",MAX(0,MIN(100,100*(MIN(MAX(City_Inputs!$AI14,Norm_Stats!$F$22),Norm_Stats!$G$22)-Norm_Stats!$F$22)/(Norm_Stats!$G$22-Norm_Stats!$F$22)))))="",0,0.3)+IF((IF(OR(City_Inputs!$AJ14="",Norm_Stats!$F$23="",Norm_Stats!$G$23="",Norm_Stats!$G$23=Norm_Stats!$F$23),"",MAX(0,MIN(100,100*(MIN(MAX(City_Inputs!$AJ14,Norm_Stats!$F$23),Norm_Stats!$G$23)-Norm_Stats!$F$23)/(Norm_Stats!$G$23-Norm_Stats!$F$23)))))="",0,0.2)))</f>
        <v/>
      </c>
      <c r="BA14" s="11">
        <f>IF(OR(City_Inputs!$AG14="",Norm_Stats!$F$24="",Norm_Stats!$G$24="",Norm_Stats!$G$24=Norm_Stats!$F$24),"",MAX(0,MIN(100,100*(Norm_Stats!$G$24-MIN(MAX(City_Inputs!$AG14,Norm_Stats!$F$24),Norm_Stats!$G$24))/(Norm_Stats!$G$24-Norm_Stats!$F$24))))</f>
        <v/>
      </c>
      <c r="BB14" s="14">
        <f>IF(BA14="","",1)</f>
        <v/>
      </c>
      <c r="BC14" s="15">
        <f>IF((IF(AU14="",0,6)+IF(AW14="",0,5)+IF(AY14="",0,5)+IF(BA14="",0,4))=0,"",(IF(AU14="",0,AU14*6)+IF(AW14="",0,AW14*5)+IF(AY14="",0,AY14*5)+IF(BA14="",0,BA14*4))/(IF(AU14="",0,6)+IF(AW14="",0,5)+IF(AY14="",0,5)+IF(BA14="",0,4)))</f>
        <v/>
      </c>
      <c r="BD14" s="14">
        <f>IF((IF(AV14="",0,6)+IF(AX14="",0,5)+IF(AZ14="",0,5)+IF(BB14="",0,4))=0,"",(IF(AV14="",0,AV14*6)+IF(AX14="",0,AX14*5)+IF(AZ14="",0,AZ14*5)+IF(BB14="",0,BB14*4))/20)</f>
        <v/>
      </c>
      <c r="BE14" s="14">
        <f>IF(AND(R14="",AD14="",AL14="",AT14="",BD14=""),"",((R14*25)+(AD14*22)+(AL14*18)+(AT14*15)+(BD14*20))/100)</f>
        <v/>
      </c>
      <c r="BF14" s="11">
        <f>IF(BE14="","",IF(BE14&gt;=0.75,"A",IF(BE14&gt;=0.5,"B",IF(BE14&gt;=0.35,"C","Watchlist"))))</f>
        <v/>
      </c>
      <c r="BG14" s="11">
        <f>IF(OR(BE14="",BE14&lt;0.5,R14="",R14&lt;0.35,AD14="",AD14&lt;0.35,AL14="",AL14&lt;0.35,AT14="",AT14&lt;0.35,BD14="",BD14&lt;0.35),"Watchlist","Ranked")</f>
        <v/>
      </c>
      <c r="BH14" s="15">
        <f>IF(AND(Q14="",AC14="",AK14="",AS14="",BC14=""),"",(IF(Q14="",0,Q14*25)+IF(AC14="",0,AC14*22)+IF(AK14="",0,AK14*18)+IF(AS14="",0,AS14*15)+IF(BC14="",0,BC14*20))/(IF(Q14="",0,25)+IF(AC14="",0,22)+IF(AK14="",0,18)+IF(AS14="",0,15)+IF(BC14="",0,20)))</f>
        <v/>
      </c>
      <c r="BI14" s="11">
        <f>IF(BG14="Ranked",1+COUNTIFS($BG$2:$BG$103,"Ranked",$BH$2:$BH$103,"&gt;"&amp;BH14),"")</f>
        <v/>
      </c>
      <c r="BJ14" s="11">
        <f>City_Inputs!$AH14</f>
        <v/>
      </c>
    </row>
    <row r="15">
      <c r="A15" t="inlineStr">
        <is>
          <t>cn-shenzhen</t>
        </is>
      </c>
      <c r="B15" t="inlineStr">
        <is>
          <t>Shenzhen</t>
        </is>
      </c>
      <c r="C15" t="inlineStr">
        <is>
          <t>China</t>
        </is>
      </c>
      <c r="D15" t="inlineStr">
        <is>
          <t>East Asia</t>
        </is>
      </c>
      <c r="E15" t="inlineStr">
        <is>
          <t>provisional</t>
        </is>
      </c>
      <c r="F15" t="inlineStr">
        <is>
          <t>primary</t>
        </is>
      </c>
      <c r="G15" s="11">
        <f>IF(OR(City_Inputs!$M15="",Norm_Stats!$F$2="",Norm_Stats!$G$2="",Norm_Stats!$G$2=Norm_Stats!$F$2),"",MAX(0,MIN(100,100*(MIN(MAX(City_Inputs!$M15,Norm_Stats!$F$2),Norm_Stats!$G$2)-Norm_Stats!$F$2)/(Norm_Stats!$G$2-Norm_Stats!$F$2))))</f>
        <v/>
      </c>
      <c r="H15" s="14">
        <f>IF(G15="","",1)</f>
        <v/>
      </c>
      <c r="I15" s="11">
        <f>IF(OR(City_Inputs!$N15="",Norm_Stats!$F$3="",Norm_Stats!$G$3="",Norm_Stats!$G$3=Norm_Stats!$F$3),"",MAX(0,MIN(100,100*(Norm_Stats!$G$3-MIN(MAX(City_Inputs!$N15,Norm_Stats!$F$3),Norm_Stats!$G$3))/(Norm_Stats!$G$3-Norm_Stats!$F$3))))</f>
        <v/>
      </c>
      <c r="J15" s="14">
        <f>IF(I15="","",1)</f>
        <v/>
      </c>
      <c r="K15" s="11">
        <f>IF(OR(City_Inputs!$P15="",Norm_Stats!$F$4="",Norm_Stats!$G$4="",Norm_Stats!$G$4=Norm_Stats!$F$4),"",MAX(0,MIN(100,100*(Norm_Stats!$G$4-MIN(MAX(City_Inputs!$P15,Norm_Stats!$F$4),Norm_Stats!$G$4))/(Norm_Stats!$G$4-Norm_Stats!$F$4))))</f>
        <v/>
      </c>
      <c r="L15" s="14">
        <f>IF(K15="","",1)</f>
        <v/>
      </c>
      <c r="M15" s="11">
        <f>IF(OR(City_Inputs!$Q15="",Norm_Stats!$F$5="",Norm_Stats!$G$5="",Norm_Stats!$G$5=Norm_Stats!$F$5),"",MAX(0,MIN(100,100*(Norm_Stats!$G$5-MIN(MAX(City_Inputs!$Q15,Norm_Stats!$F$5),Norm_Stats!$G$5))/(Norm_Stats!$G$5-Norm_Stats!$F$5))))</f>
        <v/>
      </c>
      <c r="N15" s="14">
        <f>IF(M15="","",1)</f>
        <v/>
      </c>
      <c r="O15" s="11">
        <f>IF(OR(City_Inputs!$R15="",Norm_Stats!$F$6="",Norm_Stats!$G$6="",Norm_Stats!$G$6=Norm_Stats!$F$6),"",MAX(0,MIN(100,100*(Norm_Stats!$G$6-MIN(MAX(City_Inputs!$R15,Norm_Stats!$F$6),Norm_Stats!$G$6))/(Norm_Stats!$G$6-Norm_Stats!$F$6))))</f>
        <v/>
      </c>
      <c r="P15" s="14">
        <f>IF(O15="","",1)</f>
        <v/>
      </c>
      <c r="Q15" s="15">
        <f>IF((IF(G15="",0,9)+IF(I15="",0,5)+IF(K15="",0,4)+IF(M15="",0,4)+IF(O15="",0,3))=0,"",(IF(G15="",0,G15*9)+IF(I15="",0,I15*5)+IF(K15="",0,K15*4)+IF(M15="",0,M15*4)+IF(O15="",0,O15*3))/(IF(G15="",0,9)+IF(I15="",0,5)+IF(K15="",0,4)+IF(M15="",0,4)+IF(O15="",0,3)))</f>
        <v/>
      </c>
      <c r="R15" s="14">
        <f>IF((IF(H15="",0,9)+IF(J15="",0,5)+IF(L15="",0,4)+IF(N15="",0,4)+IF(P15="",0,3))=0,"",(IF(H15="",0,H15*9)+IF(J15="",0,J15*5)+IF(L15="",0,L15*4)+IF(N15="",0,N15*4)+IF(P15="",0,P15*3))/25)</f>
        <v/>
      </c>
      <c r="S15" s="11">
        <f>IF(OR(City_Inputs!$S15="",Norm_Stats!$F$7="",Norm_Stats!$G$7="",Norm_Stats!$G$7=Norm_Stats!$F$7),"",MAX(0,MIN(100,100*(Norm_Stats!$G$7-MIN(MAX(City_Inputs!$S15,Norm_Stats!$F$7),Norm_Stats!$G$7))/(Norm_Stats!$G$7-Norm_Stats!$F$7))))</f>
        <v/>
      </c>
      <c r="T15" s="14">
        <f>IF(S15="","",1)</f>
        <v/>
      </c>
      <c r="U15" s="11">
        <f>IF(OR(City_Inputs!$T15="",Norm_Stats!$F$8="",Norm_Stats!$G$8="",Norm_Stats!$G$8=Norm_Stats!$F$8),"",MAX(0,MIN(100,100*(MIN(MAX(City_Inputs!$T15,Norm_Stats!$F$8),Norm_Stats!$G$8)-Norm_Stats!$F$8)/(Norm_Stats!$G$8-Norm_Stats!$F$8))))</f>
        <v/>
      </c>
      <c r="V15" s="14">
        <f>IF(U15="","",1)</f>
        <v/>
      </c>
      <c r="W15" s="11">
        <f>IF(OR(City_Inputs!$U15="",Norm_Stats!$F$9="",Norm_Stats!$G$9="",Norm_Stats!$G$9=Norm_Stats!$F$9),"",MAX(0,MIN(100,100*(Norm_Stats!$G$9-MIN(MAX(City_Inputs!$U15,Norm_Stats!$F$9),Norm_Stats!$G$9))/(Norm_Stats!$G$9-Norm_Stats!$F$9))))</f>
        <v/>
      </c>
      <c r="X15" s="14">
        <f>IF(W15="","",1)</f>
        <v/>
      </c>
      <c r="Y15" s="11">
        <f>IF(OR(City_Inputs!$V15="",Norm_Stats!$F$10="",Norm_Stats!$G$10="",Norm_Stats!$G$10=Norm_Stats!$F$10),"",MAX(0,MIN(100,100*(MIN(MAX(City_Inputs!$V15,Norm_Stats!$F$10),Norm_Stats!$G$10)-Norm_Stats!$F$10)/(Norm_Stats!$G$10-Norm_Stats!$F$10))))</f>
        <v/>
      </c>
      <c r="Z15" s="14">
        <f>IF(Y15="","",1)</f>
        <v/>
      </c>
      <c r="AA15" s="11">
        <f>IF(OR(City_Inputs!$W15="",Norm_Stats!$F$11="",Norm_Stats!$G$11="",Norm_Stats!$G$11=Norm_Stats!$F$11),"",MAX(0,MIN(100,100*(MIN(MAX(City_Inputs!$W15,Norm_Stats!$F$11),Norm_Stats!$G$11)-Norm_Stats!$F$11)/(Norm_Stats!$G$11-Norm_Stats!$F$11))))</f>
        <v/>
      </c>
      <c r="AB15" s="14">
        <f>IF(AA15="","",1)</f>
        <v/>
      </c>
      <c r="AC15" s="15">
        <f>IF((IF(S15="",0,5)+IF(U15="",0,5)+IF(W15="",0,4)+IF(Y15="",0,4)+IF(AA15="",0,4))=0,"",(IF(S15="",0,S15*5)+IF(U15="",0,U15*5)+IF(W15="",0,W15*4)+IF(Y15="",0,Y15*4)+IF(AA15="",0,AA15*4))/(IF(S15="",0,5)+IF(U15="",0,5)+IF(W15="",0,4)+IF(Y15="",0,4)+IF(AA15="",0,4)))</f>
        <v/>
      </c>
      <c r="AD15" s="14">
        <f>IF((IF(T15="",0,5)+IF(V15="",0,5)+IF(X15="",0,4)+IF(Z15="",0,4)+IF(AB15="",0,4))=0,"",(IF(T15="",0,T15*5)+IF(V15="",0,V15*5)+IF(X15="",0,X15*4)+IF(Z15="",0,Z15*4)+IF(AB15="",0,AB15*4))/22)</f>
        <v/>
      </c>
      <c r="AE15" s="11">
        <f>IF(OR(City_Inputs!$X15="",Norm_Stats!$F$12="",Norm_Stats!$G$12="",Norm_Stats!$G$12=Norm_Stats!$F$12),"",MAX(0,MIN(100,100*(MIN(MAX(City_Inputs!$X15,Norm_Stats!$F$12),Norm_Stats!$G$12)-Norm_Stats!$F$12)/(Norm_Stats!$G$12-Norm_Stats!$F$12))))</f>
        <v/>
      </c>
      <c r="AF15" s="14">
        <f>IF(AE15="","",1)</f>
        <v/>
      </c>
      <c r="AG15" s="11">
        <f>IF(OR(City_Inputs!$Y15="",Norm_Stats!$F$13="",Norm_Stats!$G$13="",Norm_Stats!$G$13=Norm_Stats!$F$13),"",MAX(0,MIN(100,100*(MIN(MAX(City_Inputs!$Y15,Norm_Stats!$F$13),Norm_Stats!$G$13)-Norm_Stats!$F$13)/(Norm_Stats!$G$13-Norm_Stats!$F$13))))</f>
        <v/>
      </c>
      <c r="AH15" s="14">
        <f>IF(AG15="","",1)</f>
        <v/>
      </c>
      <c r="AI15" s="11">
        <f>IF((IF((IF(OR(City_Inputs!$Z15="",Norm_Stats!$F$14="",Norm_Stats!$G$14="",Norm_Stats!$G$14=Norm_Stats!$F$14),"",MAX(0,MIN(100,100*(MIN(MAX(City_Inputs!$Z15,Norm_Stats!$F$14),Norm_Stats!$G$14)-Norm_Stats!$F$14)/(Norm_Stats!$G$14-Norm_Stats!$F$14)))))="",0,0.7)+IF((IF(OR(City_Inputs!$AK15="",Norm_Stats!$F$15="",Norm_Stats!$G$15="",Norm_Stats!$G$15=Norm_Stats!$F$15),"",MAX(0,MIN(100,100*(Norm_Stats!$G$15-MIN(MAX(City_Inputs!$AK15,Norm_Stats!$F$15),Norm_Stats!$G$15))/(Norm_Stats!$G$15-Norm_Stats!$F$15)))))="",0,0.3))=0,"",(IF((IF(OR(City_Inputs!$Z15="",Norm_Stats!$F$14="",Norm_Stats!$G$14="",Norm_Stats!$G$14=Norm_Stats!$F$14),"",MAX(0,MIN(100,100*(MIN(MAX(City_Inputs!$Z15,Norm_Stats!$F$14),Norm_Stats!$G$14)-Norm_Stats!$F$14)/(Norm_Stats!$G$14-Norm_Stats!$F$14)))))="",0,(IF(OR(City_Inputs!$Z15="",Norm_Stats!$F$14="",Norm_Stats!$G$14="",Norm_Stats!$G$14=Norm_Stats!$F$14),"",MAX(0,MIN(100,100*(MIN(MAX(City_Inputs!$Z15,Norm_Stats!$F$14),Norm_Stats!$G$14)-Norm_Stats!$F$14)/(Norm_Stats!$G$14-Norm_Stats!$F$14)))))*0.7)+IF((IF(OR(City_Inputs!$AK15="",Norm_Stats!$F$15="",Norm_Stats!$G$15="",Norm_Stats!$G$15=Norm_Stats!$F$15),"",MAX(0,MIN(100,100*(Norm_Stats!$G$15-MIN(MAX(City_Inputs!$AK15,Norm_Stats!$F$15),Norm_Stats!$G$15))/(Norm_Stats!$G$15-Norm_Stats!$F$15)))))="",0,(IF(OR(City_Inputs!$AK15="",Norm_Stats!$F$15="",Norm_Stats!$G$15="",Norm_Stats!$G$15=Norm_Stats!$F$15),"",MAX(0,MIN(100,100*(Norm_Stats!$G$15-MIN(MAX(City_Inputs!$AK15,Norm_Stats!$F$15),Norm_Stats!$G$15))/(Norm_Stats!$G$15-Norm_Stats!$F$15)))))*0.3))/(IF((IF(OR(City_Inputs!$Z15="",Norm_Stats!$F$14="",Norm_Stats!$G$14="",Norm_Stats!$G$14=Norm_Stats!$F$14),"",MAX(0,MIN(100,100*(MIN(MAX(City_Inputs!$Z15,Norm_Stats!$F$14),Norm_Stats!$G$14)-Norm_Stats!$F$14)/(Norm_Stats!$G$14-Norm_Stats!$F$14)))))="",0,0.7)+IF((IF(OR(City_Inputs!$AK15="",Norm_Stats!$F$15="",Norm_Stats!$G$15="",Norm_Stats!$G$15=Norm_Stats!$F$15),"",MAX(0,MIN(100,100*(Norm_Stats!$G$15-MIN(MAX(City_Inputs!$AK15,Norm_Stats!$F$15),Norm_Stats!$G$15))/(Norm_Stats!$G$15-Norm_Stats!$F$15)))))="",0,0.3)))</f>
        <v/>
      </c>
      <c r="AJ15" s="14">
        <f>IF((IF((IF(OR(City_Inputs!$Z15="",Norm_Stats!$F$14="",Norm_Stats!$G$14="",Norm_Stats!$G$14=Norm_Stats!$F$14),"",MAX(0,MIN(100,100*(MIN(MAX(City_Inputs!$Z15,Norm_Stats!$F$14),Norm_Stats!$G$14)-Norm_Stats!$F$14)/(Norm_Stats!$G$14-Norm_Stats!$F$14)))))="",0,0.7)+IF((IF(OR(City_Inputs!$AK15="",Norm_Stats!$F$15="",Norm_Stats!$G$15="",Norm_Stats!$G$15=Norm_Stats!$F$15),"",MAX(0,MIN(100,100*(Norm_Stats!$G$15-MIN(MAX(City_Inputs!$AK15,Norm_Stats!$F$15),Norm_Stats!$G$15))/(Norm_Stats!$G$15-Norm_Stats!$F$15)))))="",0,0.3))=0,"",(IF((IF(OR(City_Inputs!$Z15="",Norm_Stats!$F$14="",Norm_Stats!$G$14="",Norm_Stats!$G$14=Norm_Stats!$F$14),"",MAX(0,MIN(100,100*(MIN(MAX(City_Inputs!$Z15,Norm_Stats!$F$14),Norm_Stats!$G$14)-Norm_Stats!$F$14)/(Norm_Stats!$G$14-Norm_Stats!$F$14)))))="",0,0.7)+IF((IF(OR(City_Inputs!$AK15="",Norm_Stats!$F$15="",Norm_Stats!$G$15="",Norm_Stats!$G$15=Norm_Stats!$F$15),"",MAX(0,MIN(100,100*(Norm_Stats!$G$15-MIN(MAX(City_Inputs!$AK15,Norm_Stats!$F$15),Norm_Stats!$G$15))/(Norm_Stats!$G$15-Norm_Stats!$F$15)))))="",0,0.3)))</f>
        <v/>
      </c>
      <c r="AK15" s="15">
        <f>IF((IF(AE15="",0,8)+IF(AG15="",0,6)+IF(AI15="",0,4))=0,"",(IF(AE15="",0,AE15*8)+IF(AG15="",0,AG15*6)+IF(AI15="",0,AI15*4))/(IF(AE15="",0,8)+IF(AG15="",0,6)+IF(AI15="",0,4)))</f>
        <v/>
      </c>
      <c r="AL15" s="14">
        <f>IF((IF(AF15="",0,8)+IF(AH15="",0,6)+IF(AJ15="",0,4))=0,"",(IF(AF15="",0,AF15*8)+IF(AH15="",0,AH15*6)+IF(AJ15="",0,AJ15*4))/18)</f>
        <v/>
      </c>
      <c r="AM15" s="11">
        <f>IF(OR(City_Inputs!$AA15="",Norm_Stats!$F$16="",Norm_Stats!$G$16="",Norm_Stats!$G$16=Norm_Stats!$F$16),"",MAX(0,MIN(100,100*(MIN(MAX(City_Inputs!$AA15,Norm_Stats!$F$16),Norm_Stats!$G$16)-Norm_Stats!$F$16)/(Norm_Stats!$G$16-Norm_Stats!$F$16))))</f>
        <v/>
      </c>
      <c r="AN15" s="14">
        <f>IF(AM15="","",1)</f>
        <v/>
      </c>
      <c r="AO15" s="11">
        <f>IF(OR(City_Inputs!$AB15="",Norm_Stats!$F$17="",Norm_Stats!$G$17="",Norm_Stats!$G$17=Norm_Stats!$F$17),"",MAX(0,MIN(100,100*(MIN(MAX(City_Inputs!$AB15,Norm_Stats!$F$17),Norm_Stats!$G$17)-Norm_Stats!$F$17)/(Norm_Stats!$G$17-Norm_Stats!$F$17))))</f>
        <v/>
      </c>
      <c r="AP15" s="14">
        <f>IF(AO15="","",1)</f>
        <v/>
      </c>
      <c r="AQ15" s="11">
        <f>IF(OR(City_Inputs!$AC15="",Norm_Stats!$F$18="",Norm_Stats!$G$18="",Norm_Stats!$G$18=Norm_Stats!$F$18),"",MAX(0,MIN(100,100*(MIN(MAX(City_Inputs!$AC15,Norm_Stats!$F$18),Norm_Stats!$G$18)-Norm_Stats!$F$18)/(Norm_Stats!$G$18-Norm_Stats!$F$18))))</f>
        <v/>
      </c>
      <c r="AR15" s="14">
        <f>IF(AQ15="","",1)</f>
        <v/>
      </c>
      <c r="AS15" s="15">
        <f>IF((IF(AM15="",0,5)+IF(AO15="",0,5)+IF(AQ15="",0,5))=0,"",(IF(AM15="",0,AM15*5)+IF(AO15="",0,AO15*5)+IF(AQ15="",0,AQ15*5))/(IF(AM15="",0,5)+IF(AO15="",0,5)+IF(AQ15="",0,5)))</f>
        <v/>
      </c>
      <c r="AT15" s="14">
        <f>IF((IF(AN15="",0,5)+IF(AP15="",0,5)+IF(AR15="",0,5))=0,"",(IF(AN15="",0,AN15*5)+IF(AP15="",0,AP15*5)+IF(AR15="",0,AR15*5))/15)</f>
        <v/>
      </c>
      <c r="AU15" s="11">
        <f>IF(OR(City_Inputs!$AD15="",Norm_Stats!$F$19="",Norm_Stats!$G$19="",Norm_Stats!$G$19=Norm_Stats!$F$19),"",MAX(0,MIN(100,100*(MIN(MAX(City_Inputs!$AD15,Norm_Stats!$F$19),Norm_Stats!$G$19)-Norm_Stats!$F$19)/(Norm_Stats!$G$19-Norm_Stats!$F$19))))</f>
        <v/>
      </c>
      <c r="AV15" s="14">
        <f>IF(AU15="","",1)</f>
        <v/>
      </c>
      <c r="AW15" s="11">
        <f>IF(OR(City_Inputs!$AE15="",Norm_Stats!$F$20="",Norm_Stats!$G$20="",Norm_Stats!$G$20=Norm_Stats!$F$20),"",MAX(0,MIN(100,100*(MIN(MAX(City_Inputs!$AE15,Norm_Stats!$F$20),Norm_Stats!$G$20)-Norm_Stats!$F$20)/(Norm_Stats!$G$20-Norm_Stats!$F$20))))</f>
        <v/>
      </c>
      <c r="AX15" s="14">
        <f>IF(AW15="","",1)</f>
        <v/>
      </c>
      <c r="AY15" s="11">
        <f>IF((IF((IF(OR(City_Inputs!$AF15="",Norm_Stats!$F$21="",Norm_Stats!$G$21="",Norm_Stats!$G$21=Norm_Stats!$F$21),"",MAX(0,MIN(100,100*(MIN(MAX(City_Inputs!$AF15,Norm_Stats!$F$21),Norm_Stats!$G$21)-Norm_Stats!$F$21)/(Norm_Stats!$G$21-Norm_Stats!$F$21)))))="",0,0.5)+IF((IF(OR(City_Inputs!$AI15="",Norm_Stats!$F$22="",Norm_Stats!$G$22="",Norm_Stats!$G$22=Norm_Stats!$F$22),"",MAX(0,MIN(100,100*(MIN(MAX(City_Inputs!$AI15,Norm_Stats!$F$22),Norm_Stats!$G$22)-Norm_Stats!$F$22)/(Norm_Stats!$G$22-Norm_Stats!$F$22)))))="",0,0.3)+IF((IF(OR(City_Inputs!$AJ15="",Norm_Stats!$F$23="",Norm_Stats!$G$23="",Norm_Stats!$G$23=Norm_Stats!$F$23),"",MAX(0,MIN(100,100*(MIN(MAX(City_Inputs!$AJ15,Norm_Stats!$F$23),Norm_Stats!$G$23)-Norm_Stats!$F$23)/(Norm_Stats!$G$23-Norm_Stats!$F$23)))))="",0,0.2))=0,"",(IF((IF(OR(City_Inputs!$AF15="",Norm_Stats!$F$21="",Norm_Stats!$G$21="",Norm_Stats!$G$21=Norm_Stats!$F$21),"",MAX(0,MIN(100,100*(MIN(MAX(City_Inputs!$AF15,Norm_Stats!$F$21),Norm_Stats!$G$21)-Norm_Stats!$F$21)/(Norm_Stats!$G$21-Norm_Stats!$F$21)))))="",0,(IF(OR(City_Inputs!$AF15="",Norm_Stats!$F$21="",Norm_Stats!$G$21="",Norm_Stats!$G$21=Norm_Stats!$F$21),"",MAX(0,MIN(100,100*(MIN(MAX(City_Inputs!$AF15,Norm_Stats!$F$21),Norm_Stats!$G$21)-Norm_Stats!$F$21)/(Norm_Stats!$G$21-Norm_Stats!$F$21)))))*0.5)+IF((IF(OR(City_Inputs!$AI15="",Norm_Stats!$F$22="",Norm_Stats!$G$22="",Norm_Stats!$G$22=Norm_Stats!$F$22),"",MAX(0,MIN(100,100*(MIN(MAX(City_Inputs!$AI15,Norm_Stats!$F$22),Norm_Stats!$G$22)-Norm_Stats!$F$22)/(Norm_Stats!$G$22-Norm_Stats!$F$22)))))="",0,(IF(OR(City_Inputs!$AI15="",Norm_Stats!$F$22="",Norm_Stats!$G$22="",Norm_Stats!$G$22=Norm_Stats!$F$22),"",MAX(0,MIN(100,100*(MIN(MAX(City_Inputs!$AI15,Norm_Stats!$F$22),Norm_Stats!$G$22)-Norm_Stats!$F$22)/(Norm_Stats!$G$22-Norm_Stats!$F$22)))))*0.3)+IF((IF(OR(City_Inputs!$AJ15="",Norm_Stats!$F$23="",Norm_Stats!$G$23="",Norm_Stats!$G$23=Norm_Stats!$F$23),"",MAX(0,MIN(100,100*(MIN(MAX(City_Inputs!$AJ15,Norm_Stats!$F$23),Norm_Stats!$G$23)-Norm_Stats!$F$23)/(Norm_Stats!$G$23-Norm_Stats!$F$23)))))="",0,(IF(OR(City_Inputs!$AJ15="",Norm_Stats!$F$23="",Norm_Stats!$G$23="",Norm_Stats!$G$23=Norm_Stats!$F$23),"",MAX(0,MIN(100,100*(MIN(MAX(City_Inputs!$AJ15,Norm_Stats!$F$23),Norm_Stats!$G$23)-Norm_Stats!$F$23)/(Norm_Stats!$G$23-Norm_Stats!$F$23)))))*0.2))/(IF((IF(OR(City_Inputs!$AF15="",Norm_Stats!$F$21="",Norm_Stats!$G$21="",Norm_Stats!$G$21=Norm_Stats!$F$21),"",MAX(0,MIN(100,100*(MIN(MAX(City_Inputs!$AF15,Norm_Stats!$F$21),Norm_Stats!$G$21)-Norm_Stats!$F$21)/(Norm_Stats!$G$21-Norm_Stats!$F$21)))))="",0,0.5)+IF((IF(OR(City_Inputs!$AI15="",Norm_Stats!$F$22="",Norm_Stats!$G$22="",Norm_Stats!$G$22=Norm_Stats!$F$22),"",MAX(0,MIN(100,100*(MIN(MAX(City_Inputs!$AI15,Norm_Stats!$F$22),Norm_Stats!$G$22)-Norm_Stats!$F$22)/(Norm_Stats!$G$22-Norm_Stats!$F$22)))))="",0,0.3)+IF((IF(OR(City_Inputs!$AJ15="",Norm_Stats!$F$23="",Norm_Stats!$G$23="",Norm_Stats!$G$23=Norm_Stats!$F$23),"",MAX(0,MIN(100,100*(MIN(MAX(City_Inputs!$AJ15,Norm_Stats!$F$23),Norm_Stats!$G$23)-Norm_Stats!$F$23)/(Norm_Stats!$G$23-Norm_Stats!$F$23)))))="",0,0.2)))</f>
        <v/>
      </c>
      <c r="AZ15" s="14">
        <f>IF((IF((IF(OR(City_Inputs!$AF15="",Norm_Stats!$F$21="",Norm_Stats!$G$21="",Norm_Stats!$G$21=Norm_Stats!$F$21),"",MAX(0,MIN(100,100*(MIN(MAX(City_Inputs!$AF15,Norm_Stats!$F$21),Norm_Stats!$G$21)-Norm_Stats!$F$21)/(Norm_Stats!$G$21-Norm_Stats!$F$21)))))="",0,0.5)+IF((IF(OR(City_Inputs!$AI15="",Norm_Stats!$F$22="",Norm_Stats!$G$22="",Norm_Stats!$G$22=Norm_Stats!$F$22),"",MAX(0,MIN(100,100*(MIN(MAX(City_Inputs!$AI15,Norm_Stats!$F$22),Norm_Stats!$G$22)-Norm_Stats!$F$22)/(Norm_Stats!$G$22-Norm_Stats!$F$22)))))="",0,0.3)+IF((IF(OR(City_Inputs!$AJ15="",Norm_Stats!$F$23="",Norm_Stats!$G$23="",Norm_Stats!$G$23=Norm_Stats!$F$23),"",MAX(0,MIN(100,100*(MIN(MAX(City_Inputs!$AJ15,Norm_Stats!$F$23),Norm_Stats!$G$23)-Norm_Stats!$F$23)/(Norm_Stats!$G$23-Norm_Stats!$F$23)))))="",0,0.2))=0,"",(IF((IF(OR(City_Inputs!$AF15="",Norm_Stats!$F$21="",Norm_Stats!$G$21="",Norm_Stats!$G$21=Norm_Stats!$F$21),"",MAX(0,MIN(100,100*(MIN(MAX(City_Inputs!$AF15,Norm_Stats!$F$21),Norm_Stats!$G$21)-Norm_Stats!$F$21)/(Norm_Stats!$G$21-Norm_Stats!$F$21)))))="",0,0.5)+IF((IF(OR(City_Inputs!$AI15="",Norm_Stats!$F$22="",Norm_Stats!$G$22="",Norm_Stats!$G$22=Norm_Stats!$F$22),"",MAX(0,MIN(100,100*(MIN(MAX(City_Inputs!$AI15,Norm_Stats!$F$22),Norm_Stats!$G$22)-Norm_Stats!$F$22)/(Norm_Stats!$G$22-Norm_Stats!$F$22)))))="",0,0.3)+IF((IF(OR(City_Inputs!$AJ15="",Norm_Stats!$F$23="",Norm_Stats!$G$23="",Norm_Stats!$G$23=Norm_Stats!$F$23),"",MAX(0,MIN(100,100*(MIN(MAX(City_Inputs!$AJ15,Norm_Stats!$F$23),Norm_Stats!$G$23)-Norm_Stats!$F$23)/(Norm_Stats!$G$23-Norm_Stats!$F$23)))))="",0,0.2)))</f>
        <v/>
      </c>
      <c r="BA15" s="11">
        <f>IF(OR(City_Inputs!$AG15="",Norm_Stats!$F$24="",Norm_Stats!$G$24="",Norm_Stats!$G$24=Norm_Stats!$F$24),"",MAX(0,MIN(100,100*(Norm_Stats!$G$24-MIN(MAX(City_Inputs!$AG15,Norm_Stats!$F$24),Norm_Stats!$G$24))/(Norm_Stats!$G$24-Norm_Stats!$F$24))))</f>
        <v/>
      </c>
      <c r="BB15" s="14">
        <f>IF(BA15="","",1)</f>
        <v/>
      </c>
      <c r="BC15" s="15">
        <f>IF((IF(AU15="",0,6)+IF(AW15="",0,5)+IF(AY15="",0,5)+IF(BA15="",0,4))=0,"",(IF(AU15="",0,AU15*6)+IF(AW15="",0,AW15*5)+IF(AY15="",0,AY15*5)+IF(BA15="",0,BA15*4))/(IF(AU15="",0,6)+IF(AW15="",0,5)+IF(AY15="",0,5)+IF(BA15="",0,4)))</f>
        <v/>
      </c>
      <c r="BD15" s="14">
        <f>IF((IF(AV15="",0,6)+IF(AX15="",0,5)+IF(AZ15="",0,5)+IF(BB15="",0,4))=0,"",(IF(AV15="",0,AV15*6)+IF(AX15="",0,AX15*5)+IF(AZ15="",0,AZ15*5)+IF(BB15="",0,BB15*4))/20)</f>
        <v/>
      </c>
      <c r="BE15" s="14">
        <f>IF(AND(R15="",AD15="",AL15="",AT15="",BD15=""),"",((R15*25)+(AD15*22)+(AL15*18)+(AT15*15)+(BD15*20))/100)</f>
        <v/>
      </c>
      <c r="BF15" s="11">
        <f>IF(BE15="","",IF(BE15&gt;=0.75,"A",IF(BE15&gt;=0.5,"B",IF(BE15&gt;=0.35,"C","Watchlist"))))</f>
        <v/>
      </c>
      <c r="BG15" s="11">
        <f>IF(OR(BE15="",BE15&lt;0.5,R15="",R15&lt;0.35,AD15="",AD15&lt;0.35,AL15="",AL15&lt;0.35,AT15="",AT15&lt;0.35,BD15="",BD15&lt;0.35),"Watchlist","Ranked")</f>
        <v/>
      </c>
      <c r="BH15" s="15">
        <f>IF(AND(Q15="",AC15="",AK15="",AS15="",BC15=""),"",(IF(Q15="",0,Q15*25)+IF(AC15="",0,AC15*22)+IF(AK15="",0,AK15*18)+IF(AS15="",0,AS15*15)+IF(BC15="",0,BC15*20))/(IF(Q15="",0,25)+IF(AC15="",0,22)+IF(AK15="",0,18)+IF(AS15="",0,15)+IF(BC15="",0,20)))</f>
        <v/>
      </c>
      <c r="BI15" s="11">
        <f>IF(BG15="Ranked",1+COUNTIFS($BG$2:$BG$103,"Ranked",$BH$2:$BH$103,"&gt;"&amp;BH15),"")</f>
        <v/>
      </c>
      <c r="BJ15" s="11">
        <f>City_Inputs!$AH15</f>
        <v/>
      </c>
    </row>
    <row r="16">
      <c r="A16" t="inlineStr">
        <is>
          <t>jp-hiroshima</t>
        </is>
      </c>
      <c r="B16" t="inlineStr">
        <is>
          <t>Hiroshima</t>
        </is>
      </c>
      <c r="C16" t="inlineStr">
        <is>
          <t>Japan</t>
        </is>
      </c>
      <c r="D16" t="inlineStr">
        <is>
          <t>East Asia</t>
        </is>
      </c>
      <c r="E16" t="inlineStr">
        <is>
          <t>provisional</t>
        </is>
      </c>
      <c r="F16" t="inlineStr">
        <is>
          <t>primary</t>
        </is>
      </c>
      <c r="G16" s="11">
        <f>IF(OR(City_Inputs!$M16="",Norm_Stats!$F$2="",Norm_Stats!$G$2="",Norm_Stats!$G$2=Norm_Stats!$F$2),"",MAX(0,MIN(100,100*(MIN(MAX(City_Inputs!$M16,Norm_Stats!$F$2),Norm_Stats!$G$2)-Norm_Stats!$F$2)/(Norm_Stats!$G$2-Norm_Stats!$F$2))))</f>
        <v/>
      </c>
      <c r="H16" s="14">
        <f>IF(G16="","",1)</f>
        <v/>
      </c>
      <c r="I16" s="11">
        <f>IF(OR(City_Inputs!$N16="",Norm_Stats!$F$3="",Norm_Stats!$G$3="",Norm_Stats!$G$3=Norm_Stats!$F$3),"",MAX(0,MIN(100,100*(Norm_Stats!$G$3-MIN(MAX(City_Inputs!$N16,Norm_Stats!$F$3),Norm_Stats!$G$3))/(Norm_Stats!$G$3-Norm_Stats!$F$3))))</f>
        <v/>
      </c>
      <c r="J16" s="14">
        <f>IF(I16="","",1)</f>
        <v/>
      </c>
      <c r="K16" s="11">
        <f>IF(OR(City_Inputs!$P16="",Norm_Stats!$F$4="",Norm_Stats!$G$4="",Norm_Stats!$G$4=Norm_Stats!$F$4),"",MAX(0,MIN(100,100*(Norm_Stats!$G$4-MIN(MAX(City_Inputs!$P16,Norm_Stats!$F$4),Norm_Stats!$G$4))/(Norm_Stats!$G$4-Norm_Stats!$F$4))))</f>
        <v/>
      </c>
      <c r="L16" s="14">
        <f>IF(K16="","",1)</f>
        <v/>
      </c>
      <c r="M16" s="11">
        <f>IF(OR(City_Inputs!$Q16="",Norm_Stats!$F$5="",Norm_Stats!$G$5="",Norm_Stats!$G$5=Norm_Stats!$F$5),"",MAX(0,MIN(100,100*(Norm_Stats!$G$5-MIN(MAX(City_Inputs!$Q16,Norm_Stats!$F$5),Norm_Stats!$G$5))/(Norm_Stats!$G$5-Norm_Stats!$F$5))))</f>
        <v/>
      </c>
      <c r="N16" s="14">
        <f>IF(M16="","",1)</f>
        <v/>
      </c>
      <c r="O16" s="11">
        <f>IF(OR(City_Inputs!$R16="",Norm_Stats!$F$6="",Norm_Stats!$G$6="",Norm_Stats!$G$6=Norm_Stats!$F$6),"",MAX(0,MIN(100,100*(Norm_Stats!$G$6-MIN(MAX(City_Inputs!$R16,Norm_Stats!$F$6),Norm_Stats!$G$6))/(Norm_Stats!$G$6-Norm_Stats!$F$6))))</f>
        <v/>
      </c>
      <c r="P16" s="14">
        <f>IF(O16="","",1)</f>
        <v/>
      </c>
      <c r="Q16" s="15">
        <f>IF((IF(G16="",0,9)+IF(I16="",0,5)+IF(K16="",0,4)+IF(M16="",0,4)+IF(O16="",0,3))=0,"",(IF(G16="",0,G16*9)+IF(I16="",0,I16*5)+IF(K16="",0,K16*4)+IF(M16="",0,M16*4)+IF(O16="",0,O16*3))/(IF(G16="",0,9)+IF(I16="",0,5)+IF(K16="",0,4)+IF(M16="",0,4)+IF(O16="",0,3)))</f>
        <v/>
      </c>
      <c r="R16" s="14">
        <f>IF((IF(H16="",0,9)+IF(J16="",0,5)+IF(L16="",0,4)+IF(N16="",0,4)+IF(P16="",0,3))=0,"",(IF(H16="",0,H16*9)+IF(J16="",0,J16*5)+IF(L16="",0,L16*4)+IF(N16="",0,N16*4)+IF(P16="",0,P16*3))/25)</f>
        <v/>
      </c>
      <c r="S16" s="11">
        <f>IF(OR(City_Inputs!$S16="",Norm_Stats!$F$7="",Norm_Stats!$G$7="",Norm_Stats!$G$7=Norm_Stats!$F$7),"",MAX(0,MIN(100,100*(Norm_Stats!$G$7-MIN(MAX(City_Inputs!$S16,Norm_Stats!$F$7),Norm_Stats!$G$7))/(Norm_Stats!$G$7-Norm_Stats!$F$7))))</f>
        <v/>
      </c>
      <c r="T16" s="14">
        <f>IF(S16="","",1)</f>
        <v/>
      </c>
      <c r="U16" s="11">
        <f>IF(OR(City_Inputs!$T16="",Norm_Stats!$F$8="",Norm_Stats!$G$8="",Norm_Stats!$G$8=Norm_Stats!$F$8),"",MAX(0,MIN(100,100*(MIN(MAX(City_Inputs!$T16,Norm_Stats!$F$8),Norm_Stats!$G$8)-Norm_Stats!$F$8)/(Norm_Stats!$G$8-Norm_Stats!$F$8))))</f>
        <v/>
      </c>
      <c r="V16" s="14">
        <f>IF(U16="","",1)</f>
        <v/>
      </c>
      <c r="W16" s="11">
        <f>IF(OR(City_Inputs!$U16="",Norm_Stats!$F$9="",Norm_Stats!$G$9="",Norm_Stats!$G$9=Norm_Stats!$F$9),"",MAX(0,MIN(100,100*(Norm_Stats!$G$9-MIN(MAX(City_Inputs!$U16,Norm_Stats!$F$9),Norm_Stats!$G$9))/(Norm_Stats!$G$9-Norm_Stats!$F$9))))</f>
        <v/>
      </c>
      <c r="X16" s="14">
        <f>IF(W16="","",1)</f>
        <v/>
      </c>
      <c r="Y16" s="11">
        <f>IF(OR(City_Inputs!$V16="",Norm_Stats!$F$10="",Norm_Stats!$G$10="",Norm_Stats!$G$10=Norm_Stats!$F$10),"",MAX(0,MIN(100,100*(MIN(MAX(City_Inputs!$V16,Norm_Stats!$F$10),Norm_Stats!$G$10)-Norm_Stats!$F$10)/(Norm_Stats!$G$10-Norm_Stats!$F$10))))</f>
        <v/>
      </c>
      <c r="Z16" s="14">
        <f>IF(Y16="","",1)</f>
        <v/>
      </c>
      <c r="AA16" s="11">
        <f>IF(OR(City_Inputs!$W16="",Norm_Stats!$F$11="",Norm_Stats!$G$11="",Norm_Stats!$G$11=Norm_Stats!$F$11),"",MAX(0,MIN(100,100*(MIN(MAX(City_Inputs!$W16,Norm_Stats!$F$11),Norm_Stats!$G$11)-Norm_Stats!$F$11)/(Norm_Stats!$G$11-Norm_Stats!$F$11))))</f>
        <v/>
      </c>
      <c r="AB16" s="14">
        <f>IF(AA16="","",1)</f>
        <v/>
      </c>
      <c r="AC16" s="15">
        <f>IF((IF(S16="",0,5)+IF(U16="",0,5)+IF(W16="",0,4)+IF(Y16="",0,4)+IF(AA16="",0,4))=0,"",(IF(S16="",0,S16*5)+IF(U16="",0,U16*5)+IF(W16="",0,W16*4)+IF(Y16="",0,Y16*4)+IF(AA16="",0,AA16*4))/(IF(S16="",0,5)+IF(U16="",0,5)+IF(W16="",0,4)+IF(Y16="",0,4)+IF(AA16="",0,4)))</f>
        <v/>
      </c>
      <c r="AD16" s="14">
        <f>IF((IF(T16="",0,5)+IF(V16="",0,5)+IF(X16="",0,4)+IF(Z16="",0,4)+IF(AB16="",0,4))=0,"",(IF(T16="",0,T16*5)+IF(V16="",0,V16*5)+IF(X16="",0,X16*4)+IF(Z16="",0,Z16*4)+IF(AB16="",0,AB16*4))/22)</f>
        <v/>
      </c>
      <c r="AE16" s="11">
        <f>IF(OR(City_Inputs!$X16="",Norm_Stats!$F$12="",Norm_Stats!$G$12="",Norm_Stats!$G$12=Norm_Stats!$F$12),"",MAX(0,MIN(100,100*(MIN(MAX(City_Inputs!$X16,Norm_Stats!$F$12),Norm_Stats!$G$12)-Norm_Stats!$F$12)/(Norm_Stats!$G$12-Norm_Stats!$F$12))))</f>
        <v/>
      </c>
      <c r="AF16" s="14">
        <f>IF(AE16="","",1)</f>
        <v/>
      </c>
      <c r="AG16" s="11">
        <f>IF(OR(City_Inputs!$Y16="",Norm_Stats!$F$13="",Norm_Stats!$G$13="",Norm_Stats!$G$13=Norm_Stats!$F$13),"",MAX(0,MIN(100,100*(MIN(MAX(City_Inputs!$Y16,Norm_Stats!$F$13),Norm_Stats!$G$13)-Norm_Stats!$F$13)/(Norm_Stats!$G$13-Norm_Stats!$F$13))))</f>
        <v/>
      </c>
      <c r="AH16" s="14">
        <f>IF(AG16="","",1)</f>
        <v/>
      </c>
      <c r="AI16" s="11">
        <f>IF((IF((IF(OR(City_Inputs!$Z16="",Norm_Stats!$F$14="",Norm_Stats!$G$14="",Norm_Stats!$G$14=Norm_Stats!$F$14),"",MAX(0,MIN(100,100*(MIN(MAX(City_Inputs!$Z16,Norm_Stats!$F$14),Norm_Stats!$G$14)-Norm_Stats!$F$14)/(Norm_Stats!$G$14-Norm_Stats!$F$14)))))="",0,0.7)+IF((IF(OR(City_Inputs!$AK16="",Norm_Stats!$F$15="",Norm_Stats!$G$15="",Norm_Stats!$G$15=Norm_Stats!$F$15),"",MAX(0,MIN(100,100*(Norm_Stats!$G$15-MIN(MAX(City_Inputs!$AK16,Norm_Stats!$F$15),Norm_Stats!$G$15))/(Norm_Stats!$G$15-Norm_Stats!$F$15)))))="",0,0.3))=0,"",(IF((IF(OR(City_Inputs!$Z16="",Norm_Stats!$F$14="",Norm_Stats!$G$14="",Norm_Stats!$G$14=Norm_Stats!$F$14),"",MAX(0,MIN(100,100*(MIN(MAX(City_Inputs!$Z16,Norm_Stats!$F$14),Norm_Stats!$G$14)-Norm_Stats!$F$14)/(Norm_Stats!$G$14-Norm_Stats!$F$14)))))="",0,(IF(OR(City_Inputs!$Z16="",Norm_Stats!$F$14="",Norm_Stats!$G$14="",Norm_Stats!$G$14=Norm_Stats!$F$14),"",MAX(0,MIN(100,100*(MIN(MAX(City_Inputs!$Z16,Norm_Stats!$F$14),Norm_Stats!$G$14)-Norm_Stats!$F$14)/(Norm_Stats!$G$14-Norm_Stats!$F$14)))))*0.7)+IF((IF(OR(City_Inputs!$AK16="",Norm_Stats!$F$15="",Norm_Stats!$G$15="",Norm_Stats!$G$15=Norm_Stats!$F$15),"",MAX(0,MIN(100,100*(Norm_Stats!$G$15-MIN(MAX(City_Inputs!$AK16,Norm_Stats!$F$15),Norm_Stats!$G$15))/(Norm_Stats!$G$15-Norm_Stats!$F$15)))))="",0,(IF(OR(City_Inputs!$AK16="",Norm_Stats!$F$15="",Norm_Stats!$G$15="",Norm_Stats!$G$15=Norm_Stats!$F$15),"",MAX(0,MIN(100,100*(Norm_Stats!$G$15-MIN(MAX(City_Inputs!$AK16,Norm_Stats!$F$15),Norm_Stats!$G$15))/(Norm_Stats!$G$15-Norm_Stats!$F$15)))))*0.3))/(IF((IF(OR(City_Inputs!$Z16="",Norm_Stats!$F$14="",Norm_Stats!$G$14="",Norm_Stats!$G$14=Norm_Stats!$F$14),"",MAX(0,MIN(100,100*(MIN(MAX(City_Inputs!$Z16,Norm_Stats!$F$14),Norm_Stats!$G$14)-Norm_Stats!$F$14)/(Norm_Stats!$G$14-Norm_Stats!$F$14)))))="",0,0.7)+IF((IF(OR(City_Inputs!$AK16="",Norm_Stats!$F$15="",Norm_Stats!$G$15="",Norm_Stats!$G$15=Norm_Stats!$F$15),"",MAX(0,MIN(100,100*(Norm_Stats!$G$15-MIN(MAX(City_Inputs!$AK16,Norm_Stats!$F$15),Norm_Stats!$G$15))/(Norm_Stats!$G$15-Norm_Stats!$F$15)))))="",0,0.3)))</f>
        <v/>
      </c>
      <c r="AJ16" s="14">
        <f>IF((IF((IF(OR(City_Inputs!$Z16="",Norm_Stats!$F$14="",Norm_Stats!$G$14="",Norm_Stats!$G$14=Norm_Stats!$F$14),"",MAX(0,MIN(100,100*(MIN(MAX(City_Inputs!$Z16,Norm_Stats!$F$14),Norm_Stats!$G$14)-Norm_Stats!$F$14)/(Norm_Stats!$G$14-Norm_Stats!$F$14)))))="",0,0.7)+IF((IF(OR(City_Inputs!$AK16="",Norm_Stats!$F$15="",Norm_Stats!$G$15="",Norm_Stats!$G$15=Norm_Stats!$F$15),"",MAX(0,MIN(100,100*(Norm_Stats!$G$15-MIN(MAX(City_Inputs!$AK16,Norm_Stats!$F$15),Norm_Stats!$G$15))/(Norm_Stats!$G$15-Norm_Stats!$F$15)))))="",0,0.3))=0,"",(IF((IF(OR(City_Inputs!$Z16="",Norm_Stats!$F$14="",Norm_Stats!$G$14="",Norm_Stats!$G$14=Norm_Stats!$F$14),"",MAX(0,MIN(100,100*(MIN(MAX(City_Inputs!$Z16,Norm_Stats!$F$14),Norm_Stats!$G$14)-Norm_Stats!$F$14)/(Norm_Stats!$G$14-Norm_Stats!$F$14)))))="",0,0.7)+IF((IF(OR(City_Inputs!$AK16="",Norm_Stats!$F$15="",Norm_Stats!$G$15="",Norm_Stats!$G$15=Norm_Stats!$F$15),"",MAX(0,MIN(100,100*(Norm_Stats!$G$15-MIN(MAX(City_Inputs!$AK16,Norm_Stats!$F$15),Norm_Stats!$G$15))/(Norm_Stats!$G$15-Norm_Stats!$F$15)))))="",0,0.3)))</f>
        <v/>
      </c>
      <c r="AK16" s="15">
        <f>IF((IF(AE16="",0,8)+IF(AG16="",0,6)+IF(AI16="",0,4))=0,"",(IF(AE16="",0,AE16*8)+IF(AG16="",0,AG16*6)+IF(AI16="",0,AI16*4))/(IF(AE16="",0,8)+IF(AG16="",0,6)+IF(AI16="",0,4)))</f>
        <v/>
      </c>
      <c r="AL16" s="14">
        <f>IF((IF(AF16="",0,8)+IF(AH16="",0,6)+IF(AJ16="",0,4))=0,"",(IF(AF16="",0,AF16*8)+IF(AH16="",0,AH16*6)+IF(AJ16="",0,AJ16*4))/18)</f>
        <v/>
      </c>
      <c r="AM16" s="11">
        <f>IF(OR(City_Inputs!$AA16="",Norm_Stats!$F$16="",Norm_Stats!$G$16="",Norm_Stats!$G$16=Norm_Stats!$F$16),"",MAX(0,MIN(100,100*(MIN(MAX(City_Inputs!$AA16,Norm_Stats!$F$16),Norm_Stats!$G$16)-Norm_Stats!$F$16)/(Norm_Stats!$G$16-Norm_Stats!$F$16))))</f>
        <v/>
      </c>
      <c r="AN16" s="14">
        <f>IF(AM16="","",1)</f>
        <v/>
      </c>
      <c r="AO16" s="11">
        <f>IF(OR(City_Inputs!$AB16="",Norm_Stats!$F$17="",Norm_Stats!$G$17="",Norm_Stats!$G$17=Norm_Stats!$F$17),"",MAX(0,MIN(100,100*(MIN(MAX(City_Inputs!$AB16,Norm_Stats!$F$17),Norm_Stats!$G$17)-Norm_Stats!$F$17)/(Norm_Stats!$G$17-Norm_Stats!$F$17))))</f>
        <v/>
      </c>
      <c r="AP16" s="14">
        <f>IF(AO16="","",1)</f>
        <v/>
      </c>
      <c r="AQ16" s="11">
        <f>IF(OR(City_Inputs!$AC16="",Norm_Stats!$F$18="",Norm_Stats!$G$18="",Norm_Stats!$G$18=Norm_Stats!$F$18),"",MAX(0,MIN(100,100*(MIN(MAX(City_Inputs!$AC16,Norm_Stats!$F$18),Norm_Stats!$G$18)-Norm_Stats!$F$18)/(Norm_Stats!$G$18-Norm_Stats!$F$18))))</f>
        <v/>
      </c>
      <c r="AR16" s="14">
        <f>IF(AQ16="","",1)</f>
        <v/>
      </c>
      <c r="AS16" s="15">
        <f>IF((IF(AM16="",0,5)+IF(AO16="",0,5)+IF(AQ16="",0,5))=0,"",(IF(AM16="",0,AM16*5)+IF(AO16="",0,AO16*5)+IF(AQ16="",0,AQ16*5))/(IF(AM16="",0,5)+IF(AO16="",0,5)+IF(AQ16="",0,5)))</f>
        <v/>
      </c>
      <c r="AT16" s="14">
        <f>IF((IF(AN16="",0,5)+IF(AP16="",0,5)+IF(AR16="",0,5))=0,"",(IF(AN16="",0,AN16*5)+IF(AP16="",0,AP16*5)+IF(AR16="",0,AR16*5))/15)</f>
        <v/>
      </c>
      <c r="AU16" s="11">
        <f>IF(OR(City_Inputs!$AD16="",Norm_Stats!$F$19="",Norm_Stats!$G$19="",Norm_Stats!$G$19=Norm_Stats!$F$19),"",MAX(0,MIN(100,100*(MIN(MAX(City_Inputs!$AD16,Norm_Stats!$F$19),Norm_Stats!$G$19)-Norm_Stats!$F$19)/(Norm_Stats!$G$19-Norm_Stats!$F$19))))</f>
        <v/>
      </c>
      <c r="AV16" s="14">
        <f>IF(AU16="","",1)</f>
        <v/>
      </c>
      <c r="AW16" s="11">
        <f>IF(OR(City_Inputs!$AE16="",Norm_Stats!$F$20="",Norm_Stats!$G$20="",Norm_Stats!$G$20=Norm_Stats!$F$20),"",MAX(0,MIN(100,100*(MIN(MAX(City_Inputs!$AE16,Norm_Stats!$F$20),Norm_Stats!$G$20)-Norm_Stats!$F$20)/(Norm_Stats!$G$20-Norm_Stats!$F$20))))</f>
        <v/>
      </c>
      <c r="AX16" s="14">
        <f>IF(AW16="","",1)</f>
        <v/>
      </c>
      <c r="AY16" s="11">
        <f>IF((IF((IF(OR(City_Inputs!$AF16="",Norm_Stats!$F$21="",Norm_Stats!$G$21="",Norm_Stats!$G$21=Norm_Stats!$F$21),"",MAX(0,MIN(100,100*(MIN(MAX(City_Inputs!$AF16,Norm_Stats!$F$21),Norm_Stats!$G$21)-Norm_Stats!$F$21)/(Norm_Stats!$G$21-Norm_Stats!$F$21)))))="",0,0.5)+IF((IF(OR(City_Inputs!$AI16="",Norm_Stats!$F$22="",Norm_Stats!$G$22="",Norm_Stats!$G$22=Norm_Stats!$F$22),"",MAX(0,MIN(100,100*(MIN(MAX(City_Inputs!$AI16,Norm_Stats!$F$22),Norm_Stats!$G$22)-Norm_Stats!$F$22)/(Norm_Stats!$G$22-Norm_Stats!$F$22)))))="",0,0.3)+IF((IF(OR(City_Inputs!$AJ16="",Norm_Stats!$F$23="",Norm_Stats!$G$23="",Norm_Stats!$G$23=Norm_Stats!$F$23),"",MAX(0,MIN(100,100*(MIN(MAX(City_Inputs!$AJ16,Norm_Stats!$F$23),Norm_Stats!$G$23)-Norm_Stats!$F$23)/(Norm_Stats!$G$23-Norm_Stats!$F$23)))))="",0,0.2))=0,"",(IF((IF(OR(City_Inputs!$AF16="",Norm_Stats!$F$21="",Norm_Stats!$G$21="",Norm_Stats!$G$21=Norm_Stats!$F$21),"",MAX(0,MIN(100,100*(MIN(MAX(City_Inputs!$AF16,Norm_Stats!$F$21),Norm_Stats!$G$21)-Norm_Stats!$F$21)/(Norm_Stats!$G$21-Norm_Stats!$F$21)))))="",0,(IF(OR(City_Inputs!$AF16="",Norm_Stats!$F$21="",Norm_Stats!$G$21="",Norm_Stats!$G$21=Norm_Stats!$F$21),"",MAX(0,MIN(100,100*(MIN(MAX(City_Inputs!$AF16,Norm_Stats!$F$21),Norm_Stats!$G$21)-Norm_Stats!$F$21)/(Norm_Stats!$G$21-Norm_Stats!$F$21)))))*0.5)+IF((IF(OR(City_Inputs!$AI16="",Norm_Stats!$F$22="",Norm_Stats!$G$22="",Norm_Stats!$G$22=Norm_Stats!$F$22),"",MAX(0,MIN(100,100*(MIN(MAX(City_Inputs!$AI16,Norm_Stats!$F$22),Norm_Stats!$G$22)-Norm_Stats!$F$22)/(Norm_Stats!$G$22-Norm_Stats!$F$22)))))="",0,(IF(OR(City_Inputs!$AI16="",Norm_Stats!$F$22="",Norm_Stats!$G$22="",Norm_Stats!$G$22=Norm_Stats!$F$22),"",MAX(0,MIN(100,100*(MIN(MAX(City_Inputs!$AI16,Norm_Stats!$F$22),Norm_Stats!$G$22)-Norm_Stats!$F$22)/(Norm_Stats!$G$22-Norm_Stats!$F$22)))))*0.3)+IF((IF(OR(City_Inputs!$AJ16="",Norm_Stats!$F$23="",Norm_Stats!$G$23="",Norm_Stats!$G$23=Norm_Stats!$F$23),"",MAX(0,MIN(100,100*(MIN(MAX(City_Inputs!$AJ16,Norm_Stats!$F$23),Norm_Stats!$G$23)-Norm_Stats!$F$23)/(Norm_Stats!$G$23-Norm_Stats!$F$23)))))="",0,(IF(OR(City_Inputs!$AJ16="",Norm_Stats!$F$23="",Norm_Stats!$G$23="",Norm_Stats!$G$23=Norm_Stats!$F$23),"",MAX(0,MIN(100,100*(MIN(MAX(City_Inputs!$AJ16,Norm_Stats!$F$23),Norm_Stats!$G$23)-Norm_Stats!$F$23)/(Norm_Stats!$G$23-Norm_Stats!$F$23)))))*0.2))/(IF((IF(OR(City_Inputs!$AF16="",Norm_Stats!$F$21="",Norm_Stats!$G$21="",Norm_Stats!$G$21=Norm_Stats!$F$21),"",MAX(0,MIN(100,100*(MIN(MAX(City_Inputs!$AF16,Norm_Stats!$F$21),Norm_Stats!$G$21)-Norm_Stats!$F$21)/(Norm_Stats!$G$21-Norm_Stats!$F$21)))))="",0,0.5)+IF((IF(OR(City_Inputs!$AI16="",Norm_Stats!$F$22="",Norm_Stats!$G$22="",Norm_Stats!$G$22=Norm_Stats!$F$22),"",MAX(0,MIN(100,100*(MIN(MAX(City_Inputs!$AI16,Norm_Stats!$F$22),Norm_Stats!$G$22)-Norm_Stats!$F$22)/(Norm_Stats!$G$22-Norm_Stats!$F$22)))))="",0,0.3)+IF((IF(OR(City_Inputs!$AJ16="",Norm_Stats!$F$23="",Norm_Stats!$G$23="",Norm_Stats!$G$23=Norm_Stats!$F$23),"",MAX(0,MIN(100,100*(MIN(MAX(City_Inputs!$AJ16,Norm_Stats!$F$23),Norm_Stats!$G$23)-Norm_Stats!$F$23)/(Norm_Stats!$G$23-Norm_Stats!$F$23)))))="",0,0.2)))</f>
        <v/>
      </c>
      <c r="AZ16" s="14">
        <f>IF((IF((IF(OR(City_Inputs!$AF16="",Norm_Stats!$F$21="",Norm_Stats!$G$21="",Norm_Stats!$G$21=Norm_Stats!$F$21),"",MAX(0,MIN(100,100*(MIN(MAX(City_Inputs!$AF16,Norm_Stats!$F$21),Norm_Stats!$G$21)-Norm_Stats!$F$21)/(Norm_Stats!$G$21-Norm_Stats!$F$21)))))="",0,0.5)+IF((IF(OR(City_Inputs!$AI16="",Norm_Stats!$F$22="",Norm_Stats!$G$22="",Norm_Stats!$G$22=Norm_Stats!$F$22),"",MAX(0,MIN(100,100*(MIN(MAX(City_Inputs!$AI16,Norm_Stats!$F$22),Norm_Stats!$G$22)-Norm_Stats!$F$22)/(Norm_Stats!$G$22-Norm_Stats!$F$22)))))="",0,0.3)+IF((IF(OR(City_Inputs!$AJ16="",Norm_Stats!$F$23="",Norm_Stats!$G$23="",Norm_Stats!$G$23=Norm_Stats!$F$23),"",MAX(0,MIN(100,100*(MIN(MAX(City_Inputs!$AJ16,Norm_Stats!$F$23),Norm_Stats!$G$23)-Norm_Stats!$F$23)/(Norm_Stats!$G$23-Norm_Stats!$F$23)))))="",0,0.2))=0,"",(IF((IF(OR(City_Inputs!$AF16="",Norm_Stats!$F$21="",Norm_Stats!$G$21="",Norm_Stats!$G$21=Norm_Stats!$F$21),"",MAX(0,MIN(100,100*(MIN(MAX(City_Inputs!$AF16,Norm_Stats!$F$21),Norm_Stats!$G$21)-Norm_Stats!$F$21)/(Norm_Stats!$G$21-Norm_Stats!$F$21)))))="",0,0.5)+IF((IF(OR(City_Inputs!$AI16="",Norm_Stats!$F$22="",Norm_Stats!$G$22="",Norm_Stats!$G$22=Norm_Stats!$F$22),"",MAX(0,MIN(100,100*(MIN(MAX(City_Inputs!$AI16,Norm_Stats!$F$22),Norm_Stats!$G$22)-Norm_Stats!$F$22)/(Norm_Stats!$G$22-Norm_Stats!$F$22)))))="",0,0.3)+IF((IF(OR(City_Inputs!$AJ16="",Norm_Stats!$F$23="",Norm_Stats!$G$23="",Norm_Stats!$G$23=Norm_Stats!$F$23),"",MAX(0,MIN(100,100*(MIN(MAX(City_Inputs!$AJ16,Norm_Stats!$F$23),Norm_Stats!$G$23)-Norm_Stats!$F$23)/(Norm_Stats!$G$23-Norm_Stats!$F$23)))))="",0,0.2)))</f>
        <v/>
      </c>
      <c r="BA16" s="11">
        <f>IF(OR(City_Inputs!$AG16="",Norm_Stats!$F$24="",Norm_Stats!$G$24="",Norm_Stats!$G$24=Norm_Stats!$F$24),"",MAX(0,MIN(100,100*(Norm_Stats!$G$24-MIN(MAX(City_Inputs!$AG16,Norm_Stats!$F$24),Norm_Stats!$G$24))/(Norm_Stats!$G$24-Norm_Stats!$F$24))))</f>
        <v/>
      </c>
      <c r="BB16" s="14">
        <f>IF(BA16="","",1)</f>
        <v/>
      </c>
      <c r="BC16" s="15">
        <f>IF((IF(AU16="",0,6)+IF(AW16="",0,5)+IF(AY16="",0,5)+IF(BA16="",0,4))=0,"",(IF(AU16="",0,AU16*6)+IF(AW16="",0,AW16*5)+IF(AY16="",0,AY16*5)+IF(BA16="",0,BA16*4))/(IF(AU16="",0,6)+IF(AW16="",0,5)+IF(AY16="",0,5)+IF(BA16="",0,4)))</f>
        <v/>
      </c>
      <c r="BD16" s="14">
        <f>IF((IF(AV16="",0,6)+IF(AX16="",0,5)+IF(AZ16="",0,5)+IF(BB16="",0,4))=0,"",(IF(AV16="",0,AV16*6)+IF(AX16="",0,AX16*5)+IF(AZ16="",0,AZ16*5)+IF(BB16="",0,BB16*4))/20)</f>
        <v/>
      </c>
      <c r="BE16" s="14">
        <f>IF(AND(R16="",AD16="",AL16="",AT16="",BD16=""),"",((R16*25)+(AD16*22)+(AL16*18)+(AT16*15)+(BD16*20))/100)</f>
        <v/>
      </c>
      <c r="BF16" s="11">
        <f>IF(BE16="","",IF(BE16&gt;=0.75,"A",IF(BE16&gt;=0.5,"B",IF(BE16&gt;=0.35,"C","Watchlist"))))</f>
        <v/>
      </c>
      <c r="BG16" s="11">
        <f>IF(OR(BE16="",BE16&lt;0.5,R16="",R16&lt;0.35,AD16="",AD16&lt;0.35,AL16="",AL16&lt;0.35,AT16="",AT16&lt;0.35,BD16="",BD16&lt;0.35),"Watchlist","Ranked")</f>
        <v/>
      </c>
      <c r="BH16" s="15">
        <f>IF(AND(Q16="",AC16="",AK16="",AS16="",BC16=""),"",(IF(Q16="",0,Q16*25)+IF(AC16="",0,AC16*22)+IF(AK16="",0,AK16*18)+IF(AS16="",0,AS16*15)+IF(BC16="",0,BC16*20))/(IF(Q16="",0,25)+IF(AC16="",0,22)+IF(AK16="",0,18)+IF(AS16="",0,15)+IF(BC16="",0,20)))</f>
        <v/>
      </c>
      <c r="BI16" s="11">
        <f>IF(BG16="Ranked",1+COUNTIFS($BG$2:$BG$103,"Ranked",$BH$2:$BH$103,"&gt;"&amp;BH16),"")</f>
        <v/>
      </c>
      <c r="BJ16" s="11">
        <f>City_Inputs!$AH16</f>
        <v/>
      </c>
    </row>
    <row r="17">
      <c r="A17" t="inlineStr">
        <is>
          <t>kr-jeju-city</t>
        </is>
      </c>
      <c r="B17" t="inlineStr">
        <is>
          <t>Jeju City</t>
        </is>
      </c>
      <c r="C17" t="inlineStr">
        <is>
          <t>South Korea</t>
        </is>
      </c>
      <c r="D17" t="inlineStr">
        <is>
          <t>East Asia</t>
        </is>
      </c>
      <c r="E17" t="inlineStr">
        <is>
          <t>locked</t>
        </is>
      </c>
      <c r="F17" t="inlineStr">
        <is>
          <t>secondary</t>
        </is>
      </c>
      <c r="G17" s="11">
        <f>IF(OR(City_Inputs!$M17="",Norm_Stats!$F$2="",Norm_Stats!$G$2="",Norm_Stats!$G$2=Norm_Stats!$F$2),"",MAX(0,MIN(100,100*(MIN(MAX(City_Inputs!$M17,Norm_Stats!$F$2),Norm_Stats!$G$2)-Norm_Stats!$F$2)/(Norm_Stats!$G$2-Norm_Stats!$F$2))))</f>
        <v/>
      </c>
      <c r="H17" s="14">
        <f>IF(G17="","",1)</f>
        <v/>
      </c>
      <c r="I17" s="11">
        <f>IF(OR(City_Inputs!$N17="",Norm_Stats!$F$3="",Norm_Stats!$G$3="",Norm_Stats!$G$3=Norm_Stats!$F$3),"",MAX(0,MIN(100,100*(Norm_Stats!$G$3-MIN(MAX(City_Inputs!$N17,Norm_Stats!$F$3),Norm_Stats!$G$3))/(Norm_Stats!$G$3-Norm_Stats!$F$3))))</f>
        <v/>
      </c>
      <c r="J17" s="14">
        <f>IF(I17="","",1)</f>
        <v/>
      </c>
      <c r="K17" s="11">
        <f>IF(OR(City_Inputs!$P17="",Norm_Stats!$F$4="",Norm_Stats!$G$4="",Norm_Stats!$G$4=Norm_Stats!$F$4),"",MAX(0,MIN(100,100*(Norm_Stats!$G$4-MIN(MAX(City_Inputs!$P17,Norm_Stats!$F$4),Norm_Stats!$G$4))/(Norm_Stats!$G$4-Norm_Stats!$F$4))))</f>
        <v/>
      </c>
      <c r="L17" s="14">
        <f>IF(K17="","",1)</f>
        <v/>
      </c>
      <c r="M17" s="11">
        <f>IF(OR(City_Inputs!$Q17="",Norm_Stats!$F$5="",Norm_Stats!$G$5="",Norm_Stats!$G$5=Norm_Stats!$F$5),"",MAX(0,MIN(100,100*(Norm_Stats!$G$5-MIN(MAX(City_Inputs!$Q17,Norm_Stats!$F$5),Norm_Stats!$G$5))/(Norm_Stats!$G$5-Norm_Stats!$F$5))))</f>
        <v/>
      </c>
      <c r="N17" s="14">
        <f>IF(M17="","",1)</f>
        <v/>
      </c>
      <c r="O17" s="11">
        <f>IF(OR(City_Inputs!$R17="",Norm_Stats!$F$6="",Norm_Stats!$G$6="",Norm_Stats!$G$6=Norm_Stats!$F$6),"",MAX(0,MIN(100,100*(Norm_Stats!$G$6-MIN(MAX(City_Inputs!$R17,Norm_Stats!$F$6),Norm_Stats!$G$6))/(Norm_Stats!$G$6-Norm_Stats!$F$6))))</f>
        <v/>
      </c>
      <c r="P17" s="14">
        <f>IF(O17="","",1)</f>
        <v/>
      </c>
      <c r="Q17" s="15">
        <f>IF((IF(G17="",0,9)+IF(I17="",0,5)+IF(K17="",0,4)+IF(M17="",0,4)+IF(O17="",0,3))=0,"",(IF(G17="",0,G17*9)+IF(I17="",0,I17*5)+IF(K17="",0,K17*4)+IF(M17="",0,M17*4)+IF(O17="",0,O17*3))/(IF(G17="",0,9)+IF(I17="",0,5)+IF(K17="",0,4)+IF(M17="",0,4)+IF(O17="",0,3)))</f>
        <v/>
      </c>
      <c r="R17" s="14">
        <f>IF((IF(H17="",0,9)+IF(J17="",0,5)+IF(L17="",0,4)+IF(N17="",0,4)+IF(P17="",0,3))=0,"",(IF(H17="",0,H17*9)+IF(J17="",0,J17*5)+IF(L17="",0,L17*4)+IF(N17="",0,N17*4)+IF(P17="",0,P17*3))/25)</f>
        <v/>
      </c>
      <c r="S17" s="11">
        <f>IF(OR(City_Inputs!$S17="",Norm_Stats!$F$7="",Norm_Stats!$G$7="",Norm_Stats!$G$7=Norm_Stats!$F$7),"",MAX(0,MIN(100,100*(Norm_Stats!$G$7-MIN(MAX(City_Inputs!$S17,Norm_Stats!$F$7),Norm_Stats!$G$7))/(Norm_Stats!$G$7-Norm_Stats!$F$7))))</f>
        <v/>
      </c>
      <c r="T17" s="14">
        <f>IF(S17="","",1)</f>
        <v/>
      </c>
      <c r="U17" s="11">
        <f>IF(OR(City_Inputs!$T17="",Norm_Stats!$F$8="",Norm_Stats!$G$8="",Norm_Stats!$G$8=Norm_Stats!$F$8),"",MAX(0,MIN(100,100*(MIN(MAX(City_Inputs!$T17,Norm_Stats!$F$8),Norm_Stats!$G$8)-Norm_Stats!$F$8)/(Norm_Stats!$G$8-Norm_Stats!$F$8))))</f>
        <v/>
      </c>
      <c r="V17" s="14">
        <f>IF(U17="","",1)</f>
        <v/>
      </c>
      <c r="W17" s="11">
        <f>IF(OR(City_Inputs!$U17="",Norm_Stats!$F$9="",Norm_Stats!$G$9="",Norm_Stats!$G$9=Norm_Stats!$F$9),"",MAX(0,MIN(100,100*(Norm_Stats!$G$9-MIN(MAX(City_Inputs!$U17,Norm_Stats!$F$9),Norm_Stats!$G$9))/(Norm_Stats!$G$9-Norm_Stats!$F$9))))</f>
        <v/>
      </c>
      <c r="X17" s="14">
        <f>IF(W17="","",1)</f>
        <v/>
      </c>
      <c r="Y17" s="11">
        <f>IF(OR(City_Inputs!$V17="",Norm_Stats!$F$10="",Norm_Stats!$G$10="",Norm_Stats!$G$10=Norm_Stats!$F$10),"",MAX(0,MIN(100,100*(MIN(MAX(City_Inputs!$V17,Norm_Stats!$F$10),Norm_Stats!$G$10)-Norm_Stats!$F$10)/(Norm_Stats!$G$10-Norm_Stats!$F$10))))</f>
        <v/>
      </c>
      <c r="Z17" s="14">
        <f>IF(Y17="","",1)</f>
        <v/>
      </c>
      <c r="AA17" s="11">
        <f>IF(OR(City_Inputs!$W17="",Norm_Stats!$F$11="",Norm_Stats!$G$11="",Norm_Stats!$G$11=Norm_Stats!$F$11),"",MAX(0,MIN(100,100*(MIN(MAX(City_Inputs!$W17,Norm_Stats!$F$11),Norm_Stats!$G$11)-Norm_Stats!$F$11)/(Norm_Stats!$G$11-Norm_Stats!$F$11))))</f>
        <v/>
      </c>
      <c r="AB17" s="14">
        <f>IF(AA17="","",1)</f>
        <v/>
      </c>
      <c r="AC17" s="15">
        <f>IF((IF(S17="",0,5)+IF(U17="",0,5)+IF(W17="",0,4)+IF(Y17="",0,4)+IF(AA17="",0,4))=0,"",(IF(S17="",0,S17*5)+IF(U17="",0,U17*5)+IF(W17="",0,W17*4)+IF(Y17="",0,Y17*4)+IF(AA17="",0,AA17*4))/(IF(S17="",0,5)+IF(U17="",0,5)+IF(W17="",0,4)+IF(Y17="",0,4)+IF(AA17="",0,4)))</f>
        <v/>
      </c>
      <c r="AD17" s="14">
        <f>IF((IF(T17="",0,5)+IF(V17="",0,5)+IF(X17="",0,4)+IF(Z17="",0,4)+IF(AB17="",0,4))=0,"",(IF(T17="",0,T17*5)+IF(V17="",0,V17*5)+IF(X17="",0,X17*4)+IF(Z17="",0,Z17*4)+IF(AB17="",0,AB17*4))/22)</f>
        <v/>
      </c>
      <c r="AE17" s="11">
        <f>IF(OR(City_Inputs!$X17="",Norm_Stats!$F$12="",Norm_Stats!$G$12="",Norm_Stats!$G$12=Norm_Stats!$F$12),"",MAX(0,MIN(100,100*(MIN(MAX(City_Inputs!$X17,Norm_Stats!$F$12),Norm_Stats!$G$12)-Norm_Stats!$F$12)/(Norm_Stats!$G$12-Norm_Stats!$F$12))))</f>
        <v/>
      </c>
      <c r="AF17" s="14">
        <f>IF(AE17="","",1)</f>
        <v/>
      </c>
      <c r="AG17" s="11">
        <f>IF(OR(City_Inputs!$Y17="",Norm_Stats!$F$13="",Norm_Stats!$G$13="",Norm_Stats!$G$13=Norm_Stats!$F$13),"",MAX(0,MIN(100,100*(MIN(MAX(City_Inputs!$Y17,Norm_Stats!$F$13),Norm_Stats!$G$13)-Norm_Stats!$F$13)/(Norm_Stats!$G$13-Norm_Stats!$F$13))))</f>
        <v/>
      </c>
      <c r="AH17" s="14">
        <f>IF(AG17="","",1)</f>
        <v/>
      </c>
      <c r="AI17" s="11">
        <f>IF((IF((IF(OR(City_Inputs!$Z17="",Norm_Stats!$F$14="",Norm_Stats!$G$14="",Norm_Stats!$G$14=Norm_Stats!$F$14),"",MAX(0,MIN(100,100*(MIN(MAX(City_Inputs!$Z17,Norm_Stats!$F$14),Norm_Stats!$G$14)-Norm_Stats!$F$14)/(Norm_Stats!$G$14-Norm_Stats!$F$14)))))="",0,0.7)+IF((IF(OR(City_Inputs!$AK17="",Norm_Stats!$F$15="",Norm_Stats!$G$15="",Norm_Stats!$G$15=Norm_Stats!$F$15),"",MAX(0,MIN(100,100*(Norm_Stats!$G$15-MIN(MAX(City_Inputs!$AK17,Norm_Stats!$F$15),Norm_Stats!$G$15))/(Norm_Stats!$G$15-Norm_Stats!$F$15)))))="",0,0.3))=0,"",(IF((IF(OR(City_Inputs!$Z17="",Norm_Stats!$F$14="",Norm_Stats!$G$14="",Norm_Stats!$G$14=Norm_Stats!$F$14),"",MAX(0,MIN(100,100*(MIN(MAX(City_Inputs!$Z17,Norm_Stats!$F$14),Norm_Stats!$G$14)-Norm_Stats!$F$14)/(Norm_Stats!$G$14-Norm_Stats!$F$14)))))="",0,(IF(OR(City_Inputs!$Z17="",Norm_Stats!$F$14="",Norm_Stats!$G$14="",Norm_Stats!$G$14=Norm_Stats!$F$14),"",MAX(0,MIN(100,100*(MIN(MAX(City_Inputs!$Z17,Norm_Stats!$F$14),Norm_Stats!$G$14)-Norm_Stats!$F$14)/(Norm_Stats!$G$14-Norm_Stats!$F$14)))))*0.7)+IF((IF(OR(City_Inputs!$AK17="",Norm_Stats!$F$15="",Norm_Stats!$G$15="",Norm_Stats!$G$15=Norm_Stats!$F$15),"",MAX(0,MIN(100,100*(Norm_Stats!$G$15-MIN(MAX(City_Inputs!$AK17,Norm_Stats!$F$15),Norm_Stats!$G$15))/(Norm_Stats!$G$15-Norm_Stats!$F$15)))))="",0,(IF(OR(City_Inputs!$AK17="",Norm_Stats!$F$15="",Norm_Stats!$G$15="",Norm_Stats!$G$15=Norm_Stats!$F$15),"",MAX(0,MIN(100,100*(Norm_Stats!$G$15-MIN(MAX(City_Inputs!$AK17,Norm_Stats!$F$15),Norm_Stats!$G$15))/(Norm_Stats!$G$15-Norm_Stats!$F$15)))))*0.3))/(IF((IF(OR(City_Inputs!$Z17="",Norm_Stats!$F$14="",Norm_Stats!$G$14="",Norm_Stats!$G$14=Norm_Stats!$F$14),"",MAX(0,MIN(100,100*(MIN(MAX(City_Inputs!$Z17,Norm_Stats!$F$14),Norm_Stats!$G$14)-Norm_Stats!$F$14)/(Norm_Stats!$G$14-Norm_Stats!$F$14)))))="",0,0.7)+IF((IF(OR(City_Inputs!$AK17="",Norm_Stats!$F$15="",Norm_Stats!$G$15="",Norm_Stats!$G$15=Norm_Stats!$F$15),"",MAX(0,MIN(100,100*(Norm_Stats!$G$15-MIN(MAX(City_Inputs!$AK17,Norm_Stats!$F$15),Norm_Stats!$G$15))/(Norm_Stats!$G$15-Norm_Stats!$F$15)))))="",0,0.3)))</f>
        <v/>
      </c>
      <c r="AJ17" s="14">
        <f>IF((IF((IF(OR(City_Inputs!$Z17="",Norm_Stats!$F$14="",Norm_Stats!$G$14="",Norm_Stats!$G$14=Norm_Stats!$F$14),"",MAX(0,MIN(100,100*(MIN(MAX(City_Inputs!$Z17,Norm_Stats!$F$14),Norm_Stats!$G$14)-Norm_Stats!$F$14)/(Norm_Stats!$G$14-Norm_Stats!$F$14)))))="",0,0.7)+IF((IF(OR(City_Inputs!$AK17="",Norm_Stats!$F$15="",Norm_Stats!$G$15="",Norm_Stats!$G$15=Norm_Stats!$F$15),"",MAX(0,MIN(100,100*(Norm_Stats!$G$15-MIN(MAX(City_Inputs!$AK17,Norm_Stats!$F$15),Norm_Stats!$G$15))/(Norm_Stats!$G$15-Norm_Stats!$F$15)))))="",0,0.3))=0,"",(IF((IF(OR(City_Inputs!$Z17="",Norm_Stats!$F$14="",Norm_Stats!$G$14="",Norm_Stats!$G$14=Norm_Stats!$F$14),"",MAX(0,MIN(100,100*(MIN(MAX(City_Inputs!$Z17,Norm_Stats!$F$14),Norm_Stats!$G$14)-Norm_Stats!$F$14)/(Norm_Stats!$G$14-Norm_Stats!$F$14)))))="",0,0.7)+IF((IF(OR(City_Inputs!$AK17="",Norm_Stats!$F$15="",Norm_Stats!$G$15="",Norm_Stats!$G$15=Norm_Stats!$F$15),"",MAX(0,MIN(100,100*(Norm_Stats!$G$15-MIN(MAX(City_Inputs!$AK17,Norm_Stats!$F$15),Norm_Stats!$G$15))/(Norm_Stats!$G$15-Norm_Stats!$F$15)))))="",0,0.3)))</f>
        <v/>
      </c>
      <c r="AK17" s="15">
        <f>IF((IF(AE17="",0,8)+IF(AG17="",0,6)+IF(AI17="",0,4))=0,"",(IF(AE17="",0,AE17*8)+IF(AG17="",0,AG17*6)+IF(AI17="",0,AI17*4))/(IF(AE17="",0,8)+IF(AG17="",0,6)+IF(AI17="",0,4)))</f>
        <v/>
      </c>
      <c r="AL17" s="14">
        <f>IF((IF(AF17="",0,8)+IF(AH17="",0,6)+IF(AJ17="",0,4))=0,"",(IF(AF17="",0,AF17*8)+IF(AH17="",0,AH17*6)+IF(AJ17="",0,AJ17*4))/18)</f>
        <v/>
      </c>
      <c r="AM17" s="11">
        <f>IF(OR(City_Inputs!$AA17="",Norm_Stats!$F$16="",Norm_Stats!$G$16="",Norm_Stats!$G$16=Norm_Stats!$F$16),"",MAX(0,MIN(100,100*(MIN(MAX(City_Inputs!$AA17,Norm_Stats!$F$16),Norm_Stats!$G$16)-Norm_Stats!$F$16)/(Norm_Stats!$G$16-Norm_Stats!$F$16))))</f>
        <v/>
      </c>
      <c r="AN17" s="14">
        <f>IF(AM17="","",1)</f>
        <v/>
      </c>
      <c r="AO17" s="11">
        <f>IF(OR(City_Inputs!$AB17="",Norm_Stats!$F$17="",Norm_Stats!$G$17="",Norm_Stats!$G$17=Norm_Stats!$F$17),"",MAX(0,MIN(100,100*(MIN(MAX(City_Inputs!$AB17,Norm_Stats!$F$17),Norm_Stats!$G$17)-Norm_Stats!$F$17)/(Norm_Stats!$G$17-Norm_Stats!$F$17))))</f>
        <v/>
      </c>
      <c r="AP17" s="14">
        <f>IF(AO17="","",1)</f>
        <v/>
      </c>
      <c r="AQ17" s="11">
        <f>IF(OR(City_Inputs!$AC17="",Norm_Stats!$F$18="",Norm_Stats!$G$18="",Norm_Stats!$G$18=Norm_Stats!$F$18),"",MAX(0,MIN(100,100*(MIN(MAX(City_Inputs!$AC17,Norm_Stats!$F$18),Norm_Stats!$G$18)-Norm_Stats!$F$18)/(Norm_Stats!$G$18-Norm_Stats!$F$18))))</f>
        <v/>
      </c>
      <c r="AR17" s="14">
        <f>IF(AQ17="","",1)</f>
        <v/>
      </c>
      <c r="AS17" s="15">
        <f>IF((IF(AM17="",0,5)+IF(AO17="",0,5)+IF(AQ17="",0,5))=0,"",(IF(AM17="",0,AM17*5)+IF(AO17="",0,AO17*5)+IF(AQ17="",0,AQ17*5))/(IF(AM17="",0,5)+IF(AO17="",0,5)+IF(AQ17="",0,5)))</f>
        <v/>
      </c>
      <c r="AT17" s="14">
        <f>IF((IF(AN17="",0,5)+IF(AP17="",0,5)+IF(AR17="",0,5))=0,"",(IF(AN17="",0,AN17*5)+IF(AP17="",0,AP17*5)+IF(AR17="",0,AR17*5))/15)</f>
        <v/>
      </c>
      <c r="AU17" s="11">
        <f>IF(OR(City_Inputs!$AD17="",Norm_Stats!$F$19="",Norm_Stats!$G$19="",Norm_Stats!$G$19=Norm_Stats!$F$19),"",MAX(0,MIN(100,100*(MIN(MAX(City_Inputs!$AD17,Norm_Stats!$F$19),Norm_Stats!$G$19)-Norm_Stats!$F$19)/(Norm_Stats!$G$19-Norm_Stats!$F$19))))</f>
        <v/>
      </c>
      <c r="AV17" s="14">
        <f>IF(AU17="","",1)</f>
        <v/>
      </c>
      <c r="AW17" s="11">
        <f>IF(OR(City_Inputs!$AE17="",Norm_Stats!$F$20="",Norm_Stats!$G$20="",Norm_Stats!$G$20=Norm_Stats!$F$20),"",MAX(0,MIN(100,100*(MIN(MAX(City_Inputs!$AE17,Norm_Stats!$F$20),Norm_Stats!$G$20)-Norm_Stats!$F$20)/(Norm_Stats!$G$20-Norm_Stats!$F$20))))</f>
        <v/>
      </c>
      <c r="AX17" s="14">
        <f>IF(AW17="","",1)</f>
        <v/>
      </c>
      <c r="AY17" s="11">
        <f>IF((IF((IF(OR(City_Inputs!$AF17="",Norm_Stats!$F$21="",Norm_Stats!$G$21="",Norm_Stats!$G$21=Norm_Stats!$F$21),"",MAX(0,MIN(100,100*(MIN(MAX(City_Inputs!$AF17,Norm_Stats!$F$21),Norm_Stats!$G$21)-Norm_Stats!$F$21)/(Norm_Stats!$G$21-Norm_Stats!$F$21)))))="",0,0.5)+IF((IF(OR(City_Inputs!$AI17="",Norm_Stats!$F$22="",Norm_Stats!$G$22="",Norm_Stats!$G$22=Norm_Stats!$F$22),"",MAX(0,MIN(100,100*(MIN(MAX(City_Inputs!$AI17,Norm_Stats!$F$22),Norm_Stats!$G$22)-Norm_Stats!$F$22)/(Norm_Stats!$G$22-Norm_Stats!$F$22)))))="",0,0.3)+IF((IF(OR(City_Inputs!$AJ17="",Norm_Stats!$F$23="",Norm_Stats!$G$23="",Norm_Stats!$G$23=Norm_Stats!$F$23),"",MAX(0,MIN(100,100*(MIN(MAX(City_Inputs!$AJ17,Norm_Stats!$F$23),Norm_Stats!$G$23)-Norm_Stats!$F$23)/(Norm_Stats!$G$23-Norm_Stats!$F$23)))))="",0,0.2))=0,"",(IF((IF(OR(City_Inputs!$AF17="",Norm_Stats!$F$21="",Norm_Stats!$G$21="",Norm_Stats!$G$21=Norm_Stats!$F$21),"",MAX(0,MIN(100,100*(MIN(MAX(City_Inputs!$AF17,Norm_Stats!$F$21),Norm_Stats!$G$21)-Norm_Stats!$F$21)/(Norm_Stats!$G$21-Norm_Stats!$F$21)))))="",0,(IF(OR(City_Inputs!$AF17="",Norm_Stats!$F$21="",Norm_Stats!$G$21="",Norm_Stats!$G$21=Norm_Stats!$F$21),"",MAX(0,MIN(100,100*(MIN(MAX(City_Inputs!$AF17,Norm_Stats!$F$21),Norm_Stats!$G$21)-Norm_Stats!$F$21)/(Norm_Stats!$G$21-Norm_Stats!$F$21)))))*0.5)+IF((IF(OR(City_Inputs!$AI17="",Norm_Stats!$F$22="",Norm_Stats!$G$22="",Norm_Stats!$G$22=Norm_Stats!$F$22),"",MAX(0,MIN(100,100*(MIN(MAX(City_Inputs!$AI17,Norm_Stats!$F$22),Norm_Stats!$G$22)-Norm_Stats!$F$22)/(Norm_Stats!$G$22-Norm_Stats!$F$22)))))="",0,(IF(OR(City_Inputs!$AI17="",Norm_Stats!$F$22="",Norm_Stats!$G$22="",Norm_Stats!$G$22=Norm_Stats!$F$22),"",MAX(0,MIN(100,100*(MIN(MAX(City_Inputs!$AI17,Norm_Stats!$F$22),Norm_Stats!$G$22)-Norm_Stats!$F$22)/(Norm_Stats!$G$22-Norm_Stats!$F$22)))))*0.3)+IF((IF(OR(City_Inputs!$AJ17="",Norm_Stats!$F$23="",Norm_Stats!$G$23="",Norm_Stats!$G$23=Norm_Stats!$F$23),"",MAX(0,MIN(100,100*(MIN(MAX(City_Inputs!$AJ17,Norm_Stats!$F$23),Norm_Stats!$G$23)-Norm_Stats!$F$23)/(Norm_Stats!$G$23-Norm_Stats!$F$23)))))="",0,(IF(OR(City_Inputs!$AJ17="",Norm_Stats!$F$23="",Norm_Stats!$G$23="",Norm_Stats!$G$23=Norm_Stats!$F$23),"",MAX(0,MIN(100,100*(MIN(MAX(City_Inputs!$AJ17,Norm_Stats!$F$23),Norm_Stats!$G$23)-Norm_Stats!$F$23)/(Norm_Stats!$G$23-Norm_Stats!$F$23)))))*0.2))/(IF((IF(OR(City_Inputs!$AF17="",Norm_Stats!$F$21="",Norm_Stats!$G$21="",Norm_Stats!$G$21=Norm_Stats!$F$21),"",MAX(0,MIN(100,100*(MIN(MAX(City_Inputs!$AF17,Norm_Stats!$F$21),Norm_Stats!$G$21)-Norm_Stats!$F$21)/(Norm_Stats!$G$21-Norm_Stats!$F$21)))))="",0,0.5)+IF((IF(OR(City_Inputs!$AI17="",Norm_Stats!$F$22="",Norm_Stats!$G$22="",Norm_Stats!$G$22=Norm_Stats!$F$22),"",MAX(0,MIN(100,100*(MIN(MAX(City_Inputs!$AI17,Norm_Stats!$F$22),Norm_Stats!$G$22)-Norm_Stats!$F$22)/(Norm_Stats!$G$22-Norm_Stats!$F$22)))))="",0,0.3)+IF((IF(OR(City_Inputs!$AJ17="",Norm_Stats!$F$23="",Norm_Stats!$G$23="",Norm_Stats!$G$23=Norm_Stats!$F$23),"",MAX(0,MIN(100,100*(MIN(MAX(City_Inputs!$AJ17,Norm_Stats!$F$23),Norm_Stats!$G$23)-Norm_Stats!$F$23)/(Norm_Stats!$G$23-Norm_Stats!$F$23)))))="",0,0.2)))</f>
        <v/>
      </c>
      <c r="AZ17" s="14">
        <f>IF((IF((IF(OR(City_Inputs!$AF17="",Norm_Stats!$F$21="",Norm_Stats!$G$21="",Norm_Stats!$G$21=Norm_Stats!$F$21),"",MAX(0,MIN(100,100*(MIN(MAX(City_Inputs!$AF17,Norm_Stats!$F$21),Norm_Stats!$G$21)-Norm_Stats!$F$21)/(Norm_Stats!$G$21-Norm_Stats!$F$21)))))="",0,0.5)+IF((IF(OR(City_Inputs!$AI17="",Norm_Stats!$F$22="",Norm_Stats!$G$22="",Norm_Stats!$G$22=Norm_Stats!$F$22),"",MAX(0,MIN(100,100*(MIN(MAX(City_Inputs!$AI17,Norm_Stats!$F$22),Norm_Stats!$G$22)-Norm_Stats!$F$22)/(Norm_Stats!$G$22-Norm_Stats!$F$22)))))="",0,0.3)+IF((IF(OR(City_Inputs!$AJ17="",Norm_Stats!$F$23="",Norm_Stats!$G$23="",Norm_Stats!$G$23=Norm_Stats!$F$23),"",MAX(0,MIN(100,100*(MIN(MAX(City_Inputs!$AJ17,Norm_Stats!$F$23),Norm_Stats!$G$23)-Norm_Stats!$F$23)/(Norm_Stats!$G$23-Norm_Stats!$F$23)))))="",0,0.2))=0,"",(IF((IF(OR(City_Inputs!$AF17="",Norm_Stats!$F$21="",Norm_Stats!$G$21="",Norm_Stats!$G$21=Norm_Stats!$F$21),"",MAX(0,MIN(100,100*(MIN(MAX(City_Inputs!$AF17,Norm_Stats!$F$21),Norm_Stats!$G$21)-Norm_Stats!$F$21)/(Norm_Stats!$G$21-Norm_Stats!$F$21)))))="",0,0.5)+IF((IF(OR(City_Inputs!$AI17="",Norm_Stats!$F$22="",Norm_Stats!$G$22="",Norm_Stats!$G$22=Norm_Stats!$F$22),"",MAX(0,MIN(100,100*(MIN(MAX(City_Inputs!$AI17,Norm_Stats!$F$22),Norm_Stats!$G$22)-Norm_Stats!$F$22)/(Norm_Stats!$G$22-Norm_Stats!$F$22)))))="",0,0.3)+IF((IF(OR(City_Inputs!$AJ17="",Norm_Stats!$F$23="",Norm_Stats!$G$23="",Norm_Stats!$G$23=Norm_Stats!$F$23),"",MAX(0,MIN(100,100*(MIN(MAX(City_Inputs!$AJ17,Norm_Stats!$F$23),Norm_Stats!$G$23)-Norm_Stats!$F$23)/(Norm_Stats!$G$23-Norm_Stats!$F$23)))))="",0,0.2)))</f>
        <v/>
      </c>
      <c r="BA17" s="11">
        <f>IF(OR(City_Inputs!$AG17="",Norm_Stats!$F$24="",Norm_Stats!$G$24="",Norm_Stats!$G$24=Norm_Stats!$F$24),"",MAX(0,MIN(100,100*(Norm_Stats!$G$24-MIN(MAX(City_Inputs!$AG17,Norm_Stats!$F$24),Norm_Stats!$G$24))/(Norm_Stats!$G$24-Norm_Stats!$F$24))))</f>
        <v/>
      </c>
      <c r="BB17" s="14">
        <f>IF(BA17="","",1)</f>
        <v/>
      </c>
      <c r="BC17" s="15">
        <f>IF((IF(AU17="",0,6)+IF(AW17="",0,5)+IF(AY17="",0,5)+IF(BA17="",0,4))=0,"",(IF(AU17="",0,AU17*6)+IF(AW17="",0,AW17*5)+IF(AY17="",0,AY17*5)+IF(BA17="",0,BA17*4))/(IF(AU17="",0,6)+IF(AW17="",0,5)+IF(AY17="",0,5)+IF(BA17="",0,4)))</f>
        <v/>
      </c>
      <c r="BD17" s="14">
        <f>IF((IF(AV17="",0,6)+IF(AX17="",0,5)+IF(AZ17="",0,5)+IF(BB17="",0,4))=0,"",(IF(AV17="",0,AV17*6)+IF(AX17="",0,AX17*5)+IF(AZ17="",0,AZ17*5)+IF(BB17="",0,BB17*4))/20)</f>
        <v/>
      </c>
      <c r="BE17" s="14">
        <f>IF(AND(R17="",AD17="",AL17="",AT17="",BD17=""),"",((R17*25)+(AD17*22)+(AL17*18)+(AT17*15)+(BD17*20))/100)</f>
        <v/>
      </c>
      <c r="BF17" s="11">
        <f>IF(BE17="","",IF(BE17&gt;=0.75,"A",IF(BE17&gt;=0.5,"B",IF(BE17&gt;=0.35,"C","Watchlist"))))</f>
        <v/>
      </c>
      <c r="BG17" s="11">
        <f>IF(OR(BE17="",BE17&lt;0.5,R17="",R17&lt;0.35,AD17="",AD17&lt;0.35,AL17="",AL17&lt;0.35,AT17="",AT17&lt;0.35,BD17="",BD17&lt;0.35),"Watchlist","Ranked")</f>
        <v/>
      </c>
      <c r="BH17" s="15">
        <f>IF(AND(Q17="",AC17="",AK17="",AS17="",BC17=""),"",(IF(Q17="",0,Q17*25)+IF(AC17="",0,AC17*22)+IF(AK17="",0,AK17*18)+IF(AS17="",0,AS17*15)+IF(BC17="",0,BC17*20))/(IF(Q17="",0,25)+IF(AC17="",0,22)+IF(AK17="",0,18)+IF(AS17="",0,15)+IF(BC17="",0,20)))</f>
        <v/>
      </c>
      <c r="BI17" s="11">
        <f>IF(BG17="Ranked",1+COUNTIFS($BG$2:$BG$103,"Ranked",$BH$2:$BH$103,"&gt;"&amp;BH17),"")</f>
        <v/>
      </c>
      <c r="BJ17" s="11">
        <f>City_Inputs!$AH17</f>
        <v/>
      </c>
    </row>
    <row r="18">
      <c r="A18" t="inlineStr">
        <is>
          <t>jp-fukuoka</t>
        </is>
      </c>
      <c r="B18" t="inlineStr">
        <is>
          <t>Fukuoka</t>
        </is>
      </c>
      <c r="C18" t="inlineStr">
        <is>
          <t>Japan</t>
        </is>
      </c>
      <c r="D18" t="inlineStr">
        <is>
          <t>East Asia</t>
        </is>
      </c>
      <c r="E18" t="inlineStr">
        <is>
          <t>locked</t>
        </is>
      </c>
      <c r="F18" t="inlineStr">
        <is>
          <t>secondary</t>
        </is>
      </c>
      <c r="G18" s="11">
        <f>IF(OR(City_Inputs!$M18="",Norm_Stats!$F$2="",Norm_Stats!$G$2="",Norm_Stats!$G$2=Norm_Stats!$F$2),"",MAX(0,MIN(100,100*(MIN(MAX(City_Inputs!$M18,Norm_Stats!$F$2),Norm_Stats!$G$2)-Norm_Stats!$F$2)/(Norm_Stats!$G$2-Norm_Stats!$F$2))))</f>
        <v/>
      </c>
      <c r="H18" s="14">
        <f>IF(G18="","",1)</f>
        <v/>
      </c>
      <c r="I18" s="11">
        <f>IF(OR(City_Inputs!$N18="",Norm_Stats!$F$3="",Norm_Stats!$G$3="",Norm_Stats!$G$3=Norm_Stats!$F$3),"",MAX(0,MIN(100,100*(Norm_Stats!$G$3-MIN(MAX(City_Inputs!$N18,Norm_Stats!$F$3),Norm_Stats!$G$3))/(Norm_Stats!$G$3-Norm_Stats!$F$3))))</f>
        <v/>
      </c>
      <c r="J18" s="14">
        <f>IF(I18="","",1)</f>
        <v/>
      </c>
      <c r="K18" s="11">
        <f>IF(OR(City_Inputs!$P18="",Norm_Stats!$F$4="",Norm_Stats!$G$4="",Norm_Stats!$G$4=Norm_Stats!$F$4),"",MAX(0,MIN(100,100*(Norm_Stats!$G$4-MIN(MAX(City_Inputs!$P18,Norm_Stats!$F$4),Norm_Stats!$G$4))/(Norm_Stats!$G$4-Norm_Stats!$F$4))))</f>
        <v/>
      </c>
      <c r="L18" s="14">
        <f>IF(K18="","",1)</f>
        <v/>
      </c>
      <c r="M18" s="11">
        <f>IF(OR(City_Inputs!$Q18="",Norm_Stats!$F$5="",Norm_Stats!$G$5="",Norm_Stats!$G$5=Norm_Stats!$F$5),"",MAX(0,MIN(100,100*(Norm_Stats!$G$5-MIN(MAX(City_Inputs!$Q18,Norm_Stats!$F$5),Norm_Stats!$G$5))/(Norm_Stats!$G$5-Norm_Stats!$F$5))))</f>
        <v/>
      </c>
      <c r="N18" s="14">
        <f>IF(M18="","",1)</f>
        <v/>
      </c>
      <c r="O18" s="11">
        <f>IF(OR(City_Inputs!$R18="",Norm_Stats!$F$6="",Norm_Stats!$G$6="",Norm_Stats!$G$6=Norm_Stats!$F$6),"",MAX(0,MIN(100,100*(Norm_Stats!$G$6-MIN(MAX(City_Inputs!$R18,Norm_Stats!$F$6),Norm_Stats!$G$6))/(Norm_Stats!$G$6-Norm_Stats!$F$6))))</f>
        <v/>
      </c>
      <c r="P18" s="14">
        <f>IF(O18="","",1)</f>
        <v/>
      </c>
      <c r="Q18" s="15">
        <f>IF((IF(G18="",0,9)+IF(I18="",0,5)+IF(K18="",0,4)+IF(M18="",0,4)+IF(O18="",0,3))=0,"",(IF(G18="",0,G18*9)+IF(I18="",0,I18*5)+IF(K18="",0,K18*4)+IF(M18="",0,M18*4)+IF(O18="",0,O18*3))/(IF(G18="",0,9)+IF(I18="",0,5)+IF(K18="",0,4)+IF(M18="",0,4)+IF(O18="",0,3)))</f>
        <v/>
      </c>
      <c r="R18" s="14">
        <f>IF((IF(H18="",0,9)+IF(J18="",0,5)+IF(L18="",0,4)+IF(N18="",0,4)+IF(P18="",0,3))=0,"",(IF(H18="",0,H18*9)+IF(J18="",0,J18*5)+IF(L18="",0,L18*4)+IF(N18="",0,N18*4)+IF(P18="",0,P18*3))/25)</f>
        <v/>
      </c>
      <c r="S18" s="11">
        <f>IF(OR(City_Inputs!$S18="",Norm_Stats!$F$7="",Norm_Stats!$G$7="",Norm_Stats!$G$7=Norm_Stats!$F$7),"",MAX(0,MIN(100,100*(Norm_Stats!$G$7-MIN(MAX(City_Inputs!$S18,Norm_Stats!$F$7),Norm_Stats!$G$7))/(Norm_Stats!$G$7-Norm_Stats!$F$7))))</f>
        <v/>
      </c>
      <c r="T18" s="14">
        <f>IF(S18="","",1)</f>
        <v/>
      </c>
      <c r="U18" s="11">
        <f>IF(OR(City_Inputs!$T18="",Norm_Stats!$F$8="",Norm_Stats!$G$8="",Norm_Stats!$G$8=Norm_Stats!$F$8),"",MAX(0,MIN(100,100*(MIN(MAX(City_Inputs!$T18,Norm_Stats!$F$8),Norm_Stats!$G$8)-Norm_Stats!$F$8)/(Norm_Stats!$G$8-Norm_Stats!$F$8))))</f>
        <v/>
      </c>
      <c r="V18" s="14">
        <f>IF(U18="","",1)</f>
        <v/>
      </c>
      <c r="W18" s="11">
        <f>IF(OR(City_Inputs!$U18="",Norm_Stats!$F$9="",Norm_Stats!$G$9="",Norm_Stats!$G$9=Norm_Stats!$F$9),"",MAX(0,MIN(100,100*(Norm_Stats!$G$9-MIN(MAX(City_Inputs!$U18,Norm_Stats!$F$9),Norm_Stats!$G$9))/(Norm_Stats!$G$9-Norm_Stats!$F$9))))</f>
        <v/>
      </c>
      <c r="X18" s="14">
        <f>IF(W18="","",1)</f>
        <v/>
      </c>
      <c r="Y18" s="11">
        <f>IF(OR(City_Inputs!$V18="",Norm_Stats!$F$10="",Norm_Stats!$G$10="",Norm_Stats!$G$10=Norm_Stats!$F$10),"",MAX(0,MIN(100,100*(MIN(MAX(City_Inputs!$V18,Norm_Stats!$F$10),Norm_Stats!$G$10)-Norm_Stats!$F$10)/(Norm_Stats!$G$10-Norm_Stats!$F$10))))</f>
        <v/>
      </c>
      <c r="Z18" s="14">
        <f>IF(Y18="","",1)</f>
        <v/>
      </c>
      <c r="AA18" s="11">
        <f>IF(OR(City_Inputs!$W18="",Norm_Stats!$F$11="",Norm_Stats!$G$11="",Norm_Stats!$G$11=Norm_Stats!$F$11),"",MAX(0,MIN(100,100*(MIN(MAX(City_Inputs!$W18,Norm_Stats!$F$11),Norm_Stats!$G$11)-Norm_Stats!$F$11)/(Norm_Stats!$G$11-Norm_Stats!$F$11))))</f>
        <v/>
      </c>
      <c r="AB18" s="14">
        <f>IF(AA18="","",1)</f>
        <v/>
      </c>
      <c r="AC18" s="15">
        <f>IF((IF(S18="",0,5)+IF(U18="",0,5)+IF(W18="",0,4)+IF(Y18="",0,4)+IF(AA18="",0,4))=0,"",(IF(S18="",0,S18*5)+IF(U18="",0,U18*5)+IF(W18="",0,W18*4)+IF(Y18="",0,Y18*4)+IF(AA18="",0,AA18*4))/(IF(S18="",0,5)+IF(U18="",0,5)+IF(W18="",0,4)+IF(Y18="",0,4)+IF(AA18="",0,4)))</f>
        <v/>
      </c>
      <c r="AD18" s="14">
        <f>IF((IF(T18="",0,5)+IF(V18="",0,5)+IF(X18="",0,4)+IF(Z18="",0,4)+IF(AB18="",0,4))=0,"",(IF(T18="",0,T18*5)+IF(V18="",0,V18*5)+IF(X18="",0,X18*4)+IF(Z18="",0,Z18*4)+IF(AB18="",0,AB18*4))/22)</f>
        <v/>
      </c>
      <c r="AE18" s="11">
        <f>IF(OR(City_Inputs!$X18="",Norm_Stats!$F$12="",Norm_Stats!$G$12="",Norm_Stats!$G$12=Norm_Stats!$F$12),"",MAX(0,MIN(100,100*(MIN(MAX(City_Inputs!$X18,Norm_Stats!$F$12),Norm_Stats!$G$12)-Norm_Stats!$F$12)/(Norm_Stats!$G$12-Norm_Stats!$F$12))))</f>
        <v/>
      </c>
      <c r="AF18" s="14">
        <f>IF(AE18="","",1)</f>
        <v/>
      </c>
      <c r="AG18" s="11">
        <f>IF(OR(City_Inputs!$Y18="",Norm_Stats!$F$13="",Norm_Stats!$G$13="",Norm_Stats!$G$13=Norm_Stats!$F$13),"",MAX(0,MIN(100,100*(MIN(MAX(City_Inputs!$Y18,Norm_Stats!$F$13),Norm_Stats!$G$13)-Norm_Stats!$F$13)/(Norm_Stats!$G$13-Norm_Stats!$F$13))))</f>
        <v/>
      </c>
      <c r="AH18" s="14">
        <f>IF(AG18="","",1)</f>
        <v/>
      </c>
      <c r="AI18" s="11">
        <f>IF((IF((IF(OR(City_Inputs!$Z18="",Norm_Stats!$F$14="",Norm_Stats!$G$14="",Norm_Stats!$G$14=Norm_Stats!$F$14),"",MAX(0,MIN(100,100*(MIN(MAX(City_Inputs!$Z18,Norm_Stats!$F$14),Norm_Stats!$G$14)-Norm_Stats!$F$14)/(Norm_Stats!$G$14-Norm_Stats!$F$14)))))="",0,0.7)+IF((IF(OR(City_Inputs!$AK18="",Norm_Stats!$F$15="",Norm_Stats!$G$15="",Norm_Stats!$G$15=Norm_Stats!$F$15),"",MAX(0,MIN(100,100*(Norm_Stats!$G$15-MIN(MAX(City_Inputs!$AK18,Norm_Stats!$F$15),Norm_Stats!$G$15))/(Norm_Stats!$G$15-Norm_Stats!$F$15)))))="",0,0.3))=0,"",(IF((IF(OR(City_Inputs!$Z18="",Norm_Stats!$F$14="",Norm_Stats!$G$14="",Norm_Stats!$G$14=Norm_Stats!$F$14),"",MAX(0,MIN(100,100*(MIN(MAX(City_Inputs!$Z18,Norm_Stats!$F$14),Norm_Stats!$G$14)-Norm_Stats!$F$14)/(Norm_Stats!$G$14-Norm_Stats!$F$14)))))="",0,(IF(OR(City_Inputs!$Z18="",Norm_Stats!$F$14="",Norm_Stats!$G$14="",Norm_Stats!$G$14=Norm_Stats!$F$14),"",MAX(0,MIN(100,100*(MIN(MAX(City_Inputs!$Z18,Norm_Stats!$F$14),Norm_Stats!$G$14)-Norm_Stats!$F$14)/(Norm_Stats!$G$14-Norm_Stats!$F$14)))))*0.7)+IF((IF(OR(City_Inputs!$AK18="",Norm_Stats!$F$15="",Norm_Stats!$G$15="",Norm_Stats!$G$15=Norm_Stats!$F$15),"",MAX(0,MIN(100,100*(Norm_Stats!$G$15-MIN(MAX(City_Inputs!$AK18,Norm_Stats!$F$15),Norm_Stats!$G$15))/(Norm_Stats!$G$15-Norm_Stats!$F$15)))))="",0,(IF(OR(City_Inputs!$AK18="",Norm_Stats!$F$15="",Norm_Stats!$G$15="",Norm_Stats!$G$15=Norm_Stats!$F$15),"",MAX(0,MIN(100,100*(Norm_Stats!$G$15-MIN(MAX(City_Inputs!$AK18,Norm_Stats!$F$15),Norm_Stats!$G$15))/(Norm_Stats!$G$15-Norm_Stats!$F$15)))))*0.3))/(IF((IF(OR(City_Inputs!$Z18="",Norm_Stats!$F$14="",Norm_Stats!$G$14="",Norm_Stats!$G$14=Norm_Stats!$F$14),"",MAX(0,MIN(100,100*(MIN(MAX(City_Inputs!$Z18,Norm_Stats!$F$14),Norm_Stats!$G$14)-Norm_Stats!$F$14)/(Norm_Stats!$G$14-Norm_Stats!$F$14)))))="",0,0.7)+IF((IF(OR(City_Inputs!$AK18="",Norm_Stats!$F$15="",Norm_Stats!$G$15="",Norm_Stats!$G$15=Norm_Stats!$F$15),"",MAX(0,MIN(100,100*(Norm_Stats!$G$15-MIN(MAX(City_Inputs!$AK18,Norm_Stats!$F$15),Norm_Stats!$G$15))/(Norm_Stats!$G$15-Norm_Stats!$F$15)))))="",0,0.3)))</f>
        <v/>
      </c>
      <c r="AJ18" s="14">
        <f>IF((IF((IF(OR(City_Inputs!$Z18="",Norm_Stats!$F$14="",Norm_Stats!$G$14="",Norm_Stats!$G$14=Norm_Stats!$F$14),"",MAX(0,MIN(100,100*(MIN(MAX(City_Inputs!$Z18,Norm_Stats!$F$14),Norm_Stats!$G$14)-Norm_Stats!$F$14)/(Norm_Stats!$G$14-Norm_Stats!$F$14)))))="",0,0.7)+IF((IF(OR(City_Inputs!$AK18="",Norm_Stats!$F$15="",Norm_Stats!$G$15="",Norm_Stats!$G$15=Norm_Stats!$F$15),"",MAX(0,MIN(100,100*(Norm_Stats!$G$15-MIN(MAX(City_Inputs!$AK18,Norm_Stats!$F$15),Norm_Stats!$G$15))/(Norm_Stats!$G$15-Norm_Stats!$F$15)))))="",0,0.3))=0,"",(IF((IF(OR(City_Inputs!$Z18="",Norm_Stats!$F$14="",Norm_Stats!$G$14="",Norm_Stats!$G$14=Norm_Stats!$F$14),"",MAX(0,MIN(100,100*(MIN(MAX(City_Inputs!$Z18,Norm_Stats!$F$14),Norm_Stats!$G$14)-Norm_Stats!$F$14)/(Norm_Stats!$G$14-Norm_Stats!$F$14)))))="",0,0.7)+IF((IF(OR(City_Inputs!$AK18="",Norm_Stats!$F$15="",Norm_Stats!$G$15="",Norm_Stats!$G$15=Norm_Stats!$F$15),"",MAX(0,MIN(100,100*(Norm_Stats!$G$15-MIN(MAX(City_Inputs!$AK18,Norm_Stats!$F$15),Norm_Stats!$G$15))/(Norm_Stats!$G$15-Norm_Stats!$F$15)))))="",0,0.3)))</f>
        <v/>
      </c>
      <c r="AK18" s="15">
        <f>IF((IF(AE18="",0,8)+IF(AG18="",0,6)+IF(AI18="",0,4))=0,"",(IF(AE18="",0,AE18*8)+IF(AG18="",0,AG18*6)+IF(AI18="",0,AI18*4))/(IF(AE18="",0,8)+IF(AG18="",0,6)+IF(AI18="",0,4)))</f>
        <v/>
      </c>
      <c r="AL18" s="14">
        <f>IF((IF(AF18="",0,8)+IF(AH18="",0,6)+IF(AJ18="",0,4))=0,"",(IF(AF18="",0,AF18*8)+IF(AH18="",0,AH18*6)+IF(AJ18="",0,AJ18*4))/18)</f>
        <v/>
      </c>
      <c r="AM18" s="11">
        <f>IF(OR(City_Inputs!$AA18="",Norm_Stats!$F$16="",Norm_Stats!$G$16="",Norm_Stats!$G$16=Norm_Stats!$F$16),"",MAX(0,MIN(100,100*(MIN(MAX(City_Inputs!$AA18,Norm_Stats!$F$16),Norm_Stats!$G$16)-Norm_Stats!$F$16)/(Norm_Stats!$G$16-Norm_Stats!$F$16))))</f>
        <v/>
      </c>
      <c r="AN18" s="14">
        <f>IF(AM18="","",1)</f>
        <v/>
      </c>
      <c r="AO18" s="11">
        <f>IF(OR(City_Inputs!$AB18="",Norm_Stats!$F$17="",Norm_Stats!$G$17="",Norm_Stats!$G$17=Norm_Stats!$F$17),"",MAX(0,MIN(100,100*(MIN(MAX(City_Inputs!$AB18,Norm_Stats!$F$17),Norm_Stats!$G$17)-Norm_Stats!$F$17)/(Norm_Stats!$G$17-Norm_Stats!$F$17))))</f>
        <v/>
      </c>
      <c r="AP18" s="14">
        <f>IF(AO18="","",1)</f>
        <v/>
      </c>
      <c r="AQ18" s="11">
        <f>IF(OR(City_Inputs!$AC18="",Norm_Stats!$F$18="",Norm_Stats!$G$18="",Norm_Stats!$G$18=Norm_Stats!$F$18),"",MAX(0,MIN(100,100*(MIN(MAX(City_Inputs!$AC18,Norm_Stats!$F$18),Norm_Stats!$G$18)-Norm_Stats!$F$18)/(Norm_Stats!$G$18-Norm_Stats!$F$18))))</f>
        <v/>
      </c>
      <c r="AR18" s="14">
        <f>IF(AQ18="","",1)</f>
        <v/>
      </c>
      <c r="AS18" s="15">
        <f>IF((IF(AM18="",0,5)+IF(AO18="",0,5)+IF(AQ18="",0,5))=0,"",(IF(AM18="",0,AM18*5)+IF(AO18="",0,AO18*5)+IF(AQ18="",0,AQ18*5))/(IF(AM18="",0,5)+IF(AO18="",0,5)+IF(AQ18="",0,5)))</f>
        <v/>
      </c>
      <c r="AT18" s="14">
        <f>IF((IF(AN18="",0,5)+IF(AP18="",0,5)+IF(AR18="",0,5))=0,"",(IF(AN18="",0,AN18*5)+IF(AP18="",0,AP18*5)+IF(AR18="",0,AR18*5))/15)</f>
        <v/>
      </c>
      <c r="AU18" s="11">
        <f>IF(OR(City_Inputs!$AD18="",Norm_Stats!$F$19="",Norm_Stats!$G$19="",Norm_Stats!$G$19=Norm_Stats!$F$19),"",MAX(0,MIN(100,100*(MIN(MAX(City_Inputs!$AD18,Norm_Stats!$F$19),Norm_Stats!$G$19)-Norm_Stats!$F$19)/(Norm_Stats!$G$19-Norm_Stats!$F$19))))</f>
        <v/>
      </c>
      <c r="AV18" s="14">
        <f>IF(AU18="","",1)</f>
        <v/>
      </c>
      <c r="AW18" s="11">
        <f>IF(OR(City_Inputs!$AE18="",Norm_Stats!$F$20="",Norm_Stats!$G$20="",Norm_Stats!$G$20=Norm_Stats!$F$20),"",MAX(0,MIN(100,100*(MIN(MAX(City_Inputs!$AE18,Norm_Stats!$F$20),Norm_Stats!$G$20)-Norm_Stats!$F$20)/(Norm_Stats!$G$20-Norm_Stats!$F$20))))</f>
        <v/>
      </c>
      <c r="AX18" s="14">
        <f>IF(AW18="","",1)</f>
        <v/>
      </c>
      <c r="AY18" s="11">
        <f>IF((IF((IF(OR(City_Inputs!$AF18="",Norm_Stats!$F$21="",Norm_Stats!$G$21="",Norm_Stats!$G$21=Norm_Stats!$F$21),"",MAX(0,MIN(100,100*(MIN(MAX(City_Inputs!$AF18,Norm_Stats!$F$21),Norm_Stats!$G$21)-Norm_Stats!$F$21)/(Norm_Stats!$G$21-Norm_Stats!$F$21)))))="",0,0.5)+IF((IF(OR(City_Inputs!$AI18="",Norm_Stats!$F$22="",Norm_Stats!$G$22="",Norm_Stats!$G$22=Norm_Stats!$F$22),"",MAX(0,MIN(100,100*(MIN(MAX(City_Inputs!$AI18,Norm_Stats!$F$22),Norm_Stats!$G$22)-Norm_Stats!$F$22)/(Norm_Stats!$G$22-Norm_Stats!$F$22)))))="",0,0.3)+IF((IF(OR(City_Inputs!$AJ18="",Norm_Stats!$F$23="",Norm_Stats!$G$23="",Norm_Stats!$G$23=Norm_Stats!$F$23),"",MAX(0,MIN(100,100*(MIN(MAX(City_Inputs!$AJ18,Norm_Stats!$F$23),Norm_Stats!$G$23)-Norm_Stats!$F$23)/(Norm_Stats!$G$23-Norm_Stats!$F$23)))))="",0,0.2))=0,"",(IF((IF(OR(City_Inputs!$AF18="",Norm_Stats!$F$21="",Norm_Stats!$G$21="",Norm_Stats!$G$21=Norm_Stats!$F$21),"",MAX(0,MIN(100,100*(MIN(MAX(City_Inputs!$AF18,Norm_Stats!$F$21),Norm_Stats!$G$21)-Norm_Stats!$F$21)/(Norm_Stats!$G$21-Norm_Stats!$F$21)))))="",0,(IF(OR(City_Inputs!$AF18="",Norm_Stats!$F$21="",Norm_Stats!$G$21="",Norm_Stats!$G$21=Norm_Stats!$F$21),"",MAX(0,MIN(100,100*(MIN(MAX(City_Inputs!$AF18,Norm_Stats!$F$21),Norm_Stats!$G$21)-Norm_Stats!$F$21)/(Norm_Stats!$G$21-Norm_Stats!$F$21)))))*0.5)+IF((IF(OR(City_Inputs!$AI18="",Norm_Stats!$F$22="",Norm_Stats!$G$22="",Norm_Stats!$G$22=Norm_Stats!$F$22),"",MAX(0,MIN(100,100*(MIN(MAX(City_Inputs!$AI18,Norm_Stats!$F$22),Norm_Stats!$G$22)-Norm_Stats!$F$22)/(Norm_Stats!$G$22-Norm_Stats!$F$22)))))="",0,(IF(OR(City_Inputs!$AI18="",Norm_Stats!$F$22="",Norm_Stats!$G$22="",Norm_Stats!$G$22=Norm_Stats!$F$22),"",MAX(0,MIN(100,100*(MIN(MAX(City_Inputs!$AI18,Norm_Stats!$F$22),Norm_Stats!$G$22)-Norm_Stats!$F$22)/(Norm_Stats!$G$22-Norm_Stats!$F$22)))))*0.3)+IF((IF(OR(City_Inputs!$AJ18="",Norm_Stats!$F$23="",Norm_Stats!$G$23="",Norm_Stats!$G$23=Norm_Stats!$F$23),"",MAX(0,MIN(100,100*(MIN(MAX(City_Inputs!$AJ18,Norm_Stats!$F$23),Norm_Stats!$G$23)-Norm_Stats!$F$23)/(Norm_Stats!$G$23-Norm_Stats!$F$23)))))="",0,(IF(OR(City_Inputs!$AJ18="",Norm_Stats!$F$23="",Norm_Stats!$G$23="",Norm_Stats!$G$23=Norm_Stats!$F$23),"",MAX(0,MIN(100,100*(MIN(MAX(City_Inputs!$AJ18,Norm_Stats!$F$23),Norm_Stats!$G$23)-Norm_Stats!$F$23)/(Norm_Stats!$G$23-Norm_Stats!$F$23)))))*0.2))/(IF((IF(OR(City_Inputs!$AF18="",Norm_Stats!$F$21="",Norm_Stats!$G$21="",Norm_Stats!$G$21=Norm_Stats!$F$21),"",MAX(0,MIN(100,100*(MIN(MAX(City_Inputs!$AF18,Norm_Stats!$F$21),Norm_Stats!$G$21)-Norm_Stats!$F$21)/(Norm_Stats!$G$21-Norm_Stats!$F$21)))))="",0,0.5)+IF((IF(OR(City_Inputs!$AI18="",Norm_Stats!$F$22="",Norm_Stats!$G$22="",Norm_Stats!$G$22=Norm_Stats!$F$22),"",MAX(0,MIN(100,100*(MIN(MAX(City_Inputs!$AI18,Norm_Stats!$F$22),Norm_Stats!$G$22)-Norm_Stats!$F$22)/(Norm_Stats!$G$22-Norm_Stats!$F$22)))))="",0,0.3)+IF((IF(OR(City_Inputs!$AJ18="",Norm_Stats!$F$23="",Norm_Stats!$G$23="",Norm_Stats!$G$23=Norm_Stats!$F$23),"",MAX(0,MIN(100,100*(MIN(MAX(City_Inputs!$AJ18,Norm_Stats!$F$23),Norm_Stats!$G$23)-Norm_Stats!$F$23)/(Norm_Stats!$G$23-Norm_Stats!$F$23)))))="",0,0.2)))</f>
        <v/>
      </c>
      <c r="AZ18" s="14">
        <f>IF((IF((IF(OR(City_Inputs!$AF18="",Norm_Stats!$F$21="",Norm_Stats!$G$21="",Norm_Stats!$G$21=Norm_Stats!$F$21),"",MAX(0,MIN(100,100*(MIN(MAX(City_Inputs!$AF18,Norm_Stats!$F$21),Norm_Stats!$G$21)-Norm_Stats!$F$21)/(Norm_Stats!$G$21-Norm_Stats!$F$21)))))="",0,0.5)+IF((IF(OR(City_Inputs!$AI18="",Norm_Stats!$F$22="",Norm_Stats!$G$22="",Norm_Stats!$G$22=Norm_Stats!$F$22),"",MAX(0,MIN(100,100*(MIN(MAX(City_Inputs!$AI18,Norm_Stats!$F$22),Norm_Stats!$G$22)-Norm_Stats!$F$22)/(Norm_Stats!$G$22-Norm_Stats!$F$22)))))="",0,0.3)+IF((IF(OR(City_Inputs!$AJ18="",Norm_Stats!$F$23="",Norm_Stats!$G$23="",Norm_Stats!$G$23=Norm_Stats!$F$23),"",MAX(0,MIN(100,100*(MIN(MAX(City_Inputs!$AJ18,Norm_Stats!$F$23),Norm_Stats!$G$23)-Norm_Stats!$F$23)/(Norm_Stats!$G$23-Norm_Stats!$F$23)))))="",0,0.2))=0,"",(IF((IF(OR(City_Inputs!$AF18="",Norm_Stats!$F$21="",Norm_Stats!$G$21="",Norm_Stats!$G$21=Norm_Stats!$F$21),"",MAX(0,MIN(100,100*(MIN(MAX(City_Inputs!$AF18,Norm_Stats!$F$21),Norm_Stats!$G$21)-Norm_Stats!$F$21)/(Norm_Stats!$G$21-Norm_Stats!$F$21)))))="",0,0.5)+IF((IF(OR(City_Inputs!$AI18="",Norm_Stats!$F$22="",Norm_Stats!$G$22="",Norm_Stats!$G$22=Norm_Stats!$F$22),"",MAX(0,MIN(100,100*(MIN(MAX(City_Inputs!$AI18,Norm_Stats!$F$22),Norm_Stats!$G$22)-Norm_Stats!$F$22)/(Norm_Stats!$G$22-Norm_Stats!$F$22)))))="",0,0.3)+IF((IF(OR(City_Inputs!$AJ18="",Norm_Stats!$F$23="",Norm_Stats!$G$23="",Norm_Stats!$G$23=Norm_Stats!$F$23),"",MAX(0,MIN(100,100*(MIN(MAX(City_Inputs!$AJ18,Norm_Stats!$F$23),Norm_Stats!$G$23)-Norm_Stats!$F$23)/(Norm_Stats!$G$23-Norm_Stats!$F$23)))))="",0,0.2)))</f>
        <v/>
      </c>
      <c r="BA18" s="11">
        <f>IF(OR(City_Inputs!$AG18="",Norm_Stats!$F$24="",Norm_Stats!$G$24="",Norm_Stats!$G$24=Norm_Stats!$F$24),"",MAX(0,MIN(100,100*(Norm_Stats!$G$24-MIN(MAX(City_Inputs!$AG18,Norm_Stats!$F$24),Norm_Stats!$G$24))/(Norm_Stats!$G$24-Norm_Stats!$F$24))))</f>
        <v/>
      </c>
      <c r="BB18" s="14">
        <f>IF(BA18="","",1)</f>
        <v/>
      </c>
      <c r="BC18" s="15">
        <f>IF((IF(AU18="",0,6)+IF(AW18="",0,5)+IF(AY18="",0,5)+IF(BA18="",0,4))=0,"",(IF(AU18="",0,AU18*6)+IF(AW18="",0,AW18*5)+IF(AY18="",0,AY18*5)+IF(BA18="",0,BA18*4))/(IF(AU18="",0,6)+IF(AW18="",0,5)+IF(AY18="",0,5)+IF(BA18="",0,4)))</f>
        <v/>
      </c>
      <c r="BD18" s="14">
        <f>IF((IF(AV18="",0,6)+IF(AX18="",0,5)+IF(AZ18="",0,5)+IF(BB18="",0,4))=0,"",(IF(AV18="",0,AV18*6)+IF(AX18="",0,AX18*5)+IF(AZ18="",0,AZ18*5)+IF(BB18="",0,BB18*4))/20)</f>
        <v/>
      </c>
      <c r="BE18" s="14">
        <f>IF(AND(R18="",AD18="",AL18="",AT18="",BD18=""),"",((R18*25)+(AD18*22)+(AL18*18)+(AT18*15)+(BD18*20))/100)</f>
        <v/>
      </c>
      <c r="BF18" s="11">
        <f>IF(BE18="","",IF(BE18&gt;=0.75,"A",IF(BE18&gt;=0.5,"B",IF(BE18&gt;=0.35,"C","Watchlist"))))</f>
        <v/>
      </c>
      <c r="BG18" s="11">
        <f>IF(OR(BE18="",BE18&lt;0.5,R18="",R18&lt;0.35,AD18="",AD18&lt;0.35,AL18="",AL18&lt;0.35,AT18="",AT18&lt;0.35,BD18="",BD18&lt;0.35),"Watchlist","Ranked")</f>
        <v/>
      </c>
      <c r="BH18" s="15">
        <f>IF(AND(Q18="",AC18="",AK18="",AS18="",BC18=""),"",(IF(Q18="",0,Q18*25)+IF(AC18="",0,AC18*22)+IF(AK18="",0,AK18*18)+IF(AS18="",0,AS18*15)+IF(BC18="",0,BC18*20))/(IF(Q18="",0,25)+IF(AC18="",0,22)+IF(AK18="",0,18)+IF(AS18="",0,15)+IF(BC18="",0,20)))</f>
        <v/>
      </c>
      <c r="BI18" s="11">
        <f>IF(BG18="Ranked",1+COUNTIFS($BG$2:$BG$103,"Ranked",$BH$2:$BH$103,"&gt;"&amp;BH18),"")</f>
        <v/>
      </c>
      <c r="BJ18" s="11">
        <f>City_Inputs!$AH18</f>
        <v/>
      </c>
    </row>
    <row r="19">
      <c r="A19" t="inlineStr">
        <is>
          <t>jp-kobe</t>
        </is>
      </c>
      <c r="B19" t="inlineStr">
        <is>
          <t>Kobe</t>
        </is>
      </c>
      <c r="C19" t="inlineStr">
        <is>
          <t>Japan</t>
        </is>
      </c>
      <c r="D19" t="inlineStr">
        <is>
          <t>East Asia</t>
        </is>
      </c>
      <c r="E19" t="inlineStr">
        <is>
          <t>locked</t>
        </is>
      </c>
      <c r="F19" t="inlineStr">
        <is>
          <t>secondary</t>
        </is>
      </c>
      <c r="G19" s="11">
        <f>IF(OR(City_Inputs!$M19="",Norm_Stats!$F$2="",Norm_Stats!$G$2="",Norm_Stats!$G$2=Norm_Stats!$F$2),"",MAX(0,MIN(100,100*(MIN(MAX(City_Inputs!$M19,Norm_Stats!$F$2),Norm_Stats!$G$2)-Norm_Stats!$F$2)/(Norm_Stats!$G$2-Norm_Stats!$F$2))))</f>
        <v/>
      </c>
      <c r="H19" s="14">
        <f>IF(G19="","",1)</f>
        <v/>
      </c>
      <c r="I19" s="11">
        <f>IF(OR(City_Inputs!$N19="",Norm_Stats!$F$3="",Norm_Stats!$G$3="",Norm_Stats!$G$3=Norm_Stats!$F$3),"",MAX(0,MIN(100,100*(Norm_Stats!$G$3-MIN(MAX(City_Inputs!$N19,Norm_Stats!$F$3),Norm_Stats!$G$3))/(Norm_Stats!$G$3-Norm_Stats!$F$3))))</f>
        <v/>
      </c>
      <c r="J19" s="14">
        <f>IF(I19="","",1)</f>
        <v/>
      </c>
      <c r="K19" s="11">
        <f>IF(OR(City_Inputs!$P19="",Norm_Stats!$F$4="",Norm_Stats!$G$4="",Norm_Stats!$G$4=Norm_Stats!$F$4),"",MAX(0,MIN(100,100*(Norm_Stats!$G$4-MIN(MAX(City_Inputs!$P19,Norm_Stats!$F$4),Norm_Stats!$G$4))/(Norm_Stats!$G$4-Norm_Stats!$F$4))))</f>
        <v/>
      </c>
      <c r="L19" s="14">
        <f>IF(K19="","",1)</f>
        <v/>
      </c>
      <c r="M19" s="11">
        <f>IF(OR(City_Inputs!$Q19="",Norm_Stats!$F$5="",Norm_Stats!$G$5="",Norm_Stats!$G$5=Norm_Stats!$F$5),"",MAX(0,MIN(100,100*(Norm_Stats!$G$5-MIN(MAX(City_Inputs!$Q19,Norm_Stats!$F$5),Norm_Stats!$G$5))/(Norm_Stats!$G$5-Norm_Stats!$F$5))))</f>
        <v/>
      </c>
      <c r="N19" s="14">
        <f>IF(M19="","",1)</f>
        <v/>
      </c>
      <c r="O19" s="11">
        <f>IF(OR(City_Inputs!$R19="",Norm_Stats!$F$6="",Norm_Stats!$G$6="",Norm_Stats!$G$6=Norm_Stats!$F$6),"",MAX(0,MIN(100,100*(Norm_Stats!$G$6-MIN(MAX(City_Inputs!$R19,Norm_Stats!$F$6),Norm_Stats!$G$6))/(Norm_Stats!$G$6-Norm_Stats!$F$6))))</f>
        <v/>
      </c>
      <c r="P19" s="14">
        <f>IF(O19="","",1)</f>
        <v/>
      </c>
      <c r="Q19" s="15">
        <f>IF((IF(G19="",0,9)+IF(I19="",0,5)+IF(K19="",0,4)+IF(M19="",0,4)+IF(O19="",0,3))=0,"",(IF(G19="",0,G19*9)+IF(I19="",0,I19*5)+IF(K19="",0,K19*4)+IF(M19="",0,M19*4)+IF(O19="",0,O19*3))/(IF(G19="",0,9)+IF(I19="",0,5)+IF(K19="",0,4)+IF(M19="",0,4)+IF(O19="",0,3)))</f>
        <v/>
      </c>
      <c r="R19" s="14">
        <f>IF((IF(H19="",0,9)+IF(J19="",0,5)+IF(L19="",0,4)+IF(N19="",0,4)+IF(P19="",0,3))=0,"",(IF(H19="",0,H19*9)+IF(J19="",0,J19*5)+IF(L19="",0,L19*4)+IF(N19="",0,N19*4)+IF(P19="",0,P19*3))/25)</f>
        <v/>
      </c>
      <c r="S19" s="11">
        <f>IF(OR(City_Inputs!$S19="",Norm_Stats!$F$7="",Norm_Stats!$G$7="",Norm_Stats!$G$7=Norm_Stats!$F$7),"",MAX(0,MIN(100,100*(Norm_Stats!$G$7-MIN(MAX(City_Inputs!$S19,Norm_Stats!$F$7),Norm_Stats!$G$7))/(Norm_Stats!$G$7-Norm_Stats!$F$7))))</f>
        <v/>
      </c>
      <c r="T19" s="14">
        <f>IF(S19="","",1)</f>
        <v/>
      </c>
      <c r="U19" s="11">
        <f>IF(OR(City_Inputs!$T19="",Norm_Stats!$F$8="",Norm_Stats!$G$8="",Norm_Stats!$G$8=Norm_Stats!$F$8),"",MAX(0,MIN(100,100*(MIN(MAX(City_Inputs!$T19,Norm_Stats!$F$8),Norm_Stats!$G$8)-Norm_Stats!$F$8)/(Norm_Stats!$G$8-Norm_Stats!$F$8))))</f>
        <v/>
      </c>
      <c r="V19" s="14">
        <f>IF(U19="","",1)</f>
        <v/>
      </c>
      <c r="W19" s="11">
        <f>IF(OR(City_Inputs!$U19="",Norm_Stats!$F$9="",Norm_Stats!$G$9="",Norm_Stats!$G$9=Norm_Stats!$F$9),"",MAX(0,MIN(100,100*(Norm_Stats!$G$9-MIN(MAX(City_Inputs!$U19,Norm_Stats!$F$9),Norm_Stats!$G$9))/(Norm_Stats!$G$9-Norm_Stats!$F$9))))</f>
        <v/>
      </c>
      <c r="X19" s="14">
        <f>IF(W19="","",1)</f>
        <v/>
      </c>
      <c r="Y19" s="11">
        <f>IF(OR(City_Inputs!$V19="",Norm_Stats!$F$10="",Norm_Stats!$G$10="",Norm_Stats!$G$10=Norm_Stats!$F$10),"",MAX(0,MIN(100,100*(MIN(MAX(City_Inputs!$V19,Norm_Stats!$F$10),Norm_Stats!$G$10)-Norm_Stats!$F$10)/(Norm_Stats!$G$10-Norm_Stats!$F$10))))</f>
        <v/>
      </c>
      <c r="Z19" s="14">
        <f>IF(Y19="","",1)</f>
        <v/>
      </c>
      <c r="AA19" s="11">
        <f>IF(OR(City_Inputs!$W19="",Norm_Stats!$F$11="",Norm_Stats!$G$11="",Norm_Stats!$G$11=Norm_Stats!$F$11),"",MAX(0,MIN(100,100*(MIN(MAX(City_Inputs!$W19,Norm_Stats!$F$11),Norm_Stats!$G$11)-Norm_Stats!$F$11)/(Norm_Stats!$G$11-Norm_Stats!$F$11))))</f>
        <v/>
      </c>
      <c r="AB19" s="14">
        <f>IF(AA19="","",1)</f>
        <v/>
      </c>
      <c r="AC19" s="15">
        <f>IF((IF(S19="",0,5)+IF(U19="",0,5)+IF(W19="",0,4)+IF(Y19="",0,4)+IF(AA19="",0,4))=0,"",(IF(S19="",0,S19*5)+IF(U19="",0,U19*5)+IF(W19="",0,W19*4)+IF(Y19="",0,Y19*4)+IF(AA19="",0,AA19*4))/(IF(S19="",0,5)+IF(U19="",0,5)+IF(W19="",0,4)+IF(Y19="",0,4)+IF(AA19="",0,4)))</f>
        <v/>
      </c>
      <c r="AD19" s="14">
        <f>IF((IF(T19="",0,5)+IF(V19="",0,5)+IF(X19="",0,4)+IF(Z19="",0,4)+IF(AB19="",0,4))=0,"",(IF(T19="",0,T19*5)+IF(V19="",0,V19*5)+IF(X19="",0,X19*4)+IF(Z19="",0,Z19*4)+IF(AB19="",0,AB19*4))/22)</f>
        <v/>
      </c>
      <c r="AE19" s="11">
        <f>IF(OR(City_Inputs!$X19="",Norm_Stats!$F$12="",Norm_Stats!$G$12="",Norm_Stats!$G$12=Norm_Stats!$F$12),"",MAX(0,MIN(100,100*(MIN(MAX(City_Inputs!$X19,Norm_Stats!$F$12),Norm_Stats!$G$12)-Norm_Stats!$F$12)/(Norm_Stats!$G$12-Norm_Stats!$F$12))))</f>
        <v/>
      </c>
      <c r="AF19" s="14">
        <f>IF(AE19="","",1)</f>
        <v/>
      </c>
      <c r="AG19" s="11">
        <f>IF(OR(City_Inputs!$Y19="",Norm_Stats!$F$13="",Norm_Stats!$G$13="",Norm_Stats!$G$13=Norm_Stats!$F$13),"",MAX(0,MIN(100,100*(MIN(MAX(City_Inputs!$Y19,Norm_Stats!$F$13),Norm_Stats!$G$13)-Norm_Stats!$F$13)/(Norm_Stats!$G$13-Norm_Stats!$F$13))))</f>
        <v/>
      </c>
      <c r="AH19" s="14">
        <f>IF(AG19="","",1)</f>
        <v/>
      </c>
      <c r="AI19" s="11">
        <f>IF((IF((IF(OR(City_Inputs!$Z19="",Norm_Stats!$F$14="",Norm_Stats!$G$14="",Norm_Stats!$G$14=Norm_Stats!$F$14),"",MAX(0,MIN(100,100*(MIN(MAX(City_Inputs!$Z19,Norm_Stats!$F$14),Norm_Stats!$G$14)-Norm_Stats!$F$14)/(Norm_Stats!$G$14-Norm_Stats!$F$14)))))="",0,0.7)+IF((IF(OR(City_Inputs!$AK19="",Norm_Stats!$F$15="",Norm_Stats!$G$15="",Norm_Stats!$G$15=Norm_Stats!$F$15),"",MAX(0,MIN(100,100*(Norm_Stats!$G$15-MIN(MAX(City_Inputs!$AK19,Norm_Stats!$F$15),Norm_Stats!$G$15))/(Norm_Stats!$G$15-Norm_Stats!$F$15)))))="",0,0.3))=0,"",(IF((IF(OR(City_Inputs!$Z19="",Norm_Stats!$F$14="",Norm_Stats!$G$14="",Norm_Stats!$G$14=Norm_Stats!$F$14),"",MAX(0,MIN(100,100*(MIN(MAX(City_Inputs!$Z19,Norm_Stats!$F$14),Norm_Stats!$G$14)-Norm_Stats!$F$14)/(Norm_Stats!$G$14-Norm_Stats!$F$14)))))="",0,(IF(OR(City_Inputs!$Z19="",Norm_Stats!$F$14="",Norm_Stats!$G$14="",Norm_Stats!$G$14=Norm_Stats!$F$14),"",MAX(0,MIN(100,100*(MIN(MAX(City_Inputs!$Z19,Norm_Stats!$F$14),Norm_Stats!$G$14)-Norm_Stats!$F$14)/(Norm_Stats!$G$14-Norm_Stats!$F$14)))))*0.7)+IF((IF(OR(City_Inputs!$AK19="",Norm_Stats!$F$15="",Norm_Stats!$G$15="",Norm_Stats!$G$15=Norm_Stats!$F$15),"",MAX(0,MIN(100,100*(Norm_Stats!$G$15-MIN(MAX(City_Inputs!$AK19,Norm_Stats!$F$15),Norm_Stats!$G$15))/(Norm_Stats!$G$15-Norm_Stats!$F$15)))))="",0,(IF(OR(City_Inputs!$AK19="",Norm_Stats!$F$15="",Norm_Stats!$G$15="",Norm_Stats!$G$15=Norm_Stats!$F$15),"",MAX(0,MIN(100,100*(Norm_Stats!$G$15-MIN(MAX(City_Inputs!$AK19,Norm_Stats!$F$15),Norm_Stats!$G$15))/(Norm_Stats!$G$15-Norm_Stats!$F$15)))))*0.3))/(IF((IF(OR(City_Inputs!$Z19="",Norm_Stats!$F$14="",Norm_Stats!$G$14="",Norm_Stats!$G$14=Norm_Stats!$F$14),"",MAX(0,MIN(100,100*(MIN(MAX(City_Inputs!$Z19,Norm_Stats!$F$14),Norm_Stats!$G$14)-Norm_Stats!$F$14)/(Norm_Stats!$G$14-Norm_Stats!$F$14)))))="",0,0.7)+IF((IF(OR(City_Inputs!$AK19="",Norm_Stats!$F$15="",Norm_Stats!$G$15="",Norm_Stats!$G$15=Norm_Stats!$F$15),"",MAX(0,MIN(100,100*(Norm_Stats!$G$15-MIN(MAX(City_Inputs!$AK19,Norm_Stats!$F$15),Norm_Stats!$G$15))/(Norm_Stats!$G$15-Norm_Stats!$F$15)))))="",0,0.3)))</f>
        <v/>
      </c>
      <c r="AJ19" s="14">
        <f>IF((IF((IF(OR(City_Inputs!$Z19="",Norm_Stats!$F$14="",Norm_Stats!$G$14="",Norm_Stats!$G$14=Norm_Stats!$F$14),"",MAX(0,MIN(100,100*(MIN(MAX(City_Inputs!$Z19,Norm_Stats!$F$14),Norm_Stats!$G$14)-Norm_Stats!$F$14)/(Norm_Stats!$G$14-Norm_Stats!$F$14)))))="",0,0.7)+IF((IF(OR(City_Inputs!$AK19="",Norm_Stats!$F$15="",Norm_Stats!$G$15="",Norm_Stats!$G$15=Norm_Stats!$F$15),"",MAX(0,MIN(100,100*(Norm_Stats!$G$15-MIN(MAX(City_Inputs!$AK19,Norm_Stats!$F$15),Norm_Stats!$G$15))/(Norm_Stats!$G$15-Norm_Stats!$F$15)))))="",0,0.3))=0,"",(IF((IF(OR(City_Inputs!$Z19="",Norm_Stats!$F$14="",Norm_Stats!$G$14="",Norm_Stats!$G$14=Norm_Stats!$F$14),"",MAX(0,MIN(100,100*(MIN(MAX(City_Inputs!$Z19,Norm_Stats!$F$14),Norm_Stats!$G$14)-Norm_Stats!$F$14)/(Norm_Stats!$G$14-Norm_Stats!$F$14)))))="",0,0.7)+IF((IF(OR(City_Inputs!$AK19="",Norm_Stats!$F$15="",Norm_Stats!$G$15="",Norm_Stats!$G$15=Norm_Stats!$F$15),"",MAX(0,MIN(100,100*(Norm_Stats!$G$15-MIN(MAX(City_Inputs!$AK19,Norm_Stats!$F$15),Norm_Stats!$G$15))/(Norm_Stats!$G$15-Norm_Stats!$F$15)))))="",0,0.3)))</f>
        <v/>
      </c>
      <c r="AK19" s="15">
        <f>IF((IF(AE19="",0,8)+IF(AG19="",0,6)+IF(AI19="",0,4))=0,"",(IF(AE19="",0,AE19*8)+IF(AG19="",0,AG19*6)+IF(AI19="",0,AI19*4))/(IF(AE19="",0,8)+IF(AG19="",0,6)+IF(AI19="",0,4)))</f>
        <v/>
      </c>
      <c r="AL19" s="14">
        <f>IF((IF(AF19="",0,8)+IF(AH19="",0,6)+IF(AJ19="",0,4))=0,"",(IF(AF19="",0,AF19*8)+IF(AH19="",0,AH19*6)+IF(AJ19="",0,AJ19*4))/18)</f>
        <v/>
      </c>
      <c r="AM19" s="11">
        <f>IF(OR(City_Inputs!$AA19="",Norm_Stats!$F$16="",Norm_Stats!$G$16="",Norm_Stats!$G$16=Norm_Stats!$F$16),"",MAX(0,MIN(100,100*(MIN(MAX(City_Inputs!$AA19,Norm_Stats!$F$16),Norm_Stats!$G$16)-Norm_Stats!$F$16)/(Norm_Stats!$G$16-Norm_Stats!$F$16))))</f>
        <v/>
      </c>
      <c r="AN19" s="14">
        <f>IF(AM19="","",1)</f>
        <v/>
      </c>
      <c r="AO19" s="11">
        <f>IF(OR(City_Inputs!$AB19="",Norm_Stats!$F$17="",Norm_Stats!$G$17="",Norm_Stats!$G$17=Norm_Stats!$F$17),"",MAX(0,MIN(100,100*(MIN(MAX(City_Inputs!$AB19,Norm_Stats!$F$17),Norm_Stats!$G$17)-Norm_Stats!$F$17)/(Norm_Stats!$G$17-Norm_Stats!$F$17))))</f>
        <v/>
      </c>
      <c r="AP19" s="14">
        <f>IF(AO19="","",1)</f>
        <v/>
      </c>
      <c r="AQ19" s="11">
        <f>IF(OR(City_Inputs!$AC19="",Norm_Stats!$F$18="",Norm_Stats!$G$18="",Norm_Stats!$G$18=Norm_Stats!$F$18),"",MAX(0,MIN(100,100*(MIN(MAX(City_Inputs!$AC19,Norm_Stats!$F$18),Norm_Stats!$G$18)-Norm_Stats!$F$18)/(Norm_Stats!$G$18-Norm_Stats!$F$18))))</f>
        <v/>
      </c>
      <c r="AR19" s="14">
        <f>IF(AQ19="","",1)</f>
        <v/>
      </c>
      <c r="AS19" s="15">
        <f>IF((IF(AM19="",0,5)+IF(AO19="",0,5)+IF(AQ19="",0,5))=0,"",(IF(AM19="",0,AM19*5)+IF(AO19="",0,AO19*5)+IF(AQ19="",0,AQ19*5))/(IF(AM19="",0,5)+IF(AO19="",0,5)+IF(AQ19="",0,5)))</f>
        <v/>
      </c>
      <c r="AT19" s="14">
        <f>IF((IF(AN19="",0,5)+IF(AP19="",0,5)+IF(AR19="",0,5))=0,"",(IF(AN19="",0,AN19*5)+IF(AP19="",0,AP19*5)+IF(AR19="",0,AR19*5))/15)</f>
        <v/>
      </c>
      <c r="AU19" s="11">
        <f>IF(OR(City_Inputs!$AD19="",Norm_Stats!$F$19="",Norm_Stats!$G$19="",Norm_Stats!$G$19=Norm_Stats!$F$19),"",MAX(0,MIN(100,100*(MIN(MAX(City_Inputs!$AD19,Norm_Stats!$F$19),Norm_Stats!$G$19)-Norm_Stats!$F$19)/(Norm_Stats!$G$19-Norm_Stats!$F$19))))</f>
        <v/>
      </c>
      <c r="AV19" s="14">
        <f>IF(AU19="","",1)</f>
        <v/>
      </c>
      <c r="AW19" s="11">
        <f>IF(OR(City_Inputs!$AE19="",Norm_Stats!$F$20="",Norm_Stats!$G$20="",Norm_Stats!$G$20=Norm_Stats!$F$20),"",MAX(0,MIN(100,100*(MIN(MAX(City_Inputs!$AE19,Norm_Stats!$F$20),Norm_Stats!$G$20)-Norm_Stats!$F$20)/(Norm_Stats!$G$20-Norm_Stats!$F$20))))</f>
        <v/>
      </c>
      <c r="AX19" s="14">
        <f>IF(AW19="","",1)</f>
        <v/>
      </c>
      <c r="AY19" s="11">
        <f>IF((IF((IF(OR(City_Inputs!$AF19="",Norm_Stats!$F$21="",Norm_Stats!$G$21="",Norm_Stats!$G$21=Norm_Stats!$F$21),"",MAX(0,MIN(100,100*(MIN(MAX(City_Inputs!$AF19,Norm_Stats!$F$21),Norm_Stats!$G$21)-Norm_Stats!$F$21)/(Norm_Stats!$G$21-Norm_Stats!$F$21)))))="",0,0.5)+IF((IF(OR(City_Inputs!$AI19="",Norm_Stats!$F$22="",Norm_Stats!$G$22="",Norm_Stats!$G$22=Norm_Stats!$F$22),"",MAX(0,MIN(100,100*(MIN(MAX(City_Inputs!$AI19,Norm_Stats!$F$22),Norm_Stats!$G$22)-Norm_Stats!$F$22)/(Norm_Stats!$G$22-Norm_Stats!$F$22)))))="",0,0.3)+IF((IF(OR(City_Inputs!$AJ19="",Norm_Stats!$F$23="",Norm_Stats!$G$23="",Norm_Stats!$G$23=Norm_Stats!$F$23),"",MAX(0,MIN(100,100*(MIN(MAX(City_Inputs!$AJ19,Norm_Stats!$F$23),Norm_Stats!$G$23)-Norm_Stats!$F$23)/(Norm_Stats!$G$23-Norm_Stats!$F$23)))))="",0,0.2))=0,"",(IF((IF(OR(City_Inputs!$AF19="",Norm_Stats!$F$21="",Norm_Stats!$G$21="",Norm_Stats!$G$21=Norm_Stats!$F$21),"",MAX(0,MIN(100,100*(MIN(MAX(City_Inputs!$AF19,Norm_Stats!$F$21),Norm_Stats!$G$21)-Norm_Stats!$F$21)/(Norm_Stats!$G$21-Norm_Stats!$F$21)))))="",0,(IF(OR(City_Inputs!$AF19="",Norm_Stats!$F$21="",Norm_Stats!$G$21="",Norm_Stats!$G$21=Norm_Stats!$F$21),"",MAX(0,MIN(100,100*(MIN(MAX(City_Inputs!$AF19,Norm_Stats!$F$21),Norm_Stats!$G$21)-Norm_Stats!$F$21)/(Norm_Stats!$G$21-Norm_Stats!$F$21)))))*0.5)+IF((IF(OR(City_Inputs!$AI19="",Norm_Stats!$F$22="",Norm_Stats!$G$22="",Norm_Stats!$G$22=Norm_Stats!$F$22),"",MAX(0,MIN(100,100*(MIN(MAX(City_Inputs!$AI19,Norm_Stats!$F$22),Norm_Stats!$G$22)-Norm_Stats!$F$22)/(Norm_Stats!$G$22-Norm_Stats!$F$22)))))="",0,(IF(OR(City_Inputs!$AI19="",Norm_Stats!$F$22="",Norm_Stats!$G$22="",Norm_Stats!$G$22=Norm_Stats!$F$22),"",MAX(0,MIN(100,100*(MIN(MAX(City_Inputs!$AI19,Norm_Stats!$F$22),Norm_Stats!$G$22)-Norm_Stats!$F$22)/(Norm_Stats!$G$22-Norm_Stats!$F$22)))))*0.3)+IF((IF(OR(City_Inputs!$AJ19="",Norm_Stats!$F$23="",Norm_Stats!$G$23="",Norm_Stats!$G$23=Norm_Stats!$F$23),"",MAX(0,MIN(100,100*(MIN(MAX(City_Inputs!$AJ19,Norm_Stats!$F$23),Norm_Stats!$G$23)-Norm_Stats!$F$23)/(Norm_Stats!$G$23-Norm_Stats!$F$23)))))="",0,(IF(OR(City_Inputs!$AJ19="",Norm_Stats!$F$23="",Norm_Stats!$G$23="",Norm_Stats!$G$23=Norm_Stats!$F$23),"",MAX(0,MIN(100,100*(MIN(MAX(City_Inputs!$AJ19,Norm_Stats!$F$23),Norm_Stats!$G$23)-Norm_Stats!$F$23)/(Norm_Stats!$G$23-Norm_Stats!$F$23)))))*0.2))/(IF((IF(OR(City_Inputs!$AF19="",Norm_Stats!$F$21="",Norm_Stats!$G$21="",Norm_Stats!$G$21=Norm_Stats!$F$21),"",MAX(0,MIN(100,100*(MIN(MAX(City_Inputs!$AF19,Norm_Stats!$F$21),Norm_Stats!$G$21)-Norm_Stats!$F$21)/(Norm_Stats!$G$21-Norm_Stats!$F$21)))))="",0,0.5)+IF((IF(OR(City_Inputs!$AI19="",Norm_Stats!$F$22="",Norm_Stats!$G$22="",Norm_Stats!$G$22=Norm_Stats!$F$22),"",MAX(0,MIN(100,100*(MIN(MAX(City_Inputs!$AI19,Norm_Stats!$F$22),Norm_Stats!$G$22)-Norm_Stats!$F$22)/(Norm_Stats!$G$22-Norm_Stats!$F$22)))))="",0,0.3)+IF((IF(OR(City_Inputs!$AJ19="",Norm_Stats!$F$23="",Norm_Stats!$G$23="",Norm_Stats!$G$23=Norm_Stats!$F$23),"",MAX(0,MIN(100,100*(MIN(MAX(City_Inputs!$AJ19,Norm_Stats!$F$23),Norm_Stats!$G$23)-Norm_Stats!$F$23)/(Norm_Stats!$G$23-Norm_Stats!$F$23)))))="",0,0.2)))</f>
        <v/>
      </c>
      <c r="AZ19" s="14">
        <f>IF((IF((IF(OR(City_Inputs!$AF19="",Norm_Stats!$F$21="",Norm_Stats!$G$21="",Norm_Stats!$G$21=Norm_Stats!$F$21),"",MAX(0,MIN(100,100*(MIN(MAX(City_Inputs!$AF19,Norm_Stats!$F$21),Norm_Stats!$G$21)-Norm_Stats!$F$21)/(Norm_Stats!$G$21-Norm_Stats!$F$21)))))="",0,0.5)+IF((IF(OR(City_Inputs!$AI19="",Norm_Stats!$F$22="",Norm_Stats!$G$22="",Norm_Stats!$G$22=Norm_Stats!$F$22),"",MAX(0,MIN(100,100*(MIN(MAX(City_Inputs!$AI19,Norm_Stats!$F$22),Norm_Stats!$G$22)-Norm_Stats!$F$22)/(Norm_Stats!$G$22-Norm_Stats!$F$22)))))="",0,0.3)+IF((IF(OR(City_Inputs!$AJ19="",Norm_Stats!$F$23="",Norm_Stats!$G$23="",Norm_Stats!$G$23=Norm_Stats!$F$23),"",MAX(0,MIN(100,100*(MIN(MAX(City_Inputs!$AJ19,Norm_Stats!$F$23),Norm_Stats!$G$23)-Norm_Stats!$F$23)/(Norm_Stats!$G$23-Norm_Stats!$F$23)))))="",0,0.2))=0,"",(IF((IF(OR(City_Inputs!$AF19="",Norm_Stats!$F$21="",Norm_Stats!$G$21="",Norm_Stats!$G$21=Norm_Stats!$F$21),"",MAX(0,MIN(100,100*(MIN(MAX(City_Inputs!$AF19,Norm_Stats!$F$21),Norm_Stats!$G$21)-Norm_Stats!$F$21)/(Norm_Stats!$G$21-Norm_Stats!$F$21)))))="",0,0.5)+IF((IF(OR(City_Inputs!$AI19="",Norm_Stats!$F$22="",Norm_Stats!$G$22="",Norm_Stats!$G$22=Norm_Stats!$F$22),"",MAX(0,MIN(100,100*(MIN(MAX(City_Inputs!$AI19,Norm_Stats!$F$22),Norm_Stats!$G$22)-Norm_Stats!$F$22)/(Norm_Stats!$G$22-Norm_Stats!$F$22)))))="",0,0.3)+IF((IF(OR(City_Inputs!$AJ19="",Norm_Stats!$F$23="",Norm_Stats!$G$23="",Norm_Stats!$G$23=Norm_Stats!$F$23),"",MAX(0,MIN(100,100*(MIN(MAX(City_Inputs!$AJ19,Norm_Stats!$F$23),Norm_Stats!$G$23)-Norm_Stats!$F$23)/(Norm_Stats!$G$23-Norm_Stats!$F$23)))))="",0,0.2)))</f>
        <v/>
      </c>
      <c r="BA19" s="11">
        <f>IF(OR(City_Inputs!$AG19="",Norm_Stats!$F$24="",Norm_Stats!$G$24="",Norm_Stats!$G$24=Norm_Stats!$F$24),"",MAX(0,MIN(100,100*(Norm_Stats!$G$24-MIN(MAX(City_Inputs!$AG19,Norm_Stats!$F$24),Norm_Stats!$G$24))/(Norm_Stats!$G$24-Norm_Stats!$F$24))))</f>
        <v/>
      </c>
      <c r="BB19" s="14">
        <f>IF(BA19="","",1)</f>
        <v/>
      </c>
      <c r="BC19" s="15">
        <f>IF((IF(AU19="",0,6)+IF(AW19="",0,5)+IF(AY19="",0,5)+IF(BA19="",0,4))=0,"",(IF(AU19="",0,AU19*6)+IF(AW19="",0,AW19*5)+IF(AY19="",0,AY19*5)+IF(BA19="",0,BA19*4))/(IF(AU19="",0,6)+IF(AW19="",0,5)+IF(AY19="",0,5)+IF(BA19="",0,4)))</f>
        <v/>
      </c>
      <c r="BD19" s="14">
        <f>IF((IF(AV19="",0,6)+IF(AX19="",0,5)+IF(AZ19="",0,5)+IF(BB19="",0,4))=0,"",(IF(AV19="",0,AV19*6)+IF(AX19="",0,AX19*5)+IF(AZ19="",0,AZ19*5)+IF(BB19="",0,BB19*4))/20)</f>
        <v/>
      </c>
      <c r="BE19" s="14">
        <f>IF(AND(R19="",AD19="",AL19="",AT19="",BD19=""),"",((R19*25)+(AD19*22)+(AL19*18)+(AT19*15)+(BD19*20))/100)</f>
        <v/>
      </c>
      <c r="BF19" s="11">
        <f>IF(BE19="","",IF(BE19&gt;=0.75,"A",IF(BE19&gt;=0.5,"B",IF(BE19&gt;=0.35,"C","Watchlist"))))</f>
        <v/>
      </c>
      <c r="BG19" s="11">
        <f>IF(OR(BE19="",BE19&lt;0.5,R19="",R19&lt;0.35,AD19="",AD19&lt;0.35,AL19="",AL19&lt;0.35,AT19="",AT19&lt;0.35,BD19="",BD19&lt;0.35),"Watchlist","Ranked")</f>
        <v/>
      </c>
      <c r="BH19" s="15">
        <f>IF(AND(Q19="",AC19="",AK19="",AS19="",BC19=""),"",(IF(Q19="",0,Q19*25)+IF(AC19="",0,AC19*22)+IF(AK19="",0,AK19*18)+IF(AS19="",0,AS19*15)+IF(BC19="",0,BC19*20))/(IF(Q19="",0,25)+IF(AC19="",0,22)+IF(AK19="",0,18)+IF(AS19="",0,15)+IF(BC19="",0,20)))</f>
        <v/>
      </c>
      <c r="BI19" s="11">
        <f>IF(BG19="Ranked",1+COUNTIFS($BG$2:$BG$103,"Ranked",$BH$2:$BH$103,"&gt;"&amp;BH19),"")</f>
        <v/>
      </c>
      <c r="BJ19" s="11">
        <f>City_Inputs!$AH19</f>
        <v/>
      </c>
    </row>
    <row r="20">
      <c r="A20" t="inlineStr">
        <is>
          <t>jp-sapporo</t>
        </is>
      </c>
      <c r="B20" t="inlineStr">
        <is>
          <t>Sapporo</t>
        </is>
      </c>
      <c r="C20" t="inlineStr">
        <is>
          <t>Japan</t>
        </is>
      </c>
      <c r="D20" t="inlineStr">
        <is>
          <t>East Asia</t>
        </is>
      </c>
      <c r="E20" t="inlineStr">
        <is>
          <t>locked</t>
        </is>
      </c>
      <c r="F20" t="inlineStr">
        <is>
          <t>secondary</t>
        </is>
      </c>
      <c r="G20" s="11">
        <f>IF(OR(City_Inputs!$M20="",Norm_Stats!$F$2="",Norm_Stats!$G$2="",Norm_Stats!$G$2=Norm_Stats!$F$2),"",MAX(0,MIN(100,100*(MIN(MAX(City_Inputs!$M20,Norm_Stats!$F$2),Norm_Stats!$G$2)-Norm_Stats!$F$2)/(Norm_Stats!$G$2-Norm_Stats!$F$2))))</f>
        <v/>
      </c>
      <c r="H20" s="14">
        <f>IF(G20="","",1)</f>
        <v/>
      </c>
      <c r="I20" s="11">
        <f>IF(OR(City_Inputs!$N20="",Norm_Stats!$F$3="",Norm_Stats!$G$3="",Norm_Stats!$G$3=Norm_Stats!$F$3),"",MAX(0,MIN(100,100*(Norm_Stats!$G$3-MIN(MAX(City_Inputs!$N20,Norm_Stats!$F$3),Norm_Stats!$G$3))/(Norm_Stats!$G$3-Norm_Stats!$F$3))))</f>
        <v/>
      </c>
      <c r="J20" s="14">
        <f>IF(I20="","",1)</f>
        <v/>
      </c>
      <c r="K20" s="11">
        <f>IF(OR(City_Inputs!$P20="",Norm_Stats!$F$4="",Norm_Stats!$G$4="",Norm_Stats!$G$4=Norm_Stats!$F$4),"",MAX(0,MIN(100,100*(Norm_Stats!$G$4-MIN(MAX(City_Inputs!$P20,Norm_Stats!$F$4),Norm_Stats!$G$4))/(Norm_Stats!$G$4-Norm_Stats!$F$4))))</f>
        <v/>
      </c>
      <c r="L20" s="14">
        <f>IF(K20="","",1)</f>
        <v/>
      </c>
      <c r="M20" s="11">
        <f>IF(OR(City_Inputs!$Q20="",Norm_Stats!$F$5="",Norm_Stats!$G$5="",Norm_Stats!$G$5=Norm_Stats!$F$5),"",MAX(0,MIN(100,100*(Norm_Stats!$G$5-MIN(MAX(City_Inputs!$Q20,Norm_Stats!$F$5),Norm_Stats!$G$5))/(Norm_Stats!$G$5-Norm_Stats!$F$5))))</f>
        <v/>
      </c>
      <c r="N20" s="14">
        <f>IF(M20="","",1)</f>
        <v/>
      </c>
      <c r="O20" s="11">
        <f>IF(OR(City_Inputs!$R20="",Norm_Stats!$F$6="",Norm_Stats!$G$6="",Norm_Stats!$G$6=Norm_Stats!$F$6),"",MAX(0,MIN(100,100*(Norm_Stats!$G$6-MIN(MAX(City_Inputs!$R20,Norm_Stats!$F$6),Norm_Stats!$G$6))/(Norm_Stats!$G$6-Norm_Stats!$F$6))))</f>
        <v/>
      </c>
      <c r="P20" s="14">
        <f>IF(O20="","",1)</f>
        <v/>
      </c>
      <c r="Q20" s="15">
        <f>IF((IF(G20="",0,9)+IF(I20="",0,5)+IF(K20="",0,4)+IF(M20="",0,4)+IF(O20="",0,3))=0,"",(IF(G20="",0,G20*9)+IF(I20="",0,I20*5)+IF(K20="",0,K20*4)+IF(M20="",0,M20*4)+IF(O20="",0,O20*3))/(IF(G20="",0,9)+IF(I20="",0,5)+IF(K20="",0,4)+IF(M20="",0,4)+IF(O20="",0,3)))</f>
        <v/>
      </c>
      <c r="R20" s="14">
        <f>IF((IF(H20="",0,9)+IF(J20="",0,5)+IF(L20="",0,4)+IF(N20="",0,4)+IF(P20="",0,3))=0,"",(IF(H20="",0,H20*9)+IF(J20="",0,J20*5)+IF(L20="",0,L20*4)+IF(N20="",0,N20*4)+IF(P20="",0,P20*3))/25)</f>
        <v/>
      </c>
      <c r="S20" s="11">
        <f>IF(OR(City_Inputs!$S20="",Norm_Stats!$F$7="",Norm_Stats!$G$7="",Norm_Stats!$G$7=Norm_Stats!$F$7),"",MAX(0,MIN(100,100*(Norm_Stats!$G$7-MIN(MAX(City_Inputs!$S20,Norm_Stats!$F$7),Norm_Stats!$G$7))/(Norm_Stats!$G$7-Norm_Stats!$F$7))))</f>
        <v/>
      </c>
      <c r="T20" s="14">
        <f>IF(S20="","",1)</f>
        <v/>
      </c>
      <c r="U20" s="11">
        <f>IF(OR(City_Inputs!$T20="",Norm_Stats!$F$8="",Norm_Stats!$G$8="",Norm_Stats!$G$8=Norm_Stats!$F$8),"",MAX(0,MIN(100,100*(MIN(MAX(City_Inputs!$T20,Norm_Stats!$F$8),Norm_Stats!$G$8)-Norm_Stats!$F$8)/(Norm_Stats!$G$8-Norm_Stats!$F$8))))</f>
        <v/>
      </c>
      <c r="V20" s="14">
        <f>IF(U20="","",1)</f>
        <v/>
      </c>
      <c r="W20" s="11">
        <f>IF(OR(City_Inputs!$U20="",Norm_Stats!$F$9="",Norm_Stats!$G$9="",Norm_Stats!$G$9=Norm_Stats!$F$9),"",MAX(0,MIN(100,100*(Norm_Stats!$G$9-MIN(MAX(City_Inputs!$U20,Norm_Stats!$F$9),Norm_Stats!$G$9))/(Norm_Stats!$G$9-Norm_Stats!$F$9))))</f>
        <v/>
      </c>
      <c r="X20" s="14">
        <f>IF(W20="","",1)</f>
        <v/>
      </c>
      <c r="Y20" s="11">
        <f>IF(OR(City_Inputs!$V20="",Norm_Stats!$F$10="",Norm_Stats!$G$10="",Norm_Stats!$G$10=Norm_Stats!$F$10),"",MAX(0,MIN(100,100*(MIN(MAX(City_Inputs!$V20,Norm_Stats!$F$10),Norm_Stats!$G$10)-Norm_Stats!$F$10)/(Norm_Stats!$G$10-Norm_Stats!$F$10))))</f>
        <v/>
      </c>
      <c r="Z20" s="14">
        <f>IF(Y20="","",1)</f>
        <v/>
      </c>
      <c r="AA20" s="11">
        <f>IF(OR(City_Inputs!$W20="",Norm_Stats!$F$11="",Norm_Stats!$G$11="",Norm_Stats!$G$11=Norm_Stats!$F$11),"",MAX(0,MIN(100,100*(MIN(MAX(City_Inputs!$W20,Norm_Stats!$F$11),Norm_Stats!$G$11)-Norm_Stats!$F$11)/(Norm_Stats!$G$11-Norm_Stats!$F$11))))</f>
        <v/>
      </c>
      <c r="AB20" s="14">
        <f>IF(AA20="","",1)</f>
        <v/>
      </c>
      <c r="AC20" s="15">
        <f>IF((IF(S20="",0,5)+IF(U20="",0,5)+IF(W20="",0,4)+IF(Y20="",0,4)+IF(AA20="",0,4))=0,"",(IF(S20="",0,S20*5)+IF(U20="",0,U20*5)+IF(W20="",0,W20*4)+IF(Y20="",0,Y20*4)+IF(AA20="",0,AA20*4))/(IF(S20="",0,5)+IF(U20="",0,5)+IF(W20="",0,4)+IF(Y20="",0,4)+IF(AA20="",0,4)))</f>
        <v/>
      </c>
      <c r="AD20" s="14">
        <f>IF((IF(T20="",0,5)+IF(V20="",0,5)+IF(X20="",0,4)+IF(Z20="",0,4)+IF(AB20="",0,4))=0,"",(IF(T20="",0,T20*5)+IF(V20="",0,V20*5)+IF(X20="",0,X20*4)+IF(Z20="",0,Z20*4)+IF(AB20="",0,AB20*4))/22)</f>
        <v/>
      </c>
      <c r="AE20" s="11">
        <f>IF(OR(City_Inputs!$X20="",Norm_Stats!$F$12="",Norm_Stats!$G$12="",Norm_Stats!$G$12=Norm_Stats!$F$12),"",MAX(0,MIN(100,100*(MIN(MAX(City_Inputs!$X20,Norm_Stats!$F$12),Norm_Stats!$G$12)-Norm_Stats!$F$12)/(Norm_Stats!$G$12-Norm_Stats!$F$12))))</f>
        <v/>
      </c>
      <c r="AF20" s="14">
        <f>IF(AE20="","",1)</f>
        <v/>
      </c>
      <c r="AG20" s="11">
        <f>IF(OR(City_Inputs!$Y20="",Norm_Stats!$F$13="",Norm_Stats!$G$13="",Norm_Stats!$G$13=Norm_Stats!$F$13),"",MAX(0,MIN(100,100*(MIN(MAX(City_Inputs!$Y20,Norm_Stats!$F$13),Norm_Stats!$G$13)-Norm_Stats!$F$13)/(Norm_Stats!$G$13-Norm_Stats!$F$13))))</f>
        <v/>
      </c>
      <c r="AH20" s="14">
        <f>IF(AG20="","",1)</f>
        <v/>
      </c>
      <c r="AI20" s="11">
        <f>IF((IF((IF(OR(City_Inputs!$Z20="",Norm_Stats!$F$14="",Norm_Stats!$G$14="",Norm_Stats!$G$14=Norm_Stats!$F$14),"",MAX(0,MIN(100,100*(MIN(MAX(City_Inputs!$Z20,Norm_Stats!$F$14),Norm_Stats!$G$14)-Norm_Stats!$F$14)/(Norm_Stats!$G$14-Norm_Stats!$F$14)))))="",0,0.7)+IF((IF(OR(City_Inputs!$AK20="",Norm_Stats!$F$15="",Norm_Stats!$G$15="",Norm_Stats!$G$15=Norm_Stats!$F$15),"",MAX(0,MIN(100,100*(Norm_Stats!$G$15-MIN(MAX(City_Inputs!$AK20,Norm_Stats!$F$15),Norm_Stats!$G$15))/(Norm_Stats!$G$15-Norm_Stats!$F$15)))))="",0,0.3))=0,"",(IF((IF(OR(City_Inputs!$Z20="",Norm_Stats!$F$14="",Norm_Stats!$G$14="",Norm_Stats!$G$14=Norm_Stats!$F$14),"",MAX(0,MIN(100,100*(MIN(MAX(City_Inputs!$Z20,Norm_Stats!$F$14),Norm_Stats!$G$14)-Norm_Stats!$F$14)/(Norm_Stats!$G$14-Norm_Stats!$F$14)))))="",0,(IF(OR(City_Inputs!$Z20="",Norm_Stats!$F$14="",Norm_Stats!$G$14="",Norm_Stats!$G$14=Norm_Stats!$F$14),"",MAX(0,MIN(100,100*(MIN(MAX(City_Inputs!$Z20,Norm_Stats!$F$14),Norm_Stats!$G$14)-Norm_Stats!$F$14)/(Norm_Stats!$G$14-Norm_Stats!$F$14)))))*0.7)+IF((IF(OR(City_Inputs!$AK20="",Norm_Stats!$F$15="",Norm_Stats!$G$15="",Norm_Stats!$G$15=Norm_Stats!$F$15),"",MAX(0,MIN(100,100*(Norm_Stats!$G$15-MIN(MAX(City_Inputs!$AK20,Norm_Stats!$F$15),Norm_Stats!$G$15))/(Norm_Stats!$G$15-Norm_Stats!$F$15)))))="",0,(IF(OR(City_Inputs!$AK20="",Norm_Stats!$F$15="",Norm_Stats!$G$15="",Norm_Stats!$G$15=Norm_Stats!$F$15),"",MAX(0,MIN(100,100*(Norm_Stats!$G$15-MIN(MAX(City_Inputs!$AK20,Norm_Stats!$F$15),Norm_Stats!$G$15))/(Norm_Stats!$G$15-Norm_Stats!$F$15)))))*0.3))/(IF((IF(OR(City_Inputs!$Z20="",Norm_Stats!$F$14="",Norm_Stats!$G$14="",Norm_Stats!$G$14=Norm_Stats!$F$14),"",MAX(0,MIN(100,100*(MIN(MAX(City_Inputs!$Z20,Norm_Stats!$F$14),Norm_Stats!$G$14)-Norm_Stats!$F$14)/(Norm_Stats!$G$14-Norm_Stats!$F$14)))))="",0,0.7)+IF((IF(OR(City_Inputs!$AK20="",Norm_Stats!$F$15="",Norm_Stats!$G$15="",Norm_Stats!$G$15=Norm_Stats!$F$15),"",MAX(0,MIN(100,100*(Norm_Stats!$G$15-MIN(MAX(City_Inputs!$AK20,Norm_Stats!$F$15),Norm_Stats!$G$15))/(Norm_Stats!$G$15-Norm_Stats!$F$15)))))="",0,0.3)))</f>
        <v/>
      </c>
      <c r="AJ20" s="14">
        <f>IF((IF((IF(OR(City_Inputs!$Z20="",Norm_Stats!$F$14="",Norm_Stats!$G$14="",Norm_Stats!$G$14=Norm_Stats!$F$14),"",MAX(0,MIN(100,100*(MIN(MAX(City_Inputs!$Z20,Norm_Stats!$F$14),Norm_Stats!$G$14)-Norm_Stats!$F$14)/(Norm_Stats!$G$14-Norm_Stats!$F$14)))))="",0,0.7)+IF((IF(OR(City_Inputs!$AK20="",Norm_Stats!$F$15="",Norm_Stats!$G$15="",Norm_Stats!$G$15=Norm_Stats!$F$15),"",MAX(0,MIN(100,100*(Norm_Stats!$G$15-MIN(MAX(City_Inputs!$AK20,Norm_Stats!$F$15),Norm_Stats!$G$15))/(Norm_Stats!$G$15-Norm_Stats!$F$15)))))="",0,0.3))=0,"",(IF((IF(OR(City_Inputs!$Z20="",Norm_Stats!$F$14="",Norm_Stats!$G$14="",Norm_Stats!$G$14=Norm_Stats!$F$14),"",MAX(0,MIN(100,100*(MIN(MAX(City_Inputs!$Z20,Norm_Stats!$F$14),Norm_Stats!$G$14)-Norm_Stats!$F$14)/(Norm_Stats!$G$14-Norm_Stats!$F$14)))))="",0,0.7)+IF((IF(OR(City_Inputs!$AK20="",Norm_Stats!$F$15="",Norm_Stats!$G$15="",Norm_Stats!$G$15=Norm_Stats!$F$15),"",MAX(0,MIN(100,100*(Norm_Stats!$G$15-MIN(MAX(City_Inputs!$AK20,Norm_Stats!$F$15),Norm_Stats!$G$15))/(Norm_Stats!$G$15-Norm_Stats!$F$15)))))="",0,0.3)))</f>
        <v/>
      </c>
      <c r="AK20" s="15">
        <f>IF((IF(AE20="",0,8)+IF(AG20="",0,6)+IF(AI20="",0,4))=0,"",(IF(AE20="",0,AE20*8)+IF(AG20="",0,AG20*6)+IF(AI20="",0,AI20*4))/(IF(AE20="",0,8)+IF(AG20="",0,6)+IF(AI20="",0,4)))</f>
        <v/>
      </c>
      <c r="AL20" s="14">
        <f>IF((IF(AF20="",0,8)+IF(AH20="",0,6)+IF(AJ20="",0,4))=0,"",(IF(AF20="",0,AF20*8)+IF(AH20="",0,AH20*6)+IF(AJ20="",0,AJ20*4))/18)</f>
        <v/>
      </c>
      <c r="AM20" s="11">
        <f>IF(OR(City_Inputs!$AA20="",Norm_Stats!$F$16="",Norm_Stats!$G$16="",Norm_Stats!$G$16=Norm_Stats!$F$16),"",MAX(0,MIN(100,100*(MIN(MAX(City_Inputs!$AA20,Norm_Stats!$F$16),Norm_Stats!$G$16)-Norm_Stats!$F$16)/(Norm_Stats!$G$16-Norm_Stats!$F$16))))</f>
        <v/>
      </c>
      <c r="AN20" s="14">
        <f>IF(AM20="","",1)</f>
        <v/>
      </c>
      <c r="AO20" s="11">
        <f>IF(OR(City_Inputs!$AB20="",Norm_Stats!$F$17="",Norm_Stats!$G$17="",Norm_Stats!$G$17=Norm_Stats!$F$17),"",MAX(0,MIN(100,100*(MIN(MAX(City_Inputs!$AB20,Norm_Stats!$F$17),Norm_Stats!$G$17)-Norm_Stats!$F$17)/(Norm_Stats!$G$17-Norm_Stats!$F$17))))</f>
        <v/>
      </c>
      <c r="AP20" s="14">
        <f>IF(AO20="","",1)</f>
        <v/>
      </c>
      <c r="AQ20" s="11">
        <f>IF(OR(City_Inputs!$AC20="",Norm_Stats!$F$18="",Norm_Stats!$G$18="",Norm_Stats!$G$18=Norm_Stats!$F$18),"",MAX(0,MIN(100,100*(MIN(MAX(City_Inputs!$AC20,Norm_Stats!$F$18),Norm_Stats!$G$18)-Norm_Stats!$F$18)/(Norm_Stats!$G$18-Norm_Stats!$F$18))))</f>
        <v/>
      </c>
      <c r="AR20" s="14">
        <f>IF(AQ20="","",1)</f>
        <v/>
      </c>
      <c r="AS20" s="15">
        <f>IF((IF(AM20="",0,5)+IF(AO20="",0,5)+IF(AQ20="",0,5))=0,"",(IF(AM20="",0,AM20*5)+IF(AO20="",0,AO20*5)+IF(AQ20="",0,AQ20*5))/(IF(AM20="",0,5)+IF(AO20="",0,5)+IF(AQ20="",0,5)))</f>
        <v/>
      </c>
      <c r="AT20" s="14">
        <f>IF((IF(AN20="",0,5)+IF(AP20="",0,5)+IF(AR20="",0,5))=0,"",(IF(AN20="",0,AN20*5)+IF(AP20="",0,AP20*5)+IF(AR20="",0,AR20*5))/15)</f>
        <v/>
      </c>
      <c r="AU20" s="11">
        <f>IF(OR(City_Inputs!$AD20="",Norm_Stats!$F$19="",Norm_Stats!$G$19="",Norm_Stats!$G$19=Norm_Stats!$F$19),"",MAX(0,MIN(100,100*(MIN(MAX(City_Inputs!$AD20,Norm_Stats!$F$19),Norm_Stats!$G$19)-Norm_Stats!$F$19)/(Norm_Stats!$G$19-Norm_Stats!$F$19))))</f>
        <v/>
      </c>
      <c r="AV20" s="14">
        <f>IF(AU20="","",1)</f>
        <v/>
      </c>
      <c r="AW20" s="11">
        <f>IF(OR(City_Inputs!$AE20="",Norm_Stats!$F$20="",Norm_Stats!$G$20="",Norm_Stats!$G$20=Norm_Stats!$F$20),"",MAX(0,MIN(100,100*(MIN(MAX(City_Inputs!$AE20,Norm_Stats!$F$20),Norm_Stats!$G$20)-Norm_Stats!$F$20)/(Norm_Stats!$G$20-Norm_Stats!$F$20))))</f>
        <v/>
      </c>
      <c r="AX20" s="14">
        <f>IF(AW20="","",1)</f>
        <v/>
      </c>
      <c r="AY20" s="11">
        <f>IF((IF((IF(OR(City_Inputs!$AF20="",Norm_Stats!$F$21="",Norm_Stats!$G$21="",Norm_Stats!$G$21=Norm_Stats!$F$21),"",MAX(0,MIN(100,100*(MIN(MAX(City_Inputs!$AF20,Norm_Stats!$F$21),Norm_Stats!$G$21)-Norm_Stats!$F$21)/(Norm_Stats!$G$21-Norm_Stats!$F$21)))))="",0,0.5)+IF((IF(OR(City_Inputs!$AI20="",Norm_Stats!$F$22="",Norm_Stats!$G$22="",Norm_Stats!$G$22=Norm_Stats!$F$22),"",MAX(0,MIN(100,100*(MIN(MAX(City_Inputs!$AI20,Norm_Stats!$F$22),Norm_Stats!$G$22)-Norm_Stats!$F$22)/(Norm_Stats!$G$22-Norm_Stats!$F$22)))))="",0,0.3)+IF((IF(OR(City_Inputs!$AJ20="",Norm_Stats!$F$23="",Norm_Stats!$G$23="",Norm_Stats!$G$23=Norm_Stats!$F$23),"",MAX(0,MIN(100,100*(MIN(MAX(City_Inputs!$AJ20,Norm_Stats!$F$23),Norm_Stats!$G$23)-Norm_Stats!$F$23)/(Norm_Stats!$G$23-Norm_Stats!$F$23)))))="",0,0.2))=0,"",(IF((IF(OR(City_Inputs!$AF20="",Norm_Stats!$F$21="",Norm_Stats!$G$21="",Norm_Stats!$G$21=Norm_Stats!$F$21),"",MAX(0,MIN(100,100*(MIN(MAX(City_Inputs!$AF20,Norm_Stats!$F$21),Norm_Stats!$G$21)-Norm_Stats!$F$21)/(Norm_Stats!$G$21-Norm_Stats!$F$21)))))="",0,(IF(OR(City_Inputs!$AF20="",Norm_Stats!$F$21="",Norm_Stats!$G$21="",Norm_Stats!$G$21=Norm_Stats!$F$21),"",MAX(0,MIN(100,100*(MIN(MAX(City_Inputs!$AF20,Norm_Stats!$F$21),Norm_Stats!$G$21)-Norm_Stats!$F$21)/(Norm_Stats!$G$21-Norm_Stats!$F$21)))))*0.5)+IF((IF(OR(City_Inputs!$AI20="",Norm_Stats!$F$22="",Norm_Stats!$G$22="",Norm_Stats!$G$22=Norm_Stats!$F$22),"",MAX(0,MIN(100,100*(MIN(MAX(City_Inputs!$AI20,Norm_Stats!$F$22),Norm_Stats!$G$22)-Norm_Stats!$F$22)/(Norm_Stats!$G$22-Norm_Stats!$F$22)))))="",0,(IF(OR(City_Inputs!$AI20="",Norm_Stats!$F$22="",Norm_Stats!$G$22="",Norm_Stats!$G$22=Norm_Stats!$F$22),"",MAX(0,MIN(100,100*(MIN(MAX(City_Inputs!$AI20,Norm_Stats!$F$22),Norm_Stats!$G$22)-Norm_Stats!$F$22)/(Norm_Stats!$G$22-Norm_Stats!$F$22)))))*0.3)+IF((IF(OR(City_Inputs!$AJ20="",Norm_Stats!$F$23="",Norm_Stats!$G$23="",Norm_Stats!$G$23=Norm_Stats!$F$23),"",MAX(0,MIN(100,100*(MIN(MAX(City_Inputs!$AJ20,Norm_Stats!$F$23),Norm_Stats!$G$23)-Norm_Stats!$F$23)/(Norm_Stats!$G$23-Norm_Stats!$F$23)))))="",0,(IF(OR(City_Inputs!$AJ20="",Norm_Stats!$F$23="",Norm_Stats!$G$23="",Norm_Stats!$G$23=Norm_Stats!$F$23),"",MAX(0,MIN(100,100*(MIN(MAX(City_Inputs!$AJ20,Norm_Stats!$F$23),Norm_Stats!$G$23)-Norm_Stats!$F$23)/(Norm_Stats!$G$23-Norm_Stats!$F$23)))))*0.2))/(IF((IF(OR(City_Inputs!$AF20="",Norm_Stats!$F$21="",Norm_Stats!$G$21="",Norm_Stats!$G$21=Norm_Stats!$F$21),"",MAX(0,MIN(100,100*(MIN(MAX(City_Inputs!$AF20,Norm_Stats!$F$21),Norm_Stats!$G$21)-Norm_Stats!$F$21)/(Norm_Stats!$G$21-Norm_Stats!$F$21)))))="",0,0.5)+IF((IF(OR(City_Inputs!$AI20="",Norm_Stats!$F$22="",Norm_Stats!$G$22="",Norm_Stats!$G$22=Norm_Stats!$F$22),"",MAX(0,MIN(100,100*(MIN(MAX(City_Inputs!$AI20,Norm_Stats!$F$22),Norm_Stats!$G$22)-Norm_Stats!$F$22)/(Norm_Stats!$G$22-Norm_Stats!$F$22)))))="",0,0.3)+IF((IF(OR(City_Inputs!$AJ20="",Norm_Stats!$F$23="",Norm_Stats!$G$23="",Norm_Stats!$G$23=Norm_Stats!$F$23),"",MAX(0,MIN(100,100*(MIN(MAX(City_Inputs!$AJ20,Norm_Stats!$F$23),Norm_Stats!$G$23)-Norm_Stats!$F$23)/(Norm_Stats!$G$23-Norm_Stats!$F$23)))))="",0,0.2)))</f>
        <v/>
      </c>
      <c r="AZ20" s="14">
        <f>IF((IF((IF(OR(City_Inputs!$AF20="",Norm_Stats!$F$21="",Norm_Stats!$G$21="",Norm_Stats!$G$21=Norm_Stats!$F$21),"",MAX(0,MIN(100,100*(MIN(MAX(City_Inputs!$AF20,Norm_Stats!$F$21),Norm_Stats!$G$21)-Norm_Stats!$F$21)/(Norm_Stats!$G$21-Norm_Stats!$F$21)))))="",0,0.5)+IF((IF(OR(City_Inputs!$AI20="",Norm_Stats!$F$22="",Norm_Stats!$G$22="",Norm_Stats!$G$22=Norm_Stats!$F$22),"",MAX(0,MIN(100,100*(MIN(MAX(City_Inputs!$AI20,Norm_Stats!$F$22),Norm_Stats!$G$22)-Norm_Stats!$F$22)/(Norm_Stats!$G$22-Norm_Stats!$F$22)))))="",0,0.3)+IF((IF(OR(City_Inputs!$AJ20="",Norm_Stats!$F$23="",Norm_Stats!$G$23="",Norm_Stats!$G$23=Norm_Stats!$F$23),"",MAX(0,MIN(100,100*(MIN(MAX(City_Inputs!$AJ20,Norm_Stats!$F$23),Norm_Stats!$G$23)-Norm_Stats!$F$23)/(Norm_Stats!$G$23-Norm_Stats!$F$23)))))="",0,0.2))=0,"",(IF((IF(OR(City_Inputs!$AF20="",Norm_Stats!$F$21="",Norm_Stats!$G$21="",Norm_Stats!$G$21=Norm_Stats!$F$21),"",MAX(0,MIN(100,100*(MIN(MAX(City_Inputs!$AF20,Norm_Stats!$F$21),Norm_Stats!$G$21)-Norm_Stats!$F$21)/(Norm_Stats!$G$21-Norm_Stats!$F$21)))))="",0,0.5)+IF((IF(OR(City_Inputs!$AI20="",Norm_Stats!$F$22="",Norm_Stats!$G$22="",Norm_Stats!$G$22=Norm_Stats!$F$22),"",MAX(0,MIN(100,100*(MIN(MAX(City_Inputs!$AI20,Norm_Stats!$F$22),Norm_Stats!$G$22)-Norm_Stats!$F$22)/(Norm_Stats!$G$22-Norm_Stats!$F$22)))))="",0,0.3)+IF((IF(OR(City_Inputs!$AJ20="",Norm_Stats!$F$23="",Norm_Stats!$G$23="",Norm_Stats!$G$23=Norm_Stats!$F$23),"",MAX(0,MIN(100,100*(MIN(MAX(City_Inputs!$AJ20,Norm_Stats!$F$23),Norm_Stats!$G$23)-Norm_Stats!$F$23)/(Norm_Stats!$G$23-Norm_Stats!$F$23)))))="",0,0.2)))</f>
        <v/>
      </c>
      <c r="BA20" s="11">
        <f>IF(OR(City_Inputs!$AG20="",Norm_Stats!$F$24="",Norm_Stats!$G$24="",Norm_Stats!$G$24=Norm_Stats!$F$24),"",MAX(0,MIN(100,100*(Norm_Stats!$G$24-MIN(MAX(City_Inputs!$AG20,Norm_Stats!$F$24),Norm_Stats!$G$24))/(Norm_Stats!$G$24-Norm_Stats!$F$24))))</f>
        <v/>
      </c>
      <c r="BB20" s="14">
        <f>IF(BA20="","",1)</f>
        <v/>
      </c>
      <c r="BC20" s="15">
        <f>IF((IF(AU20="",0,6)+IF(AW20="",0,5)+IF(AY20="",0,5)+IF(BA20="",0,4))=0,"",(IF(AU20="",0,AU20*6)+IF(AW20="",0,AW20*5)+IF(AY20="",0,AY20*5)+IF(BA20="",0,BA20*4))/(IF(AU20="",0,6)+IF(AW20="",0,5)+IF(AY20="",0,5)+IF(BA20="",0,4)))</f>
        <v/>
      </c>
      <c r="BD20" s="14">
        <f>IF((IF(AV20="",0,6)+IF(AX20="",0,5)+IF(AZ20="",0,5)+IF(BB20="",0,4))=0,"",(IF(AV20="",0,AV20*6)+IF(AX20="",0,AX20*5)+IF(AZ20="",0,AZ20*5)+IF(BB20="",0,BB20*4))/20)</f>
        <v/>
      </c>
      <c r="BE20" s="14">
        <f>IF(AND(R20="",AD20="",AL20="",AT20="",BD20=""),"",((R20*25)+(AD20*22)+(AL20*18)+(AT20*15)+(BD20*20))/100)</f>
        <v/>
      </c>
      <c r="BF20" s="11">
        <f>IF(BE20="","",IF(BE20&gt;=0.75,"A",IF(BE20&gt;=0.5,"B",IF(BE20&gt;=0.35,"C","Watchlist"))))</f>
        <v/>
      </c>
      <c r="BG20" s="11">
        <f>IF(OR(BE20="",BE20&lt;0.5,R20="",R20&lt;0.35,AD20="",AD20&lt;0.35,AL20="",AL20&lt;0.35,AT20="",AT20&lt;0.35,BD20="",BD20&lt;0.35),"Watchlist","Ranked")</f>
        <v/>
      </c>
      <c r="BH20" s="15">
        <f>IF(AND(Q20="",AC20="",AK20="",AS20="",BC20=""),"",(IF(Q20="",0,Q20*25)+IF(AC20="",0,AC20*22)+IF(AK20="",0,AK20*18)+IF(AS20="",0,AS20*15)+IF(BC20="",0,BC20*20))/(IF(Q20="",0,25)+IF(AC20="",0,22)+IF(AK20="",0,18)+IF(AS20="",0,15)+IF(BC20="",0,20)))</f>
        <v/>
      </c>
      <c r="BI20" s="11">
        <f>IF(BG20="Ranked",1+COUNTIFS($BG$2:$BG$103,"Ranked",$BH$2:$BH$103,"&gt;"&amp;BH20),"")</f>
        <v/>
      </c>
      <c r="BJ20" s="11">
        <f>City_Inputs!$AH20</f>
        <v/>
      </c>
    </row>
    <row r="21">
      <c r="A21" t="inlineStr">
        <is>
          <t>cn-tianjin</t>
        </is>
      </c>
      <c r="B21" t="inlineStr">
        <is>
          <t>Tianjin</t>
        </is>
      </c>
      <c r="C21" t="inlineStr">
        <is>
          <t>China</t>
        </is>
      </c>
      <c r="D21" t="inlineStr">
        <is>
          <t>East Asia</t>
        </is>
      </c>
      <c r="E21" t="inlineStr">
        <is>
          <t>provisional</t>
        </is>
      </c>
      <c r="F21" t="inlineStr">
        <is>
          <t>secondary</t>
        </is>
      </c>
      <c r="G21" s="11">
        <f>IF(OR(City_Inputs!$M21="",Norm_Stats!$F$2="",Norm_Stats!$G$2="",Norm_Stats!$G$2=Norm_Stats!$F$2),"",MAX(0,MIN(100,100*(MIN(MAX(City_Inputs!$M21,Norm_Stats!$F$2),Norm_Stats!$G$2)-Norm_Stats!$F$2)/(Norm_Stats!$G$2-Norm_Stats!$F$2))))</f>
        <v/>
      </c>
      <c r="H21" s="14">
        <f>IF(G21="","",1)</f>
        <v/>
      </c>
      <c r="I21" s="11">
        <f>IF(OR(City_Inputs!$N21="",Norm_Stats!$F$3="",Norm_Stats!$G$3="",Norm_Stats!$G$3=Norm_Stats!$F$3),"",MAX(0,MIN(100,100*(Norm_Stats!$G$3-MIN(MAX(City_Inputs!$N21,Norm_Stats!$F$3),Norm_Stats!$G$3))/(Norm_Stats!$G$3-Norm_Stats!$F$3))))</f>
        <v/>
      </c>
      <c r="J21" s="14">
        <f>IF(I21="","",1)</f>
        <v/>
      </c>
      <c r="K21" s="11">
        <f>IF(OR(City_Inputs!$P21="",Norm_Stats!$F$4="",Norm_Stats!$G$4="",Norm_Stats!$G$4=Norm_Stats!$F$4),"",MAX(0,MIN(100,100*(Norm_Stats!$G$4-MIN(MAX(City_Inputs!$P21,Norm_Stats!$F$4),Norm_Stats!$G$4))/(Norm_Stats!$G$4-Norm_Stats!$F$4))))</f>
        <v/>
      </c>
      <c r="L21" s="14">
        <f>IF(K21="","",1)</f>
        <v/>
      </c>
      <c r="M21" s="11">
        <f>IF(OR(City_Inputs!$Q21="",Norm_Stats!$F$5="",Norm_Stats!$G$5="",Norm_Stats!$G$5=Norm_Stats!$F$5),"",MAX(0,MIN(100,100*(Norm_Stats!$G$5-MIN(MAX(City_Inputs!$Q21,Norm_Stats!$F$5),Norm_Stats!$G$5))/(Norm_Stats!$G$5-Norm_Stats!$F$5))))</f>
        <v/>
      </c>
      <c r="N21" s="14">
        <f>IF(M21="","",1)</f>
        <v/>
      </c>
      <c r="O21" s="11">
        <f>IF(OR(City_Inputs!$R21="",Norm_Stats!$F$6="",Norm_Stats!$G$6="",Norm_Stats!$G$6=Norm_Stats!$F$6),"",MAX(0,MIN(100,100*(Norm_Stats!$G$6-MIN(MAX(City_Inputs!$R21,Norm_Stats!$F$6),Norm_Stats!$G$6))/(Norm_Stats!$G$6-Norm_Stats!$F$6))))</f>
        <v/>
      </c>
      <c r="P21" s="14">
        <f>IF(O21="","",1)</f>
        <v/>
      </c>
      <c r="Q21" s="15">
        <f>IF((IF(G21="",0,9)+IF(I21="",0,5)+IF(K21="",0,4)+IF(M21="",0,4)+IF(O21="",0,3))=0,"",(IF(G21="",0,G21*9)+IF(I21="",0,I21*5)+IF(K21="",0,K21*4)+IF(M21="",0,M21*4)+IF(O21="",0,O21*3))/(IF(G21="",0,9)+IF(I21="",0,5)+IF(K21="",0,4)+IF(M21="",0,4)+IF(O21="",0,3)))</f>
        <v/>
      </c>
      <c r="R21" s="14">
        <f>IF((IF(H21="",0,9)+IF(J21="",0,5)+IF(L21="",0,4)+IF(N21="",0,4)+IF(P21="",0,3))=0,"",(IF(H21="",0,H21*9)+IF(J21="",0,J21*5)+IF(L21="",0,L21*4)+IF(N21="",0,N21*4)+IF(P21="",0,P21*3))/25)</f>
        <v/>
      </c>
      <c r="S21" s="11">
        <f>IF(OR(City_Inputs!$S21="",Norm_Stats!$F$7="",Norm_Stats!$G$7="",Norm_Stats!$G$7=Norm_Stats!$F$7),"",MAX(0,MIN(100,100*(Norm_Stats!$G$7-MIN(MAX(City_Inputs!$S21,Norm_Stats!$F$7),Norm_Stats!$G$7))/(Norm_Stats!$G$7-Norm_Stats!$F$7))))</f>
        <v/>
      </c>
      <c r="T21" s="14">
        <f>IF(S21="","",1)</f>
        <v/>
      </c>
      <c r="U21" s="11">
        <f>IF(OR(City_Inputs!$T21="",Norm_Stats!$F$8="",Norm_Stats!$G$8="",Norm_Stats!$G$8=Norm_Stats!$F$8),"",MAX(0,MIN(100,100*(MIN(MAX(City_Inputs!$T21,Norm_Stats!$F$8),Norm_Stats!$G$8)-Norm_Stats!$F$8)/(Norm_Stats!$G$8-Norm_Stats!$F$8))))</f>
        <v/>
      </c>
      <c r="V21" s="14">
        <f>IF(U21="","",1)</f>
        <v/>
      </c>
      <c r="W21" s="11">
        <f>IF(OR(City_Inputs!$U21="",Norm_Stats!$F$9="",Norm_Stats!$G$9="",Norm_Stats!$G$9=Norm_Stats!$F$9),"",MAX(0,MIN(100,100*(Norm_Stats!$G$9-MIN(MAX(City_Inputs!$U21,Norm_Stats!$F$9),Norm_Stats!$G$9))/(Norm_Stats!$G$9-Norm_Stats!$F$9))))</f>
        <v/>
      </c>
      <c r="X21" s="14">
        <f>IF(W21="","",1)</f>
        <v/>
      </c>
      <c r="Y21" s="11">
        <f>IF(OR(City_Inputs!$V21="",Norm_Stats!$F$10="",Norm_Stats!$G$10="",Norm_Stats!$G$10=Norm_Stats!$F$10),"",MAX(0,MIN(100,100*(MIN(MAX(City_Inputs!$V21,Norm_Stats!$F$10),Norm_Stats!$G$10)-Norm_Stats!$F$10)/(Norm_Stats!$G$10-Norm_Stats!$F$10))))</f>
        <v/>
      </c>
      <c r="Z21" s="14">
        <f>IF(Y21="","",1)</f>
        <v/>
      </c>
      <c r="AA21" s="11">
        <f>IF(OR(City_Inputs!$W21="",Norm_Stats!$F$11="",Norm_Stats!$G$11="",Norm_Stats!$G$11=Norm_Stats!$F$11),"",MAX(0,MIN(100,100*(MIN(MAX(City_Inputs!$W21,Norm_Stats!$F$11),Norm_Stats!$G$11)-Norm_Stats!$F$11)/(Norm_Stats!$G$11-Norm_Stats!$F$11))))</f>
        <v/>
      </c>
      <c r="AB21" s="14">
        <f>IF(AA21="","",1)</f>
        <v/>
      </c>
      <c r="AC21" s="15">
        <f>IF((IF(S21="",0,5)+IF(U21="",0,5)+IF(W21="",0,4)+IF(Y21="",0,4)+IF(AA21="",0,4))=0,"",(IF(S21="",0,S21*5)+IF(U21="",0,U21*5)+IF(W21="",0,W21*4)+IF(Y21="",0,Y21*4)+IF(AA21="",0,AA21*4))/(IF(S21="",0,5)+IF(U21="",0,5)+IF(W21="",0,4)+IF(Y21="",0,4)+IF(AA21="",0,4)))</f>
        <v/>
      </c>
      <c r="AD21" s="14">
        <f>IF((IF(T21="",0,5)+IF(V21="",0,5)+IF(X21="",0,4)+IF(Z21="",0,4)+IF(AB21="",0,4))=0,"",(IF(T21="",0,T21*5)+IF(V21="",0,V21*5)+IF(X21="",0,X21*4)+IF(Z21="",0,Z21*4)+IF(AB21="",0,AB21*4))/22)</f>
        <v/>
      </c>
      <c r="AE21" s="11">
        <f>IF(OR(City_Inputs!$X21="",Norm_Stats!$F$12="",Norm_Stats!$G$12="",Norm_Stats!$G$12=Norm_Stats!$F$12),"",MAX(0,MIN(100,100*(MIN(MAX(City_Inputs!$X21,Norm_Stats!$F$12),Norm_Stats!$G$12)-Norm_Stats!$F$12)/(Norm_Stats!$G$12-Norm_Stats!$F$12))))</f>
        <v/>
      </c>
      <c r="AF21" s="14">
        <f>IF(AE21="","",1)</f>
        <v/>
      </c>
      <c r="AG21" s="11">
        <f>IF(OR(City_Inputs!$Y21="",Norm_Stats!$F$13="",Norm_Stats!$G$13="",Norm_Stats!$G$13=Norm_Stats!$F$13),"",MAX(0,MIN(100,100*(MIN(MAX(City_Inputs!$Y21,Norm_Stats!$F$13),Norm_Stats!$G$13)-Norm_Stats!$F$13)/(Norm_Stats!$G$13-Norm_Stats!$F$13))))</f>
        <v/>
      </c>
      <c r="AH21" s="14">
        <f>IF(AG21="","",1)</f>
        <v/>
      </c>
      <c r="AI21" s="11">
        <f>IF((IF((IF(OR(City_Inputs!$Z21="",Norm_Stats!$F$14="",Norm_Stats!$G$14="",Norm_Stats!$G$14=Norm_Stats!$F$14),"",MAX(0,MIN(100,100*(MIN(MAX(City_Inputs!$Z21,Norm_Stats!$F$14),Norm_Stats!$G$14)-Norm_Stats!$F$14)/(Norm_Stats!$G$14-Norm_Stats!$F$14)))))="",0,0.7)+IF((IF(OR(City_Inputs!$AK21="",Norm_Stats!$F$15="",Norm_Stats!$G$15="",Norm_Stats!$G$15=Norm_Stats!$F$15),"",MAX(0,MIN(100,100*(Norm_Stats!$G$15-MIN(MAX(City_Inputs!$AK21,Norm_Stats!$F$15),Norm_Stats!$G$15))/(Norm_Stats!$G$15-Norm_Stats!$F$15)))))="",0,0.3))=0,"",(IF((IF(OR(City_Inputs!$Z21="",Norm_Stats!$F$14="",Norm_Stats!$G$14="",Norm_Stats!$G$14=Norm_Stats!$F$14),"",MAX(0,MIN(100,100*(MIN(MAX(City_Inputs!$Z21,Norm_Stats!$F$14),Norm_Stats!$G$14)-Norm_Stats!$F$14)/(Norm_Stats!$G$14-Norm_Stats!$F$14)))))="",0,(IF(OR(City_Inputs!$Z21="",Norm_Stats!$F$14="",Norm_Stats!$G$14="",Norm_Stats!$G$14=Norm_Stats!$F$14),"",MAX(0,MIN(100,100*(MIN(MAX(City_Inputs!$Z21,Norm_Stats!$F$14),Norm_Stats!$G$14)-Norm_Stats!$F$14)/(Norm_Stats!$G$14-Norm_Stats!$F$14)))))*0.7)+IF((IF(OR(City_Inputs!$AK21="",Norm_Stats!$F$15="",Norm_Stats!$G$15="",Norm_Stats!$G$15=Norm_Stats!$F$15),"",MAX(0,MIN(100,100*(Norm_Stats!$G$15-MIN(MAX(City_Inputs!$AK21,Norm_Stats!$F$15),Norm_Stats!$G$15))/(Norm_Stats!$G$15-Norm_Stats!$F$15)))))="",0,(IF(OR(City_Inputs!$AK21="",Norm_Stats!$F$15="",Norm_Stats!$G$15="",Norm_Stats!$G$15=Norm_Stats!$F$15),"",MAX(0,MIN(100,100*(Norm_Stats!$G$15-MIN(MAX(City_Inputs!$AK21,Norm_Stats!$F$15),Norm_Stats!$G$15))/(Norm_Stats!$G$15-Norm_Stats!$F$15)))))*0.3))/(IF((IF(OR(City_Inputs!$Z21="",Norm_Stats!$F$14="",Norm_Stats!$G$14="",Norm_Stats!$G$14=Norm_Stats!$F$14),"",MAX(0,MIN(100,100*(MIN(MAX(City_Inputs!$Z21,Norm_Stats!$F$14),Norm_Stats!$G$14)-Norm_Stats!$F$14)/(Norm_Stats!$G$14-Norm_Stats!$F$14)))))="",0,0.7)+IF((IF(OR(City_Inputs!$AK21="",Norm_Stats!$F$15="",Norm_Stats!$G$15="",Norm_Stats!$G$15=Norm_Stats!$F$15),"",MAX(0,MIN(100,100*(Norm_Stats!$G$15-MIN(MAX(City_Inputs!$AK21,Norm_Stats!$F$15),Norm_Stats!$G$15))/(Norm_Stats!$G$15-Norm_Stats!$F$15)))))="",0,0.3)))</f>
        <v/>
      </c>
      <c r="AJ21" s="14">
        <f>IF((IF((IF(OR(City_Inputs!$Z21="",Norm_Stats!$F$14="",Norm_Stats!$G$14="",Norm_Stats!$G$14=Norm_Stats!$F$14),"",MAX(0,MIN(100,100*(MIN(MAX(City_Inputs!$Z21,Norm_Stats!$F$14),Norm_Stats!$G$14)-Norm_Stats!$F$14)/(Norm_Stats!$G$14-Norm_Stats!$F$14)))))="",0,0.7)+IF((IF(OR(City_Inputs!$AK21="",Norm_Stats!$F$15="",Norm_Stats!$G$15="",Norm_Stats!$G$15=Norm_Stats!$F$15),"",MAX(0,MIN(100,100*(Norm_Stats!$G$15-MIN(MAX(City_Inputs!$AK21,Norm_Stats!$F$15),Norm_Stats!$G$15))/(Norm_Stats!$G$15-Norm_Stats!$F$15)))))="",0,0.3))=0,"",(IF((IF(OR(City_Inputs!$Z21="",Norm_Stats!$F$14="",Norm_Stats!$G$14="",Norm_Stats!$G$14=Norm_Stats!$F$14),"",MAX(0,MIN(100,100*(MIN(MAX(City_Inputs!$Z21,Norm_Stats!$F$14),Norm_Stats!$G$14)-Norm_Stats!$F$14)/(Norm_Stats!$G$14-Norm_Stats!$F$14)))))="",0,0.7)+IF((IF(OR(City_Inputs!$AK21="",Norm_Stats!$F$15="",Norm_Stats!$G$15="",Norm_Stats!$G$15=Norm_Stats!$F$15),"",MAX(0,MIN(100,100*(Norm_Stats!$G$15-MIN(MAX(City_Inputs!$AK21,Norm_Stats!$F$15),Norm_Stats!$G$15))/(Norm_Stats!$G$15-Norm_Stats!$F$15)))))="",0,0.3)))</f>
        <v/>
      </c>
      <c r="AK21" s="15">
        <f>IF((IF(AE21="",0,8)+IF(AG21="",0,6)+IF(AI21="",0,4))=0,"",(IF(AE21="",0,AE21*8)+IF(AG21="",0,AG21*6)+IF(AI21="",0,AI21*4))/(IF(AE21="",0,8)+IF(AG21="",0,6)+IF(AI21="",0,4)))</f>
        <v/>
      </c>
      <c r="AL21" s="14">
        <f>IF((IF(AF21="",0,8)+IF(AH21="",0,6)+IF(AJ21="",0,4))=0,"",(IF(AF21="",0,AF21*8)+IF(AH21="",0,AH21*6)+IF(AJ21="",0,AJ21*4))/18)</f>
        <v/>
      </c>
      <c r="AM21" s="11">
        <f>IF(OR(City_Inputs!$AA21="",Norm_Stats!$F$16="",Norm_Stats!$G$16="",Norm_Stats!$G$16=Norm_Stats!$F$16),"",MAX(0,MIN(100,100*(MIN(MAX(City_Inputs!$AA21,Norm_Stats!$F$16),Norm_Stats!$G$16)-Norm_Stats!$F$16)/(Norm_Stats!$G$16-Norm_Stats!$F$16))))</f>
        <v/>
      </c>
      <c r="AN21" s="14">
        <f>IF(AM21="","",1)</f>
        <v/>
      </c>
      <c r="AO21" s="11">
        <f>IF(OR(City_Inputs!$AB21="",Norm_Stats!$F$17="",Norm_Stats!$G$17="",Norm_Stats!$G$17=Norm_Stats!$F$17),"",MAX(0,MIN(100,100*(MIN(MAX(City_Inputs!$AB21,Norm_Stats!$F$17),Norm_Stats!$G$17)-Norm_Stats!$F$17)/(Norm_Stats!$G$17-Norm_Stats!$F$17))))</f>
        <v/>
      </c>
      <c r="AP21" s="14">
        <f>IF(AO21="","",1)</f>
        <v/>
      </c>
      <c r="AQ21" s="11">
        <f>IF(OR(City_Inputs!$AC21="",Norm_Stats!$F$18="",Norm_Stats!$G$18="",Norm_Stats!$G$18=Norm_Stats!$F$18),"",MAX(0,MIN(100,100*(MIN(MAX(City_Inputs!$AC21,Norm_Stats!$F$18),Norm_Stats!$G$18)-Norm_Stats!$F$18)/(Norm_Stats!$G$18-Norm_Stats!$F$18))))</f>
        <v/>
      </c>
      <c r="AR21" s="14">
        <f>IF(AQ21="","",1)</f>
        <v/>
      </c>
      <c r="AS21" s="15">
        <f>IF((IF(AM21="",0,5)+IF(AO21="",0,5)+IF(AQ21="",0,5))=0,"",(IF(AM21="",0,AM21*5)+IF(AO21="",0,AO21*5)+IF(AQ21="",0,AQ21*5))/(IF(AM21="",0,5)+IF(AO21="",0,5)+IF(AQ21="",0,5)))</f>
        <v/>
      </c>
      <c r="AT21" s="14">
        <f>IF((IF(AN21="",0,5)+IF(AP21="",0,5)+IF(AR21="",0,5))=0,"",(IF(AN21="",0,AN21*5)+IF(AP21="",0,AP21*5)+IF(AR21="",0,AR21*5))/15)</f>
        <v/>
      </c>
      <c r="AU21" s="11">
        <f>IF(OR(City_Inputs!$AD21="",Norm_Stats!$F$19="",Norm_Stats!$G$19="",Norm_Stats!$G$19=Norm_Stats!$F$19),"",MAX(0,MIN(100,100*(MIN(MAX(City_Inputs!$AD21,Norm_Stats!$F$19),Norm_Stats!$G$19)-Norm_Stats!$F$19)/(Norm_Stats!$G$19-Norm_Stats!$F$19))))</f>
        <v/>
      </c>
      <c r="AV21" s="14">
        <f>IF(AU21="","",1)</f>
        <v/>
      </c>
      <c r="AW21" s="11">
        <f>IF(OR(City_Inputs!$AE21="",Norm_Stats!$F$20="",Norm_Stats!$G$20="",Norm_Stats!$G$20=Norm_Stats!$F$20),"",MAX(0,MIN(100,100*(MIN(MAX(City_Inputs!$AE21,Norm_Stats!$F$20),Norm_Stats!$G$20)-Norm_Stats!$F$20)/(Norm_Stats!$G$20-Norm_Stats!$F$20))))</f>
        <v/>
      </c>
      <c r="AX21" s="14">
        <f>IF(AW21="","",1)</f>
        <v/>
      </c>
      <c r="AY21" s="11">
        <f>IF((IF((IF(OR(City_Inputs!$AF21="",Norm_Stats!$F$21="",Norm_Stats!$G$21="",Norm_Stats!$G$21=Norm_Stats!$F$21),"",MAX(0,MIN(100,100*(MIN(MAX(City_Inputs!$AF21,Norm_Stats!$F$21),Norm_Stats!$G$21)-Norm_Stats!$F$21)/(Norm_Stats!$G$21-Norm_Stats!$F$21)))))="",0,0.5)+IF((IF(OR(City_Inputs!$AI21="",Norm_Stats!$F$22="",Norm_Stats!$G$22="",Norm_Stats!$G$22=Norm_Stats!$F$22),"",MAX(0,MIN(100,100*(MIN(MAX(City_Inputs!$AI21,Norm_Stats!$F$22),Norm_Stats!$G$22)-Norm_Stats!$F$22)/(Norm_Stats!$G$22-Norm_Stats!$F$22)))))="",0,0.3)+IF((IF(OR(City_Inputs!$AJ21="",Norm_Stats!$F$23="",Norm_Stats!$G$23="",Norm_Stats!$G$23=Norm_Stats!$F$23),"",MAX(0,MIN(100,100*(MIN(MAX(City_Inputs!$AJ21,Norm_Stats!$F$23),Norm_Stats!$G$23)-Norm_Stats!$F$23)/(Norm_Stats!$G$23-Norm_Stats!$F$23)))))="",0,0.2))=0,"",(IF((IF(OR(City_Inputs!$AF21="",Norm_Stats!$F$21="",Norm_Stats!$G$21="",Norm_Stats!$G$21=Norm_Stats!$F$21),"",MAX(0,MIN(100,100*(MIN(MAX(City_Inputs!$AF21,Norm_Stats!$F$21),Norm_Stats!$G$21)-Norm_Stats!$F$21)/(Norm_Stats!$G$21-Norm_Stats!$F$21)))))="",0,(IF(OR(City_Inputs!$AF21="",Norm_Stats!$F$21="",Norm_Stats!$G$21="",Norm_Stats!$G$21=Norm_Stats!$F$21),"",MAX(0,MIN(100,100*(MIN(MAX(City_Inputs!$AF21,Norm_Stats!$F$21),Norm_Stats!$G$21)-Norm_Stats!$F$21)/(Norm_Stats!$G$21-Norm_Stats!$F$21)))))*0.5)+IF((IF(OR(City_Inputs!$AI21="",Norm_Stats!$F$22="",Norm_Stats!$G$22="",Norm_Stats!$G$22=Norm_Stats!$F$22),"",MAX(0,MIN(100,100*(MIN(MAX(City_Inputs!$AI21,Norm_Stats!$F$22),Norm_Stats!$G$22)-Norm_Stats!$F$22)/(Norm_Stats!$G$22-Norm_Stats!$F$22)))))="",0,(IF(OR(City_Inputs!$AI21="",Norm_Stats!$F$22="",Norm_Stats!$G$22="",Norm_Stats!$G$22=Norm_Stats!$F$22),"",MAX(0,MIN(100,100*(MIN(MAX(City_Inputs!$AI21,Norm_Stats!$F$22),Norm_Stats!$G$22)-Norm_Stats!$F$22)/(Norm_Stats!$G$22-Norm_Stats!$F$22)))))*0.3)+IF((IF(OR(City_Inputs!$AJ21="",Norm_Stats!$F$23="",Norm_Stats!$G$23="",Norm_Stats!$G$23=Norm_Stats!$F$23),"",MAX(0,MIN(100,100*(MIN(MAX(City_Inputs!$AJ21,Norm_Stats!$F$23),Norm_Stats!$G$23)-Norm_Stats!$F$23)/(Norm_Stats!$G$23-Norm_Stats!$F$23)))))="",0,(IF(OR(City_Inputs!$AJ21="",Norm_Stats!$F$23="",Norm_Stats!$G$23="",Norm_Stats!$G$23=Norm_Stats!$F$23),"",MAX(0,MIN(100,100*(MIN(MAX(City_Inputs!$AJ21,Norm_Stats!$F$23),Norm_Stats!$G$23)-Norm_Stats!$F$23)/(Norm_Stats!$G$23-Norm_Stats!$F$23)))))*0.2))/(IF((IF(OR(City_Inputs!$AF21="",Norm_Stats!$F$21="",Norm_Stats!$G$21="",Norm_Stats!$G$21=Norm_Stats!$F$21),"",MAX(0,MIN(100,100*(MIN(MAX(City_Inputs!$AF21,Norm_Stats!$F$21),Norm_Stats!$G$21)-Norm_Stats!$F$21)/(Norm_Stats!$G$21-Norm_Stats!$F$21)))))="",0,0.5)+IF((IF(OR(City_Inputs!$AI21="",Norm_Stats!$F$22="",Norm_Stats!$G$22="",Norm_Stats!$G$22=Norm_Stats!$F$22),"",MAX(0,MIN(100,100*(MIN(MAX(City_Inputs!$AI21,Norm_Stats!$F$22),Norm_Stats!$G$22)-Norm_Stats!$F$22)/(Norm_Stats!$G$22-Norm_Stats!$F$22)))))="",0,0.3)+IF((IF(OR(City_Inputs!$AJ21="",Norm_Stats!$F$23="",Norm_Stats!$G$23="",Norm_Stats!$G$23=Norm_Stats!$F$23),"",MAX(0,MIN(100,100*(MIN(MAX(City_Inputs!$AJ21,Norm_Stats!$F$23),Norm_Stats!$G$23)-Norm_Stats!$F$23)/(Norm_Stats!$G$23-Norm_Stats!$F$23)))))="",0,0.2)))</f>
        <v/>
      </c>
      <c r="AZ21" s="14">
        <f>IF((IF((IF(OR(City_Inputs!$AF21="",Norm_Stats!$F$21="",Norm_Stats!$G$21="",Norm_Stats!$G$21=Norm_Stats!$F$21),"",MAX(0,MIN(100,100*(MIN(MAX(City_Inputs!$AF21,Norm_Stats!$F$21),Norm_Stats!$G$21)-Norm_Stats!$F$21)/(Norm_Stats!$G$21-Norm_Stats!$F$21)))))="",0,0.5)+IF((IF(OR(City_Inputs!$AI21="",Norm_Stats!$F$22="",Norm_Stats!$G$22="",Norm_Stats!$G$22=Norm_Stats!$F$22),"",MAX(0,MIN(100,100*(MIN(MAX(City_Inputs!$AI21,Norm_Stats!$F$22),Norm_Stats!$G$22)-Norm_Stats!$F$22)/(Norm_Stats!$G$22-Norm_Stats!$F$22)))))="",0,0.3)+IF((IF(OR(City_Inputs!$AJ21="",Norm_Stats!$F$23="",Norm_Stats!$G$23="",Norm_Stats!$G$23=Norm_Stats!$F$23),"",MAX(0,MIN(100,100*(MIN(MAX(City_Inputs!$AJ21,Norm_Stats!$F$23),Norm_Stats!$G$23)-Norm_Stats!$F$23)/(Norm_Stats!$G$23-Norm_Stats!$F$23)))))="",0,0.2))=0,"",(IF((IF(OR(City_Inputs!$AF21="",Norm_Stats!$F$21="",Norm_Stats!$G$21="",Norm_Stats!$G$21=Norm_Stats!$F$21),"",MAX(0,MIN(100,100*(MIN(MAX(City_Inputs!$AF21,Norm_Stats!$F$21),Norm_Stats!$G$21)-Norm_Stats!$F$21)/(Norm_Stats!$G$21-Norm_Stats!$F$21)))))="",0,0.5)+IF((IF(OR(City_Inputs!$AI21="",Norm_Stats!$F$22="",Norm_Stats!$G$22="",Norm_Stats!$G$22=Norm_Stats!$F$22),"",MAX(0,MIN(100,100*(MIN(MAX(City_Inputs!$AI21,Norm_Stats!$F$22),Norm_Stats!$G$22)-Norm_Stats!$F$22)/(Norm_Stats!$G$22-Norm_Stats!$F$22)))))="",0,0.3)+IF((IF(OR(City_Inputs!$AJ21="",Norm_Stats!$F$23="",Norm_Stats!$G$23="",Norm_Stats!$G$23=Norm_Stats!$F$23),"",MAX(0,MIN(100,100*(MIN(MAX(City_Inputs!$AJ21,Norm_Stats!$F$23),Norm_Stats!$G$23)-Norm_Stats!$F$23)/(Norm_Stats!$G$23-Norm_Stats!$F$23)))))="",0,0.2)))</f>
        <v/>
      </c>
      <c r="BA21" s="11">
        <f>IF(OR(City_Inputs!$AG21="",Norm_Stats!$F$24="",Norm_Stats!$G$24="",Norm_Stats!$G$24=Norm_Stats!$F$24),"",MAX(0,MIN(100,100*(Norm_Stats!$G$24-MIN(MAX(City_Inputs!$AG21,Norm_Stats!$F$24),Norm_Stats!$G$24))/(Norm_Stats!$G$24-Norm_Stats!$F$24))))</f>
        <v/>
      </c>
      <c r="BB21" s="14">
        <f>IF(BA21="","",1)</f>
        <v/>
      </c>
      <c r="BC21" s="15">
        <f>IF((IF(AU21="",0,6)+IF(AW21="",0,5)+IF(AY21="",0,5)+IF(BA21="",0,4))=0,"",(IF(AU21="",0,AU21*6)+IF(AW21="",0,AW21*5)+IF(AY21="",0,AY21*5)+IF(BA21="",0,BA21*4))/(IF(AU21="",0,6)+IF(AW21="",0,5)+IF(AY21="",0,5)+IF(BA21="",0,4)))</f>
        <v/>
      </c>
      <c r="BD21" s="14">
        <f>IF((IF(AV21="",0,6)+IF(AX21="",0,5)+IF(AZ21="",0,5)+IF(BB21="",0,4))=0,"",(IF(AV21="",0,AV21*6)+IF(AX21="",0,AX21*5)+IF(AZ21="",0,AZ21*5)+IF(BB21="",0,BB21*4))/20)</f>
        <v/>
      </c>
      <c r="BE21" s="14">
        <f>IF(AND(R21="",AD21="",AL21="",AT21="",BD21=""),"",((R21*25)+(AD21*22)+(AL21*18)+(AT21*15)+(BD21*20))/100)</f>
        <v/>
      </c>
      <c r="BF21" s="11">
        <f>IF(BE21="","",IF(BE21&gt;=0.75,"A",IF(BE21&gt;=0.5,"B",IF(BE21&gt;=0.35,"C","Watchlist"))))</f>
        <v/>
      </c>
      <c r="BG21" s="11">
        <f>IF(OR(BE21="",BE21&lt;0.5,R21="",R21&lt;0.35,AD21="",AD21&lt;0.35,AL21="",AL21&lt;0.35,AT21="",AT21&lt;0.35,BD21="",BD21&lt;0.35),"Watchlist","Ranked")</f>
        <v/>
      </c>
      <c r="BH21" s="15">
        <f>IF(AND(Q21="",AC21="",AK21="",AS21="",BC21=""),"",(IF(Q21="",0,Q21*25)+IF(AC21="",0,AC21*22)+IF(AK21="",0,AK21*18)+IF(AS21="",0,AS21*15)+IF(BC21="",0,BC21*20))/(IF(Q21="",0,25)+IF(AC21="",0,22)+IF(AK21="",0,18)+IF(AS21="",0,15)+IF(BC21="",0,20)))</f>
        <v/>
      </c>
      <c r="BI21" s="11">
        <f>IF(BG21="Ranked",1+COUNTIFS($BG$2:$BG$103,"Ranked",$BH$2:$BH$103,"&gt;"&amp;BH21),"")</f>
        <v/>
      </c>
      <c r="BJ21" s="11">
        <f>City_Inputs!$AH21</f>
        <v/>
      </c>
    </row>
    <row r="22">
      <c r="A22" t="inlineStr">
        <is>
          <t>in-bengaluru</t>
        </is>
      </c>
      <c r="B22" t="inlineStr">
        <is>
          <t>Bengaluru</t>
        </is>
      </c>
      <c r="C22" t="inlineStr">
        <is>
          <t>India</t>
        </is>
      </c>
      <c r="D22" t="inlineStr">
        <is>
          <t>South Asia</t>
        </is>
      </c>
      <c r="E22" t="inlineStr">
        <is>
          <t>locked</t>
        </is>
      </c>
      <c r="F22" t="inlineStr">
        <is>
          <t>primary</t>
        </is>
      </c>
      <c r="G22" s="11">
        <f>IF(OR(City_Inputs!$M22="",Norm_Stats!$F$2="",Norm_Stats!$G$2="",Norm_Stats!$G$2=Norm_Stats!$F$2),"",MAX(0,MIN(100,100*(MIN(MAX(City_Inputs!$M22,Norm_Stats!$F$2),Norm_Stats!$G$2)-Norm_Stats!$F$2)/(Norm_Stats!$G$2-Norm_Stats!$F$2))))</f>
        <v/>
      </c>
      <c r="H22" s="14">
        <f>IF(G22="","",1)</f>
        <v/>
      </c>
      <c r="I22" s="11">
        <f>IF(OR(City_Inputs!$N22="",Norm_Stats!$F$3="",Norm_Stats!$G$3="",Norm_Stats!$G$3=Norm_Stats!$F$3),"",MAX(0,MIN(100,100*(Norm_Stats!$G$3-MIN(MAX(City_Inputs!$N22,Norm_Stats!$F$3),Norm_Stats!$G$3))/(Norm_Stats!$G$3-Norm_Stats!$F$3))))</f>
        <v/>
      </c>
      <c r="J22" s="14">
        <f>IF(I22="","",1)</f>
        <v/>
      </c>
      <c r="K22" s="11">
        <f>IF(OR(City_Inputs!$P22="",Norm_Stats!$F$4="",Norm_Stats!$G$4="",Norm_Stats!$G$4=Norm_Stats!$F$4),"",MAX(0,MIN(100,100*(Norm_Stats!$G$4-MIN(MAX(City_Inputs!$P22,Norm_Stats!$F$4),Norm_Stats!$G$4))/(Norm_Stats!$G$4-Norm_Stats!$F$4))))</f>
        <v/>
      </c>
      <c r="L22" s="14">
        <f>IF(K22="","",1)</f>
        <v/>
      </c>
      <c r="M22" s="11">
        <f>IF(OR(City_Inputs!$Q22="",Norm_Stats!$F$5="",Norm_Stats!$G$5="",Norm_Stats!$G$5=Norm_Stats!$F$5),"",MAX(0,MIN(100,100*(Norm_Stats!$G$5-MIN(MAX(City_Inputs!$Q22,Norm_Stats!$F$5),Norm_Stats!$G$5))/(Norm_Stats!$G$5-Norm_Stats!$F$5))))</f>
        <v/>
      </c>
      <c r="N22" s="14">
        <f>IF(M22="","",1)</f>
        <v/>
      </c>
      <c r="O22" s="11">
        <f>IF(OR(City_Inputs!$R22="",Norm_Stats!$F$6="",Norm_Stats!$G$6="",Norm_Stats!$G$6=Norm_Stats!$F$6),"",MAX(0,MIN(100,100*(Norm_Stats!$G$6-MIN(MAX(City_Inputs!$R22,Norm_Stats!$F$6),Norm_Stats!$G$6))/(Norm_Stats!$G$6-Norm_Stats!$F$6))))</f>
        <v/>
      </c>
      <c r="P22" s="14">
        <f>IF(O22="","",1)</f>
        <v/>
      </c>
      <c r="Q22" s="15">
        <f>IF((IF(G22="",0,9)+IF(I22="",0,5)+IF(K22="",0,4)+IF(M22="",0,4)+IF(O22="",0,3))=0,"",(IF(G22="",0,G22*9)+IF(I22="",0,I22*5)+IF(K22="",0,K22*4)+IF(M22="",0,M22*4)+IF(O22="",0,O22*3))/(IF(G22="",0,9)+IF(I22="",0,5)+IF(K22="",0,4)+IF(M22="",0,4)+IF(O22="",0,3)))</f>
        <v/>
      </c>
      <c r="R22" s="14">
        <f>IF((IF(H22="",0,9)+IF(J22="",0,5)+IF(L22="",0,4)+IF(N22="",0,4)+IF(P22="",0,3))=0,"",(IF(H22="",0,H22*9)+IF(J22="",0,J22*5)+IF(L22="",0,L22*4)+IF(N22="",0,N22*4)+IF(P22="",0,P22*3))/25)</f>
        <v/>
      </c>
      <c r="S22" s="11">
        <f>IF(OR(City_Inputs!$S22="",Norm_Stats!$F$7="",Norm_Stats!$G$7="",Norm_Stats!$G$7=Norm_Stats!$F$7),"",MAX(0,MIN(100,100*(Norm_Stats!$G$7-MIN(MAX(City_Inputs!$S22,Norm_Stats!$F$7),Norm_Stats!$G$7))/(Norm_Stats!$G$7-Norm_Stats!$F$7))))</f>
        <v/>
      </c>
      <c r="T22" s="14">
        <f>IF(S22="","",1)</f>
        <v/>
      </c>
      <c r="U22" s="11">
        <f>IF(OR(City_Inputs!$T22="",Norm_Stats!$F$8="",Norm_Stats!$G$8="",Norm_Stats!$G$8=Norm_Stats!$F$8),"",MAX(0,MIN(100,100*(MIN(MAX(City_Inputs!$T22,Norm_Stats!$F$8),Norm_Stats!$G$8)-Norm_Stats!$F$8)/(Norm_Stats!$G$8-Norm_Stats!$F$8))))</f>
        <v/>
      </c>
      <c r="V22" s="14">
        <f>IF(U22="","",1)</f>
        <v/>
      </c>
      <c r="W22" s="11">
        <f>IF(OR(City_Inputs!$U22="",Norm_Stats!$F$9="",Norm_Stats!$G$9="",Norm_Stats!$G$9=Norm_Stats!$F$9),"",MAX(0,MIN(100,100*(Norm_Stats!$G$9-MIN(MAX(City_Inputs!$U22,Norm_Stats!$F$9),Norm_Stats!$G$9))/(Norm_Stats!$G$9-Norm_Stats!$F$9))))</f>
        <v/>
      </c>
      <c r="X22" s="14">
        <f>IF(W22="","",1)</f>
        <v/>
      </c>
      <c r="Y22" s="11">
        <f>IF(OR(City_Inputs!$V22="",Norm_Stats!$F$10="",Norm_Stats!$G$10="",Norm_Stats!$G$10=Norm_Stats!$F$10),"",MAX(0,MIN(100,100*(MIN(MAX(City_Inputs!$V22,Norm_Stats!$F$10),Norm_Stats!$G$10)-Norm_Stats!$F$10)/(Norm_Stats!$G$10-Norm_Stats!$F$10))))</f>
        <v/>
      </c>
      <c r="Z22" s="14">
        <f>IF(Y22="","",1)</f>
        <v/>
      </c>
      <c r="AA22" s="11">
        <f>IF(OR(City_Inputs!$W22="",Norm_Stats!$F$11="",Norm_Stats!$G$11="",Norm_Stats!$G$11=Norm_Stats!$F$11),"",MAX(0,MIN(100,100*(MIN(MAX(City_Inputs!$W22,Norm_Stats!$F$11),Norm_Stats!$G$11)-Norm_Stats!$F$11)/(Norm_Stats!$G$11-Norm_Stats!$F$11))))</f>
        <v/>
      </c>
      <c r="AB22" s="14">
        <f>IF(AA22="","",1)</f>
        <v/>
      </c>
      <c r="AC22" s="15">
        <f>IF((IF(S22="",0,5)+IF(U22="",0,5)+IF(W22="",0,4)+IF(Y22="",0,4)+IF(AA22="",0,4))=0,"",(IF(S22="",0,S22*5)+IF(U22="",0,U22*5)+IF(W22="",0,W22*4)+IF(Y22="",0,Y22*4)+IF(AA22="",0,AA22*4))/(IF(S22="",0,5)+IF(U22="",0,5)+IF(W22="",0,4)+IF(Y22="",0,4)+IF(AA22="",0,4)))</f>
        <v/>
      </c>
      <c r="AD22" s="14">
        <f>IF((IF(T22="",0,5)+IF(V22="",0,5)+IF(X22="",0,4)+IF(Z22="",0,4)+IF(AB22="",0,4))=0,"",(IF(T22="",0,T22*5)+IF(V22="",0,V22*5)+IF(X22="",0,X22*4)+IF(Z22="",0,Z22*4)+IF(AB22="",0,AB22*4))/22)</f>
        <v/>
      </c>
      <c r="AE22" s="11">
        <f>IF(OR(City_Inputs!$X22="",Norm_Stats!$F$12="",Norm_Stats!$G$12="",Norm_Stats!$G$12=Norm_Stats!$F$12),"",MAX(0,MIN(100,100*(MIN(MAX(City_Inputs!$X22,Norm_Stats!$F$12),Norm_Stats!$G$12)-Norm_Stats!$F$12)/(Norm_Stats!$G$12-Norm_Stats!$F$12))))</f>
        <v/>
      </c>
      <c r="AF22" s="14">
        <f>IF(AE22="","",1)</f>
        <v/>
      </c>
      <c r="AG22" s="11">
        <f>IF(OR(City_Inputs!$Y22="",Norm_Stats!$F$13="",Norm_Stats!$G$13="",Norm_Stats!$G$13=Norm_Stats!$F$13),"",MAX(0,MIN(100,100*(MIN(MAX(City_Inputs!$Y22,Norm_Stats!$F$13),Norm_Stats!$G$13)-Norm_Stats!$F$13)/(Norm_Stats!$G$13-Norm_Stats!$F$13))))</f>
        <v/>
      </c>
      <c r="AH22" s="14">
        <f>IF(AG22="","",1)</f>
        <v/>
      </c>
      <c r="AI22" s="11">
        <f>IF((IF((IF(OR(City_Inputs!$Z22="",Norm_Stats!$F$14="",Norm_Stats!$G$14="",Norm_Stats!$G$14=Norm_Stats!$F$14),"",MAX(0,MIN(100,100*(MIN(MAX(City_Inputs!$Z22,Norm_Stats!$F$14),Norm_Stats!$G$14)-Norm_Stats!$F$14)/(Norm_Stats!$G$14-Norm_Stats!$F$14)))))="",0,0.7)+IF((IF(OR(City_Inputs!$AK22="",Norm_Stats!$F$15="",Norm_Stats!$G$15="",Norm_Stats!$G$15=Norm_Stats!$F$15),"",MAX(0,MIN(100,100*(Norm_Stats!$G$15-MIN(MAX(City_Inputs!$AK22,Norm_Stats!$F$15),Norm_Stats!$G$15))/(Norm_Stats!$G$15-Norm_Stats!$F$15)))))="",0,0.3))=0,"",(IF((IF(OR(City_Inputs!$Z22="",Norm_Stats!$F$14="",Norm_Stats!$G$14="",Norm_Stats!$G$14=Norm_Stats!$F$14),"",MAX(0,MIN(100,100*(MIN(MAX(City_Inputs!$Z22,Norm_Stats!$F$14),Norm_Stats!$G$14)-Norm_Stats!$F$14)/(Norm_Stats!$G$14-Norm_Stats!$F$14)))))="",0,(IF(OR(City_Inputs!$Z22="",Norm_Stats!$F$14="",Norm_Stats!$G$14="",Norm_Stats!$G$14=Norm_Stats!$F$14),"",MAX(0,MIN(100,100*(MIN(MAX(City_Inputs!$Z22,Norm_Stats!$F$14),Norm_Stats!$G$14)-Norm_Stats!$F$14)/(Norm_Stats!$G$14-Norm_Stats!$F$14)))))*0.7)+IF((IF(OR(City_Inputs!$AK22="",Norm_Stats!$F$15="",Norm_Stats!$G$15="",Norm_Stats!$G$15=Norm_Stats!$F$15),"",MAX(0,MIN(100,100*(Norm_Stats!$G$15-MIN(MAX(City_Inputs!$AK22,Norm_Stats!$F$15),Norm_Stats!$G$15))/(Norm_Stats!$G$15-Norm_Stats!$F$15)))))="",0,(IF(OR(City_Inputs!$AK22="",Norm_Stats!$F$15="",Norm_Stats!$G$15="",Norm_Stats!$G$15=Norm_Stats!$F$15),"",MAX(0,MIN(100,100*(Norm_Stats!$G$15-MIN(MAX(City_Inputs!$AK22,Norm_Stats!$F$15),Norm_Stats!$G$15))/(Norm_Stats!$G$15-Norm_Stats!$F$15)))))*0.3))/(IF((IF(OR(City_Inputs!$Z22="",Norm_Stats!$F$14="",Norm_Stats!$G$14="",Norm_Stats!$G$14=Norm_Stats!$F$14),"",MAX(0,MIN(100,100*(MIN(MAX(City_Inputs!$Z22,Norm_Stats!$F$14),Norm_Stats!$G$14)-Norm_Stats!$F$14)/(Norm_Stats!$G$14-Norm_Stats!$F$14)))))="",0,0.7)+IF((IF(OR(City_Inputs!$AK22="",Norm_Stats!$F$15="",Norm_Stats!$G$15="",Norm_Stats!$G$15=Norm_Stats!$F$15),"",MAX(0,MIN(100,100*(Norm_Stats!$G$15-MIN(MAX(City_Inputs!$AK22,Norm_Stats!$F$15),Norm_Stats!$G$15))/(Norm_Stats!$G$15-Norm_Stats!$F$15)))))="",0,0.3)))</f>
        <v/>
      </c>
      <c r="AJ22" s="14">
        <f>IF((IF((IF(OR(City_Inputs!$Z22="",Norm_Stats!$F$14="",Norm_Stats!$G$14="",Norm_Stats!$G$14=Norm_Stats!$F$14),"",MAX(0,MIN(100,100*(MIN(MAX(City_Inputs!$Z22,Norm_Stats!$F$14),Norm_Stats!$G$14)-Norm_Stats!$F$14)/(Norm_Stats!$G$14-Norm_Stats!$F$14)))))="",0,0.7)+IF((IF(OR(City_Inputs!$AK22="",Norm_Stats!$F$15="",Norm_Stats!$G$15="",Norm_Stats!$G$15=Norm_Stats!$F$15),"",MAX(0,MIN(100,100*(Norm_Stats!$G$15-MIN(MAX(City_Inputs!$AK22,Norm_Stats!$F$15),Norm_Stats!$G$15))/(Norm_Stats!$G$15-Norm_Stats!$F$15)))))="",0,0.3))=0,"",(IF((IF(OR(City_Inputs!$Z22="",Norm_Stats!$F$14="",Norm_Stats!$G$14="",Norm_Stats!$G$14=Norm_Stats!$F$14),"",MAX(0,MIN(100,100*(MIN(MAX(City_Inputs!$Z22,Norm_Stats!$F$14),Norm_Stats!$G$14)-Norm_Stats!$F$14)/(Norm_Stats!$G$14-Norm_Stats!$F$14)))))="",0,0.7)+IF((IF(OR(City_Inputs!$AK22="",Norm_Stats!$F$15="",Norm_Stats!$G$15="",Norm_Stats!$G$15=Norm_Stats!$F$15),"",MAX(0,MIN(100,100*(Norm_Stats!$G$15-MIN(MAX(City_Inputs!$AK22,Norm_Stats!$F$15),Norm_Stats!$G$15))/(Norm_Stats!$G$15-Norm_Stats!$F$15)))))="",0,0.3)))</f>
        <v/>
      </c>
      <c r="AK22" s="15">
        <f>IF((IF(AE22="",0,8)+IF(AG22="",0,6)+IF(AI22="",0,4))=0,"",(IF(AE22="",0,AE22*8)+IF(AG22="",0,AG22*6)+IF(AI22="",0,AI22*4))/(IF(AE22="",0,8)+IF(AG22="",0,6)+IF(AI22="",0,4)))</f>
        <v/>
      </c>
      <c r="AL22" s="14">
        <f>IF((IF(AF22="",0,8)+IF(AH22="",0,6)+IF(AJ22="",0,4))=0,"",(IF(AF22="",0,AF22*8)+IF(AH22="",0,AH22*6)+IF(AJ22="",0,AJ22*4))/18)</f>
        <v/>
      </c>
      <c r="AM22" s="11">
        <f>IF(OR(City_Inputs!$AA22="",Norm_Stats!$F$16="",Norm_Stats!$G$16="",Norm_Stats!$G$16=Norm_Stats!$F$16),"",MAX(0,MIN(100,100*(MIN(MAX(City_Inputs!$AA22,Norm_Stats!$F$16),Norm_Stats!$G$16)-Norm_Stats!$F$16)/(Norm_Stats!$G$16-Norm_Stats!$F$16))))</f>
        <v/>
      </c>
      <c r="AN22" s="14">
        <f>IF(AM22="","",1)</f>
        <v/>
      </c>
      <c r="AO22" s="11">
        <f>IF(OR(City_Inputs!$AB22="",Norm_Stats!$F$17="",Norm_Stats!$G$17="",Norm_Stats!$G$17=Norm_Stats!$F$17),"",MAX(0,MIN(100,100*(MIN(MAX(City_Inputs!$AB22,Norm_Stats!$F$17),Norm_Stats!$G$17)-Norm_Stats!$F$17)/(Norm_Stats!$G$17-Norm_Stats!$F$17))))</f>
        <v/>
      </c>
      <c r="AP22" s="14">
        <f>IF(AO22="","",1)</f>
        <v/>
      </c>
      <c r="AQ22" s="11">
        <f>IF(OR(City_Inputs!$AC22="",Norm_Stats!$F$18="",Norm_Stats!$G$18="",Norm_Stats!$G$18=Norm_Stats!$F$18),"",MAX(0,MIN(100,100*(MIN(MAX(City_Inputs!$AC22,Norm_Stats!$F$18),Norm_Stats!$G$18)-Norm_Stats!$F$18)/(Norm_Stats!$G$18-Norm_Stats!$F$18))))</f>
        <v/>
      </c>
      <c r="AR22" s="14">
        <f>IF(AQ22="","",1)</f>
        <v/>
      </c>
      <c r="AS22" s="15">
        <f>IF((IF(AM22="",0,5)+IF(AO22="",0,5)+IF(AQ22="",0,5))=0,"",(IF(AM22="",0,AM22*5)+IF(AO22="",0,AO22*5)+IF(AQ22="",0,AQ22*5))/(IF(AM22="",0,5)+IF(AO22="",0,5)+IF(AQ22="",0,5)))</f>
        <v/>
      </c>
      <c r="AT22" s="14">
        <f>IF((IF(AN22="",0,5)+IF(AP22="",0,5)+IF(AR22="",0,5))=0,"",(IF(AN22="",0,AN22*5)+IF(AP22="",0,AP22*5)+IF(AR22="",0,AR22*5))/15)</f>
        <v/>
      </c>
      <c r="AU22" s="11">
        <f>IF(OR(City_Inputs!$AD22="",Norm_Stats!$F$19="",Norm_Stats!$G$19="",Norm_Stats!$G$19=Norm_Stats!$F$19),"",MAX(0,MIN(100,100*(MIN(MAX(City_Inputs!$AD22,Norm_Stats!$F$19),Norm_Stats!$G$19)-Norm_Stats!$F$19)/(Norm_Stats!$G$19-Norm_Stats!$F$19))))</f>
        <v/>
      </c>
      <c r="AV22" s="14">
        <f>IF(AU22="","",1)</f>
        <v/>
      </c>
      <c r="AW22" s="11">
        <f>IF(OR(City_Inputs!$AE22="",Norm_Stats!$F$20="",Norm_Stats!$G$20="",Norm_Stats!$G$20=Norm_Stats!$F$20),"",MAX(0,MIN(100,100*(MIN(MAX(City_Inputs!$AE22,Norm_Stats!$F$20),Norm_Stats!$G$20)-Norm_Stats!$F$20)/(Norm_Stats!$G$20-Norm_Stats!$F$20))))</f>
        <v/>
      </c>
      <c r="AX22" s="14">
        <f>IF(AW22="","",1)</f>
        <v/>
      </c>
      <c r="AY22" s="11">
        <f>IF((IF((IF(OR(City_Inputs!$AF22="",Norm_Stats!$F$21="",Norm_Stats!$G$21="",Norm_Stats!$G$21=Norm_Stats!$F$21),"",MAX(0,MIN(100,100*(MIN(MAX(City_Inputs!$AF22,Norm_Stats!$F$21),Norm_Stats!$G$21)-Norm_Stats!$F$21)/(Norm_Stats!$G$21-Norm_Stats!$F$21)))))="",0,0.5)+IF((IF(OR(City_Inputs!$AI22="",Norm_Stats!$F$22="",Norm_Stats!$G$22="",Norm_Stats!$G$22=Norm_Stats!$F$22),"",MAX(0,MIN(100,100*(MIN(MAX(City_Inputs!$AI22,Norm_Stats!$F$22),Norm_Stats!$G$22)-Norm_Stats!$F$22)/(Norm_Stats!$G$22-Norm_Stats!$F$22)))))="",0,0.3)+IF((IF(OR(City_Inputs!$AJ22="",Norm_Stats!$F$23="",Norm_Stats!$G$23="",Norm_Stats!$G$23=Norm_Stats!$F$23),"",MAX(0,MIN(100,100*(MIN(MAX(City_Inputs!$AJ22,Norm_Stats!$F$23),Norm_Stats!$G$23)-Norm_Stats!$F$23)/(Norm_Stats!$G$23-Norm_Stats!$F$23)))))="",0,0.2))=0,"",(IF((IF(OR(City_Inputs!$AF22="",Norm_Stats!$F$21="",Norm_Stats!$G$21="",Norm_Stats!$G$21=Norm_Stats!$F$21),"",MAX(0,MIN(100,100*(MIN(MAX(City_Inputs!$AF22,Norm_Stats!$F$21),Norm_Stats!$G$21)-Norm_Stats!$F$21)/(Norm_Stats!$G$21-Norm_Stats!$F$21)))))="",0,(IF(OR(City_Inputs!$AF22="",Norm_Stats!$F$21="",Norm_Stats!$G$21="",Norm_Stats!$G$21=Norm_Stats!$F$21),"",MAX(0,MIN(100,100*(MIN(MAX(City_Inputs!$AF22,Norm_Stats!$F$21),Norm_Stats!$G$21)-Norm_Stats!$F$21)/(Norm_Stats!$G$21-Norm_Stats!$F$21)))))*0.5)+IF((IF(OR(City_Inputs!$AI22="",Norm_Stats!$F$22="",Norm_Stats!$G$22="",Norm_Stats!$G$22=Norm_Stats!$F$22),"",MAX(0,MIN(100,100*(MIN(MAX(City_Inputs!$AI22,Norm_Stats!$F$22),Norm_Stats!$G$22)-Norm_Stats!$F$22)/(Norm_Stats!$G$22-Norm_Stats!$F$22)))))="",0,(IF(OR(City_Inputs!$AI22="",Norm_Stats!$F$22="",Norm_Stats!$G$22="",Norm_Stats!$G$22=Norm_Stats!$F$22),"",MAX(0,MIN(100,100*(MIN(MAX(City_Inputs!$AI22,Norm_Stats!$F$22),Norm_Stats!$G$22)-Norm_Stats!$F$22)/(Norm_Stats!$G$22-Norm_Stats!$F$22)))))*0.3)+IF((IF(OR(City_Inputs!$AJ22="",Norm_Stats!$F$23="",Norm_Stats!$G$23="",Norm_Stats!$G$23=Norm_Stats!$F$23),"",MAX(0,MIN(100,100*(MIN(MAX(City_Inputs!$AJ22,Norm_Stats!$F$23),Norm_Stats!$G$23)-Norm_Stats!$F$23)/(Norm_Stats!$G$23-Norm_Stats!$F$23)))))="",0,(IF(OR(City_Inputs!$AJ22="",Norm_Stats!$F$23="",Norm_Stats!$G$23="",Norm_Stats!$G$23=Norm_Stats!$F$23),"",MAX(0,MIN(100,100*(MIN(MAX(City_Inputs!$AJ22,Norm_Stats!$F$23),Norm_Stats!$G$23)-Norm_Stats!$F$23)/(Norm_Stats!$G$23-Norm_Stats!$F$23)))))*0.2))/(IF((IF(OR(City_Inputs!$AF22="",Norm_Stats!$F$21="",Norm_Stats!$G$21="",Norm_Stats!$G$21=Norm_Stats!$F$21),"",MAX(0,MIN(100,100*(MIN(MAX(City_Inputs!$AF22,Norm_Stats!$F$21),Norm_Stats!$G$21)-Norm_Stats!$F$21)/(Norm_Stats!$G$21-Norm_Stats!$F$21)))))="",0,0.5)+IF((IF(OR(City_Inputs!$AI22="",Norm_Stats!$F$22="",Norm_Stats!$G$22="",Norm_Stats!$G$22=Norm_Stats!$F$22),"",MAX(0,MIN(100,100*(MIN(MAX(City_Inputs!$AI22,Norm_Stats!$F$22),Norm_Stats!$G$22)-Norm_Stats!$F$22)/(Norm_Stats!$G$22-Norm_Stats!$F$22)))))="",0,0.3)+IF((IF(OR(City_Inputs!$AJ22="",Norm_Stats!$F$23="",Norm_Stats!$G$23="",Norm_Stats!$G$23=Norm_Stats!$F$23),"",MAX(0,MIN(100,100*(MIN(MAX(City_Inputs!$AJ22,Norm_Stats!$F$23),Norm_Stats!$G$23)-Norm_Stats!$F$23)/(Norm_Stats!$G$23-Norm_Stats!$F$23)))))="",0,0.2)))</f>
        <v/>
      </c>
      <c r="AZ22" s="14">
        <f>IF((IF((IF(OR(City_Inputs!$AF22="",Norm_Stats!$F$21="",Norm_Stats!$G$21="",Norm_Stats!$G$21=Norm_Stats!$F$21),"",MAX(0,MIN(100,100*(MIN(MAX(City_Inputs!$AF22,Norm_Stats!$F$21),Norm_Stats!$G$21)-Norm_Stats!$F$21)/(Norm_Stats!$G$21-Norm_Stats!$F$21)))))="",0,0.5)+IF((IF(OR(City_Inputs!$AI22="",Norm_Stats!$F$22="",Norm_Stats!$G$22="",Norm_Stats!$G$22=Norm_Stats!$F$22),"",MAX(0,MIN(100,100*(MIN(MAX(City_Inputs!$AI22,Norm_Stats!$F$22),Norm_Stats!$G$22)-Norm_Stats!$F$22)/(Norm_Stats!$G$22-Norm_Stats!$F$22)))))="",0,0.3)+IF((IF(OR(City_Inputs!$AJ22="",Norm_Stats!$F$23="",Norm_Stats!$G$23="",Norm_Stats!$G$23=Norm_Stats!$F$23),"",MAX(0,MIN(100,100*(MIN(MAX(City_Inputs!$AJ22,Norm_Stats!$F$23),Norm_Stats!$G$23)-Norm_Stats!$F$23)/(Norm_Stats!$G$23-Norm_Stats!$F$23)))))="",0,0.2))=0,"",(IF((IF(OR(City_Inputs!$AF22="",Norm_Stats!$F$21="",Norm_Stats!$G$21="",Norm_Stats!$G$21=Norm_Stats!$F$21),"",MAX(0,MIN(100,100*(MIN(MAX(City_Inputs!$AF22,Norm_Stats!$F$21),Norm_Stats!$G$21)-Norm_Stats!$F$21)/(Norm_Stats!$G$21-Norm_Stats!$F$21)))))="",0,0.5)+IF((IF(OR(City_Inputs!$AI22="",Norm_Stats!$F$22="",Norm_Stats!$G$22="",Norm_Stats!$G$22=Norm_Stats!$F$22),"",MAX(0,MIN(100,100*(MIN(MAX(City_Inputs!$AI22,Norm_Stats!$F$22),Norm_Stats!$G$22)-Norm_Stats!$F$22)/(Norm_Stats!$G$22-Norm_Stats!$F$22)))))="",0,0.3)+IF((IF(OR(City_Inputs!$AJ22="",Norm_Stats!$F$23="",Norm_Stats!$G$23="",Norm_Stats!$G$23=Norm_Stats!$F$23),"",MAX(0,MIN(100,100*(MIN(MAX(City_Inputs!$AJ22,Norm_Stats!$F$23),Norm_Stats!$G$23)-Norm_Stats!$F$23)/(Norm_Stats!$G$23-Norm_Stats!$F$23)))))="",0,0.2)))</f>
        <v/>
      </c>
      <c r="BA22" s="11">
        <f>IF(OR(City_Inputs!$AG22="",Norm_Stats!$F$24="",Norm_Stats!$G$24="",Norm_Stats!$G$24=Norm_Stats!$F$24),"",MAX(0,MIN(100,100*(Norm_Stats!$G$24-MIN(MAX(City_Inputs!$AG22,Norm_Stats!$F$24),Norm_Stats!$G$24))/(Norm_Stats!$G$24-Norm_Stats!$F$24))))</f>
        <v/>
      </c>
      <c r="BB22" s="14">
        <f>IF(BA22="","",1)</f>
        <v/>
      </c>
      <c r="BC22" s="15">
        <f>IF((IF(AU22="",0,6)+IF(AW22="",0,5)+IF(AY22="",0,5)+IF(BA22="",0,4))=0,"",(IF(AU22="",0,AU22*6)+IF(AW22="",0,AW22*5)+IF(AY22="",0,AY22*5)+IF(BA22="",0,BA22*4))/(IF(AU22="",0,6)+IF(AW22="",0,5)+IF(AY22="",0,5)+IF(BA22="",0,4)))</f>
        <v/>
      </c>
      <c r="BD22" s="14">
        <f>IF((IF(AV22="",0,6)+IF(AX22="",0,5)+IF(AZ22="",0,5)+IF(BB22="",0,4))=0,"",(IF(AV22="",0,AV22*6)+IF(AX22="",0,AX22*5)+IF(AZ22="",0,AZ22*5)+IF(BB22="",0,BB22*4))/20)</f>
        <v/>
      </c>
      <c r="BE22" s="14">
        <f>IF(AND(R22="",AD22="",AL22="",AT22="",BD22=""),"",((R22*25)+(AD22*22)+(AL22*18)+(AT22*15)+(BD22*20))/100)</f>
        <v/>
      </c>
      <c r="BF22" s="11">
        <f>IF(BE22="","",IF(BE22&gt;=0.75,"A",IF(BE22&gt;=0.5,"B",IF(BE22&gt;=0.35,"C","Watchlist"))))</f>
        <v/>
      </c>
      <c r="BG22" s="11">
        <f>IF(OR(BE22="",BE22&lt;0.5,R22="",R22&lt;0.35,AD22="",AD22&lt;0.35,AL22="",AL22&lt;0.35,AT22="",AT22&lt;0.35,BD22="",BD22&lt;0.35),"Watchlist","Ranked")</f>
        <v/>
      </c>
      <c r="BH22" s="15">
        <f>IF(AND(Q22="",AC22="",AK22="",AS22="",BC22=""),"",(IF(Q22="",0,Q22*25)+IF(AC22="",0,AC22*22)+IF(AK22="",0,AK22*18)+IF(AS22="",0,AS22*15)+IF(BC22="",0,BC22*20))/(IF(Q22="",0,25)+IF(AC22="",0,22)+IF(AK22="",0,18)+IF(AS22="",0,15)+IF(BC22="",0,20)))</f>
        <v/>
      </c>
      <c r="BI22" s="11">
        <f>IF(BG22="Ranked",1+COUNTIFS($BG$2:$BG$103,"Ranked",$BH$2:$BH$103,"&gt;"&amp;BH22),"")</f>
        <v/>
      </c>
      <c r="BJ22" s="11">
        <f>City_Inputs!$AH22</f>
        <v/>
      </c>
    </row>
    <row r="23">
      <c r="A23" t="inlineStr">
        <is>
          <t>in-hyderabad</t>
        </is>
      </c>
      <c r="B23" t="inlineStr">
        <is>
          <t>Hyderabad</t>
        </is>
      </c>
      <c r="C23" t="inlineStr">
        <is>
          <t>India</t>
        </is>
      </c>
      <c r="D23" t="inlineStr">
        <is>
          <t>South Asia</t>
        </is>
      </c>
      <c r="E23" t="inlineStr">
        <is>
          <t>locked</t>
        </is>
      </c>
      <c r="F23" t="inlineStr">
        <is>
          <t>primary</t>
        </is>
      </c>
      <c r="G23" s="11">
        <f>IF(OR(City_Inputs!$M23="",Norm_Stats!$F$2="",Norm_Stats!$G$2="",Norm_Stats!$G$2=Norm_Stats!$F$2),"",MAX(0,MIN(100,100*(MIN(MAX(City_Inputs!$M23,Norm_Stats!$F$2),Norm_Stats!$G$2)-Norm_Stats!$F$2)/(Norm_Stats!$G$2-Norm_Stats!$F$2))))</f>
        <v/>
      </c>
      <c r="H23" s="14">
        <f>IF(G23="","",1)</f>
        <v/>
      </c>
      <c r="I23" s="11">
        <f>IF(OR(City_Inputs!$N23="",Norm_Stats!$F$3="",Norm_Stats!$G$3="",Norm_Stats!$G$3=Norm_Stats!$F$3),"",MAX(0,MIN(100,100*(Norm_Stats!$G$3-MIN(MAX(City_Inputs!$N23,Norm_Stats!$F$3),Norm_Stats!$G$3))/(Norm_Stats!$G$3-Norm_Stats!$F$3))))</f>
        <v/>
      </c>
      <c r="J23" s="14">
        <f>IF(I23="","",1)</f>
        <v/>
      </c>
      <c r="K23" s="11">
        <f>IF(OR(City_Inputs!$P23="",Norm_Stats!$F$4="",Norm_Stats!$G$4="",Norm_Stats!$G$4=Norm_Stats!$F$4),"",MAX(0,MIN(100,100*(Norm_Stats!$G$4-MIN(MAX(City_Inputs!$P23,Norm_Stats!$F$4),Norm_Stats!$G$4))/(Norm_Stats!$G$4-Norm_Stats!$F$4))))</f>
        <v/>
      </c>
      <c r="L23" s="14">
        <f>IF(K23="","",1)</f>
        <v/>
      </c>
      <c r="M23" s="11">
        <f>IF(OR(City_Inputs!$Q23="",Norm_Stats!$F$5="",Norm_Stats!$G$5="",Norm_Stats!$G$5=Norm_Stats!$F$5),"",MAX(0,MIN(100,100*(Norm_Stats!$G$5-MIN(MAX(City_Inputs!$Q23,Norm_Stats!$F$5),Norm_Stats!$G$5))/(Norm_Stats!$G$5-Norm_Stats!$F$5))))</f>
        <v/>
      </c>
      <c r="N23" s="14">
        <f>IF(M23="","",1)</f>
        <v/>
      </c>
      <c r="O23" s="11">
        <f>IF(OR(City_Inputs!$R23="",Norm_Stats!$F$6="",Norm_Stats!$G$6="",Norm_Stats!$G$6=Norm_Stats!$F$6),"",MAX(0,MIN(100,100*(Norm_Stats!$G$6-MIN(MAX(City_Inputs!$R23,Norm_Stats!$F$6),Norm_Stats!$G$6))/(Norm_Stats!$G$6-Norm_Stats!$F$6))))</f>
        <v/>
      </c>
      <c r="P23" s="14">
        <f>IF(O23="","",1)</f>
        <v/>
      </c>
      <c r="Q23" s="15">
        <f>IF((IF(G23="",0,9)+IF(I23="",0,5)+IF(K23="",0,4)+IF(M23="",0,4)+IF(O23="",0,3))=0,"",(IF(G23="",0,G23*9)+IF(I23="",0,I23*5)+IF(K23="",0,K23*4)+IF(M23="",0,M23*4)+IF(O23="",0,O23*3))/(IF(G23="",0,9)+IF(I23="",0,5)+IF(K23="",0,4)+IF(M23="",0,4)+IF(O23="",0,3)))</f>
        <v/>
      </c>
      <c r="R23" s="14">
        <f>IF((IF(H23="",0,9)+IF(J23="",0,5)+IF(L23="",0,4)+IF(N23="",0,4)+IF(P23="",0,3))=0,"",(IF(H23="",0,H23*9)+IF(J23="",0,J23*5)+IF(L23="",0,L23*4)+IF(N23="",0,N23*4)+IF(P23="",0,P23*3))/25)</f>
        <v/>
      </c>
      <c r="S23" s="11">
        <f>IF(OR(City_Inputs!$S23="",Norm_Stats!$F$7="",Norm_Stats!$G$7="",Norm_Stats!$G$7=Norm_Stats!$F$7),"",MAX(0,MIN(100,100*(Norm_Stats!$G$7-MIN(MAX(City_Inputs!$S23,Norm_Stats!$F$7),Norm_Stats!$G$7))/(Norm_Stats!$G$7-Norm_Stats!$F$7))))</f>
        <v/>
      </c>
      <c r="T23" s="14">
        <f>IF(S23="","",1)</f>
        <v/>
      </c>
      <c r="U23" s="11">
        <f>IF(OR(City_Inputs!$T23="",Norm_Stats!$F$8="",Norm_Stats!$G$8="",Norm_Stats!$G$8=Norm_Stats!$F$8),"",MAX(0,MIN(100,100*(MIN(MAX(City_Inputs!$T23,Norm_Stats!$F$8),Norm_Stats!$G$8)-Norm_Stats!$F$8)/(Norm_Stats!$G$8-Norm_Stats!$F$8))))</f>
        <v/>
      </c>
      <c r="V23" s="14">
        <f>IF(U23="","",1)</f>
        <v/>
      </c>
      <c r="W23" s="11">
        <f>IF(OR(City_Inputs!$U23="",Norm_Stats!$F$9="",Norm_Stats!$G$9="",Norm_Stats!$G$9=Norm_Stats!$F$9),"",MAX(0,MIN(100,100*(Norm_Stats!$G$9-MIN(MAX(City_Inputs!$U23,Norm_Stats!$F$9),Norm_Stats!$G$9))/(Norm_Stats!$G$9-Norm_Stats!$F$9))))</f>
        <v/>
      </c>
      <c r="X23" s="14">
        <f>IF(W23="","",1)</f>
        <v/>
      </c>
      <c r="Y23" s="11">
        <f>IF(OR(City_Inputs!$V23="",Norm_Stats!$F$10="",Norm_Stats!$G$10="",Norm_Stats!$G$10=Norm_Stats!$F$10),"",MAX(0,MIN(100,100*(MIN(MAX(City_Inputs!$V23,Norm_Stats!$F$10),Norm_Stats!$G$10)-Norm_Stats!$F$10)/(Norm_Stats!$G$10-Norm_Stats!$F$10))))</f>
        <v/>
      </c>
      <c r="Z23" s="14">
        <f>IF(Y23="","",1)</f>
        <v/>
      </c>
      <c r="AA23" s="11">
        <f>IF(OR(City_Inputs!$W23="",Norm_Stats!$F$11="",Norm_Stats!$G$11="",Norm_Stats!$G$11=Norm_Stats!$F$11),"",MAX(0,MIN(100,100*(MIN(MAX(City_Inputs!$W23,Norm_Stats!$F$11),Norm_Stats!$G$11)-Norm_Stats!$F$11)/(Norm_Stats!$G$11-Norm_Stats!$F$11))))</f>
        <v/>
      </c>
      <c r="AB23" s="14">
        <f>IF(AA23="","",1)</f>
        <v/>
      </c>
      <c r="AC23" s="15">
        <f>IF((IF(S23="",0,5)+IF(U23="",0,5)+IF(W23="",0,4)+IF(Y23="",0,4)+IF(AA23="",0,4))=0,"",(IF(S23="",0,S23*5)+IF(U23="",0,U23*5)+IF(W23="",0,W23*4)+IF(Y23="",0,Y23*4)+IF(AA23="",0,AA23*4))/(IF(S23="",0,5)+IF(U23="",0,5)+IF(W23="",0,4)+IF(Y23="",0,4)+IF(AA23="",0,4)))</f>
        <v/>
      </c>
      <c r="AD23" s="14">
        <f>IF((IF(T23="",0,5)+IF(V23="",0,5)+IF(X23="",0,4)+IF(Z23="",0,4)+IF(AB23="",0,4))=0,"",(IF(T23="",0,T23*5)+IF(V23="",0,V23*5)+IF(X23="",0,X23*4)+IF(Z23="",0,Z23*4)+IF(AB23="",0,AB23*4))/22)</f>
        <v/>
      </c>
      <c r="AE23" s="11">
        <f>IF(OR(City_Inputs!$X23="",Norm_Stats!$F$12="",Norm_Stats!$G$12="",Norm_Stats!$G$12=Norm_Stats!$F$12),"",MAX(0,MIN(100,100*(MIN(MAX(City_Inputs!$X23,Norm_Stats!$F$12),Norm_Stats!$G$12)-Norm_Stats!$F$12)/(Norm_Stats!$G$12-Norm_Stats!$F$12))))</f>
        <v/>
      </c>
      <c r="AF23" s="14">
        <f>IF(AE23="","",1)</f>
        <v/>
      </c>
      <c r="AG23" s="11">
        <f>IF(OR(City_Inputs!$Y23="",Norm_Stats!$F$13="",Norm_Stats!$G$13="",Norm_Stats!$G$13=Norm_Stats!$F$13),"",MAX(0,MIN(100,100*(MIN(MAX(City_Inputs!$Y23,Norm_Stats!$F$13),Norm_Stats!$G$13)-Norm_Stats!$F$13)/(Norm_Stats!$G$13-Norm_Stats!$F$13))))</f>
        <v/>
      </c>
      <c r="AH23" s="14">
        <f>IF(AG23="","",1)</f>
        <v/>
      </c>
      <c r="AI23" s="11">
        <f>IF((IF((IF(OR(City_Inputs!$Z23="",Norm_Stats!$F$14="",Norm_Stats!$G$14="",Norm_Stats!$G$14=Norm_Stats!$F$14),"",MAX(0,MIN(100,100*(MIN(MAX(City_Inputs!$Z23,Norm_Stats!$F$14),Norm_Stats!$G$14)-Norm_Stats!$F$14)/(Norm_Stats!$G$14-Norm_Stats!$F$14)))))="",0,0.7)+IF((IF(OR(City_Inputs!$AK23="",Norm_Stats!$F$15="",Norm_Stats!$G$15="",Norm_Stats!$G$15=Norm_Stats!$F$15),"",MAX(0,MIN(100,100*(Norm_Stats!$G$15-MIN(MAX(City_Inputs!$AK23,Norm_Stats!$F$15),Norm_Stats!$G$15))/(Norm_Stats!$G$15-Norm_Stats!$F$15)))))="",0,0.3))=0,"",(IF((IF(OR(City_Inputs!$Z23="",Norm_Stats!$F$14="",Norm_Stats!$G$14="",Norm_Stats!$G$14=Norm_Stats!$F$14),"",MAX(0,MIN(100,100*(MIN(MAX(City_Inputs!$Z23,Norm_Stats!$F$14),Norm_Stats!$G$14)-Norm_Stats!$F$14)/(Norm_Stats!$G$14-Norm_Stats!$F$14)))))="",0,(IF(OR(City_Inputs!$Z23="",Norm_Stats!$F$14="",Norm_Stats!$G$14="",Norm_Stats!$G$14=Norm_Stats!$F$14),"",MAX(0,MIN(100,100*(MIN(MAX(City_Inputs!$Z23,Norm_Stats!$F$14),Norm_Stats!$G$14)-Norm_Stats!$F$14)/(Norm_Stats!$G$14-Norm_Stats!$F$14)))))*0.7)+IF((IF(OR(City_Inputs!$AK23="",Norm_Stats!$F$15="",Norm_Stats!$G$15="",Norm_Stats!$G$15=Norm_Stats!$F$15),"",MAX(0,MIN(100,100*(Norm_Stats!$G$15-MIN(MAX(City_Inputs!$AK23,Norm_Stats!$F$15),Norm_Stats!$G$15))/(Norm_Stats!$G$15-Norm_Stats!$F$15)))))="",0,(IF(OR(City_Inputs!$AK23="",Norm_Stats!$F$15="",Norm_Stats!$G$15="",Norm_Stats!$G$15=Norm_Stats!$F$15),"",MAX(0,MIN(100,100*(Norm_Stats!$G$15-MIN(MAX(City_Inputs!$AK23,Norm_Stats!$F$15),Norm_Stats!$G$15))/(Norm_Stats!$G$15-Norm_Stats!$F$15)))))*0.3))/(IF((IF(OR(City_Inputs!$Z23="",Norm_Stats!$F$14="",Norm_Stats!$G$14="",Norm_Stats!$G$14=Norm_Stats!$F$14),"",MAX(0,MIN(100,100*(MIN(MAX(City_Inputs!$Z23,Norm_Stats!$F$14),Norm_Stats!$G$14)-Norm_Stats!$F$14)/(Norm_Stats!$G$14-Norm_Stats!$F$14)))))="",0,0.7)+IF((IF(OR(City_Inputs!$AK23="",Norm_Stats!$F$15="",Norm_Stats!$G$15="",Norm_Stats!$G$15=Norm_Stats!$F$15),"",MAX(0,MIN(100,100*(Norm_Stats!$G$15-MIN(MAX(City_Inputs!$AK23,Norm_Stats!$F$15),Norm_Stats!$G$15))/(Norm_Stats!$G$15-Norm_Stats!$F$15)))))="",0,0.3)))</f>
        <v/>
      </c>
      <c r="AJ23" s="14">
        <f>IF((IF((IF(OR(City_Inputs!$Z23="",Norm_Stats!$F$14="",Norm_Stats!$G$14="",Norm_Stats!$G$14=Norm_Stats!$F$14),"",MAX(0,MIN(100,100*(MIN(MAX(City_Inputs!$Z23,Norm_Stats!$F$14),Norm_Stats!$G$14)-Norm_Stats!$F$14)/(Norm_Stats!$G$14-Norm_Stats!$F$14)))))="",0,0.7)+IF((IF(OR(City_Inputs!$AK23="",Norm_Stats!$F$15="",Norm_Stats!$G$15="",Norm_Stats!$G$15=Norm_Stats!$F$15),"",MAX(0,MIN(100,100*(Norm_Stats!$G$15-MIN(MAX(City_Inputs!$AK23,Norm_Stats!$F$15),Norm_Stats!$G$15))/(Norm_Stats!$G$15-Norm_Stats!$F$15)))))="",0,0.3))=0,"",(IF((IF(OR(City_Inputs!$Z23="",Norm_Stats!$F$14="",Norm_Stats!$G$14="",Norm_Stats!$G$14=Norm_Stats!$F$14),"",MAX(0,MIN(100,100*(MIN(MAX(City_Inputs!$Z23,Norm_Stats!$F$14),Norm_Stats!$G$14)-Norm_Stats!$F$14)/(Norm_Stats!$G$14-Norm_Stats!$F$14)))))="",0,0.7)+IF((IF(OR(City_Inputs!$AK23="",Norm_Stats!$F$15="",Norm_Stats!$G$15="",Norm_Stats!$G$15=Norm_Stats!$F$15),"",MAX(0,MIN(100,100*(Norm_Stats!$G$15-MIN(MAX(City_Inputs!$AK23,Norm_Stats!$F$15),Norm_Stats!$G$15))/(Norm_Stats!$G$15-Norm_Stats!$F$15)))))="",0,0.3)))</f>
        <v/>
      </c>
      <c r="AK23" s="15">
        <f>IF((IF(AE23="",0,8)+IF(AG23="",0,6)+IF(AI23="",0,4))=0,"",(IF(AE23="",0,AE23*8)+IF(AG23="",0,AG23*6)+IF(AI23="",0,AI23*4))/(IF(AE23="",0,8)+IF(AG23="",0,6)+IF(AI23="",0,4)))</f>
        <v/>
      </c>
      <c r="AL23" s="14">
        <f>IF((IF(AF23="",0,8)+IF(AH23="",0,6)+IF(AJ23="",0,4))=0,"",(IF(AF23="",0,AF23*8)+IF(AH23="",0,AH23*6)+IF(AJ23="",0,AJ23*4))/18)</f>
        <v/>
      </c>
      <c r="AM23" s="11">
        <f>IF(OR(City_Inputs!$AA23="",Norm_Stats!$F$16="",Norm_Stats!$G$16="",Norm_Stats!$G$16=Norm_Stats!$F$16),"",MAX(0,MIN(100,100*(MIN(MAX(City_Inputs!$AA23,Norm_Stats!$F$16),Norm_Stats!$G$16)-Norm_Stats!$F$16)/(Norm_Stats!$G$16-Norm_Stats!$F$16))))</f>
        <v/>
      </c>
      <c r="AN23" s="14">
        <f>IF(AM23="","",1)</f>
        <v/>
      </c>
      <c r="AO23" s="11">
        <f>IF(OR(City_Inputs!$AB23="",Norm_Stats!$F$17="",Norm_Stats!$G$17="",Norm_Stats!$G$17=Norm_Stats!$F$17),"",MAX(0,MIN(100,100*(MIN(MAX(City_Inputs!$AB23,Norm_Stats!$F$17),Norm_Stats!$G$17)-Norm_Stats!$F$17)/(Norm_Stats!$G$17-Norm_Stats!$F$17))))</f>
        <v/>
      </c>
      <c r="AP23" s="14">
        <f>IF(AO23="","",1)</f>
        <v/>
      </c>
      <c r="AQ23" s="11">
        <f>IF(OR(City_Inputs!$AC23="",Norm_Stats!$F$18="",Norm_Stats!$G$18="",Norm_Stats!$G$18=Norm_Stats!$F$18),"",MAX(0,MIN(100,100*(MIN(MAX(City_Inputs!$AC23,Norm_Stats!$F$18),Norm_Stats!$G$18)-Norm_Stats!$F$18)/(Norm_Stats!$G$18-Norm_Stats!$F$18))))</f>
        <v/>
      </c>
      <c r="AR23" s="14">
        <f>IF(AQ23="","",1)</f>
        <v/>
      </c>
      <c r="AS23" s="15">
        <f>IF((IF(AM23="",0,5)+IF(AO23="",0,5)+IF(AQ23="",0,5))=0,"",(IF(AM23="",0,AM23*5)+IF(AO23="",0,AO23*5)+IF(AQ23="",0,AQ23*5))/(IF(AM23="",0,5)+IF(AO23="",0,5)+IF(AQ23="",0,5)))</f>
        <v/>
      </c>
      <c r="AT23" s="14">
        <f>IF((IF(AN23="",0,5)+IF(AP23="",0,5)+IF(AR23="",0,5))=0,"",(IF(AN23="",0,AN23*5)+IF(AP23="",0,AP23*5)+IF(AR23="",0,AR23*5))/15)</f>
        <v/>
      </c>
      <c r="AU23" s="11">
        <f>IF(OR(City_Inputs!$AD23="",Norm_Stats!$F$19="",Norm_Stats!$G$19="",Norm_Stats!$G$19=Norm_Stats!$F$19),"",MAX(0,MIN(100,100*(MIN(MAX(City_Inputs!$AD23,Norm_Stats!$F$19),Norm_Stats!$G$19)-Norm_Stats!$F$19)/(Norm_Stats!$G$19-Norm_Stats!$F$19))))</f>
        <v/>
      </c>
      <c r="AV23" s="14">
        <f>IF(AU23="","",1)</f>
        <v/>
      </c>
      <c r="AW23" s="11">
        <f>IF(OR(City_Inputs!$AE23="",Norm_Stats!$F$20="",Norm_Stats!$G$20="",Norm_Stats!$G$20=Norm_Stats!$F$20),"",MAX(0,MIN(100,100*(MIN(MAX(City_Inputs!$AE23,Norm_Stats!$F$20),Norm_Stats!$G$20)-Norm_Stats!$F$20)/(Norm_Stats!$G$20-Norm_Stats!$F$20))))</f>
        <v/>
      </c>
      <c r="AX23" s="14">
        <f>IF(AW23="","",1)</f>
        <v/>
      </c>
      <c r="AY23" s="11">
        <f>IF((IF((IF(OR(City_Inputs!$AF23="",Norm_Stats!$F$21="",Norm_Stats!$G$21="",Norm_Stats!$G$21=Norm_Stats!$F$21),"",MAX(0,MIN(100,100*(MIN(MAX(City_Inputs!$AF23,Norm_Stats!$F$21),Norm_Stats!$G$21)-Norm_Stats!$F$21)/(Norm_Stats!$G$21-Norm_Stats!$F$21)))))="",0,0.5)+IF((IF(OR(City_Inputs!$AI23="",Norm_Stats!$F$22="",Norm_Stats!$G$22="",Norm_Stats!$G$22=Norm_Stats!$F$22),"",MAX(0,MIN(100,100*(MIN(MAX(City_Inputs!$AI23,Norm_Stats!$F$22),Norm_Stats!$G$22)-Norm_Stats!$F$22)/(Norm_Stats!$G$22-Norm_Stats!$F$22)))))="",0,0.3)+IF((IF(OR(City_Inputs!$AJ23="",Norm_Stats!$F$23="",Norm_Stats!$G$23="",Norm_Stats!$G$23=Norm_Stats!$F$23),"",MAX(0,MIN(100,100*(MIN(MAX(City_Inputs!$AJ23,Norm_Stats!$F$23),Norm_Stats!$G$23)-Norm_Stats!$F$23)/(Norm_Stats!$G$23-Norm_Stats!$F$23)))))="",0,0.2))=0,"",(IF((IF(OR(City_Inputs!$AF23="",Norm_Stats!$F$21="",Norm_Stats!$G$21="",Norm_Stats!$G$21=Norm_Stats!$F$21),"",MAX(0,MIN(100,100*(MIN(MAX(City_Inputs!$AF23,Norm_Stats!$F$21),Norm_Stats!$G$21)-Norm_Stats!$F$21)/(Norm_Stats!$G$21-Norm_Stats!$F$21)))))="",0,(IF(OR(City_Inputs!$AF23="",Norm_Stats!$F$21="",Norm_Stats!$G$21="",Norm_Stats!$G$21=Norm_Stats!$F$21),"",MAX(0,MIN(100,100*(MIN(MAX(City_Inputs!$AF23,Norm_Stats!$F$21),Norm_Stats!$G$21)-Norm_Stats!$F$21)/(Norm_Stats!$G$21-Norm_Stats!$F$21)))))*0.5)+IF((IF(OR(City_Inputs!$AI23="",Norm_Stats!$F$22="",Norm_Stats!$G$22="",Norm_Stats!$G$22=Norm_Stats!$F$22),"",MAX(0,MIN(100,100*(MIN(MAX(City_Inputs!$AI23,Norm_Stats!$F$22),Norm_Stats!$G$22)-Norm_Stats!$F$22)/(Norm_Stats!$G$22-Norm_Stats!$F$22)))))="",0,(IF(OR(City_Inputs!$AI23="",Norm_Stats!$F$22="",Norm_Stats!$G$22="",Norm_Stats!$G$22=Norm_Stats!$F$22),"",MAX(0,MIN(100,100*(MIN(MAX(City_Inputs!$AI23,Norm_Stats!$F$22),Norm_Stats!$G$22)-Norm_Stats!$F$22)/(Norm_Stats!$G$22-Norm_Stats!$F$22)))))*0.3)+IF((IF(OR(City_Inputs!$AJ23="",Norm_Stats!$F$23="",Norm_Stats!$G$23="",Norm_Stats!$G$23=Norm_Stats!$F$23),"",MAX(0,MIN(100,100*(MIN(MAX(City_Inputs!$AJ23,Norm_Stats!$F$23),Norm_Stats!$G$23)-Norm_Stats!$F$23)/(Norm_Stats!$G$23-Norm_Stats!$F$23)))))="",0,(IF(OR(City_Inputs!$AJ23="",Norm_Stats!$F$23="",Norm_Stats!$G$23="",Norm_Stats!$G$23=Norm_Stats!$F$23),"",MAX(0,MIN(100,100*(MIN(MAX(City_Inputs!$AJ23,Norm_Stats!$F$23),Norm_Stats!$G$23)-Norm_Stats!$F$23)/(Norm_Stats!$G$23-Norm_Stats!$F$23)))))*0.2))/(IF((IF(OR(City_Inputs!$AF23="",Norm_Stats!$F$21="",Norm_Stats!$G$21="",Norm_Stats!$G$21=Norm_Stats!$F$21),"",MAX(0,MIN(100,100*(MIN(MAX(City_Inputs!$AF23,Norm_Stats!$F$21),Norm_Stats!$G$21)-Norm_Stats!$F$21)/(Norm_Stats!$G$21-Norm_Stats!$F$21)))))="",0,0.5)+IF((IF(OR(City_Inputs!$AI23="",Norm_Stats!$F$22="",Norm_Stats!$G$22="",Norm_Stats!$G$22=Norm_Stats!$F$22),"",MAX(0,MIN(100,100*(MIN(MAX(City_Inputs!$AI23,Norm_Stats!$F$22),Norm_Stats!$G$22)-Norm_Stats!$F$22)/(Norm_Stats!$G$22-Norm_Stats!$F$22)))))="",0,0.3)+IF((IF(OR(City_Inputs!$AJ23="",Norm_Stats!$F$23="",Norm_Stats!$G$23="",Norm_Stats!$G$23=Norm_Stats!$F$23),"",MAX(0,MIN(100,100*(MIN(MAX(City_Inputs!$AJ23,Norm_Stats!$F$23),Norm_Stats!$G$23)-Norm_Stats!$F$23)/(Norm_Stats!$G$23-Norm_Stats!$F$23)))))="",0,0.2)))</f>
        <v/>
      </c>
      <c r="AZ23" s="14">
        <f>IF((IF((IF(OR(City_Inputs!$AF23="",Norm_Stats!$F$21="",Norm_Stats!$G$21="",Norm_Stats!$G$21=Norm_Stats!$F$21),"",MAX(0,MIN(100,100*(MIN(MAX(City_Inputs!$AF23,Norm_Stats!$F$21),Norm_Stats!$G$21)-Norm_Stats!$F$21)/(Norm_Stats!$G$21-Norm_Stats!$F$21)))))="",0,0.5)+IF((IF(OR(City_Inputs!$AI23="",Norm_Stats!$F$22="",Norm_Stats!$G$22="",Norm_Stats!$G$22=Norm_Stats!$F$22),"",MAX(0,MIN(100,100*(MIN(MAX(City_Inputs!$AI23,Norm_Stats!$F$22),Norm_Stats!$G$22)-Norm_Stats!$F$22)/(Norm_Stats!$G$22-Norm_Stats!$F$22)))))="",0,0.3)+IF((IF(OR(City_Inputs!$AJ23="",Norm_Stats!$F$23="",Norm_Stats!$G$23="",Norm_Stats!$G$23=Norm_Stats!$F$23),"",MAX(0,MIN(100,100*(MIN(MAX(City_Inputs!$AJ23,Norm_Stats!$F$23),Norm_Stats!$G$23)-Norm_Stats!$F$23)/(Norm_Stats!$G$23-Norm_Stats!$F$23)))))="",0,0.2))=0,"",(IF((IF(OR(City_Inputs!$AF23="",Norm_Stats!$F$21="",Norm_Stats!$G$21="",Norm_Stats!$G$21=Norm_Stats!$F$21),"",MAX(0,MIN(100,100*(MIN(MAX(City_Inputs!$AF23,Norm_Stats!$F$21),Norm_Stats!$G$21)-Norm_Stats!$F$21)/(Norm_Stats!$G$21-Norm_Stats!$F$21)))))="",0,0.5)+IF((IF(OR(City_Inputs!$AI23="",Norm_Stats!$F$22="",Norm_Stats!$G$22="",Norm_Stats!$G$22=Norm_Stats!$F$22),"",MAX(0,MIN(100,100*(MIN(MAX(City_Inputs!$AI23,Norm_Stats!$F$22),Norm_Stats!$G$22)-Norm_Stats!$F$22)/(Norm_Stats!$G$22-Norm_Stats!$F$22)))))="",0,0.3)+IF((IF(OR(City_Inputs!$AJ23="",Norm_Stats!$F$23="",Norm_Stats!$G$23="",Norm_Stats!$G$23=Norm_Stats!$F$23),"",MAX(0,MIN(100,100*(MIN(MAX(City_Inputs!$AJ23,Norm_Stats!$F$23),Norm_Stats!$G$23)-Norm_Stats!$F$23)/(Norm_Stats!$G$23-Norm_Stats!$F$23)))))="",0,0.2)))</f>
        <v/>
      </c>
      <c r="BA23" s="11">
        <f>IF(OR(City_Inputs!$AG23="",Norm_Stats!$F$24="",Norm_Stats!$G$24="",Norm_Stats!$G$24=Norm_Stats!$F$24),"",MAX(0,MIN(100,100*(Norm_Stats!$G$24-MIN(MAX(City_Inputs!$AG23,Norm_Stats!$F$24),Norm_Stats!$G$24))/(Norm_Stats!$G$24-Norm_Stats!$F$24))))</f>
        <v/>
      </c>
      <c r="BB23" s="14">
        <f>IF(BA23="","",1)</f>
        <v/>
      </c>
      <c r="BC23" s="15">
        <f>IF((IF(AU23="",0,6)+IF(AW23="",0,5)+IF(AY23="",0,5)+IF(BA23="",0,4))=0,"",(IF(AU23="",0,AU23*6)+IF(AW23="",0,AW23*5)+IF(AY23="",0,AY23*5)+IF(BA23="",0,BA23*4))/(IF(AU23="",0,6)+IF(AW23="",0,5)+IF(AY23="",0,5)+IF(BA23="",0,4)))</f>
        <v/>
      </c>
      <c r="BD23" s="14">
        <f>IF((IF(AV23="",0,6)+IF(AX23="",0,5)+IF(AZ23="",0,5)+IF(BB23="",0,4))=0,"",(IF(AV23="",0,AV23*6)+IF(AX23="",0,AX23*5)+IF(AZ23="",0,AZ23*5)+IF(BB23="",0,BB23*4))/20)</f>
        <v/>
      </c>
      <c r="BE23" s="14">
        <f>IF(AND(R23="",AD23="",AL23="",AT23="",BD23=""),"",((R23*25)+(AD23*22)+(AL23*18)+(AT23*15)+(BD23*20))/100)</f>
        <v/>
      </c>
      <c r="BF23" s="11">
        <f>IF(BE23="","",IF(BE23&gt;=0.75,"A",IF(BE23&gt;=0.5,"B",IF(BE23&gt;=0.35,"C","Watchlist"))))</f>
        <v/>
      </c>
      <c r="BG23" s="11">
        <f>IF(OR(BE23="",BE23&lt;0.5,R23="",R23&lt;0.35,AD23="",AD23&lt;0.35,AL23="",AL23&lt;0.35,AT23="",AT23&lt;0.35,BD23="",BD23&lt;0.35),"Watchlist","Ranked")</f>
        <v/>
      </c>
      <c r="BH23" s="15">
        <f>IF(AND(Q23="",AC23="",AK23="",AS23="",BC23=""),"",(IF(Q23="",0,Q23*25)+IF(AC23="",0,AC23*22)+IF(AK23="",0,AK23*18)+IF(AS23="",0,AS23*15)+IF(BC23="",0,BC23*20))/(IF(Q23="",0,25)+IF(AC23="",0,22)+IF(AK23="",0,18)+IF(AS23="",0,15)+IF(BC23="",0,20)))</f>
        <v/>
      </c>
      <c r="BI23" s="11">
        <f>IF(BG23="Ranked",1+COUNTIFS($BG$2:$BG$103,"Ranked",$BH$2:$BH$103,"&gt;"&amp;BH23),"")</f>
        <v/>
      </c>
      <c r="BJ23" s="11">
        <f>City_Inputs!$AH23</f>
        <v/>
      </c>
    </row>
    <row r="24">
      <c r="A24" t="inlineStr">
        <is>
          <t>lk-colombo</t>
        </is>
      </c>
      <c r="B24" t="inlineStr">
        <is>
          <t>Colombo</t>
        </is>
      </c>
      <c r="C24" t="inlineStr">
        <is>
          <t>Sri Lanka</t>
        </is>
      </c>
      <c r="D24" t="inlineStr">
        <is>
          <t>South Asia</t>
        </is>
      </c>
      <c r="E24" t="inlineStr">
        <is>
          <t>locked</t>
        </is>
      </c>
      <c r="F24" t="inlineStr">
        <is>
          <t>primary</t>
        </is>
      </c>
      <c r="G24" s="11">
        <f>IF(OR(City_Inputs!$M24="",Norm_Stats!$F$2="",Norm_Stats!$G$2="",Norm_Stats!$G$2=Norm_Stats!$F$2),"",MAX(0,MIN(100,100*(MIN(MAX(City_Inputs!$M24,Norm_Stats!$F$2),Norm_Stats!$G$2)-Norm_Stats!$F$2)/(Norm_Stats!$G$2-Norm_Stats!$F$2))))</f>
        <v/>
      </c>
      <c r="H24" s="14">
        <f>IF(G24="","",1)</f>
        <v/>
      </c>
      <c r="I24" s="11">
        <f>IF(OR(City_Inputs!$N24="",Norm_Stats!$F$3="",Norm_Stats!$G$3="",Norm_Stats!$G$3=Norm_Stats!$F$3),"",MAX(0,MIN(100,100*(Norm_Stats!$G$3-MIN(MAX(City_Inputs!$N24,Norm_Stats!$F$3),Norm_Stats!$G$3))/(Norm_Stats!$G$3-Norm_Stats!$F$3))))</f>
        <v/>
      </c>
      <c r="J24" s="14">
        <f>IF(I24="","",1)</f>
        <v/>
      </c>
      <c r="K24" s="11">
        <f>IF(OR(City_Inputs!$P24="",Norm_Stats!$F$4="",Norm_Stats!$G$4="",Norm_Stats!$G$4=Norm_Stats!$F$4),"",MAX(0,MIN(100,100*(Norm_Stats!$G$4-MIN(MAX(City_Inputs!$P24,Norm_Stats!$F$4),Norm_Stats!$G$4))/(Norm_Stats!$G$4-Norm_Stats!$F$4))))</f>
        <v/>
      </c>
      <c r="L24" s="14">
        <f>IF(K24="","",1)</f>
        <v/>
      </c>
      <c r="M24" s="11">
        <f>IF(OR(City_Inputs!$Q24="",Norm_Stats!$F$5="",Norm_Stats!$G$5="",Norm_Stats!$G$5=Norm_Stats!$F$5),"",MAX(0,MIN(100,100*(Norm_Stats!$G$5-MIN(MAX(City_Inputs!$Q24,Norm_Stats!$F$5),Norm_Stats!$G$5))/(Norm_Stats!$G$5-Norm_Stats!$F$5))))</f>
        <v/>
      </c>
      <c r="N24" s="14">
        <f>IF(M24="","",1)</f>
        <v/>
      </c>
      <c r="O24" s="11">
        <f>IF(OR(City_Inputs!$R24="",Norm_Stats!$F$6="",Norm_Stats!$G$6="",Norm_Stats!$G$6=Norm_Stats!$F$6),"",MAX(0,MIN(100,100*(Norm_Stats!$G$6-MIN(MAX(City_Inputs!$R24,Norm_Stats!$F$6),Norm_Stats!$G$6))/(Norm_Stats!$G$6-Norm_Stats!$F$6))))</f>
        <v/>
      </c>
      <c r="P24" s="14">
        <f>IF(O24="","",1)</f>
        <v/>
      </c>
      <c r="Q24" s="15">
        <f>IF((IF(G24="",0,9)+IF(I24="",0,5)+IF(K24="",0,4)+IF(M24="",0,4)+IF(O24="",0,3))=0,"",(IF(G24="",0,G24*9)+IF(I24="",0,I24*5)+IF(K24="",0,K24*4)+IF(M24="",0,M24*4)+IF(O24="",0,O24*3))/(IF(G24="",0,9)+IF(I24="",0,5)+IF(K24="",0,4)+IF(M24="",0,4)+IF(O24="",0,3)))</f>
        <v/>
      </c>
      <c r="R24" s="14">
        <f>IF((IF(H24="",0,9)+IF(J24="",0,5)+IF(L24="",0,4)+IF(N24="",0,4)+IF(P24="",0,3))=0,"",(IF(H24="",0,H24*9)+IF(J24="",0,J24*5)+IF(L24="",0,L24*4)+IF(N24="",0,N24*4)+IF(P24="",0,P24*3))/25)</f>
        <v/>
      </c>
      <c r="S24" s="11">
        <f>IF(OR(City_Inputs!$S24="",Norm_Stats!$F$7="",Norm_Stats!$G$7="",Norm_Stats!$G$7=Norm_Stats!$F$7),"",MAX(0,MIN(100,100*(Norm_Stats!$G$7-MIN(MAX(City_Inputs!$S24,Norm_Stats!$F$7),Norm_Stats!$G$7))/(Norm_Stats!$G$7-Norm_Stats!$F$7))))</f>
        <v/>
      </c>
      <c r="T24" s="14">
        <f>IF(S24="","",1)</f>
        <v/>
      </c>
      <c r="U24" s="11">
        <f>IF(OR(City_Inputs!$T24="",Norm_Stats!$F$8="",Norm_Stats!$G$8="",Norm_Stats!$G$8=Norm_Stats!$F$8),"",MAX(0,MIN(100,100*(MIN(MAX(City_Inputs!$T24,Norm_Stats!$F$8),Norm_Stats!$G$8)-Norm_Stats!$F$8)/(Norm_Stats!$G$8-Norm_Stats!$F$8))))</f>
        <v/>
      </c>
      <c r="V24" s="14">
        <f>IF(U24="","",1)</f>
        <v/>
      </c>
      <c r="W24" s="11">
        <f>IF(OR(City_Inputs!$U24="",Norm_Stats!$F$9="",Norm_Stats!$G$9="",Norm_Stats!$G$9=Norm_Stats!$F$9),"",MAX(0,MIN(100,100*(Norm_Stats!$G$9-MIN(MAX(City_Inputs!$U24,Norm_Stats!$F$9),Norm_Stats!$G$9))/(Norm_Stats!$G$9-Norm_Stats!$F$9))))</f>
        <v/>
      </c>
      <c r="X24" s="14">
        <f>IF(W24="","",1)</f>
        <v/>
      </c>
      <c r="Y24" s="11">
        <f>IF(OR(City_Inputs!$V24="",Norm_Stats!$F$10="",Norm_Stats!$G$10="",Norm_Stats!$G$10=Norm_Stats!$F$10),"",MAX(0,MIN(100,100*(MIN(MAX(City_Inputs!$V24,Norm_Stats!$F$10),Norm_Stats!$G$10)-Norm_Stats!$F$10)/(Norm_Stats!$G$10-Norm_Stats!$F$10))))</f>
        <v/>
      </c>
      <c r="Z24" s="14">
        <f>IF(Y24="","",1)</f>
        <v/>
      </c>
      <c r="AA24" s="11">
        <f>IF(OR(City_Inputs!$W24="",Norm_Stats!$F$11="",Norm_Stats!$G$11="",Norm_Stats!$G$11=Norm_Stats!$F$11),"",MAX(0,MIN(100,100*(MIN(MAX(City_Inputs!$W24,Norm_Stats!$F$11),Norm_Stats!$G$11)-Norm_Stats!$F$11)/(Norm_Stats!$G$11-Norm_Stats!$F$11))))</f>
        <v/>
      </c>
      <c r="AB24" s="14">
        <f>IF(AA24="","",1)</f>
        <v/>
      </c>
      <c r="AC24" s="15">
        <f>IF((IF(S24="",0,5)+IF(U24="",0,5)+IF(W24="",0,4)+IF(Y24="",0,4)+IF(AA24="",0,4))=0,"",(IF(S24="",0,S24*5)+IF(U24="",0,U24*5)+IF(W24="",0,W24*4)+IF(Y24="",0,Y24*4)+IF(AA24="",0,AA24*4))/(IF(S24="",0,5)+IF(U24="",0,5)+IF(W24="",0,4)+IF(Y24="",0,4)+IF(AA24="",0,4)))</f>
        <v/>
      </c>
      <c r="AD24" s="14">
        <f>IF((IF(T24="",0,5)+IF(V24="",0,5)+IF(X24="",0,4)+IF(Z24="",0,4)+IF(AB24="",0,4))=0,"",(IF(T24="",0,T24*5)+IF(V24="",0,V24*5)+IF(X24="",0,X24*4)+IF(Z24="",0,Z24*4)+IF(AB24="",0,AB24*4))/22)</f>
        <v/>
      </c>
      <c r="AE24" s="11">
        <f>IF(OR(City_Inputs!$X24="",Norm_Stats!$F$12="",Norm_Stats!$G$12="",Norm_Stats!$G$12=Norm_Stats!$F$12),"",MAX(0,MIN(100,100*(MIN(MAX(City_Inputs!$X24,Norm_Stats!$F$12),Norm_Stats!$G$12)-Norm_Stats!$F$12)/(Norm_Stats!$G$12-Norm_Stats!$F$12))))</f>
        <v/>
      </c>
      <c r="AF24" s="14">
        <f>IF(AE24="","",1)</f>
        <v/>
      </c>
      <c r="AG24" s="11">
        <f>IF(OR(City_Inputs!$Y24="",Norm_Stats!$F$13="",Norm_Stats!$G$13="",Norm_Stats!$G$13=Norm_Stats!$F$13),"",MAX(0,MIN(100,100*(MIN(MAX(City_Inputs!$Y24,Norm_Stats!$F$13),Norm_Stats!$G$13)-Norm_Stats!$F$13)/(Norm_Stats!$G$13-Norm_Stats!$F$13))))</f>
        <v/>
      </c>
      <c r="AH24" s="14">
        <f>IF(AG24="","",1)</f>
        <v/>
      </c>
      <c r="AI24" s="11">
        <f>IF((IF((IF(OR(City_Inputs!$Z24="",Norm_Stats!$F$14="",Norm_Stats!$G$14="",Norm_Stats!$G$14=Norm_Stats!$F$14),"",MAX(0,MIN(100,100*(MIN(MAX(City_Inputs!$Z24,Norm_Stats!$F$14),Norm_Stats!$G$14)-Norm_Stats!$F$14)/(Norm_Stats!$G$14-Norm_Stats!$F$14)))))="",0,0.7)+IF((IF(OR(City_Inputs!$AK24="",Norm_Stats!$F$15="",Norm_Stats!$G$15="",Norm_Stats!$G$15=Norm_Stats!$F$15),"",MAX(0,MIN(100,100*(Norm_Stats!$G$15-MIN(MAX(City_Inputs!$AK24,Norm_Stats!$F$15),Norm_Stats!$G$15))/(Norm_Stats!$G$15-Norm_Stats!$F$15)))))="",0,0.3))=0,"",(IF((IF(OR(City_Inputs!$Z24="",Norm_Stats!$F$14="",Norm_Stats!$G$14="",Norm_Stats!$G$14=Norm_Stats!$F$14),"",MAX(0,MIN(100,100*(MIN(MAX(City_Inputs!$Z24,Norm_Stats!$F$14),Norm_Stats!$G$14)-Norm_Stats!$F$14)/(Norm_Stats!$G$14-Norm_Stats!$F$14)))))="",0,(IF(OR(City_Inputs!$Z24="",Norm_Stats!$F$14="",Norm_Stats!$G$14="",Norm_Stats!$G$14=Norm_Stats!$F$14),"",MAX(0,MIN(100,100*(MIN(MAX(City_Inputs!$Z24,Norm_Stats!$F$14),Norm_Stats!$G$14)-Norm_Stats!$F$14)/(Norm_Stats!$G$14-Norm_Stats!$F$14)))))*0.7)+IF((IF(OR(City_Inputs!$AK24="",Norm_Stats!$F$15="",Norm_Stats!$G$15="",Norm_Stats!$G$15=Norm_Stats!$F$15),"",MAX(0,MIN(100,100*(Norm_Stats!$G$15-MIN(MAX(City_Inputs!$AK24,Norm_Stats!$F$15),Norm_Stats!$G$15))/(Norm_Stats!$G$15-Norm_Stats!$F$15)))))="",0,(IF(OR(City_Inputs!$AK24="",Norm_Stats!$F$15="",Norm_Stats!$G$15="",Norm_Stats!$G$15=Norm_Stats!$F$15),"",MAX(0,MIN(100,100*(Norm_Stats!$G$15-MIN(MAX(City_Inputs!$AK24,Norm_Stats!$F$15),Norm_Stats!$G$15))/(Norm_Stats!$G$15-Norm_Stats!$F$15)))))*0.3))/(IF((IF(OR(City_Inputs!$Z24="",Norm_Stats!$F$14="",Norm_Stats!$G$14="",Norm_Stats!$G$14=Norm_Stats!$F$14),"",MAX(0,MIN(100,100*(MIN(MAX(City_Inputs!$Z24,Norm_Stats!$F$14),Norm_Stats!$G$14)-Norm_Stats!$F$14)/(Norm_Stats!$G$14-Norm_Stats!$F$14)))))="",0,0.7)+IF((IF(OR(City_Inputs!$AK24="",Norm_Stats!$F$15="",Norm_Stats!$G$15="",Norm_Stats!$G$15=Norm_Stats!$F$15),"",MAX(0,MIN(100,100*(Norm_Stats!$G$15-MIN(MAX(City_Inputs!$AK24,Norm_Stats!$F$15),Norm_Stats!$G$15))/(Norm_Stats!$G$15-Norm_Stats!$F$15)))))="",0,0.3)))</f>
        <v/>
      </c>
      <c r="AJ24" s="14">
        <f>IF((IF((IF(OR(City_Inputs!$Z24="",Norm_Stats!$F$14="",Norm_Stats!$G$14="",Norm_Stats!$G$14=Norm_Stats!$F$14),"",MAX(0,MIN(100,100*(MIN(MAX(City_Inputs!$Z24,Norm_Stats!$F$14),Norm_Stats!$G$14)-Norm_Stats!$F$14)/(Norm_Stats!$G$14-Norm_Stats!$F$14)))))="",0,0.7)+IF((IF(OR(City_Inputs!$AK24="",Norm_Stats!$F$15="",Norm_Stats!$G$15="",Norm_Stats!$G$15=Norm_Stats!$F$15),"",MAX(0,MIN(100,100*(Norm_Stats!$G$15-MIN(MAX(City_Inputs!$AK24,Norm_Stats!$F$15),Norm_Stats!$G$15))/(Norm_Stats!$G$15-Norm_Stats!$F$15)))))="",0,0.3))=0,"",(IF((IF(OR(City_Inputs!$Z24="",Norm_Stats!$F$14="",Norm_Stats!$G$14="",Norm_Stats!$G$14=Norm_Stats!$F$14),"",MAX(0,MIN(100,100*(MIN(MAX(City_Inputs!$Z24,Norm_Stats!$F$14),Norm_Stats!$G$14)-Norm_Stats!$F$14)/(Norm_Stats!$G$14-Norm_Stats!$F$14)))))="",0,0.7)+IF((IF(OR(City_Inputs!$AK24="",Norm_Stats!$F$15="",Norm_Stats!$G$15="",Norm_Stats!$G$15=Norm_Stats!$F$15),"",MAX(0,MIN(100,100*(Norm_Stats!$G$15-MIN(MAX(City_Inputs!$AK24,Norm_Stats!$F$15),Norm_Stats!$G$15))/(Norm_Stats!$G$15-Norm_Stats!$F$15)))))="",0,0.3)))</f>
        <v/>
      </c>
      <c r="AK24" s="15">
        <f>IF((IF(AE24="",0,8)+IF(AG24="",0,6)+IF(AI24="",0,4))=0,"",(IF(AE24="",0,AE24*8)+IF(AG24="",0,AG24*6)+IF(AI24="",0,AI24*4))/(IF(AE24="",0,8)+IF(AG24="",0,6)+IF(AI24="",0,4)))</f>
        <v/>
      </c>
      <c r="AL24" s="14">
        <f>IF((IF(AF24="",0,8)+IF(AH24="",0,6)+IF(AJ24="",0,4))=0,"",(IF(AF24="",0,AF24*8)+IF(AH24="",0,AH24*6)+IF(AJ24="",0,AJ24*4))/18)</f>
        <v/>
      </c>
      <c r="AM24" s="11">
        <f>IF(OR(City_Inputs!$AA24="",Norm_Stats!$F$16="",Norm_Stats!$G$16="",Norm_Stats!$G$16=Norm_Stats!$F$16),"",MAX(0,MIN(100,100*(MIN(MAX(City_Inputs!$AA24,Norm_Stats!$F$16),Norm_Stats!$G$16)-Norm_Stats!$F$16)/(Norm_Stats!$G$16-Norm_Stats!$F$16))))</f>
        <v/>
      </c>
      <c r="AN24" s="14">
        <f>IF(AM24="","",1)</f>
        <v/>
      </c>
      <c r="AO24" s="11">
        <f>IF(OR(City_Inputs!$AB24="",Norm_Stats!$F$17="",Norm_Stats!$G$17="",Norm_Stats!$G$17=Norm_Stats!$F$17),"",MAX(0,MIN(100,100*(MIN(MAX(City_Inputs!$AB24,Norm_Stats!$F$17),Norm_Stats!$G$17)-Norm_Stats!$F$17)/(Norm_Stats!$G$17-Norm_Stats!$F$17))))</f>
        <v/>
      </c>
      <c r="AP24" s="14">
        <f>IF(AO24="","",1)</f>
        <v/>
      </c>
      <c r="AQ24" s="11">
        <f>IF(OR(City_Inputs!$AC24="",Norm_Stats!$F$18="",Norm_Stats!$G$18="",Norm_Stats!$G$18=Norm_Stats!$F$18),"",MAX(0,MIN(100,100*(MIN(MAX(City_Inputs!$AC24,Norm_Stats!$F$18),Norm_Stats!$G$18)-Norm_Stats!$F$18)/(Norm_Stats!$G$18-Norm_Stats!$F$18))))</f>
        <v/>
      </c>
      <c r="AR24" s="14">
        <f>IF(AQ24="","",1)</f>
        <v/>
      </c>
      <c r="AS24" s="15">
        <f>IF((IF(AM24="",0,5)+IF(AO24="",0,5)+IF(AQ24="",0,5))=0,"",(IF(AM24="",0,AM24*5)+IF(AO24="",0,AO24*5)+IF(AQ24="",0,AQ24*5))/(IF(AM24="",0,5)+IF(AO24="",0,5)+IF(AQ24="",0,5)))</f>
        <v/>
      </c>
      <c r="AT24" s="14">
        <f>IF((IF(AN24="",0,5)+IF(AP24="",0,5)+IF(AR24="",0,5))=0,"",(IF(AN24="",0,AN24*5)+IF(AP24="",0,AP24*5)+IF(AR24="",0,AR24*5))/15)</f>
        <v/>
      </c>
      <c r="AU24" s="11">
        <f>IF(OR(City_Inputs!$AD24="",Norm_Stats!$F$19="",Norm_Stats!$G$19="",Norm_Stats!$G$19=Norm_Stats!$F$19),"",MAX(0,MIN(100,100*(MIN(MAX(City_Inputs!$AD24,Norm_Stats!$F$19),Norm_Stats!$G$19)-Norm_Stats!$F$19)/(Norm_Stats!$G$19-Norm_Stats!$F$19))))</f>
        <v/>
      </c>
      <c r="AV24" s="14">
        <f>IF(AU24="","",1)</f>
        <v/>
      </c>
      <c r="AW24" s="11">
        <f>IF(OR(City_Inputs!$AE24="",Norm_Stats!$F$20="",Norm_Stats!$G$20="",Norm_Stats!$G$20=Norm_Stats!$F$20),"",MAX(0,MIN(100,100*(MIN(MAX(City_Inputs!$AE24,Norm_Stats!$F$20),Norm_Stats!$G$20)-Norm_Stats!$F$20)/(Norm_Stats!$G$20-Norm_Stats!$F$20))))</f>
        <v/>
      </c>
      <c r="AX24" s="14">
        <f>IF(AW24="","",1)</f>
        <v/>
      </c>
      <c r="AY24" s="11">
        <f>IF((IF((IF(OR(City_Inputs!$AF24="",Norm_Stats!$F$21="",Norm_Stats!$G$21="",Norm_Stats!$G$21=Norm_Stats!$F$21),"",MAX(0,MIN(100,100*(MIN(MAX(City_Inputs!$AF24,Norm_Stats!$F$21),Norm_Stats!$G$21)-Norm_Stats!$F$21)/(Norm_Stats!$G$21-Norm_Stats!$F$21)))))="",0,0.5)+IF((IF(OR(City_Inputs!$AI24="",Norm_Stats!$F$22="",Norm_Stats!$G$22="",Norm_Stats!$G$22=Norm_Stats!$F$22),"",MAX(0,MIN(100,100*(MIN(MAX(City_Inputs!$AI24,Norm_Stats!$F$22),Norm_Stats!$G$22)-Norm_Stats!$F$22)/(Norm_Stats!$G$22-Norm_Stats!$F$22)))))="",0,0.3)+IF((IF(OR(City_Inputs!$AJ24="",Norm_Stats!$F$23="",Norm_Stats!$G$23="",Norm_Stats!$G$23=Norm_Stats!$F$23),"",MAX(0,MIN(100,100*(MIN(MAX(City_Inputs!$AJ24,Norm_Stats!$F$23),Norm_Stats!$G$23)-Norm_Stats!$F$23)/(Norm_Stats!$G$23-Norm_Stats!$F$23)))))="",0,0.2))=0,"",(IF((IF(OR(City_Inputs!$AF24="",Norm_Stats!$F$21="",Norm_Stats!$G$21="",Norm_Stats!$G$21=Norm_Stats!$F$21),"",MAX(0,MIN(100,100*(MIN(MAX(City_Inputs!$AF24,Norm_Stats!$F$21),Norm_Stats!$G$21)-Norm_Stats!$F$21)/(Norm_Stats!$G$21-Norm_Stats!$F$21)))))="",0,(IF(OR(City_Inputs!$AF24="",Norm_Stats!$F$21="",Norm_Stats!$G$21="",Norm_Stats!$G$21=Norm_Stats!$F$21),"",MAX(0,MIN(100,100*(MIN(MAX(City_Inputs!$AF24,Norm_Stats!$F$21),Norm_Stats!$G$21)-Norm_Stats!$F$21)/(Norm_Stats!$G$21-Norm_Stats!$F$21)))))*0.5)+IF((IF(OR(City_Inputs!$AI24="",Norm_Stats!$F$22="",Norm_Stats!$G$22="",Norm_Stats!$G$22=Norm_Stats!$F$22),"",MAX(0,MIN(100,100*(MIN(MAX(City_Inputs!$AI24,Norm_Stats!$F$22),Norm_Stats!$G$22)-Norm_Stats!$F$22)/(Norm_Stats!$G$22-Norm_Stats!$F$22)))))="",0,(IF(OR(City_Inputs!$AI24="",Norm_Stats!$F$22="",Norm_Stats!$G$22="",Norm_Stats!$G$22=Norm_Stats!$F$22),"",MAX(0,MIN(100,100*(MIN(MAX(City_Inputs!$AI24,Norm_Stats!$F$22),Norm_Stats!$G$22)-Norm_Stats!$F$22)/(Norm_Stats!$G$22-Norm_Stats!$F$22)))))*0.3)+IF((IF(OR(City_Inputs!$AJ24="",Norm_Stats!$F$23="",Norm_Stats!$G$23="",Norm_Stats!$G$23=Norm_Stats!$F$23),"",MAX(0,MIN(100,100*(MIN(MAX(City_Inputs!$AJ24,Norm_Stats!$F$23),Norm_Stats!$G$23)-Norm_Stats!$F$23)/(Norm_Stats!$G$23-Norm_Stats!$F$23)))))="",0,(IF(OR(City_Inputs!$AJ24="",Norm_Stats!$F$23="",Norm_Stats!$G$23="",Norm_Stats!$G$23=Norm_Stats!$F$23),"",MAX(0,MIN(100,100*(MIN(MAX(City_Inputs!$AJ24,Norm_Stats!$F$23),Norm_Stats!$G$23)-Norm_Stats!$F$23)/(Norm_Stats!$G$23-Norm_Stats!$F$23)))))*0.2))/(IF((IF(OR(City_Inputs!$AF24="",Norm_Stats!$F$21="",Norm_Stats!$G$21="",Norm_Stats!$G$21=Norm_Stats!$F$21),"",MAX(0,MIN(100,100*(MIN(MAX(City_Inputs!$AF24,Norm_Stats!$F$21),Norm_Stats!$G$21)-Norm_Stats!$F$21)/(Norm_Stats!$G$21-Norm_Stats!$F$21)))))="",0,0.5)+IF((IF(OR(City_Inputs!$AI24="",Norm_Stats!$F$22="",Norm_Stats!$G$22="",Norm_Stats!$G$22=Norm_Stats!$F$22),"",MAX(0,MIN(100,100*(MIN(MAX(City_Inputs!$AI24,Norm_Stats!$F$22),Norm_Stats!$G$22)-Norm_Stats!$F$22)/(Norm_Stats!$G$22-Norm_Stats!$F$22)))))="",0,0.3)+IF((IF(OR(City_Inputs!$AJ24="",Norm_Stats!$F$23="",Norm_Stats!$G$23="",Norm_Stats!$G$23=Norm_Stats!$F$23),"",MAX(0,MIN(100,100*(MIN(MAX(City_Inputs!$AJ24,Norm_Stats!$F$23),Norm_Stats!$G$23)-Norm_Stats!$F$23)/(Norm_Stats!$G$23-Norm_Stats!$F$23)))))="",0,0.2)))</f>
        <v/>
      </c>
      <c r="AZ24" s="14">
        <f>IF((IF((IF(OR(City_Inputs!$AF24="",Norm_Stats!$F$21="",Norm_Stats!$G$21="",Norm_Stats!$G$21=Norm_Stats!$F$21),"",MAX(0,MIN(100,100*(MIN(MAX(City_Inputs!$AF24,Norm_Stats!$F$21),Norm_Stats!$G$21)-Norm_Stats!$F$21)/(Norm_Stats!$G$21-Norm_Stats!$F$21)))))="",0,0.5)+IF((IF(OR(City_Inputs!$AI24="",Norm_Stats!$F$22="",Norm_Stats!$G$22="",Norm_Stats!$G$22=Norm_Stats!$F$22),"",MAX(0,MIN(100,100*(MIN(MAX(City_Inputs!$AI24,Norm_Stats!$F$22),Norm_Stats!$G$22)-Norm_Stats!$F$22)/(Norm_Stats!$G$22-Norm_Stats!$F$22)))))="",0,0.3)+IF((IF(OR(City_Inputs!$AJ24="",Norm_Stats!$F$23="",Norm_Stats!$G$23="",Norm_Stats!$G$23=Norm_Stats!$F$23),"",MAX(0,MIN(100,100*(MIN(MAX(City_Inputs!$AJ24,Norm_Stats!$F$23),Norm_Stats!$G$23)-Norm_Stats!$F$23)/(Norm_Stats!$G$23-Norm_Stats!$F$23)))))="",0,0.2))=0,"",(IF((IF(OR(City_Inputs!$AF24="",Norm_Stats!$F$21="",Norm_Stats!$G$21="",Norm_Stats!$G$21=Norm_Stats!$F$21),"",MAX(0,MIN(100,100*(MIN(MAX(City_Inputs!$AF24,Norm_Stats!$F$21),Norm_Stats!$G$21)-Norm_Stats!$F$21)/(Norm_Stats!$G$21-Norm_Stats!$F$21)))))="",0,0.5)+IF((IF(OR(City_Inputs!$AI24="",Norm_Stats!$F$22="",Norm_Stats!$G$22="",Norm_Stats!$G$22=Norm_Stats!$F$22),"",MAX(0,MIN(100,100*(MIN(MAX(City_Inputs!$AI24,Norm_Stats!$F$22),Norm_Stats!$G$22)-Norm_Stats!$F$22)/(Norm_Stats!$G$22-Norm_Stats!$F$22)))))="",0,0.3)+IF((IF(OR(City_Inputs!$AJ24="",Norm_Stats!$F$23="",Norm_Stats!$G$23="",Norm_Stats!$G$23=Norm_Stats!$F$23),"",MAX(0,MIN(100,100*(MIN(MAX(City_Inputs!$AJ24,Norm_Stats!$F$23),Norm_Stats!$G$23)-Norm_Stats!$F$23)/(Norm_Stats!$G$23-Norm_Stats!$F$23)))))="",0,0.2)))</f>
        <v/>
      </c>
      <c r="BA24" s="11">
        <f>IF(OR(City_Inputs!$AG24="",Norm_Stats!$F$24="",Norm_Stats!$G$24="",Norm_Stats!$G$24=Norm_Stats!$F$24),"",MAX(0,MIN(100,100*(Norm_Stats!$G$24-MIN(MAX(City_Inputs!$AG24,Norm_Stats!$F$24),Norm_Stats!$G$24))/(Norm_Stats!$G$24-Norm_Stats!$F$24))))</f>
        <v/>
      </c>
      <c r="BB24" s="14">
        <f>IF(BA24="","",1)</f>
        <v/>
      </c>
      <c r="BC24" s="15">
        <f>IF((IF(AU24="",0,6)+IF(AW24="",0,5)+IF(AY24="",0,5)+IF(BA24="",0,4))=0,"",(IF(AU24="",0,AU24*6)+IF(AW24="",0,AW24*5)+IF(AY24="",0,AY24*5)+IF(BA24="",0,BA24*4))/(IF(AU24="",0,6)+IF(AW24="",0,5)+IF(AY24="",0,5)+IF(BA24="",0,4)))</f>
        <v/>
      </c>
      <c r="BD24" s="14">
        <f>IF((IF(AV24="",0,6)+IF(AX24="",0,5)+IF(AZ24="",0,5)+IF(BB24="",0,4))=0,"",(IF(AV24="",0,AV24*6)+IF(AX24="",0,AX24*5)+IF(AZ24="",0,AZ24*5)+IF(BB24="",0,BB24*4))/20)</f>
        <v/>
      </c>
      <c r="BE24" s="14">
        <f>IF(AND(R24="",AD24="",AL24="",AT24="",BD24=""),"",((R24*25)+(AD24*22)+(AL24*18)+(AT24*15)+(BD24*20))/100)</f>
        <v/>
      </c>
      <c r="BF24" s="11">
        <f>IF(BE24="","",IF(BE24&gt;=0.75,"A",IF(BE24&gt;=0.5,"B",IF(BE24&gt;=0.35,"C","Watchlist"))))</f>
        <v/>
      </c>
      <c r="BG24" s="11">
        <f>IF(OR(BE24="",BE24&lt;0.5,R24="",R24&lt;0.35,AD24="",AD24&lt;0.35,AL24="",AL24&lt;0.35,AT24="",AT24&lt;0.35,BD24="",BD24&lt;0.35),"Watchlist","Ranked")</f>
        <v/>
      </c>
      <c r="BH24" s="15">
        <f>IF(AND(Q24="",AC24="",AK24="",AS24="",BC24=""),"",(IF(Q24="",0,Q24*25)+IF(AC24="",0,AC24*22)+IF(AK24="",0,AK24*18)+IF(AS24="",0,AS24*15)+IF(BC24="",0,BC24*20))/(IF(Q24="",0,25)+IF(AC24="",0,22)+IF(AK24="",0,18)+IF(AS24="",0,15)+IF(BC24="",0,20)))</f>
        <v/>
      </c>
      <c r="BI24" s="11">
        <f>IF(BG24="Ranked",1+COUNTIFS($BG$2:$BG$103,"Ranked",$BH$2:$BH$103,"&gt;"&amp;BH24),"")</f>
        <v/>
      </c>
      <c r="BJ24" s="11">
        <f>City_Inputs!$AH24</f>
        <v/>
      </c>
    </row>
    <row r="25">
      <c r="A25" t="inlineStr">
        <is>
          <t>bd-dhaka</t>
        </is>
      </c>
      <c r="B25" t="inlineStr">
        <is>
          <t>Dhaka</t>
        </is>
      </c>
      <c r="C25" t="inlineStr">
        <is>
          <t>Bangladesh</t>
        </is>
      </c>
      <c r="D25" t="inlineStr">
        <is>
          <t>South Asia</t>
        </is>
      </c>
      <c r="E25" t="inlineStr">
        <is>
          <t>provisional</t>
        </is>
      </c>
      <c r="F25" t="inlineStr">
        <is>
          <t>primary</t>
        </is>
      </c>
      <c r="G25" s="11">
        <f>IF(OR(City_Inputs!$M25="",Norm_Stats!$F$2="",Norm_Stats!$G$2="",Norm_Stats!$G$2=Norm_Stats!$F$2),"",MAX(0,MIN(100,100*(MIN(MAX(City_Inputs!$M25,Norm_Stats!$F$2),Norm_Stats!$G$2)-Norm_Stats!$F$2)/(Norm_Stats!$G$2-Norm_Stats!$F$2))))</f>
        <v/>
      </c>
      <c r="H25" s="14">
        <f>IF(G25="","",1)</f>
        <v/>
      </c>
      <c r="I25" s="11">
        <f>IF(OR(City_Inputs!$N25="",Norm_Stats!$F$3="",Norm_Stats!$G$3="",Norm_Stats!$G$3=Norm_Stats!$F$3),"",MAX(0,MIN(100,100*(Norm_Stats!$G$3-MIN(MAX(City_Inputs!$N25,Norm_Stats!$F$3),Norm_Stats!$G$3))/(Norm_Stats!$G$3-Norm_Stats!$F$3))))</f>
        <v/>
      </c>
      <c r="J25" s="14">
        <f>IF(I25="","",1)</f>
        <v/>
      </c>
      <c r="K25" s="11">
        <f>IF(OR(City_Inputs!$P25="",Norm_Stats!$F$4="",Norm_Stats!$G$4="",Norm_Stats!$G$4=Norm_Stats!$F$4),"",MAX(0,MIN(100,100*(Norm_Stats!$G$4-MIN(MAX(City_Inputs!$P25,Norm_Stats!$F$4),Norm_Stats!$G$4))/(Norm_Stats!$G$4-Norm_Stats!$F$4))))</f>
        <v/>
      </c>
      <c r="L25" s="14">
        <f>IF(K25="","",1)</f>
        <v/>
      </c>
      <c r="M25" s="11">
        <f>IF(OR(City_Inputs!$Q25="",Norm_Stats!$F$5="",Norm_Stats!$G$5="",Norm_Stats!$G$5=Norm_Stats!$F$5),"",MAX(0,MIN(100,100*(Norm_Stats!$G$5-MIN(MAX(City_Inputs!$Q25,Norm_Stats!$F$5),Norm_Stats!$G$5))/(Norm_Stats!$G$5-Norm_Stats!$F$5))))</f>
        <v/>
      </c>
      <c r="N25" s="14">
        <f>IF(M25="","",1)</f>
        <v/>
      </c>
      <c r="O25" s="11">
        <f>IF(OR(City_Inputs!$R25="",Norm_Stats!$F$6="",Norm_Stats!$G$6="",Norm_Stats!$G$6=Norm_Stats!$F$6),"",MAX(0,MIN(100,100*(Norm_Stats!$G$6-MIN(MAX(City_Inputs!$R25,Norm_Stats!$F$6),Norm_Stats!$G$6))/(Norm_Stats!$G$6-Norm_Stats!$F$6))))</f>
        <v/>
      </c>
      <c r="P25" s="14">
        <f>IF(O25="","",1)</f>
        <v/>
      </c>
      <c r="Q25" s="15">
        <f>IF((IF(G25="",0,9)+IF(I25="",0,5)+IF(K25="",0,4)+IF(M25="",0,4)+IF(O25="",0,3))=0,"",(IF(G25="",0,G25*9)+IF(I25="",0,I25*5)+IF(K25="",0,K25*4)+IF(M25="",0,M25*4)+IF(O25="",0,O25*3))/(IF(G25="",0,9)+IF(I25="",0,5)+IF(K25="",0,4)+IF(M25="",0,4)+IF(O25="",0,3)))</f>
        <v/>
      </c>
      <c r="R25" s="14">
        <f>IF((IF(H25="",0,9)+IF(J25="",0,5)+IF(L25="",0,4)+IF(N25="",0,4)+IF(P25="",0,3))=0,"",(IF(H25="",0,H25*9)+IF(J25="",0,J25*5)+IF(L25="",0,L25*4)+IF(N25="",0,N25*4)+IF(P25="",0,P25*3))/25)</f>
        <v/>
      </c>
      <c r="S25" s="11">
        <f>IF(OR(City_Inputs!$S25="",Norm_Stats!$F$7="",Norm_Stats!$G$7="",Norm_Stats!$G$7=Norm_Stats!$F$7),"",MAX(0,MIN(100,100*(Norm_Stats!$G$7-MIN(MAX(City_Inputs!$S25,Norm_Stats!$F$7),Norm_Stats!$G$7))/(Norm_Stats!$G$7-Norm_Stats!$F$7))))</f>
        <v/>
      </c>
      <c r="T25" s="14">
        <f>IF(S25="","",1)</f>
        <v/>
      </c>
      <c r="U25" s="11">
        <f>IF(OR(City_Inputs!$T25="",Norm_Stats!$F$8="",Norm_Stats!$G$8="",Norm_Stats!$G$8=Norm_Stats!$F$8),"",MAX(0,MIN(100,100*(MIN(MAX(City_Inputs!$T25,Norm_Stats!$F$8),Norm_Stats!$G$8)-Norm_Stats!$F$8)/(Norm_Stats!$G$8-Norm_Stats!$F$8))))</f>
        <v/>
      </c>
      <c r="V25" s="14">
        <f>IF(U25="","",1)</f>
        <v/>
      </c>
      <c r="W25" s="11">
        <f>IF(OR(City_Inputs!$U25="",Norm_Stats!$F$9="",Norm_Stats!$G$9="",Norm_Stats!$G$9=Norm_Stats!$F$9),"",MAX(0,MIN(100,100*(Norm_Stats!$G$9-MIN(MAX(City_Inputs!$U25,Norm_Stats!$F$9),Norm_Stats!$G$9))/(Norm_Stats!$G$9-Norm_Stats!$F$9))))</f>
        <v/>
      </c>
      <c r="X25" s="14">
        <f>IF(W25="","",1)</f>
        <v/>
      </c>
      <c r="Y25" s="11">
        <f>IF(OR(City_Inputs!$V25="",Norm_Stats!$F$10="",Norm_Stats!$G$10="",Norm_Stats!$G$10=Norm_Stats!$F$10),"",MAX(0,MIN(100,100*(MIN(MAX(City_Inputs!$V25,Norm_Stats!$F$10),Norm_Stats!$G$10)-Norm_Stats!$F$10)/(Norm_Stats!$G$10-Norm_Stats!$F$10))))</f>
        <v/>
      </c>
      <c r="Z25" s="14">
        <f>IF(Y25="","",1)</f>
        <v/>
      </c>
      <c r="AA25" s="11">
        <f>IF(OR(City_Inputs!$W25="",Norm_Stats!$F$11="",Norm_Stats!$G$11="",Norm_Stats!$G$11=Norm_Stats!$F$11),"",MAX(0,MIN(100,100*(MIN(MAX(City_Inputs!$W25,Norm_Stats!$F$11),Norm_Stats!$G$11)-Norm_Stats!$F$11)/(Norm_Stats!$G$11-Norm_Stats!$F$11))))</f>
        <v/>
      </c>
      <c r="AB25" s="14">
        <f>IF(AA25="","",1)</f>
        <v/>
      </c>
      <c r="AC25" s="15">
        <f>IF((IF(S25="",0,5)+IF(U25="",0,5)+IF(W25="",0,4)+IF(Y25="",0,4)+IF(AA25="",0,4))=0,"",(IF(S25="",0,S25*5)+IF(U25="",0,U25*5)+IF(W25="",0,W25*4)+IF(Y25="",0,Y25*4)+IF(AA25="",0,AA25*4))/(IF(S25="",0,5)+IF(U25="",0,5)+IF(W25="",0,4)+IF(Y25="",0,4)+IF(AA25="",0,4)))</f>
        <v/>
      </c>
      <c r="AD25" s="14">
        <f>IF((IF(T25="",0,5)+IF(V25="",0,5)+IF(X25="",0,4)+IF(Z25="",0,4)+IF(AB25="",0,4))=0,"",(IF(T25="",0,T25*5)+IF(V25="",0,V25*5)+IF(X25="",0,X25*4)+IF(Z25="",0,Z25*4)+IF(AB25="",0,AB25*4))/22)</f>
        <v/>
      </c>
      <c r="AE25" s="11">
        <f>IF(OR(City_Inputs!$X25="",Norm_Stats!$F$12="",Norm_Stats!$G$12="",Norm_Stats!$G$12=Norm_Stats!$F$12),"",MAX(0,MIN(100,100*(MIN(MAX(City_Inputs!$X25,Norm_Stats!$F$12),Norm_Stats!$G$12)-Norm_Stats!$F$12)/(Norm_Stats!$G$12-Norm_Stats!$F$12))))</f>
        <v/>
      </c>
      <c r="AF25" s="14">
        <f>IF(AE25="","",1)</f>
        <v/>
      </c>
      <c r="AG25" s="11">
        <f>IF(OR(City_Inputs!$Y25="",Norm_Stats!$F$13="",Norm_Stats!$G$13="",Norm_Stats!$G$13=Norm_Stats!$F$13),"",MAX(0,MIN(100,100*(MIN(MAX(City_Inputs!$Y25,Norm_Stats!$F$13),Norm_Stats!$G$13)-Norm_Stats!$F$13)/(Norm_Stats!$G$13-Norm_Stats!$F$13))))</f>
        <v/>
      </c>
      <c r="AH25" s="14">
        <f>IF(AG25="","",1)</f>
        <v/>
      </c>
      <c r="AI25" s="11">
        <f>IF((IF((IF(OR(City_Inputs!$Z25="",Norm_Stats!$F$14="",Norm_Stats!$G$14="",Norm_Stats!$G$14=Norm_Stats!$F$14),"",MAX(0,MIN(100,100*(MIN(MAX(City_Inputs!$Z25,Norm_Stats!$F$14),Norm_Stats!$G$14)-Norm_Stats!$F$14)/(Norm_Stats!$G$14-Norm_Stats!$F$14)))))="",0,0.7)+IF((IF(OR(City_Inputs!$AK25="",Norm_Stats!$F$15="",Norm_Stats!$G$15="",Norm_Stats!$G$15=Norm_Stats!$F$15),"",MAX(0,MIN(100,100*(Norm_Stats!$G$15-MIN(MAX(City_Inputs!$AK25,Norm_Stats!$F$15),Norm_Stats!$G$15))/(Norm_Stats!$G$15-Norm_Stats!$F$15)))))="",0,0.3))=0,"",(IF((IF(OR(City_Inputs!$Z25="",Norm_Stats!$F$14="",Norm_Stats!$G$14="",Norm_Stats!$G$14=Norm_Stats!$F$14),"",MAX(0,MIN(100,100*(MIN(MAX(City_Inputs!$Z25,Norm_Stats!$F$14),Norm_Stats!$G$14)-Norm_Stats!$F$14)/(Norm_Stats!$G$14-Norm_Stats!$F$14)))))="",0,(IF(OR(City_Inputs!$Z25="",Norm_Stats!$F$14="",Norm_Stats!$G$14="",Norm_Stats!$G$14=Norm_Stats!$F$14),"",MAX(0,MIN(100,100*(MIN(MAX(City_Inputs!$Z25,Norm_Stats!$F$14),Norm_Stats!$G$14)-Norm_Stats!$F$14)/(Norm_Stats!$G$14-Norm_Stats!$F$14)))))*0.7)+IF((IF(OR(City_Inputs!$AK25="",Norm_Stats!$F$15="",Norm_Stats!$G$15="",Norm_Stats!$G$15=Norm_Stats!$F$15),"",MAX(0,MIN(100,100*(Norm_Stats!$G$15-MIN(MAX(City_Inputs!$AK25,Norm_Stats!$F$15),Norm_Stats!$G$15))/(Norm_Stats!$G$15-Norm_Stats!$F$15)))))="",0,(IF(OR(City_Inputs!$AK25="",Norm_Stats!$F$15="",Norm_Stats!$G$15="",Norm_Stats!$G$15=Norm_Stats!$F$15),"",MAX(0,MIN(100,100*(Norm_Stats!$G$15-MIN(MAX(City_Inputs!$AK25,Norm_Stats!$F$15),Norm_Stats!$G$15))/(Norm_Stats!$G$15-Norm_Stats!$F$15)))))*0.3))/(IF((IF(OR(City_Inputs!$Z25="",Norm_Stats!$F$14="",Norm_Stats!$G$14="",Norm_Stats!$G$14=Norm_Stats!$F$14),"",MAX(0,MIN(100,100*(MIN(MAX(City_Inputs!$Z25,Norm_Stats!$F$14),Norm_Stats!$G$14)-Norm_Stats!$F$14)/(Norm_Stats!$G$14-Norm_Stats!$F$14)))))="",0,0.7)+IF((IF(OR(City_Inputs!$AK25="",Norm_Stats!$F$15="",Norm_Stats!$G$15="",Norm_Stats!$G$15=Norm_Stats!$F$15),"",MAX(0,MIN(100,100*(Norm_Stats!$G$15-MIN(MAX(City_Inputs!$AK25,Norm_Stats!$F$15),Norm_Stats!$G$15))/(Norm_Stats!$G$15-Norm_Stats!$F$15)))))="",0,0.3)))</f>
        <v/>
      </c>
      <c r="AJ25" s="14">
        <f>IF((IF((IF(OR(City_Inputs!$Z25="",Norm_Stats!$F$14="",Norm_Stats!$G$14="",Norm_Stats!$G$14=Norm_Stats!$F$14),"",MAX(0,MIN(100,100*(MIN(MAX(City_Inputs!$Z25,Norm_Stats!$F$14),Norm_Stats!$G$14)-Norm_Stats!$F$14)/(Norm_Stats!$G$14-Norm_Stats!$F$14)))))="",0,0.7)+IF((IF(OR(City_Inputs!$AK25="",Norm_Stats!$F$15="",Norm_Stats!$G$15="",Norm_Stats!$G$15=Norm_Stats!$F$15),"",MAX(0,MIN(100,100*(Norm_Stats!$G$15-MIN(MAX(City_Inputs!$AK25,Norm_Stats!$F$15),Norm_Stats!$G$15))/(Norm_Stats!$G$15-Norm_Stats!$F$15)))))="",0,0.3))=0,"",(IF((IF(OR(City_Inputs!$Z25="",Norm_Stats!$F$14="",Norm_Stats!$G$14="",Norm_Stats!$G$14=Norm_Stats!$F$14),"",MAX(0,MIN(100,100*(MIN(MAX(City_Inputs!$Z25,Norm_Stats!$F$14),Norm_Stats!$G$14)-Norm_Stats!$F$14)/(Norm_Stats!$G$14-Norm_Stats!$F$14)))))="",0,0.7)+IF((IF(OR(City_Inputs!$AK25="",Norm_Stats!$F$15="",Norm_Stats!$G$15="",Norm_Stats!$G$15=Norm_Stats!$F$15),"",MAX(0,MIN(100,100*(Norm_Stats!$G$15-MIN(MAX(City_Inputs!$AK25,Norm_Stats!$F$15),Norm_Stats!$G$15))/(Norm_Stats!$G$15-Norm_Stats!$F$15)))))="",0,0.3)))</f>
        <v/>
      </c>
      <c r="AK25" s="15">
        <f>IF((IF(AE25="",0,8)+IF(AG25="",0,6)+IF(AI25="",0,4))=0,"",(IF(AE25="",0,AE25*8)+IF(AG25="",0,AG25*6)+IF(AI25="",0,AI25*4))/(IF(AE25="",0,8)+IF(AG25="",0,6)+IF(AI25="",0,4)))</f>
        <v/>
      </c>
      <c r="AL25" s="14">
        <f>IF((IF(AF25="",0,8)+IF(AH25="",0,6)+IF(AJ25="",0,4))=0,"",(IF(AF25="",0,AF25*8)+IF(AH25="",0,AH25*6)+IF(AJ25="",0,AJ25*4))/18)</f>
        <v/>
      </c>
      <c r="AM25" s="11">
        <f>IF(OR(City_Inputs!$AA25="",Norm_Stats!$F$16="",Norm_Stats!$G$16="",Norm_Stats!$G$16=Norm_Stats!$F$16),"",MAX(0,MIN(100,100*(MIN(MAX(City_Inputs!$AA25,Norm_Stats!$F$16),Norm_Stats!$G$16)-Norm_Stats!$F$16)/(Norm_Stats!$G$16-Norm_Stats!$F$16))))</f>
        <v/>
      </c>
      <c r="AN25" s="14">
        <f>IF(AM25="","",1)</f>
        <v/>
      </c>
      <c r="AO25" s="11">
        <f>IF(OR(City_Inputs!$AB25="",Norm_Stats!$F$17="",Norm_Stats!$G$17="",Norm_Stats!$G$17=Norm_Stats!$F$17),"",MAX(0,MIN(100,100*(MIN(MAX(City_Inputs!$AB25,Norm_Stats!$F$17),Norm_Stats!$G$17)-Norm_Stats!$F$17)/(Norm_Stats!$G$17-Norm_Stats!$F$17))))</f>
        <v/>
      </c>
      <c r="AP25" s="14">
        <f>IF(AO25="","",1)</f>
        <v/>
      </c>
      <c r="AQ25" s="11">
        <f>IF(OR(City_Inputs!$AC25="",Norm_Stats!$F$18="",Norm_Stats!$G$18="",Norm_Stats!$G$18=Norm_Stats!$F$18),"",MAX(0,MIN(100,100*(MIN(MAX(City_Inputs!$AC25,Norm_Stats!$F$18),Norm_Stats!$G$18)-Norm_Stats!$F$18)/(Norm_Stats!$G$18-Norm_Stats!$F$18))))</f>
        <v/>
      </c>
      <c r="AR25" s="14">
        <f>IF(AQ25="","",1)</f>
        <v/>
      </c>
      <c r="AS25" s="15">
        <f>IF((IF(AM25="",0,5)+IF(AO25="",0,5)+IF(AQ25="",0,5))=0,"",(IF(AM25="",0,AM25*5)+IF(AO25="",0,AO25*5)+IF(AQ25="",0,AQ25*5))/(IF(AM25="",0,5)+IF(AO25="",0,5)+IF(AQ25="",0,5)))</f>
        <v/>
      </c>
      <c r="AT25" s="14">
        <f>IF((IF(AN25="",0,5)+IF(AP25="",0,5)+IF(AR25="",0,5))=0,"",(IF(AN25="",0,AN25*5)+IF(AP25="",0,AP25*5)+IF(AR25="",0,AR25*5))/15)</f>
        <v/>
      </c>
      <c r="AU25" s="11">
        <f>IF(OR(City_Inputs!$AD25="",Norm_Stats!$F$19="",Norm_Stats!$G$19="",Norm_Stats!$G$19=Norm_Stats!$F$19),"",MAX(0,MIN(100,100*(MIN(MAX(City_Inputs!$AD25,Norm_Stats!$F$19),Norm_Stats!$G$19)-Norm_Stats!$F$19)/(Norm_Stats!$G$19-Norm_Stats!$F$19))))</f>
        <v/>
      </c>
      <c r="AV25" s="14">
        <f>IF(AU25="","",1)</f>
        <v/>
      </c>
      <c r="AW25" s="11">
        <f>IF(OR(City_Inputs!$AE25="",Norm_Stats!$F$20="",Norm_Stats!$G$20="",Norm_Stats!$G$20=Norm_Stats!$F$20),"",MAX(0,MIN(100,100*(MIN(MAX(City_Inputs!$AE25,Norm_Stats!$F$20),Norm_Stats!$G$20)-Norm_Stats!$F$20)/(Norm_Stats!$G$20-Norm_Stats!$F$20))))</f>
        <v/>
      </c>
      <c r="AX25" s="14">
        <f>IF(AW25="","",1)</f>
        <v/>
      </c>
      <c r="AY25" s="11">
        <f>IF((IF((IF(OR(City_Inputs!$AF25="",Norm_Stats!$F$21="",Norm_Stats!$G$21="",Norm_Stats!$G$21=Norm_Stats!$F$21),"",MAX(0,MIN(100,100*(MIN(MAX(City_Inputs!$AF25,Norm_Stats!$F$21),Norm_Stats!$G$21)-Norm_Stats!$F$21)/(Norm_Stats!$G$21-Norm_Stats!$F$21)))))="",0,0.5)+IF((IF(OR(City_Inputs!$AI25="",Norm_Stats!$F$22="",Norm_Stats!$G$22="",Norm_Stats!$G$22=Norm_Stats!$F$22),"",MAX(0,MIN(100,100*(MIN(MAX(City_Inputs!$AI25,Norm_Stats!$F$22),Norm_Stats!$G$22)-Norm_Stats!$F$22)/(Norm_Stats!$G$22-Norm_Stats!$F$22)))))="",0,0.3)+IF((IF(OR(City_Inputs!$AJ25="",Norm_Stats!$F$23="",Norm_Stats!$G$23="",Norm_Stats!$G$23=Norm_Stats!$F$23),"",MAX(0,MIN(100,100*(MIN(MAX(City_Inputs!$AJ25,Norm_Stats!$F$23),Norm_Stats!$G$23)-Norm_Stats!$F$23)/(Norm_Stats!$G$23-Norm_Stats!$F$23)))))="",0,0.2))=0,"",(IF((IF(OR(City_Inputs!$AF25="",Norm_Stats!$F$21="",Norm_Stats!$G$21="",Norm_Stats!$G$21=Norm_Stats!$F$21),"",MAX(0,MIN(100,100*(MIN(MAX(City_Inputs!$AF25,Norm_Stats!$F$21),Norm_Stats!$G$21)-Norm_Stats!$F$21)/(Norm_Stats!$G$21-Norm_Stats!$F$21)))))="",0,(IF(OR(City_Inputs!$AF25="",Norm_Stats!$F$21="",Norm_Stats!$G$21="",Norm_Stats!$G$21=Norm_Stats!$F$21),"",MAX(0,MIN(100,100*(MIN(MAX(City_Inputs!$AF25,Norm_Stats!$F$21),Norm_Stats!$G$21)-Norm_Stats!$F$21)/(Norm_Stats!$G$21-Norm_Stats!$F$21)))))*0.5)+IF((IF(OR(City_Inputs!$AI25="",Norm_Stats!$F$22="",Norm_Stats!$G$22="",Norm_Stats!$G$22=Norm_Stats!$F$22),"",MAX(0,MIN(100,100*(MIN(MAX(City_Inputs!$AI25,Norm_Stats!$F$22),Norm_Stats!$G$22)-Norm_Stats!$F$22)/(Norm_Stats!$G$22-Norm_Stats!$F$22)))))="",0,(IF(OR(City_Inputs!$AI25="",Norm_Stats!$F$22="",Norm_Stats!$G$22="",Norm_Stats!$G$22=Norm_Stats!$F$22),"",MAX(0,MIN(100,100*(MIN(MAX(City_Inputs!$AI25,Norm_Stats!$F$22),Norm_Stats!$G$22)-Norm_Stats!$F$22)/(Norm_Stats!$G$22-Norm_Stats!$F$22)))))*0.3)+IF((IF(OR(City_Inputs!$AJ25="",Norm_Stats!$F$23="",Norm_Stats!$G$23="",Norm_Stats!$G$23=Norm_Stats!$F$23),"",MAX(0,MIN(100,100*(MIN(MAX(City_Inputs!$AJ25,Norm_Stats!$F$23),Norm_Stats!$G$23)-Norm_Stats!$F$23)/(Norm_Stats!$G$23-Norm_Stats!$F$23)))))="",0,(IF(OR(City_Inputs!$AJ25="",Norm_Stats!$F$23="",Norm_Stats!$G$23="",Norm_Stats!$G$23=Norm_Stats!$F$23),"",MAX(0,MIN(100,100*(MIN(MAX(City_Inputs!$AJ25,Norm_Stats!$F$23),Norm_Stats!$G$23)-Norm_Stats!$F$23)/(Norm_Stats!$G$23-Norm_Stats!$F$23)))))*0.2))/(IF((IF(OR(City_Inputs!$AF25="",Norm_Stats!$F$21="",Norm_Stats!$G$21="",Norm_Stats!$G$21=Norm_Stats!$F$21),"",MAX(0,MIN(100,100*(MIN(MAX(City_Inputs!$AF25,Norm_Stats!$F$21),Norm_Stats!$G$21)-Norm_Stats!$F$21)/(Norm_Stats!$G$21-Norm_Stats!$F$21)))))="",0,0.5)+IF((IF(OR(City_Inputs!$AI25="",Norm_Stats!$F$22="",Norm_Stats!$G$22="",Norm_Stats!$G$22=Norm_Stats!$F$22),"",MAX(0,MIN(100,100*(MIN(MAX(City_Inputs!$AI25,Norm_Stats!$F$22),Norm_Stats!$G$22)-Norm_Stats!$F$22)/(Norm_Stats!$G$22-Norm_Stats!$F$22)))))="",0,0.3)+IF((IF(OR(City_Inputs!$AJ25="",Norm_Stats!$F$23="",Norm_Stats!$G$23="",Norm_Stats!$G$23=Norm_Stats!$F$23),"",MAX(0,MIN(100,100*(MIN(MAX(City_Inputs!$AJ25,Norm_Stats!$F$23),Norm_Stats!$G$23)-Norm_Stats!$F$23)/(Norm_Stats!$G$23-Norm_Stats!$F$23)))))="",0,0.2)))</f>
        <v/>
      </c>
      <c r="AZ25" s="14">
        <f>IF((IF((IF(OR(City_Inputs!$AF25="",Norm_Stats!$F$21="",Norm_Stats!$G$21="",Norm_Stats!$G$21=Norm_Stats!$F$21),"",MAX(0,MIN(100,100*(MIN(MAX(City_Inputs!$AF25,Norm_Stats!$F$21),Norm_Stats!$G$21)-Norm_Stats!$F$21)/(Norm_Stats!$G$21-Norm_Stats!$F$21)))))="",0,0.5)+IF((IF(OR(City_Inputs!$AI25="",Norm_Stats!$F$22="",Norm_Stats!$G$22="",Norm_Stats!$G$22=Norm_Stats!$F$22),"",MAX(0,MIN(100,100*(MIN(MAX(City_Inputs!$AI25,Norm_Stats!$F$22),Norm_Stats!$G$22)-Norm_Stats!$F$22)/(Norm_Stats!$G$22-Norm_Stats!$F$22)))))="",0,0.3)+IF((IF(OR(City_Inputs!$AJ25="",Norm_Stats!$F$23="",Norm_Stats!$G$23="",Norm_Stats!$G$23=Norm_Stats!$F$23),"",MAX(0,MIN(100,100*(MIN(MAX(City_Inputs!$AJ25,Norm_Stats!$F$23),Norm_Stats!$G$23)-Norm_Stats!$F$23)/(Norm_Stats!$G$23-Norm_Stats!$F$23)))))="",0,0.2))=0,"",(IF((IF(OR(City_Inputs!$AF25="",Norm_Stats!$F$21="",Norm_Stats!$G$21="",Norm_Stats!$G$21=Norm_Stats!$F$21),"",MAX(0,MIN(100,100*(MIN(MAX(City_Inputs!$AF25,Norm_Stats!$F$21),Norm_Stats!$G$21)-Norm_Stats!$F$21)/(Norm_Stats!$G$21-Norm_Stats!$F$21)))))="",0,0.5)+IF((IF(OR(City_Inputs!$AI25="",Norm_Stats!$F$22="",Norm_Stats!$G$22="",Norm_Stats!$G$22=Norm_Stats!$F$22),"",MAX(0,MIN(100,100*(MIN(MAX(City_Inputs!$AI25,Norm_Stats!$F$22),Norm_Stats!$G$22)-Norm_Stats!$F$22)/(Norm_Stats!$G$22-Norm_Stats!$F$22)))))="",0,0.3)+IF((IF(OR(City_Inputs!$AJ25="",Norm_Stats!$F$23="",Norm_Stats!$G$23="",Norm_Stats!$G$23=Norm_Stats!$F$23),"",MAX(0,MIN(100,100*(MIN(MAX(City_Inputs!$AJ25,Norm_Stats!$F$23),Norm_Stats!$G$23)-Norm_Stats!$F$23)/(Norm_Stats!$G$23-Norm_Stats!$F$23)))))="",0,0.2)))</f>
        <v/>
      </c>
      <c r="BA25" s="11">
        <f>IF(OR(City_Inputs!$AG25="",Norm_Stats!$F$24="",Norm_Stats!$G$24="",Norm_Stats!$G$24=Norm_Stats!$F$24),"",MAX(0,MIN(100,100*(Norm_Stats!$G$24-MIN(MAX(City_Inputs!$AG25,Norm_Stats!$F$24),Norm_Stats!$G$24))/(Norm_Stats!$G$24-Norm_Stats!$F$24))))</f>
        <v/>
      </c>
      <c r="BB25" s="14">
        <f>IF(BA25="","",1)</f>
        <v/>
      </c>
      <c r="BC25" s="15">
        <f>IF((IF(AU25="",0,6)+IF(AW25="",0,5)+IF(AY25="",0,5)+IF(BA25="",0,4))=0,"",(IF(AU25="",0,AU25*6)+IF(AW25="",0,AW25*5)+IF(AY25="",0,AY25*5)+IF(BA25="",0,BA25*4))/(IF(AU25="",0,6)+IF(AW25="",0,5)+IF(AY25="",0,5)+IF(BA25="",0,4)))</f>
        <v/>
      </c>
      <c r="BD25" s="14">
        <f>IF((IF(AV25="",0,6)+IF(AX25="",0,5)+IF(AZ25="",0,5)+IF(BB25="",0,4))=0,"",(IF(AV25="",0,AV25*6)+IF(AX25="",0,AX25*5)+IF(AZ25="",0,AZ25*5)+IF(BB25="",0,BB25*4))/20)</f>
        <v/>
      </c>
      <c r="BE25" s="14">
        <f>IF(AND(R25="",AD25="",AL25="",AT25="",BD25=""),"",((R25*25)+(AD25*22)+(AL25*18)+(AT25*15)+(BD25*20))/100)</f>
        <v/>
      </c>
      <c r="BF25" s="11">
        <f>IF(BE25="","",IF(BE25&gt;=0.75,"A",IF(BE25&gt;=0.5,"B",IF(BE25&gt;=0.35,"C","Watchlist"))))</f>
        <v/>
      </c>
      <c r="BG25" s="11">
        <f>IF(OR(BE25="",BE25&lt;0.5,R25="",R25&lt;0.35,AD25="",AD25&lt;0.35,AL25="",AL25&lt;0.35,AT25="",AT25&lt;0.35,BD25="",BD25&lt;0.35),"Watchlist","Ranked")</f>
        <v/>
      </c>
      <c r="BH25" s="15">
        <f>IF(AND(Q25="",AC25="",AK25="",AS25="",BC25=""),"",(IF(Q25="",0,Q25*25)+IF(AC25="",0,AC25*22)+IF(AK25="",0,AK25*18)+IF(AS25="",0,AS25*15)+IF(BC25="",0,BC25*20))/(IF(Q25="",0,25)+IF(AC25="",0,22)+IF(AK25="",0,18)+IF(AS25="",0,15)+IF(BC25="",0,20)))</f>
        <v/>
      </c>
      <c r="BI25" s="11">
        <f>IF(BG25="Ranked",1+COUNTIFS($BG$2:$BG$103,"Ranked",$BH$2:$BH$103,"&gt;"&amp;BH25),"")</f>
        <v/>
      </c>
      <c r="BJ25" s="11">
        <f>City_Inputs!$AH25</f>
        <v/>
      </c>
    </row>
    <row r="26">
      <c r="A26" t="inlineStr">
        <is>
          <t>pk-karachi</t>
        </is>
      </c>
      <c r="B26" t="inlineStr">
        <is>
          <t>Karachi</t>
        </is>
      </c>
      <c r="C26" t="inlineStr">
        <is>
          <t>Pakistan</t>
        </is>
      </c>
      <c r="D26" t="inlineStr">
        <is>
          <t>South Asia</t>
        </is>
      </c>
      <c r="E26" t="inlineStr">
        <is>
          <t>provisional</t>
        </is>
      </c>
      <c r="F26" t="inlineStr">
        <is>
          <t>primary</t>
        </is>
      </c>
      <c r="G26" s="11">
        <f>IF(OR(City_Inputs!$M26="",Norm_Stats!$F$2="",Norm_Stats!$G$2="",Norm_Stats!$G$2=Norm_Stats!$F$2),"",MAX(0,MIN(100,100*(MIN(MAX(City_Inputs!$M26,Norm_Stats!$F$2),Norm_Stats!$G$2)-Norm_Stats!$F$2)/(Norm_Stats!$G$2-Norm_Stats!$F$2))))</f>
        <v/>
      </c>
      <c r="H26" s="14">
        <f>IF(G26="","",1)</f>
        <v/>
      </c>
      <c r="I26" s="11">
        <f>IF(OR(City_Inputs!$N26="",Norm_Stats!$F$3="",Norm_Stats!$G$3="",Norm_Stats!$G$3=Norm_Stats!$F$3),"",MAX(0,MIN(100,100*(Norm_Stats!$G$3-MIN(MAX(City_Inputs!$N26,Norm_Stats!$F$3),Norm_Stats!$G$3))/(Norm_Stats!$G$3-Norm_Stats!$F$3))))</f>
        <v/>
      </c>
      <c r="J26" s="14">
        <f>IF(I26="","",1)</f>
        <v/>
      </c>
      <c r="K26" s="11">
        <f>IF(OR(City_Inputs!$P26="",Norm_Stats!$F$4="",Norm_Stats!$G$4="",Norm_Stats!$G$4=Norm_Stats!$F$4),"",MAX(0,MIN(100,100*(Norm_Stats!$G$4-MIN(MAX(City_Inputs!$P26,Norm_Stats!$F$4),Norm_Stats!$G$4))/(Norm_Stats!$G$4-Norm_Stats!$F$4))))</f>
        <v/>
      </c>
      <c r="L26" s="14">
        <f>IF(K26="","",1)</f>
        <v/>
      </c>
      <c r="M26" s="11">
        <f>IF(OR(City_Inputs!$Q26="",Norm_Stats!$F$5="",Norm_Stats!$G$5="",Norm_Stats!$G$5=Norm_Stats!$F$5),"",MAX(0,MIN(100,100*(Norm_Stats!$G$5-MIN(MAX(City_Inputs!$Q26,Norm_Stats!$F$5),Norm_Stats!$G$5))/(Norm_Stats!$G$5-Norm_Stats!$F$5))))</f>
        <v/>
      </c>
      <c r="N26" s="14">
        <f>IF(M26="","",1)</f>
        <v/>
      </c>
      <c r="O26" s="11">
        <f>IF(OR(City_Inputs!$R26="",Norm_Stats!$F$6="",Norm_Stats!$G$6="",Norm_Stats!$G$6=Norm_Stats!$F$6),"",MAX(0,MIN(100,100*(Norm_Stats!$G$6-MIN(MAX(City_Inputs!$R26,Norm_Stats!$F$6),Norm_Stats!$G$6))/(Norm_Stats!$G$6-Norm_Stats!$F$6))))</f>
        <v/>
      </c>
      <c r="P26" s="14">
        <f>IF(O26="","",1)</f>
        <v/>
      </c>
      <c r="Q26" s="15">
        <f>IF((IF(G26="",0,9)+IF(I26="",0,5)+IF(K26="",0,4)+IF(M26="",0,4)+IF(O26="",0,3))=0,"",(IF(G26="",0,G26*9)+IF(I26="",0,I26*5)+IF(K26="",0,K26*4)+IF(M26="",0,M26*4)+IF(O26="",0,O26*3))/(IF(G26="",0,9)+IF(I26="",0,5)+IF(K26="",0,4)+IF(M26="",0,4)+IF(O26="",0,3)))</f>
        <v/>
      </c>
      <c r="R26" s="14">
        <f>IF((IF(H26="",0,9)+IF(J26="",0,5)+IF(L26="",0,4)+IF(N26="",0,4)+IF(P26="",0,3))=0,"",(IF(H26="",0,H26*9)+IF(J26="",0,J26*5)+IF(L26="",0,L26*4)+IF(N26="",0,N26*4)+IF(P26="",0,P26*3))/25)</f>
        <v/>
      </c>
      <c r="S26" s="11">
        <f>IF(OR(City_Inputs!$S26="",Norm_Stats!$F$7="",Norm_Stats!$G$7="",Norm_Stats!$G$7=Norm_Stats!$F$7),"",MAX(0,MIN(100,100*(Norm_Stats!$G$7-MIN(MAX(City_Inputs!$S26,Norm_Stats!$F$7),Norm_Stats!$G$7))/(Norm_Stats!$G$7-Norm_Stats!$F$7))))</f>
        <v/>
      </c>
      <c r="T26" s="14">
        <f>IF(S26="","",1)</f>
        <v/>
      </c>
      <c r="U26" s="11">
        <f>IF(OR(City_Inputs!$T26="",Norm_Stats!$F$8="",Norm_Stats!$G$8="",Norm_Stats!$G$8=Norm_Stats!$F$8),"",MAX(0,MIN(100,100*(MIN(MAX(City_Inputs!$T26,Norm_Stats!$F$8),Norm_Stats!$G$8)-Norm_Stats!$F$8)/(Norm_Stats!$G$8-Norm_Stats!$F$8))))</f>
        <v/>
      </c>
      <c r="V26" s="14">
        <f>IF(U26="","",1)</f>
        <v/>
      </c>
      <c r="W26" s="11">
        <f>IF(OR(City_Inputs!$U26="",Norm_Stats!$F$9="",Norm_Stats!$G$9="",Norm_Stats!$G$9=Norm_Stats!$F$9),"",MAX(0,MIN(100,100*(Norm_Stats!$G$9-MIN(MAX(City_Inputs!$U26,Norm_Stats!$F$9),Norm_Stats!$G$9))/(Norm_Stats!$G$9-Norm_Stats!$F$9))))</f>
        <v/>
      </c>
      <c r="X26" s="14">
        <f>IF(W26="","",1)</f>
        <v/>
      </c>
      <c r="Y26" s="11">
        <f>IF(OR(City_Inputs!$V26="",Norm_Stats!$F$10="",Norm_Stats!$G$10="",Norm_Stats!$G$10=Norm_Stats!$F$10),"",MAX(0,MIN(100,100*(MIN(MAX(City_Inputs!$V26,Norm_Stats!$F$10),Norm_Stats!$G$10)-Norm_Stats!$F$10)/(Norm_Stats!$G$10-Norm_Stats!$F$10))))</f>
        <v/>
      </c>
      <c r="Z26" s="14">
        <f>IF(Y26="","",1)</f>
        <v/>
      </c>
      <c r="AA26" s="11">
        <f>IF(OR(City_Inputs!$W26="",Norm_Stats!$F$11="",Norm_Stats!$G$11="",Norm_Stats!$G$11=Norm_Stats!$F$11),"",MAX(0,MIN(100,100*(MIN(MAX(City_Inputs!$W26,Norm_Stats!$F$11),Norm_Stats!$G$11)-Norm_Stats!$F$11)/(Norm_Stats!$G$11-Norm_Stats!$F$11))))</f>
        <v/>
      </c>
      <c r="AB26" s="14">
        <f>IF(AA26="","",1)</f>
        <v/>
      </c>
      <c r="AC26" s="15">
        <f>IF((IF(S26="",0,5)+IF(U26="",0,5)+IF(W26="",0,4)+IF(Y26="",0,4)+IF(AA26="",0,4))=0,"",(IF(S26="",0,S26*5)+IF(U26="",0,U26*5)+IF(W26="",0,W26*4)+IF(Y26="",0,Y26*4)+IF(AA26="",0,AA26*4))/(IF(S26="",0,5)+IF(U26="",0,5)+IF(W26="",0,4)+IF(Y26="",0,4)+IF(AA26="",0,4)))</f>
        <v/>
      </c>
      <c r="AD26" s="14">
        <f>IF((IF(T26="",0,5)+IF(V26="",0,5)+IF(X26="",0,4)+IF(Z26="",0,4)+IF(AB26="",0,4))=0,"",(IF(T26="",0,T26*5)+IF(V26="",0,V26*5)+IF(X26="",0,X26*4)+IF(Z26="",0,Z26*4)+IF(AB26="",0,AB26*4))/22)</f>
        <v/>
      </c>
      <c r="AE26" s="11">
        <f>IF(OR(City_Inputs!$X26="",Norm_Stats!$F$12="",Norm_Stats!$G$12="",Norm_Stats!$G$12=Norm_Stats!$F$12),"",MAX(0,MIN(100,100*(MIN(MAX(City_Inputs!$X26,Norm_Stats!$F$12),Norm_Stats!$G$12)-Norm_Stats!$F$12)/(Norm_Stats!$G$12-Norm_Stats!$F$12))))</f>
        <v/>
      </c>
      <c r="AF26" s="14">
        <f>IF(AE26="","",1)</f>
        <v/>
      </c>
      <c r="AG26" s="11">
        <f>IF(OR(City_Inputs!$Y26="",Norm_Stats!$F$13="",Norm_Stats!$G$13="",Norm_Stats!$G$13=Norm_Stats!$F$13),"",MAX(0,MIN(100,100*(MIN(MAX(City_Inputs!$Y26,Norm_Stats!$F$13),Norm_Stats!$G$13)-Norm_Stats!$F$13)/(Norm_Stats!$G$13-Norm_Stats!$F$13))))</f>
        <v/>
      </c>
      <c r="AH26" s="14">
        <f>IF(AG26="","",1)</f>
        <v/>
      </c>
      <c r="AI26" s="11">
        <f>IF((IF((IF(OR(City_Inputs!$Z26="",Norm_Stats!$F$14="",Norm_Stats!$G$14="",Norm_Stats!$G$14=Norm_Stats!$F$14),"",MAX(0,MIN(100,100*(MIN(MAX(City_Inputs!$Z26,Norm_Stats!$F$14),Norm_Stats!$G$14)-Norm_Stats!$F$14)/(Norm_Stats!$G$14-Norm_Stats!$F$14)))))="",0,0.7)+IF((IF(OR(City_Inputs!$AK26="",Norm_Stats!$F$15="",Norm_Stats!$G$15="",Norm_Stats!$G$15=Norm_Stats!$F$15),"",MAX(0,MIN(100,100*(Norm_Stats!$G$15-MIN(MAX(City_Inputs!$AK26,Norm_Stats!$F$15),Norm_Stats!$G$15))/(Norm_Stats!$G$15-Norm_Stats!$F$15)))))="",0,0.3))=0,"",(IF((IF(OR(City_Inputs!$Z26="",Norm_Stats!$F$14="",Norm_Stats!$G$14="",Norm_Stats!$G$14=Norm_Stats!$F$14),"",MAX(0,MIN(100,100*(MIN(MAX(City_Inputs!$Z26,Norm_Stats!$F$14),Norm_Stats!$G$14)-Norm_Stats!$F$14)/(Norm_Stats!$G$14-Norm_Stats!$F$14)))))="",0,(IF(OR(City_Inputs!$Z26="",Norm_Stats!$F$14="",Norm_Stats!$G$14="",Norm_Stats!$G$14=Norm_Stats!$F$14),"",MAX(0,MIN(100,100*(MIN(MAX(City_Inputs!$Z26,Norm_Stats!$F$14),Norm_Stats!$G$14)-Norm_Stats!$F$14)/(Norm_Stats!$G$14-Norm_Stats!$F$14)))))*0.7)+IF((IF(OR(City_Inputs!$AK26="",Norm_Stats!$F$15="",Norm_Stats!$G$15="",Norm_Stats!$G$15=Norm_Stats!$F$15),"",MAX(0,MIN(100,100*(Norm_Stats!$G$15-MIN(MAX(City_Inputs!$AK26,Norm_Stats!$F$15),Norm_Stats!$G$15))/(Norm_Stats!$G$15-Norm_Stats!$F$15)))))="",0,(IF(OR(City_Inputs!$AK26="",Norm_Stats!$F$15="",Norm_Stats!$G$15="",Norm_Stats!$G$15=Norm_Stats!$F$15),"",MAX(0,MIN(100,100*(Norm_Stats!$G$15-MIN(MAX(City_Inputs!$AK26,Norm_Stats!$F$15),Norm_Stats!$G$15))/(Norm_Stats!$G$15-Norm_Stats!$F$15)))))*0.3))/(IF((IF(OR(City_Inputs!$Z26="",Norm_Stats!$F$14="",Norm_Stats!$G$14="",Norm_Stats!$G$14=Norm_Stats!$F$14),"",MAX(0,MIN(100,100*(MIN(MAX(City_Inputs!$Z26,Norm_Stats!$F$14),Norm_Stats!$G$14)-Norm_Stats!$F$14)/(Norm_Stats!$G$14-Norm_Stats!$F$14)))))="",0,0.7)+IF((IF(OR(City_Inputs!$AK26="",Norm_Stats!$F$15="",Norm_Stats!$G$15="",Norm_Stats!$G$15=Norm_Stats!$F$15),"",MAX(0,MIN(100,100*(Norm_Stats!$G$15-MIN(MAX(City_Inputs!$AK26,Norm_Stats!$F$15),Norm_Stats!$G$15))/(Norm_Stats!$G$15-Norm_Stats!$F$15)))))="",0,0.3)))</f>
        <v/>
      </c>
      <c r="AJ26" s="14">
        <f>IF((IF((IF(OR(City_Inputs!$Z26="",Norm_Stats!$F$14="",Norm_Stats!$G$14="",Norm_Stats!$G$14=Norm_Stats!$F$14),"",MAX(0,MIN(100,100*(MIN(MAX(City_Inputs!$Z26,Norm_Stats!$F$14),Norm_Stats!$G$14)-Norm_Stats!$F$14)/(Norm_Stats!$G$14-Norm_Stats!$F$14)))))="",0,0.7)+IF((IF(OR(City_Inputs!$AK26="",Norm_Stats!$F$15="",Norm_Stats!$G$15="",Norm_Stats!$G$15=Norm_Stats!$F$15),"",MAX(0,MIN(100,100*(Norm_Stats!$G$15-MIN(MAX(City_Inputs!$AK26,Norm_Stats!$F$15),Norm_Stats!$G$15))/(Norm_Stats!$G$15-Norm_Stats!$F$15)))))="",0,0.3))=0,"",(IF((IF(OR(City_Inputs!$Z26="",Norm_Stats!$F$14="",Norm_Stats!$G$14="",Norm_Stats!$G$14=Norm_Stats!$F$14),"",MAX(0,MIN(100,100*(MIN(MAX(City_Inputs!$Z26,Norm_Stats!$F$14),Norm_Stats!$G$14)-Norm_Stats!$F$14)/(Norm_Stats!$G$14-Norm_Stats!$F$14)))))="",0,0.7)+IF((IF(OR(City_Inputs!$AK26="",Norm_Stats!$F$15="",Norm_Stats!$G$15="",Norm_Stats!$G$15=Norm_Stats!$F$15),"",MAX(0,MIN(100,100*(Norm_Stats!$G$15-MIN(MAX(City_Inputs!$AK26,Norm_Stats!$F$15),Norm_Stats!$G$15))/(Norm_Stats!$G$15-Norm_Stats!$F$15)))))="",0,0.3)))</f>
        <v/>
      </c>
      <c r="AK26" s="15">
        <f>IF((IF(AE26="",0,8)+IF(AG26="",0,6)+IF(AI26="",0,4))=0,"",(IF(AE26="",0,AE26*8)+IF(AG26="",0,AG26*6)+IF(AI26="",0,AI26*4))/(IF(AE26="",0,8)+IF(AG26="",0,6)+IF(AI26="",0,4)))</f>
        <v/>
      </c>
      <c r="AL26" s="14">
        <f>IF((IF(AF26="",0,8)+IF(AH26="",0,6)+IF(AJ26="",0,4))=0,"",(IF(AF26="",0,AF26*8)+IF(AH26="",0,AH26*6)+IF(AJ26="",0,AJ26*4))/18)</f>
        <v/>
      </c>
      <c r="AM26" s="11">
        <f>IF(OR(City_Inputs!$AA26="",Norm_Stats!$F$16="",Norm_Stats!$G$16="",Norm_Stats!$G$16=Norm_Stats!$F$16),"",MAX(0,MIN(100,100*(MIN(MAX(City_Inputs!$AA26,Norm_Stats!$F$16),Norm_Stats!$G$16)-Norm_Stats!$F$16)/(Norm_Stats!$G$16-Norm_Stats!$F$16))))</f>
        <v/>
      </c>
      <c r="AN26" s="14">
        <f>IF(AM26="","",1)</f>
        <v/>
      </c>
      <c r="AO26" s="11">
        <f>IF(OR(City_Inputs!$AB26="",Norm_Stats!$F$17="",Norm_Stats!$G$17="",Norm_Stats!$G$17=Norm_Stats!$F$17),"",MAX(0,MIN(100,100*(MIN(MAX(City_Inputs!$AB26,Norm_Stats!$F$17),Norm_Stats!$G$17)-Norm_Stats!$F$17)/(Norm_Stats!$G$17-Norm_Stats!$F$17))))</f>
        <v/>
      </c>
      <c r="AP26" s="14">
        <f>IF(AO26="","",1)</f>
        <v/>
      </c>
      <c r="AQ26" s="11">
        <f>IF(OR(City_Inputs!$AC26="",Norm_Stats!$F$18="",Norm_Stats!$G$18="",Norm_Stats!$G$18=Norm_Stats!$F$18),"",MAX(0,MIN(100,100*(MIN(MAX(City_Inputs!$AC26,Norm_Stats!$F$18),Norm_Stats!$G$18)-Norm_Stats!$F$18)/(Norm_Stats!$G$18-Norm_Stats!$F$18))))</f>
        <v/>
      </c>
      <c r="AR26" s="14">
        <f>IF(AQ26="","",1)</f>
        <v/>
      </c>
      <c r="AS26" s="15">
        <f>IF((IF(AM26="",0,5)+IF(AO26="",0,5)+IF(AQ26="",0,5))=0,"",(IF(AM26="",0,AM26*5)+IF(AO26="",0,AO26*5)+IF(AQ26="",0,AQ26*5))/(IF(AM26="",0,5)+IF(AO26="",0,5)+IF(AQ26="",0,5)))</f>
        <v/>
      </c>
      <c r="AT26" s="14">
        <f>IF((IF(AN26="",0,5)+IF(AP26="",0,5)+IF(AR26="",0,5))=0,"",(IF(AN26="",0,AN26*5)+IF(AP26="",0,AP26*5)+IF(AR26="",0,AR26*5))/15)</f>
        <v/>
      </c>
      <c r="AU26" s="11">
        <f>IF(OR(City_Inputs!$AD26="",Norm_Stats!$F$19="",Norm_Stats!$G$19="",Norm_Stats!$G$19=Norm_Stats!$F$19),"",MAX(0,MIN(100,100*(MIN(MAX(City_Inputs!$AD26,Norm_Stats!$F$19),Norm_Stats!$G$19)-Norm_Stats!$F$19)/(Norm_Stats!$G$19-Norm_Stats!$F$19))))</f>
        <v/>
      </c>
      <c r="AV26" s="14">
        <f>IF(AU26="","",1)</f>
        <v/>
      </c>
      <c r="AW26" s="11">
        <f>IF(OR(City_Inputs!$AE26="",Norm_Stats!$F$20="",Norm_Stats!$G$20="",Norm_Stats!$G$20=Norm_Stats!$F$20),"",MAX(0,MIN(100,100*(MIN(MAX(City_Inputs!$AE26,Norm_Stats!$F$20),Norm_Stats!$G$20)-Norm_Stats!$F$20)/(Norm_Stats!$G$20-Norm_Stats!$F$20))))</f>
        <v/>
      </c>
      <c r="AX26" s="14">
        <f>IF(AW26="","",1)</f>
        <v/>
      </c>
      <c r="AY26" s="11">
        <f>IF((IF((IF(OR(City_Inputs!$AF26="",Norm_Stats!$F$21="",Norm_Stats!$G$21="",Norm_Stats!$G$21=Norm_Stats!$F$21),"",MAX(0,MIN(100,100*(MIN(MAX(City_Inputs!$AF26,Norm_Stats!$F$21),Norm_Stats!$G$21)-Norm_Stats!$F$21)/(Norm_Stats!$G$21-Norm_Stats!$F$21)))))="",0,0.5)+IF((IF(OR(City_Inputs!$AI26="",Norm_Stats!$F$22="",Norm_Stats!$G$22="",Norm_Stats!$G$22=Norm_Stats!$F$22),"",MAX(0,MIN(100,100*(MIN(MAX(City_Inputs!$AI26,Norm_Stats!$F$22),Norm_Stats!$G$22)-Norm_Stats!$F$22)/(Norm_Stats!$G$22-Norm_Stats!$F$22)))))="",0,0.3)+IF((IF(OR(City_Inputs!$AJ26="",Norm_Stats!$F$23="",Norm_Stats!$G$23="",Norm_Stats!$G$23=Norm_Stats!$F$23),"",MAX(0,MIN(100,100*(MIN(MAX(City_Inputs!$AJ26,Norm_Stats!$F$23),Norm_Stats!$G$23)-Norm_Stats!$F$23)/(Norm_Stats!$G$23-Norm_Stats!$F$23)))))="",0,0.2))=0,"",(IF((IF(OR(City_Inputs!$AF26="",Norm_Stats!$F$21="",Norm_Stats!$G$21="",Norm_Stats!$G$21=Norm_Stats!$F$21),"",MAX(0,MIN(100,100*(MIN(MAX(City_Inputs!$AF26,Norm_Stats!$F$21),Norm_Stats!$G$21)-Norm_Stats!$F$21)/(Norm_Stats!$G$21-Norm_Stats!$F$21)))))="",0,(IF(OR(City_Inputs!$AF26="",Norm_Stats!$F$21="",Norm_Stats!$G$21="",Norm_Stats!$G$21=Norm_Stats!$F$21),"",MAX(0,MIN(100,100*(MIN(MAX(City_Inputs!$AF26,Norm_Stats!$F$21),Norm_Stats!$G$21)-Norm_Stats!$F$21)/(Norm_Stats!$G$21-Norm_Stats!$F$21)))))*0.5)+IF((IF(OR(City_Inputs!$AI26="",Norm_Stats!$F$22="",Norm_Stats!$G$22="",Norm_Stats!$G$22=Norm_Stats!$F$22),"",MAX(0,MIN(100,100*(MIN(MAX(City_Inputs!$AI26,Norm_Stats!$F$22),Norm_Stats!$G$22)-Norm_Stats!$F$22)/(Norm_Stats!$G$22-Norm_Stats!$F$22)))))="",0,(IF(OR(City_Inputs!$AI26="",Norm_Stats!$F$22="",Norm_Stats!$G$22="",Norm_Stats!$G$22=Norm_Stats!$F$22),"",MAX(0,MIN(100,100*(MIN(MAX(City_Inputs!$AI26,Norm_Stats!$F$22),Norm_Stats!$G$22)-Norm_Stats!$F$22)/(Norm_Stats!$G$22-Norm_Stats!$F$22)))))*0.3)+IF((IF(OR(City_Inputs!$AJ26="",Norm_Stats!$F$23="",Norm_Stats!$G$23="",Norm_Stats!$G$23=Norm_Stats!$F$23),"",MAX(0,MIN(100,100*(MIN(MAX(City_Inputs!$AJ26,Norm_Stats!$F$23),Norm_Stats!$G$23)-Norm_Stats!$F$23)/(Norm_Stats!$G$23-Norm_Stats!$F$23)))))="",0,(IF(OR(City_Inputs!$AJ26="",Norm_Stats!$F$23="",Norm_Stats!$G$23="",Norm_Stats!$G$23=Norm_Stats!$F$23),"",MAX(0,MIN(100,100*(MIN(MAX(City_Inputs!$AJ26,Norm_Stats!$F$23),Norm_Stats!$G$23)-Norm_Stats!$F$23)/(Norm_Stats!$G$23-Norm_Stats!$F$23)))))*0.2))/(IF((IF(OR(City_Inputs!$AF26="",Norm_Stats!$F$21="",Norm_Stats!$G$21="",Norm_Stats!$G$21=Norm_Stats!$F$21),"",MAX(0,MIN(100,100*(MIN(MAX(City_Inputs!$AF26,Norm_Stats!$F$21),Norm_Stats!$G$21)-Norm_Stats!$F$21)/(Norm_Stats!$G$21-Norm_Stats!$F$21)))))="",0,0.5)+IF((IF(OR(City_Inputs!$AI26="",Norm_Stats!$F$22="",Norm_Stats!$G$22="",Norm_Stats!$G$22=Norm_Stats!$F$22),"",MAX(0,MIN(100,100*(MIN(MAX(City_Inputs!$AI26,Norm_Stats!$F$22),Norm_Stats!$G$22)-Norm_Stats!$F$22)/(Norm_Stats!$G$22-Norm_Stats!$F$22)))))="",0,0.3)+IF((IF(OR(City_Inputs!$AJ26="",Norm_Stats!$F$23="",Norm_Stats!$G$23="",Norm_Stats!$G$23=Norm_Stats!$F$23),"",MAX(0,MIN(100,100*(MIN(MAX(City_Inputs!$AJ26,Norm_Stats!$F$23),Norm_Stats!$G$23)-Norm_Stats!$F$23)/(Norm_Stats!$G$23-Norm_Stats!$F$23)))))="",0,0.2)))</f>
        <v/>
      </c>
      <c r="AZ26" s="14">
        <f>IF((IF((IF(OR(City_Inputs!$AF26="",Norm_Stats!$F$21="",Norm_Stats!$G$21="",Norm_Stats!$G$21=Norm_Stats!$F$21),"",MAX(0,MIN(100,100*(MIN(MAX(City_Inputs!$AF26,Norm_Stats!$F$21),Norm_Stats!$G$21)-Norm_Stats!$F$21)/(Norm_Stats!$G$21-Norm_Stats!$F$21)))))="",0,0.5)+IF((IF(OR(City_Inputs!$AI26="",Norm_Stats!$F$22="",Norm_Stats!$G$22="",Norm_Stats!$G$22=Norm_Stats!$F$22),"",MAX(0,MIN(100,100*(MIN(MAX(City_Inputs!$AI26,Norm_Stats!$F$22),Norm_Stats!$G$22)-Norm_Stats!$F$22)/(Norm_Stats!$G$22-Norm_Stats!$F$22)))))="",0,0.3)+IF((IF(OR(City_Inputs!$AJ26="",Norm_Stats!$F$23="",Norm_Stats!$G$23="",Norm_Stats!$G$23=Norm_Stats!$F$23),"",MAX(0,MIN(100,100*(MIN(MAX(City_Inputs!$AJ26,Norm_Stats!$F$23),Norm_Stats!$G$23)-Norm_Stats!$F$23)/(Norm_Stats!$G$23-Norm_Stats!$F$23)))))="",0,0.2))=0,"",(IF((IF(OR(City_Inputs!$AF26="",Norm_Stats!$F$21="",Norm_Stats!$G$21="",Norm_Stats!$G$21=Norm_Stats!$F$21),"",MAX(0,MIN(100,100*(MIN(MAX(City_Inputs!$AF26,Norm_Stats!$F$21),Norm_Stats!$G$21)-Norm_Stats!$F$21)/(Norm_Stats!$G$21-Norm_Stats!$F$21)))))="",0,0.5)+IF((IF(OR(City_Inputs!$AI26="",Norm_Stats!$F$22="",Norm_Stats!$G$22="",Norm_Stats!$G$22=Norm_Stats!$F$22),"",MAX(0,MIN(100,100*(MIN(MAX(City_Inputs!$AI26,Norm_Stats!$F$22),Norm_Stats!$G$22)-Norm_Stats!$F$22)/(Norm_Stats!$G$22-Norm_Stats!$F$22)))))="",0,0.3)+IF((IF(OR(City_Inputs!$AJ26="",Norm_Stats!$F$23="",Norm_Stats!$G$23="",Norm_Stats!$G$23=Norm_Stats!$F$23),"",MAX(0,MIN(100,100*(MIN(MAX(City_Inputs!$AJ26,Norm_Stats!$F$23),Norm_Stats!$G$23)-Norm_Stats!$F$23)/(Norm_Stats!$G$23-Norm_Stats!$F$23)))))="",0,0.2)))</f>
        <v/>
      </c>
      <c r="BA26" s="11">
        <f>IF(OR(City_Inputs!$AG26="",Norm_Stats!$F$24="",Norm_Stats!$G$24="",Norm_Stats!$G$24=Norm_Stats!$F$24),"",MAX(0,MIN(100,100*(Norm_Stats!$G$24-MIN(MAX(City_Inputs!$AG26,Norm_Stats!$F$24),Norm_Stats!$G$24))/(Norm_Stats!$G$24-Norm_Stats!$F$24))))</f>
        <v/>
      </c>
      <c r="BB26" s="14">
        <f>IF(BA26="","",1)</f>
        <v/>
      </c>
      <c r="BC26" s="15">
        <f>IF((IF(AU26="",0,6)+IF(AW26="",0,5)+IF(AY26="",0,5)+IF(BA26="",0,4))=0,"",(IF(AU26="",0,AU26*6)+IF(AW26="",0,AW26*5)+IF(AY26="",0,AY26*5)+IF(BA26="",0,BA26*4))/(IF(AU26="",0,6)+IF(AW26="",0,5)+IF(AY26="",0,5)+IF(BA26="",0,4)))</f>
        <v/>
      </c>
      <c r="BD26" s="14">
        <f>IF((IF(AV26="",0,6)+IF(AX26="",0,5)+IF(AZ26="",0,5)+IF(BB26="",0,4))=0,"",(IF(AV26="",0,AV26*6)+IF(AX26="",0,AX26*5)+IF(AZ26="",0,AZ26*5)+IF(BB26="",0,BB26*4))/20)</f>
        <v/>
      </c>
      <c r="BE26" s="14">
        <f>IF(AND(R26="",AD26="",AL26="",AT26="",BD26=""),"",((R26*25)+(AD26*22)+(AL26*18)+(AT26*15)+(BD26*20))/100)</f>
        <v/>
      </c>
      <c r="BF26" s="11">
        <f>IF(BE26="","",IF(BE26&gt;=0.75,"A",IF(BE26&gt;=0.5,"B",IF(BE26&gt;=0.35,"C","Watchlist"))))</f>
        <v/>
      </c>
      <c r="BG26" s="11">
        <f>IF(OR(BE26="",BE26&lt;0.5,R26="",R26&lt;0.35,AD26="",AD26&lt;0.35,AL26="",AL26&lt;0.35,AT26="",AT26&lt;0.35,BD26="",BD26&lt;0.35),"Watchlist","Ranked")</f>
        <v/>
      </c>
      <c r="BH26" s="15">
        <f>IF(AND(Q26="",AC26="",AK26="",AS26="",BC26=""),"",(IF(Q26="",0,Q26*25)+IF(AC26="",0,AC26*22)+IF(AK26="",0,AK26*18)+IF(AS26="",0,AS26*15)+IF(BC26="",0,BC26*20))/(IF(Q26="",0,25)+IF(AC26="",0,22)+IF(AK26="",0,18)+IF(AS26="",0,15)+IF(BC26="",0,20)))</f>
        <v/>
      </c>
      <c r="BI26" s="11">
        <f>IF(BG26="Ranked",1+COUNTIFS($BG$2:$BG$103,"Ranked",$BH$2:$BH$103,"&gt;"&amp;BH26),"")</f>
        <v/>
      </c>
      <c r="BJ26" s="11">
        <f>City_Inputs!$AH26</f>
        <v/>
      </c>
    </row>
    <row r="27">
      <c r="A27" t="inlineStr">
        <is>
          <t>pk-lahore</t>
        </is>
      </c>
      <c r="B27" t="inlineStr">
        <is>
          <t>Lahore</t>
        </is>
      </c>
      <c r="C27" t="inlineStr">
        <is>
          <t>Pakistan</t>
        </is>
      </c>
      <c r="D27" t="inlineStr">
        <is>
          <t>South Asia</t>
        </is>
      </c>
      <c r="E27" t="inlineStr">
        <is>
          <t>locked</t>
        </is>
      </c>
      <c r="F27" t="inlineStr">
        <is>
          <t>secondary</t>
        </is>
      </c>
      <c r="G27" s="11">
        <f>IF(OR(City_Inputs!$M27="",Norm_Stats!$F$2="",Norm_Stats!$G$2="",Norm_Stats!$G$2=Norm_Stats!$F$2),"",MAX(0,MIN(100,100*(MIN(MAX(City_Inputs!$M27,Norm_Stats!$F$2),Norm_Stats!$G$2)-Norm_Stats!$F$2)/(Norm_Stats!$G$2-Norm_Stats!$F$2))))</f>
        <v/>
      </c>
      <c r="H27" s="14">
        <f>IF(G27="","",1)</f>
        <v/>
      </c>
      <c r="I27" s="11">
        <f>IF(OR(City_Inputs!$N27="",Norm_Stats!$F$3="",Norm_Stats!$G$3="",Norm_Stats!$G$3=Norm_Stats!$F$3),"",MAX(0,MIN(100,100*(Norm_Stats!$G$3-MIN(MAX(City_Inputs!$N27,Norm_Stats!$F$3),Norm_Stats!$G$3))/(Norm_Stats!$G$3-Norm_Stats!$F$3))))</f>
        <v/>
      </c>
      <c r="J27" s="14">
        <f>IF(I27="","",1)</f>
        <v/>
      </c>
      <c r="K27" s="11">
        <f>IF(OR(City_Inputs!$P27="",Norm_Stats!$F$4="",Norm_Stats!$G$4="",Norm_Stats!$G$4=Norm_Stats!$F$4),"",MAX(0,MIN(100,100*(Norm_Stats!$G$4-MIN(MAX(City_Inputs!$P27,Norm_Stats!$F$4),Norm_Stats!$G$4))/(Norm_Stats!$G$4-Norm_Stats!$F$4))))</f>
        <v/>
      </c>
      <c r="L27" s="14">
        <f>IF(K27="","",1)</f>
        <v/>
      </c>
      <c r="M27" s="11">
        <f>IF(OR(City_Inputs!$Q27="",Norm_Stats!$F$5="",Norm_Stats!$G$5="",Norm_Stats!$G$5=Norm_Stats!$F$5),"",MAX(0,MIN(100,100*(Norm_Stats!$G$5-MIN(MAX(City_Inputs!$Q27,Norm_Stats!$F$5),Norm_Stats!$G$5))/(Norm_Stats!$G$5-Norm_Stats!$F$5))))</f>
        <v/>
      </c>
      <c r="N27" s="14">
        <f>IF(M27="","",1)</f>
        <v/>
      </c>
      <c r="O27" s="11">
        <f>IF(OR(City_Inputs!$R27="",Norm_Stats!$F$6="",Norm_Stats!$G$6="",Norm_Stats!$G$6=Norm_Stats!$F$6),"",MAX(0,MIN(100,100*(Norm_Stats!$G$6-MIN(MAX(City_Inputs!$R27,Norm_Stats!$F$6),Norm_Stats!$G$6))/(Norm_Stats!$G$6-Norm_Stats!$F$6))))</f>
        <v/>
      </c>
      <c r="P27" s="14">
        <f>IF(O27="","",1)</f>
        <v/>
      </c>
      <c r="Q27" s="15">
        <f>IF((IF(G27="",0,9)+IF(I27="",0,5)+IF(K27="",0,4)+IF(M27="",0,4)+IF(O27="",0,3))=0,"",(IF(G27="",0,G27*9)+IF(I27="",0,I27*5)+IF(K27="",0,K27*4)+IF(M27="",0,M27*4)+IF(O27="",0,O27*3))/(IF(G27="",0,9)+IF(I27="",0,5)+IF(K27="",0,4)+IF(M27="",0,4)+IF(O27="",0,3)))</f>
        <v/>
      </c>
      <c r="R27" s="14">
        <f>IF((IF(H27="",0,9)+IF(J27="",0,5)+IF(L27="",0,4)+IF(N27="",0,4)+IF(P27="",0,3))=0,"",(IF(H27="",0,H27*9)+IF(J27="",0,J27*5)+IF(L27="",0,L27*4)+IF(N27="",0,N27*4)+IF(P27="",0,P27*3))/25)</f>
        <v/>
      </c>
      <c r="S27" s="11">
        <f>IF(OR(City_Inputs!$S27="",Norm_Stats!$F$7="",Norm_Stats!$G$7="",Norm_Stats!$G$7=Norm_Stats!$F$7),"",MAX(0,MIN(100,100*(Norm_Stats!$G$7-MIN(MAX(City_Inputs!$S27,Norm_Stats!$F$7),Norm_Stats!$G$7))/(Norm_Stats!$G$7-Norm_Stats!$F$7))))</f>
        <v/>
      </c>
      <c r="T27" s="14">
        <f>IF(S27="","",1)</f>
        <v/>
      </c>
      <c r="U27" s="11">
        <f>IF(OR(City_Inputs!$T27="",Norm_Stats!$F$8="",Norm_Stats!$G$8="",Norm_Stats!$G$8=Norm_Stats!$F$8),"",MAX(0,MIN(100,100*(MIN(MAX(City_Inputs!$T27,Norm_Stats!$F$8),Norm_Stats!$G$8)-Norm_Stats!$F$8)/(Norm_Stats!$G$8-Norm_Stats!$F$8))))</f>
        <v/>
      </c>
      <c r="V27" s="14">
        <f>IF(U27="","",1)</f>
        <v/>
      </c>
      <c r="W27" s="11">
        <f>IF(OR(City_Inputs!$U27="",Norm_Stats!$F$9="",Norm_Stats!$G$9="",Norm_Stats!$G$9=Norm_Stats!$F$9),"",MAX(0,MIN(100,100*(Norm_Stats!$G$9-MIN(MAX(City_Inputs!$U27,Norm_Stats!$F$9),Norm_Stats!$G$9))/(Norm_Stats!$G$9-Norm_Stats!$F$9))))</f>
        <v/>
      </c>
      <c r="X27" s="14">
        <f>IF(W27="","",1)</f>
        <v/>
      </c>
      <c r="Y27" s="11">
        <f>IF(OR(City_Inputs!$V27="",Norm_Stats!$F$10="",Norm_Stats!$G$10="",Norm_Stats!$G$10=Norm_Stats!$F$10),"",MAX(0,MIN(100,100*(MIN(MAX(City_Inputs!$V27,Norm_Stats!$F$10),Norm_Stats!$G$10)-Norm_Stats!$F$10)/(Norm_Stats!$G$10-Norm_Stats!$F$10))))</f>
        <v/>
      </c>
      <c r="Z27" s="14">
        <f>IF(Y27="","",1)</f>
        <v/>
      </c>
      <c r="AA27" s="11">
        <f>IF(OR(City_Inputs!$W27="",Norm_Stats!$F$11="",Norm_Stats!$G$11="",Norm_Stats!$G$11=Norm_Stats!$F$11),"",MAX(0,MIN(100,100*(MIN(MAX(City_Inputs!$W27,Norm_Stats!$F$11),Norm_Stats!$G$11)-Norm_Stats!$F$11)/(Norm_Stats!$G$11-Norm_Stats!$F$11))))</f>
        <v/>
      </c>
      <c r="AB27" s="14">
        <f>IF(AA27="","",1)</f>
        <v/>
      </c>
      <c r="AC27" s="15">
        <f>IF((IF(S27="",0,5)+IF(U27="",0,5)+IF(W27="",0,4)+IF(Y27="",0,4)+IF(AA27="",0,4))=0,"",(IF(S27="",0,S27*5)+IF(U27="",0,U27*5)+IF(W27="",0,W27*4)+IF(Y27="",0,Y27*4)+IF(AA27="",0,AA27*4))/(IF(S27="",0,5)+IF(U27="",0,5)+IF(W27="",0,4)+IF(Y27="",0,4)+IF(AA27="",0,4)))</f>
        <v/>
      </c>
      <c r="AD27" s="14">
        <f>IF((IF(T27="",0,5)+IF(V27="",0,5)+IF(X27="",0,4)+IF(Z27="",0,4)+IF(AB27="",0,4))=0,"",(IF(T27="",0,T27*5)+IF(V27="",0,V27*5)+IF(X27="",0,X27*4)+IF(Z27="",0,Z27*4)+IF(AB27="",0,AB27*4))/22)</f>
        <v/>
      </c>
      <c r="AE27" s="11">
        <f>IF(OR(City_Inputs!$X27="",Norm_Stats!$F$12="",Norm_Stats!$G$12="",Norm_Stats!$G$12=Norm_Stats!$F$12),"",MAX(0,MIN(100,100*(MIN(MAX(City_Inputs!$X27,Norm_Stats!$F$12),Norm_Stats!$G$12)-Norm_Stats!$F$12)/(Norm_Stats!$G$12-Norm_Stats!$F$12))))</f>
        <v/>
      </c>
      <c r="AF27" s="14">
        <f>IF(AE27="","",1)</f>
        <v/>
      </c>
      <c r="AG27" s="11">
        <f>IF(OR(City_Inputs!$Y27="",Norm_Stats!$F$13="",Norm_Stats!$G$13="",Norm_Stats!$G$13=Norm_Stats!$F$13),"",MAX(0,MIN(100,100*(MIN(MAX(City_Inputs!$Y27,Norm_Stats!$F$13),Norm_Stats!$G$13)-Norm_Stats!$F$13)/(Norm_Stats!$G$13-Norm_Stats!$F$13))))</f>
        <v/>
      </c>
      <c r="AH27" s="14">
        <f>IF(AG27="","",1)</f>
        <v/>
      </c>
      <c r="AI27" s="11">
        <f>IF((IF((IF(OR(City_Inputs!$Z27="",Norm_Stats!$F$14="",Norm_Stats!$G$14="",Norm_Stats!$G$14=Norm_Stats!$F$14),"",MAX(0,MIN(100,100*(MIN(MAX(City_Inputs!$Z27,Norm_Stats!$F$14),Norm_Stats!$G$14)-Norm_Stats!$F$14)/(Norm_Stats!$G$14-Norm_Stats!$F$14)))))="",0,0.7)+IF((IF(OR(City_Inputs!$AK27="",Norm_Stats!$F$15="",Norm_Stats!$G$15="",Norm_Stats!$G$15=Norm_Stats!$F$15),"",MAX(0,MIN(100,100*(Norm_Stats!$G$15-MIN(MAX(City_Inputs!$AK27,Norm_Stats!$F$15),Norm_Stats!$G$15))/(Norm_Stats!$G$15-Norm_Stats!$F$15)))))="",0,0.3))=0,"",(IF((IF(OR(City_Inputs!$Z27="",Norm_Stats!$F$14="",Norm_Stats!$G$14="",Norm_Stats!$G$14=Norm_Stats!$F$14),"",MAX(0,MIN(100,100*(MIN(MAX(City_Inputs!$Z27,Norm_Stats!$F$14),Norm_Stats!$G$14)-Norm_Stats!$F$14)/(Norm_Stats!$G$14-Norm_Stats!$F$14)))))="",0,(IF(OR(City_Inputs!$Z27="",Norm_Stats!$F$14="",Norm_Stats!$G$14="",Norm_Stats!$G$14=Norm_Stats!$F$14),"",MAX(0,MIN(100,100*(MIN(MAX(City_Inputs!$Z27,Norm_Stats!$F$14),Norm_Stats!$G$14)-Norm_Stats!$F$14)/(Norm_Stats!$G$14-Norm_Stats!$F$14)))))*0.7)+IF((IF(OR(City_Inputs!$AK27="",Norm_Stats!$F$15="",Norm_Stats!$G$15="",Norm_Stats!$G$15=Norm_Stats!$F$15),"",MAX(0,MIN(100,100*(Norm_Stats!$G$15-MIN(MAX(City_Inputs!$AK27,Norm_Stats!$F$15),Norm_Stats!$G$15))/(Norm_Stats!$G$15-Norm_Stats!$F$15)))))="",0,(IF(OR(City_Inputs!$AK27="",Norm_Stats!$F$15="",Norm_Stats!$G$15="",Norm_Stats!$G$15=Norm_Stats!$F$15),"",MAX(0,MIN(100,100*(Norm_Stats!$G$15-MIN(MAX(City_Inputs!$AK27,Norm_Stats!$F$15),Norm_Stats!$G$15))/(Norm_Stats!$G$15-Norm_Stats!$F$15)))))*0.3))/(IF((IF(OR(City_Inputs!$Z27="",Norm_Stats!$F$14="",Norm_Stats!$G$14="",Norm_Stats!$G$14=Norm_Stats!$F$14),"",MAX(0,MIN(100,100*(MIN(MAX(City_Inputs!$Z27,Norm_Stats!$F$14),Norm_Stats!$G$14)-Norm_Stats!$F$14)/(Norm_Stats!$G$14-Norm_Stats!$F$14)))))="",0,0.7)+IF((IF(OR(City_Inputs!$AK27="",Norm_Stats!$F$15="",Norm_Stats!$G$15="",Norm_Stats!$G$15=Norm_Stats!$F$15),"",MAX(0,MIN(100,100*(Norm_Stats!$G$15-MIN(MAX(City_Inputs!$AK27,Norm_Stats!$F$15),Norm_Stats!$G$15))/(Norm_Stats!$G$15-Norm_Stats!$F$15)))))="",0,0.3)))</f>
        <v/>
      </c>
      <c r="AJ27" s="14">
        <f>IF((IF((IF(OR(City_Inputs!$Z27="",Norm_Stats!$F$14="",Norm_Stats!$G$14="",Norm_Stats!$G$14=Norm_Stats!$F$14),"",MAX(0,MIN(100,100*(MIN(MAX(City_Inputs!$Z27,Norm_Stats!$F$14),Norm_Stats!$G$14)-Norm_Stats!$F$14)/(Norm_Stats!$G$14-Norm_Stats!$F$14)))))="",0,0.7)+IF((IF(OR(City_Inputs!$AK27="",Norm_Stats!$F$15="",Norm_Stats!$G$15="",Norm_Stats!$G$15=Norm_Stats!$F$15),"",MAX(0,MIN(100,100*(Norm_Stats!$G$15-MIN(MAX(City_Inputs!$AK27,Norm_Stats!$F$15),Norm_Stats!$G$15))/(Norm_Stats!$G$15-Norm_Stats!$F$15)))))="",0,0.3))=0,"",(IF((IF(OR(City_Inputs!$Z27="",Norm_Stats!$F$14="",Norm_Stats!$G$14="",Norm_Stats!$G$14=Norm_Stats!$F$14),"",MAX(0,MIN(100,100*(MIN(MAX(City_Inputs!$Z27,Norm_Stats!$F$14),Norm_Stats!$G$14)-Norm_Stats!$F$14)/(Norm_Stats!$G$14-Norm_Stats!$F$14)))))="",0,0.7)+IF((IF(OR(City_Inputs!$AK27="",Norm_Stats!$F$15="",Norm_Stats!$G$15="",Norm_Stats!$G$15=Norm_Stats!$F$15),"",MAX(0,MIN(100,100*(Norm_Stats!$G$15-MIN(MAX(City_Inputs!$AK27,Norm_Stats!$F$15),Norm_Stats!$G$15))/(Norm_Stats!$G$15-Norm_Stats!$F$15)))))="",0,0.3)))</f>
        <v/>
      </c>
      <c r="AK27" s="15">
        <f>IF((IF(AE27="",0,8)+IF(AG27="",0,6)+IF(AI27="",0,4))=0,"",(IF(AE27="",0,AE27*8)+IF(AG27="",0,AG27*6)+IF(AI27="",0,AI27*4))/(IF(AE27="",0,8)+IF(AG27="",0,6)+IF(AI27="",0,4)))</f>
        <v/>
      </c>
      <c r="AL27" s="14">
        <f>IF((IF(AF27="",0,8)+IF(AH27="",0,6)+IF(AJ27="",0,4))=0,"",(IF(AF27="",0,AF27*8)+IF(AH27="",0,AH27*6)+IF(AJ27="",0,AJ27*4))/18)</f>
        <v/>
      </c>
      <c r="AM27" s="11">
        <f>IF(OR(City_Inputs!$AA27="",Norm_Stats!$F$16="",Norm_Stats!$G$16="",Norm_Stats!$G$16=Norm_Stats!$F$16),"",MAX(0,MIN(100,100*(MIN(MAX(City_Inputs!$AA27,Norm_Stats!$F$16),Norm_Stats!$G$16)-Norm_Stats!$F$16)/(Norm_Stats!$G$16-Norm_Stats!$F$16))))</f>
        <v/>
      </c>
      <c r="AN27" s="14">
        <f>IF(AM27="","",1)</f>
        <v/>
      </c>
      <c r="AO27" s="11">
        <f>IF(OR(City_Inputs!$AB27="",Norm_Stats!$F$17="",Norm_Stats!$G$17="",Norm_Stats!$G$17=Norm_Stats!$F$17),"",MAX(0,MIN(100,100*(MIN(MAX(City_Inputs!$AB27,Norm_Stats!$F$17),Norm_Stats!$G$17)-Norm_Stats!$F$17)/(Norm_Stats!$G$17-Norm_Stats!$F$17))))</f>
        <v/>
      </c>
      <c r="AP27" s="14">
        <f>IF(AO27="","",1)</f>
        <v/>
      </c>
      <c r="AQ27" s="11">
        <f>IF(OR(City_Inputs!$AC27="",Norm_Stats!$F$18="",Norm_Stats!$G$18="",Norm_Stats!$G$18=Norm_Stats!$F$18),"",MAX(0,MIN(100,100*(MIN(MAX(City_Inputs!$AC27,Norm_Stats!$F$18),Norm_Stats!$G$18)-Norm_Stats!$F$18)/(Norm_Stats!$G$18-Norm_Stats!$F$18))))</f>
        <v/>
      </c>
      <c r="AR27" s="14">
        <f>IF(AQ27="","",1)</f>
        <v/>
      </c>
      <c r="AS27" s="15">
        <f>IF((IF(AM27="",0,5)+IF(AO27="",0,5)+IF(AQ27="",0,5))=0,"",(IF(AM27="",0,AM27*5)+IF(AO27="",0,AO27*5)+IF(AQ27="",0,AQ27*5))/(IF(AM27="",0,5)+IF(AO27="",0,5)+IF(AQ27="",0,5)))</f>
        <v/>
      </c>
      <c r="AT27" s="14">
        <f>IF((IF(AN27="",0,5)+IF(AP27="",0,5)+IF(AR27="",0,5))=0,"",(IF(AN27="",0,AN27*5)+IF(AP27="",0,AP27*5)+IF(AR27="",0,AR27*5))/15)</f>
        <v/>
      </c>
      <c r="AU27" s="11">
        <f>IF(OR(City_Inputs!$AD27="",Norm_Stats!$F$19="",Norm_Stats!$G$19="",Norm_Stats!$G$19=Norm_Stats!$F$19),"",MAX(0,MIN(100,100*(MIN(MAX(City_Inputs!$AD27,Norm_Stats!$F$19),Norm_Stats!$G$19)-Norm_Stats!$F$19)/(Norm_Stats!$G$19-Norm_Stats!$F$19))))</f>
        <v/>
      </c>
      <c r="AV27" s="14">
        <f>IF(AU27="","",1)</f>
        <v/>
      </c>
      <c r="AW27" s="11">
        <f>IF(OR(City_Inputs!$AE27="",Norm_Stats!$F$20="",Norm_Stats!$G$20="",Norm_Stats!$G$20=Norm_Stats!$F$20),"",MAX(0,MIN(100,100*(MIN(MAX(City_Inputs!$AE27,Norm_Stats!$F$20),Norm_Stats!$G$20)-Norm_Stats!$F$20)/(Norm_Stats!$G$20-Norm_Stats!$F$20))))</f>
        <v/>
      </c>
      <c r="AX27" s="14">
        <f>IF(AW27="","",1)</f>
        <v/>
      </c>
      <c r="AY27" s="11">
        <f>IF((IF((IF(OR(City_Inputs!$AF27="",Norm_Stats!$F$21="",Norm_Stats!$G$21="",Norm_Stats!$G$21=Norm_Stats!$F$21),"",MAX(0,MIN(100,100*(MIN(MAX(City_Inputs!$AF27,Norm_Stats!$F$21),Norm_Stats!$G$21)-Norm_Stats!$F$21)/(Norm_Stats!$G$21-Norm_Stats!$F$21)))))="",0,0.5)+IF((IF(OR(City_Inputs!$AI27="",Norm_Stats!$F$22="",Norm_Stats!$G$22="",Norm_Stats!$G$22=Norm_Stats!$F$22),"",MAX(0,MIN(100,100*(MIN(MAX(City_Inputs!$AI27,Norm_Stats!$F$22),Norm_Stats!$G$22)-Norm_Stats!$F$22)/(Norm_Stats!$G$22-Norm_Stats!$F$22)))))="",0,0.3)+IF((IF(OR(City_Inputs!$AJ27="",Norm_Stats!$F$23="",Norm_Stats!$G$23="",Norm_Stats!$G$23=Norm_Stats!$F$23),"",MAX(0,MIN(100,100*(MIN(MAX(City_Inputs!$AJ27,Norm_Stats!$F$23),Norm_Stats!$G$23)-Norm_Stats!$F$23)/(Norm_Stats!$G$23-Norm_Stats!$F$23)))))="",0,0.2))=0,"",(IF((IF(OR(City_Inputs!$AF27="",Norm_Stats!$F$21="",Norm_Stats!$G$21="",Norm_Stats!$G$21=Norm_Stats!$F$21),"",MAX(0,MIN(100,100*(MIN(MAX(City_Inputs!$AF27,Norm_Stats!$F$21),Norm_Stats!$G$21)-Norm_Stats!$F$21)/(Norm_Stats!$G$21-Norm_Stats!$F$21)))))="",0,(IF(OR(City_Inputs!$AF27="",Norm_Stats!$F$21="",Norm_Stats!$G$21="",Norm_Stats!$G$21=Norm_Stats!$F$21),"",MAX(0,MIN(100,100*(MIN(MAX(City_Inputs!$AF27,Norm_Stats!$F$21),Norm_Stats!$G$21)-Norm_Stats!$F$21)/(Norm_Stats!$G$21-Norm_Stats!$F$21)))))*0.5)+IF((IF(OR(City_Inputs!$AI27="",Norm_Stats!$F$22="",Norm_Stats!$G$22="",Norm_Stats!$G$22=Norm_Stats!$F$22),"",MAX(0,MIN(100,100*(MIN(MAX(City_Inputs!$AI27,Norm_Stats!$F$22),Norm_Stats!$G$22)-Norm_Stats!$F$22)/(Norm_Stats!$G$22-Norm_Stats!$F$22)))))="",0,(IF(OR(City_Inputs!$AI27="",Norm_Stats!$F$22="",Norm_Stats!$G$22="",Norm_Stats!$G$22=Norm_Stats!$F$22),"",MAX(0,MIN(100,100*(MIN(MAX(City_Inputs!$AI27,Norm_Stats!$F$22),Norm_Stats!$G$22)-Norm_Stats!$F$22)/(Norm_Stats!$G$22-Norm_Stats!$F$22)))))*0.3)+IF((IF(OR(City_Inputs!$AJ27="",Norm_Stats!$F$23="",Norm_Stats!$G$23="",Norm_Stats!$G$23=Norm_Stats!$F$23),"",MAX(0,MIN(100,100*(MIN(MAX(City_Inputs!$AJ27,Norm_Stats!$F$23),Norm_Stats!$G$23)-Norm_Stats!$F$23)/(Norm_Stats!$G$23-Norm_Stats!$F$23)))))="",0,(IF(OR(City_Inputs!$AJ27="",Norm_Stats!$F$23="",Norm_Stats!$G$23="",Norm_Stats!$G$23=Norm_Stats!$F$23),"",MAX(0,MIN(100,100*(MIN(MAX(City_Inputs!$AJ27,Norm_Stats!$F$23),Norm_Stats!$G$23)-Norm_Stats!$F$23)/(Norm_Stats!$G$23-Norm_Stats!$F$23)))))*0.2))/(IF((IF(OR(City_Inputs!$AF27="",Norm_Stats!$F$21="",Norm_Stats!$G$21="",Norm_Stats!$G$21=Norm_Stats!$F$21),"",MAX(0,MIN(100,100*(MIN(MAX(City_Inputs!$AF27,Norm_Stats!$F$21),Norm_Stats!$G$21)-Norm_Stats!$F$21)/(Norm_Stats!$G$21-Norm_Stats!$F$21)))))="",0,0.5)+IF((IF(OR(City_Inputs!$AI27="",Norm_Stats!$F$22="",Norm_Stats!$G$22="",Norm_Stats!$G$22=Norm_Stats!$F$22),"",MAX(0,MIN(100,100*(MIN(MAX(City_Inputs!$AI27,Norm_Stats!$F$22),Norm_Stats!$G$22)-Norm_Stats!$F$22)/(Norm_Stats!$G$22-Norm_Stats!$F$22)))))="",0,0.3)+IF((IF(OR(City_Inputs!$AJ27="",Norm_Stats!$F$23="",Norm_Stats!$G$23="",Norm_Stats!$G$23=Norm_Stats!$F$23),"",MAX(0,MIN(100,100*(MIN(MAX(City_Inputs!$AJ27,Norm_Stats!$F$23),Norm_Stats!$G$23)-Norm_Stats!$F$23)/(Norm_Stats!$G$23-Norm_Stats!$F$23)))))="",0,0.2)))</f>
        <v/>
      </c>
      <c r="AZ27" s="14">
        <f>IF((IF((IF(OR(City_Inputs!$AF27="",Norm_Stats!$F$21="",Norm_Stats!$G$21="",Norm_Stats!$G$21=Norm_Stats!$F$21),"",MAX(0,MIN(100,100*(MIN(MAX(City_Inputs!$AF27,Norm_Stats!$F$21),Norm_Stats!$G$21)-Norm_Stats!$F$21)/(Norm_Stats!$G$21-Norm_Stats!$F$21)))))="",0,0.5)+IF((IF(OR(City_Inputs!$AI27="",Norm_Stats!$F$22="",Norm_Stats!$G$22="",Norm_Stats!$G$22=Norm_Stats!$F$22),"",MAX(0,MIN(100,100*(MIN(MAX(City_Inputs!$AI27,Norm_Stats!$F$22),Norm_Stats!$G$22)-Norm_Stats!$F$22)/(Norm_Stats!$G$22-Norm_Stats!$F$22)))))="",0,0.3)+IF((IF(OR(City_Inputs!$AJ27="",Norm_Stats!$F$23="",Norm_Stats!$G$23="",Norm_Stats!$G$23=Norm_Stats!$F$23),"",MAX(0,MIN(100,100*(MIN(MAX(City_Inputs!$AJ27,Norm_Stats!$F$23),Norm_Stats!$G$23)-Norm_Stats!$F$23)/(Norm_Stats!$G$23-Norm_Stats!$F$23)))))="",0,0.2))=0,"",(IF((IF(OR(City_Inputs!$AF27="",Norm_Stats!$F$21="",Norm_Stats!$G$21="",Norm_Stats!$G$21=Norm_Stats!$F$21),"",MAX(0,MIN(100,100*(MIN(MAX(City_Inputs!$AF27,Norm_Stats!$F$21),Norm_Stats!$G$21)-Norm_Stats!$F$21)/(Norm_Stats!$G$21-Norm_Stats!$F$21)))))="",0,0.5)+IF((IF(OR(City_Inputs!$AI27="",Norm_Stats!$F$22="",Norm_Stats!$G$22="",Norm_Stats!$G$22=Norm_Stats!$F$22),"",MAX(0,MIN(100,100*(MIN(MAX(City_Inputs!$AI27,Norm_Stats!$F$22),Norm_Stats!$G$22)-Norm_Stats!$F$22)/(Norm_Stats!$G$22-Norm_Stats!$F$22)))))="",0,0.3)+IF((IF(OR(City_Inputs!$AJ27="",Norm_Stats!$F$23="",Norm_Stats!$G$23="",Norm_Stats!$G$23=Norm_Stats!$F$23),"",MAX(0,MIN(100,100*(MIN(MAX(City_Inputs!$AJ27,Norm_Stats!$F$23),Norm_Stats!$G$23)-Norm_Stats!$F$23)/(Norm_Stats!$G$23-Norm_Stats!$F$23)))))="",0,0.2)))</f>
        <v/>
      </c>
      <c r="BA27" s="11">
        <f>IF(OR(City_Inputs!$AG27="",Norm_Stats!$F$24="",Norm_Stats!$G$24="",Norm_Stats!$G$24=Norm_Stats!$F$24),"",MAX(0,MIN(100,100*(Norm_Stats!$G$24-MIN(MAX(City_Inputs!$AG27,Norm_Stats!$F$24),Norm_Stats!$G$24))/(Norm_Stats!$G$24-Norm_Stats!$F$24))))</f>
        <v/>
      </c>
      <c r="BB27" s="14">
        <f>IF(BA27="","",1)</f>
        <v/>
      </c>
      <c r="BC27" s="15">
        <f>IF((IF(AU27="",0,6)+IF(AW27="",0,5)+IF(AY27="",0,5)+IF(BA27="",0,4))=0,"",(IF(AU27="",0,AU27*6)+IF(AW27="",0,AW27*5)+IF(AY27="",0,AY27*5)+IF(BA27="",0,BA27*4))/(IF(AU27="",0,6)+IF(AW27="",0,5)+IF(AY27="",0,5)+IF(BA27="",0,4)))</f>
        <v/>
      </c>
      <c r="BD27" s="14">
        <f>IF((IF(AV27="",0,6)+IF(AX27="",0,5)+IF(AZ27="",0,5)+IF(BB27="",0,4))=0,"",(IF(AV27="",0,AV27*6)+IF(AX27="",0,AX27*5)+IF(AZ27="",0,AZ27*5)+IF(BB27="",0,BB27*4))/20)</f>
        <v/>
      </c>
      <c r="BE27" s="14">
        <f>IF(AND(R27="",AD27="",AL27="",AT27="",BD27=""),"",((R27*25)+(AD27*22)+(AL27*18)+(AT27*15)+(BD27*20))/100)</f>
        <v/>
      </c>
      <c r="BF27" s="11">
        <f>IF(BE27="","",IF(BE27&gt;=0.75,"A",IF(BE27&gt;=0.5,"B",IF(BE27&gt;=0.35,"C","Watchlist"))))</f>
        <v/>
      </c>
      <c r="BG27" s="11">
        <f>IF(OR(BE27="",BE27&lt;0.5,R27="",R27&lt;0.35,AD27="",AD27&lt;0.35,AL27="",AL27&lt;0.35,AT27="",AT27&lt;0.35,BD27="",BD27&lt;0.35),"Watchlist","Ranked")</f>
        <v/>
      </c>
      <c r="BH27" s="15">
        <f>IF(AND(Q27="",AC27="",AK27="",AS27="",BC27=""),"",(IF(Q27="",0,Q27*25)+IF(AC27="",0,AC27*22)+IF(AK27="",0,AK27*18)+IF(AS27="",0,AS27*15)+IF(BC27="",0,BC27*20))/(IF(Q27="",0,25)+IF(AC27="",0,22)+IF(AK27="",0,18)+IF(AS27="",0,15)+IF(BC27="",0,20)))</f>
        <v/>
      </c>
      <c r="BI27" s="11">
        <f>IF(BG27="Ranked",1+COUNTIFS($BG$2:$BG$103,"Ranked",$BH$2:$BH$103,"&gt;"&amp;BH27),"")</f>
        <v/>
      </c>
      <c r="BJ27" s="11">
        <f>City_Inputs!$AH27</f>
        <v/>
      </c>
    </row>
    <row r="28">
      <c r="A28" t="inlineStr">
        <is>
          <t>bd-chattogram</t>
        </is>
      </c>
      <c r="B28" t="inlineStr">
        <is>
          <t>Chattogram</t>
        </is>
      </c>
      <c r="C28" t="inlineStr">
        <is>
          <t>Bangladesh</t>
        </is>
      </c>
      <c r="D28" t="inlineStr">
        <is>
          <t>South Asia</t>
        </is>
      </c>
      <c r="E28" t="inlineStr">
        <is>
          <t>locked</t>
        </is>
      </c>
      <c r="F28" t="inlineStr">
        <is>
          <t>secondary</t>
        </is>
      </c>
      <c r="G28" s="11">
        <f>IF(OR(City_Inputs!$M28="",Norm_Stats!$F$2="",Norm_Stats!$G$2="",Norm_Stats!$G$2=Norm_Stats!$F$2),"",MAX(0,MIN(100,100*(MIN(MAX(City_Inputs!$M28,Norm_Stats!$F$2),Norm_Stats!$G$2)-Norm_Stats!$F$2)/(Norm_Stats!$G$2-Norm_Stats!$F$2))))</f>
        <v/>
      </c>
      <c r="H28" s="14">
        <f>IF(G28="","",1)</f>
        <v/>
      </c>
      <c r="I28" s="11">
        <f>IF(OR(City_Inputs!$N28="",Norm_Stats!$F$3="",Norm_Stats!$G$3="",Norm_Stats!$G$3=Norm_Stats!$F$3),"",MAX(0,MIN(100,100*(Norm_Stats!$G$3-MIN(MAX(City_Inputs!$N28,Norm_Stats!$F$3),Norm_Stats!$G$3))/(Norm_Stats!$G$3-Norm_Stats!$F$3))))</f>
        <v/>
      </c>
      <c r="J28" s="14">
        <f>IF(I28="","",1)</f>
        <v/>
      </c>
      <c r="K28" s="11">
        <f>IF(OR(City_Inputs!$P28="",Norm_Stats!$F$4="",Norm_Stats!$G$4="",Norm_Stats!$G$4=Norm_Stats!$F$4),"",MAX(0,MIN(100,100*(Norm_Stats!$G$4-MIN(MAX(City_Inputs!$P28,Norm_Stats!$F$4),Norm_Stats!$G$4))/(Norm_Stats!$G$4-Norm_Stats!$F$4))))</f>
        <v/>
      </c>
      <c r="L28" s="14">
        <f>IF(K28="","",1)</f>
        <v/>
      </c>
      <c r="M28" s="11">
        <f>IF(OR(City_Inputs!$Q28="",Norm_Stats!$F$5="",Norm_Stats!$G$5="",Norm_Stats!$G$5=Norm_Stats!$F$5),"",MAX(0,MIN(100,100*(Norm_Stats!$G$5-MIN(MAX(City_Inputs!$Q28,Norm_Stats!$F$5),Norm_Stats!$G$5))/(Norm_Stats!$G$5-Norm_Stats!$F$5))))</f>
        <v/>
      </c>
      <c r="N28" s="14">
        <f>IF(M28="","",1)</f>
        <v/>
      </c>
      <c r="O28" s="11">
        <f>IF(OR(City_Inputs!$R28="",Norm_Stats!$F$6="",Norm_Stats!$G$6="",Norm_Stats!$G$6=Norm_Stats!$F$6),"",MAX(0,MIN(100,100*(Norm_Stats!$G$6-MIN(MAX(City_Inputs!$R28,Norm_Stats!$F$6),Norm_Stats!$G$6))/(Norm_Stats!$G$6-Norm_Stats!$F$6))))</f>
        <v/>
      </c>
      <c r="P28" s="14">
        <f>IF(O28="","",1)</f>
        <v/>
      </c>
      <c r="Q28" s="15">
        <f>IF((IF(G28="",0,9)+IF(I28="",0,5)+IF(K28="",0,4)+IF(M28="",0,4)+IF(O28="",0,3))=0,"",(IF(G28="",0,G28*9)+IF(I28="",0,I28*5)+IF(K28="",0,K28*4)+IF(M28="",0,M28*4)+IF(O28="",0,O28*3))/(IF(G28="",0,9)+IF(I28="",0,5)+IF(K28="",0,4)+IF(M28="",0,4)+IF(O28="",0,3)))</f>
        <v/>
      </c>
      <c r="R28" s="14">
        <f>IF((IF(H28="",0,9)+IF(J28="",0,5)+IF(L28="",0,4)+IF(N28="",0,4)+IF(P28="",0,3))=0,"",(IF(H28="",0,H28*9)+IF(J28="",0,J28*5)+IF(L28="",0,L28*4)+IF(N28="",0,N28*4)+IF(P28="",0,P28*3))/25)</f>
        <v/>
      </c>
      <c r="S28" s="11">
        <f>IF(OR(City_Inputs!$S28="",Norm_Stats!$F$7="",Norm_Stats!$G$7="",Norm_Stats!$G$7=Norm_Stats!$F$7),"",MAX(0,MIN(100,100*(Norm_Stats!$G$7-MIN(MAX(City_Inputs!$S28,Norm_Stats!$F$7),Norm_Stats!$G$7))/(Norm_Stats!$G$7-Norm_Stats!$F$7))))</f>
        <v/>
      </c>
      <c r="T28" s="14">
        <f>IF(S28="","",1)</f>
        <v/>
      </c>
      <c r="U28" s="11">
        <f>IF(OR(City_Inputs!$T28="",Norm_Stats!$F$8="",Norm_Stats!$G$8="",Norm_Stats!$G$8=Norm_Stats!$F$8),"",MAX(0,MIN(100,100*(MIN(MAX(City_Inputs!$T28,Norm_Stats!$F$8),Norm_Stats!$G$8)-Norm_Stats!$F$8)/(Norm_Stats!$G$8-Norm_Stats!$F$8))))</f>
        <v/>
      </c>
      <c r="V28" s="14">
        <f>IF(U28="","",1)</f>
        <v/>
      </c>
      <c r="W28" s="11">
        <f>IF(OR(City_Inputs!$U28="",Norm_Stats!$F$9="",Norm_Stats!$G$9="",Norm_Stats!$G$9=Norm_Stats!$F$9),"",MAX(0,MIN(100,100*(Norm_Stats!$G$9-MIN(MAX(City_Inputs!$U28,Norm_Stats!$F$9),Norm_Stats!$G$9))/(Norm_Stats!$G$9-Norm_Stats!$F$9))))</f>
        <v/>
      </c>
      <c r="X28" s="14">
        <f>IF(W28="","",1)</f>
        <v/>
      </c>
      <c r="Y28" s="11">
        <f>IF(OR(City_Inputs!$V28="",Norm_Stats!$F$10="",Norm_Stats!$G$10="",Norm_Stats!$G$10=Norm_Stats!$F$10),"",MAX(0,MIN(100,100*(MIN(MAX(City_Inputs!$V28,Norm_Stats!$F$10),Norm_Stats!$G$10)-Norm_Stats!$F$10)/(Norm_Stats!$G$10-Norm_Stats!$F$10))))</f>
        <v/>
      </c>
      <c r="Z28" s="14">
        <f>IF(Y28="","",1)</f>
        <v/>
      </c>
      <c r="AA28" s="11">
        <f>IF(OR(City_Inputs!$W28="",Norm_Stats!$F$11="",Norm_Stats!$G$11="",Norm_Stats!$G$11=Norm_Stats!$F$11),"",MAX(0,MIN(100,100*(MIN(MAX(City_Inputs!$W28,Norm_Stats!$F$11),Norm_Stats!$G$11)-Norm_Stats!$F$11)/(Norm_Stats!$G$11-Norm_Stats!$F$11))))</f>
        <v/>
      </c>
      <c r="AB28" s="14">
        <f>IF(AA28="","",1)</f>
        <v/>
      </c>
      <c r="AC28" s="15">
        <f>IF((IF(S28="",0,5)+IF(U28="",0,5)+IF(W28="",0,4)+IF(Y28="",0,4)+IF(AA28="",0,4))=0,"",(IF(S28="",0,S28*5)+IF(U28="",0,U28*5)+IF(W28="",0,W28*4)+IF(Y28="",0,Y28*4)+IF(AA28="",0,AA28*4))/(IF(S28="",0,5)+IF(U28="",0,5)+IF(W28="",0,4)+IF(Y28="",0,4)+IF(AA28="",0,4)))</f>
        <v/>
      </c>
      <c r="AD28" s="14">
        <f>IF((IF(T28="",0,5)+IF(V28="",0,5)+IF(X28="",0,4)+IF(Z28="",0,4)+IF(AB28="",0,4))=0,"",(IF(T28="",0,T28*5)+IF(V28="",0,V28*5)+IF(X28="",0,X28*4)+IF(Z28="",0,Z28*4)+IF(AB28="",0,AB28*4))/22)</f>
        <v/>
      </c>
      <c r="AE28" s="11">
        <f>IF(OR(City_Inputs!$X28="",Norm_Stats!$F$12="",Norm_Stats!$G$12="",Norm_Stats!$G$12=Norm_Stats!$F$12),"",MAX(0,MIN(100,100*(MIN(MAX(City_Inputs!$X28,Norm_Stats!$F$12),Norm_Stats!$G$12)-Norm_Stats!$F$12)/(Norm_Stats!$G$12-Norm_Stats!$F$12))))</f>
        <v/>
      </c>
      <c r="AF28" s="14">
        <f>IF(AE28="","",1)</f>
        <v/>
      </c>
      <c r="AG28" s="11">
        <f>IF(OR(City_Inputs!$Y28="",Norm_Stats!$F$13="",Norm_Stats!$G$13="",Norm_Stats!$G$13=Norm_Stats!$F$13),"",MAX(0,MIN(100,100*(MIN(MAX(City_Inputs!$Y28,Norm_Stats!$F$13),Norm_Stats!$G$13)-Norm_Stats!$F$13)/(Norm_Stats!$G$13-Norm_Stats!$F$13))))</f>
        <v/>
      </c>
      <c r="AH28" s="14">
        <f>IF(AG28="","",1)</f>
        <v/>
      </c>
      <c r="AI28" s="11">
        <f>IF((IF((IF(OR(City_Inputs!$Z28="",Norm_Stats!$F$14="",Norm_Stats!$G$14="",Norm_Stats!$G$14=Norm_Stats!$F$14),"",MAX(0,MIN(100,100*(MIN(MAX(City_Inputs!$Z28,Norm_Stats!$F$14),Norm_Stats!$G$14)-Norm_Stats!$F$14)/(Norm_Stats!$G$14-Norm_Stats!$F$14)))))="",0,0.7)+IF((IF(OR(City_Inputs!$AK28="",Norm_Stats!$F$15="",Norm_Stats!$G$15="",Norm_Stats!$G$15=Norm_Stats!$F$15),"",MAX(0,MIN(100,100*(Norm_Stats!$G$15-MIN(MAX(City_Inputs!$AK28,Norm_Stats!$F$15),Norm_Stats!$G$15))/(Norm_Stats!$G$15-Norm_Stats!$F$15)))))="",0,0.3))=0,"",(IF((IF(OR(City_Inputs!$Z28="",Norm_Stats!$F$14="",Norm_Stats!$G$14="",Norm_Stats!$G$14=Norm_Stats!$F$14),"",MAX(0,MIN(100,100*(MIN(MAX(City_Inputs!$Z28,Norm_Stats!$F$14),Norm_Stats!$G$14)-Norm_Stats!$F$14)/(Norm_Stats!$G$14-Norm_Stats!$F$14)))))="",0,(IF(OR(City_Inputs!$Z28="",Norm_Stats!$F$14="",Norm_Stats!$G$14="",Norm_Stats!$G$14=Norm_Stats!$F$14),"",MAX(0,MIN(100,100*(MIN(MAX(City_Inputs!$Z28,Norm_Stats!$F$14),Norm_Stats!$G$14)-Norm_Stats!$F$14)/(Norm_Stats!$G$14-Norm_Stats!$F$14)))))*0.7)+IF((IF(OR(City_Inputs!$AK28="",Norm_Stats!$F$15="",Norm_Stats!$G$15="",Norm_Stats!$G$15=Norm_Stats!$F$15),"",MAX(0,MIN(100,100*(Norm_Stats!$G$15-MIN(MAX(City_Inputs!$AK28,Norm_Stats!$F$15),Norm_Stats!$G$15))/(Norm_Stats!$G$15-Norm_Stats!$F$15)))))="",0,(IF(OR(City_Inputs!$AK28="",Norm_Stats!$F$15="",Norm_Stats!$G$15="",Norm_Stats!$G$15=Norm_Stats!$F$15),"",MAX(0,MIN(100,100*(Norm_Stats!$G$15-MIN(MAX(City_Inputs!$AK28,Norm_Stats!$F$15),Norm_Stats!$G$15))/(Norm_Stats!$G$15-Norm_Stats!$F$15)))))*0.3))/(IF((IF(OR(City_Inputs!$Z28="",Norm_Stats!$F$14="",Norm_Stats!$G$14="",Norm_Stats!$G$14=Norm_Stats!$F$14),"",MAX(0,MIN(100,100*(MIN(MAX(City_Inputs!$Z28,Norm_Stats!$F$14),Norm_Stats!$G$14)-Norm_Stats!$F$14)/(Norm_Stats!$G$14-Norm_Stats!$F$14)))))="",0,0.7)+IF((IF(OR(City_Inputs!$AK28="",Norm_Stats!$F$15="",Norm_Stats!$G$15="",Norm_Stats!$G$15=Norm_Stats!$F$15),"",MAX(0,MIN(100,100*(Norm_Stats!$G$15-MIN(MAX(City_Inputs!$AK28,Norm_Stats!$F$15),Norm_Stats!$G$15))/(Norm_Stats!$G$15-Norm_Stats!$F$15)))))="",0,0.3)))</f>
        <v/>
      </c>
      <c r="AJ28" s="14">
        <f>IF((IF((IF(OR(City_Inputs!$Z28="",Norm_Stats!$F$14="",Norm_Stats!$G$14="",Norm_Stats!$G$14=Norm_Stats!$F$14),"",MAX(0,MIN(100,100*(MIN(MAX(City_Inputs!$Z28,Norm_Stats!$F$14),Norm_Stats!$G$14)-Norm_Stats!$F$14)/(Norm_Stats!$G$14-Norm_Stats!$F$14)))))="",0,0.7)+IF((IF(OR(City_Inputs!$AK28="",Norm_Stats!$F$15="",Norm_Stats!$G$15="",Norm_Stats!$G$15=Norm_Stats!$F$15),"",MAX(0,MIN(100,100*(Norm_Stats!$G$15-MIN(MAX(City_Inputs!$AK28,Norm_Stats!$F$15),Norm_Stats!$G$15))/(Norm_Stats!$G$15-Norm_Stats!$F$15)))))="",0,0.3))=0,"",(IF((IF(OR(City_Inputs!$Z28="",Norm_Stats!$F$14="",Norm_Stats!$G$14="",Norm_Stats!$G$14=Norm_Stats!$F$14),"",MAX(0,MIN(100,100*(MIN(MAX(City_Inputs!$Z28,Norm_Stats!$F$14),Norm_Stats!$G$14)-Norm_Stats!$F$14)/(Norm_Stats!$G$14-Norm_Stats!$F$14)))))="",0,0.7)+IF((IF(OR(City_Inputs!$AK28="",Norm_Stats!$F$15="",Norm_Stats!$G$15="",Norm_Stats!$G$15=Norm_Stats!$F$15),"",MAX(0,MIN(100,100*(Norm_Stats!$G$15-MIN(MAX(City_Inputs!$AK28,Norm_Stats!$F$15),Norm_Stats!$G$15))/(Norm_Stats!$G$15-Norm_Stats!$F$15)))))="",0,0.3)))</f>
        <v/>
      </c>
      <c r="AK28" s="15">
        <f>IF((IF(AE28="",0,8)+IF(AG28="",0,6)+IF(AI28="",0,4))=0,"",(IF(AE28="",0,AE28*8)+IF(AG28="",0,AG28*6)+IF(AI28="",0,AI28*4))/(IF(AE28="",0,8)+IF(AG28="",0,6)+IF(AI28="",0,4)))</f>
        <v/>
      </c>
      <c r="AL28" s="14">
        <f>IF((IF(AF28="",0,8)+IF(AH28="",0,6)+IF(AJ28="",0,4))=0,"",(IF(AF28="",0,AF28*8)+IF(AH28="",0,AH28*6)+IF(AJ28="",0,AJ28*4))/18)</f>
        <v/>
      </c>
      <c r="AM28" s="11">
        <f>IF(OR(City_Inputs!$AA28="",Norm_Stats!$F$16="",Norm_Stats!$G$16="",Norm_Stats!$G$16=Norm_Stats!$F$16),"",MAX(0,MIN(100,100*(MIN(MAX(City_Inputs!$AA28,Norm_Stats!$F$16),Norm_Stats!$G$16)-Norm_Stats!$F$16)/(Norm_Stats!$G$16-Norm_Stats!$F$16))))</f>
        <v/>
      </c>
      <c r="AN28" s="14">
        <f>IF(AM28="","",1)</f>
        <v/>
      </c>
      <c r="AO28" s="11">
        <f>IF(OR(City_Inputs!$AB28="",Norm_Stats!$F$17="",Norm_Stats!$G$17="",Norm_Stats!$G$17=Norm_Stats!$F$17),"",MAX(0,MIN(100,100*(MIN(MAX(City_Inputs!$AB28,Norm_Stats!$F$17),Norm_Stats!$G$17)-Norm_Stats!$F$17)/(Norm_Stats!$G$17-Norm_Stats!$F$17))))</f>
        <v/>
      </c>
      <c r="AP28" s="14">
        <f>IF(AO28="","",1)</f>
        <v/>
      </c>
      <c r="AQ28" s="11">
        <f>IF(OR(City_Inputs!$AC28="",Norm_Stats!$F$18="",Norm_Stats!$G$18="",Norm_Stats!$G$18=Norm_Stats!$F$18),"",MAX(0,MIN(100,100*(MIN(MAX(City_Inputs!$AC28,Norm_Stats!$F$18),Norm_Stats!$G$18)-Norm_Stats!$F$18)/(Norm_Stats!$G$18-Norm_Stats!$F$18))))</f>
        <v/>
      </c>
      <c r="AR28" s="14">
        <f>IF(AQ28="","",1)</f>
        <v/>
      </c>
      <c r="AS28" s="15">
        <f>IF((IF(AM28="",0,5)+IF(AO28="",0,5)+IF(AQ28="",0,5))=0,"",(IF(AM28="",0,AM28*5)+IF(AO28="",0,AO28*5)+IF(AQ28="",0,AQ28*5))/(IF(AM28="",0,5)+IF(AO28="",0,5)+IF(AQ28="",0,5)))</f>
        <v/>
      </c>
      <c r="AT28" s="14">
        <f>IF((IF(AN28="",0,5)+IF(AP28="",0,5)+IF(AR28="",0,5))=0,"",(IF(AN28="",0,AN28*5)+IF(AP28="",0,AP28*5)+IF(AR28="",0,AR28*5))/15)</f>
        <v/>
      </c>
      <c r="AU28" s="11">
        <f>IF(OR(City_Inputs!$AD28="",Norm_Stats!$F$19="",Norm_Stats!$G$19="",Norm_Stats!$G$19=Norm_Stats!$F$19),"",MAX(0,MIN(100,100*(MIN(MAX(City_Inputs!$AD28,Norm_Stats!$F$19),Norm_Stats!$G$19)-Norm_Stats!$F$19)/(Norm_Stats!$G$19-Norm_Stats!$F$19))))</f>
        <v/>
      </c>
      <c r="AV28" s="14">
        <f>IF(AU28="","",1)</f>
        <v/>
      </c>
      <c r="AW28" s="11">
        <f>IF(OR(City_Inputs!$AE28="",Norm_Stats!$F$20="",Norm_Stats!$G$20="",Norm_Stats!$G$20=Norm_Stats!$F$20),"",MAX(0,MIN(100,100*(MIN(MAX(City_Inputs!$AE28,Norm_Stats!$F$20),Norm_Stats!$G$20)-Norm_Stats!$F$20)/(Norm_Stats!$G$20-Norm_Stats!$F$20))))</f>
        <v/>
      </c>
      <c r="AX28" s="14">
        <f>IF(AW28="","",1)</f>
        <v/>
      </c>
      <c r="AY28" s="11">
        <f>IF((IF((IF(OR(City_Inputs!$AF28="",Norm_Stats!$F$21="",Norm_Stats!$G$21="",Norm_Stats!$G$21=Norm_Stats!$F$21),"",MAX(0,MIN(100,100*(MIN(MAX(City_Inputs!$AF28,Norm_Stats!$F$21),Norm_Stats!$G$21)-Norm_Stats!$F$21)/(Norm_Stats!$G$21-Norm_Stats!$F$21)))))="",0,0.5)+IF((IF(OR(City_Inputs!$AI28="",Norm_Stats!$F$22="",Norm_Stats!$G$22="",Norm_Stats!$G$22=Norm_Stats!$F$22),"",MAX(0,MIN(100,100*(MIN(MAX(City_Inputs!$AI28,Norm_Stats!$F$22),Norm_Stats!$G$22)-Norm_Stats!$F$22)/(Norm_Stats!$G$22-Norm_Stats!$F$22)))))="",0,0.3)+IF((IF(OR(City_Inputs!$AJ28="",Norm_Stats!$F$23="",Norm_Stats!$G$23="",Norm_Stats!$G$23=Norm_Stats!$F$23),"",MAX(0,MIN(100,100*(MIN(MAX(City_Inputs!$AJ28,Norm_Stats!$F$23),Norm_Stats!$G$23)-Norm_Stats!$F$23)/(Norm_Stats!$G$23-Norm_Stats!$F$23)))))="",0,0.2))=0,"",(IF((IF(OR(City_Inputs!$AF28="",Norm_Stats!$F$21="",Norm_Stats!$G$21="",Norm_Stats!$G$21=Norm_Stats!$F$21),"",MAX(0,MIN(100,100*(MIN(MAX(City_Inputs!$AF28,Norm_Stats!$F$21),Norm_Stats!$G$21)-Norm_Stats!$F$21)/(Norm_Stats!$G$21-Norm_Stats!$F$21)))))="",0,(IF(OR(City_Inputs!$AF28="",Norm_Stats!$F$21="",Norm_Stats!$G$21="",Norm_Stats!$G$21=Norm_Stats!$F$21),"",MAX(0,MIN(100,100*(MIN(MAX(City_Inputs!$AF28,Norm_Stats!$F$21),Norm_Stats!$G$21)-Norm_Stats!$F$21)/(Norm_Stats!$G$21-Norm_Stats!$F$21)))))*0.5)+IF((IF(OR(City_Inputs!$AI28="",Norm_Stats!$F$22="",Norm_Stats!$G$22="",Norm_Stats!$G$22=Norm_Stats!$F$22),"",MAX(0,MIN(100,100*(MIN(MAX(City_Inputs!$AI28,Norm_Stats!$F$22),Norm_Stats!$G$22)-Norm_Stats!$F$22)/(Norm_Stats!$G$22-Norm_Stats!$F$22)))))="",0,(IF(OR(City_Inputs!$AI28="",Norm_Stats!$F$22="",Norm_Stats!$G$22="",Norm_Stats!$G$22=Norm_Stats!$F$22),"",MAX(0,MIN(100,100*(MIN(MAX(City_Inputs!$AI28,Norm_Stats!$F$22),Norm_Stats!$G$22)-Norm_Stats!$F$22)/(Norm_Stats!$G$22-Norm_Stats!$F$22)))))*0.3)+IF((IF(OR(City_Inputs!$AJ28="",Norm_Stats!$F$23="",Norm_Stats!$G$23="",Norm_Stats!$G$23=Norm_Stats!$F$23),"",MAX(0,MIN(100,100*(MIN(MAX(City_Inputs!$AJ28,Norm_Stats!$F$23),Norm_Stats!$G$23)-Norm_Stats!$F$23)/(Norm_Stats!$G$23-Norm_Stats!$F$23)))))="",0,(IF(OR(City_Inputs!$AJ28="",Norm_Stats!$F$23="",Norm_Stats!$G$23="",Norm_Stats!$G$23=Norm_Stats!$F$23),"",MAX(0,MIN(100,100*(MIN(MAX(City_Inputs!$AJ28,Norm_Stats!$F$23),Norm_Stats!$G$23)-Norm_Stats!$F$23)/(Norm_Stats!$G$23-Norm_Stats!$F$23)))))*0.2))/(IF((IF(OR(City_Inputs!$AF28="",Norm_Stats!$F$21="",Norm_Stats!$G$21="",Norm_Stats!$G$21=Norm_Stats!$F$21),"",MAX(0,MIN(100,100*(MIN(MAX(City_Inputs!$AF28,Norm_Stats!$F$21),Norm_Stats!$G$21)-Norm_Stats!$F$21)/(Norm_Stats!$G$21-Norm_Stats!$F$21)))))="",0,0.5)+IF((IF(OR(City_Inputs!$AI28="",Norm_Stats!$F$22="",Norm_Stats!$G$22="",Norm_Stats!$G$22=Norm_Stats!$F$22),"",MAX(0,MIN(100,100*(MIN(MAX(City_Inputs!$AI28,Norm_Stats!$F$22),Norm_Stats!$G$22)-Norm_Stats!$F$22)/(Norm_Stats!$G$22-Norm_Stats!$F$22)))))="",0,0.3)+IF((IF(OR(City_Inputs!$AJ28="",Norm_Stats!$F$23="",Norm_Stats!$G$23="",Norm_Stats!$G$23=Norm_Stats!$F$23),"",MAX(0,MIN(100,100*(MIN(MAX(City_Inputs!$AJ28,Norm_Stats!$F$23),Norm_Stats!$G$23)-Norm_Stats!$F$23)/(Norm_Stats!$G$23-Norm_Stats!$F$23)))))="",0,0.2)))</f>
        <v/>
      </c>
      <c r="AZ28" s="14">
        <f>IF((IF((IF(OR(City_Inputs!$AF28="",Norm_Stats!$F$21="",Norm_Stats!$G$21="",Norm_Stats!$G$21=Norm_Stats!$F$21),"",MAX(0,MIN(100,100*(MIN(MAX(City_Inputs!$AF28,Norm_Stats!$F$21),Norm_Stats!$G$21)-Norm_Stats!$F$21)/(Norm_Stats!$G$21-Norm_Stats!$F$21)))))="",0,0.5)+IF((IF(OR(City_Inputs!$AI28="",Norm_Stats!$F$22="",Norm_Stats!$G$22="",Norm_Stats!$G$22=Norm_Stats!$F$22),"",MAX(0,MIN(100,100*(MIN(MAX(City_Inputs!$AI28,Norm_Stats!$F$22),Norm_Stats!$G$22)-Norm_Stats!$F$22)/(Norm_Stats!$G$22-Norm_Stats!$F$22)))))="",0,0.3)+IF((IF(OR(City_Inputs!$AJ28="",Norm_Stats!$F$23="",Norm_Stats!$G$23="",Norm_Stats!$G$23=Norm_Stats!$F$23),"",MAX(0,MIN(100,100*(MIN(MAX(City_Inputs!$AJ28,Norm_Stats!$F$23),Norm_Stats!$G$23)-Norm_Stats!$F$23)/(Norm_Stats!$G$23-Norm_Stats!$F$23)))))="",0,0.2))=0,"",(IF((IF(OR(City_Inputs!$AF28="",Norm_Stats!$F$21="",Norm_Stats!$G$21="",Norm_Stats!$G$21=Norm_Stats!$F$21),"",MAX(0,MIN(100,100*(MIN(MAX(City_Inputs!$AF28,Norm_Stats!$F$21),Norm_Stats!$G$21)-Norm_Stats!$F$21)/(Norm_Stats!$G$21-Norm_Stats!$F$21)))))="",0,0.5)+IF((IF(OR(City_Inputs!$AI28="",Norm_Stats!$F$22="",Norm_Stats!$G$22="",Norm_Stats!$G$22=Norm_Stats!$F$22),"",MAX(0,MIN(100,100*(MIN(MAX(City_Inputs!$AI28,Norm_Stats!$F$22),Norm_Stats!$G$22)-Norm_Stats!$F$22)/(Norm_Stats!$G$22-Norm_Stats!$F$22)))))="",0,0.3)+IF((IF(OR(City_Inputs!$AJ28="",Norm_Stats!$F$23="",Norm_Stats!$G$23="",Norm_Stats!$G$23=Norm_Stats!$F$23),"",MAX(0,MIN(100,100*(MIN(MAX(City_Inputs!$AJ28,Norm_Stats!$F$23),Norm_Stats!$G$23)-Norm_Stats!$F$23)/(Norm_Stats!$G$23-Norm_Stats!$F$23)))))="",0,0.2)))</f>
        <v/>
      </c>
      <c r="BA28" s="11">
        <f>IF(OR(City_Inputs!$AG28="",Norm_Stats!$F$24="",Norm_Stats!$G$24="",Norm_Stats!$G$24=Norm_Stats!$F$24),"",MAX(0,MIN(100,100*(Norm_Stats!$G$24-MIN(MAX(City_Inputs!$AG28,Norm_Stats!$F$24),Norm_Stats!$G$24))/(Norm_Stats!$G$24-Norm_Stats!$F$24))))</f>
        <v/>
      </c>
      <c r="BB28" s="14">
        <f>IF(BA28="","",1)</f>
        <v/>
      </c>
      <c r="BC28" s="15">
        <f>IF((IF(AU28="",0,6)+IF(AW28="",0,5)+IF(AY28="",0,5)+IF(BA28="",0,4))=0,"",(IF(AU28="",0,AU28*6)+IF(AW28="",0,AW28*5)+IF(AY28="",0,AY28*5)+IF(BA28="",0,BA28*4))/(IF(AU28="",0,6)+IF(AW28="",0,5)+IF(AY28="",0,5)+IF(BA28="",0,4)))</f>
        <v/>
      </c>
      <c r="BD28" s="14">
        <f>IF((IF(AV28="",0,6)+IF(AX28="",0,5)+IF(AZ28="",0,5)+IF(BB28="",0,4))=0,"",(IF(AV28="",0,AV28*6)+IF(AX28="",0,AX28*5)+IF(AZ28="",0,AZ28*5)+IF(BB28="",0,BB28*4))/20)</f>
        <v/>
      </c>
      <c r="BE28" s="14">
        <f>IF(AND(R28="",AD28="",AL28="",AT28="",BD28=""),"",((R28*25)+(AD28*22)+(AL28*18)+(AT28*15)+(BD28*20))/100)</f>
        <v/>
      </c>
      <c r="BF28" s="11">
        <f>IF(BE28="","",IF(BE28&gt;=0.75,"A",IF(BE28&gt;=0.5,"B",IF(BE28&gt;=0.35,"C","Watchlist"))))</f>
        <v/>
      </c>
      <c r="BG28" s="11">
        <f>IF(OR(BE28="",BE28&lt;0.5,R28="",R28&lt;0.35,AD28="",AD28&lt;0.35,AL28="",AL28&lt;0.35,AT28="",AT28&lt;0.35,BD28="",BD28&lt;0.35),"Watchlist","Ranked")</f>
        <v/>
      </c>
      <c r="BH28" s="15">
        <f>IF(AND(Q28="",AC28="",AK28="",AS28="",BC28=""),"",(IF(Q28="",0,Q28*25)+IF(AC28="",0,AC28*22)+IF(AK28="",0,AK28*18)+IF(AS28="",0,AS28*15)+IF(BC28="",0,BC28*20))/(IF(Q28="",0,25)+IF(AC28="",0,22)+IF(AK28="",0,18)+IF(AS28="",0,15)+IF(BC28="",0,20)))</f>
        <v/>
      </c>
      <c r="BI28" s="11">
        <f>IF(BG28="Ranked",1+COUNTIFS($BG$2:$BG$103,"Ranked",$BH$2:$BH$103,"&gt;"&amp;BH28),"")</f>
        <v/>
      </c>
      <c r="BJ28" s="11">
        <f>City_Inputs!$AH28</f>
        <v/>
      </c>
    </row>
    <row r="29">
      <c r="A29" t="inlineStr">
        <is>
          <t>np-kathmandu</t>
        </is>
      </c>
      <c r="B29" t="inlineStr">
        <is>
          <t>Kathmandu</t>
        </is>
      </c>
      <c r="C29" t="inlineStr">
        <is>
          <t>Nepal</t>
        </is>
      </c>
      <c r="D29" t="inlineStr">
        <is>
          <t>South Asia</t>
        </is>
      </c>
      <c r="E29" t="inlineStr">
        <is>
          <t>provisional</t>
        </is>
      </c>
      <c r="F29" t="inlineStr">
        <is>
          <t>secondary</t>
        </is>
      </c>
      <c r="G29" s="11">
        <f>IF(OR(City_Inputs!$M29="",Norm_Stats!$F$2="",Norm_Stats!$G$2="",Norm_Stats!$G$2=Norm_Stats!$F$2),"",MAX(0,MIN(100,100*(MIN(MAX(City_Inputs!$M29,Norm_Stats!$F$2),Norm_Stats!$G$2)-Norm_Stats!$F$2)/(Norm_Stats!$G$2-Norm_Stats!$F$2))))</f>
        <v/>
      </c>
      <c r="H29" s="14">
        <f>IF(G29="","",1)</f>
        <v/>
      </c>
      <c r="I29" s="11">
        <f>IF(OR(City_Inputs!$N29="",Norm_Stats!$F$3="",Norm_Stats!$G$3="",Norm_Stats!$G$3=Norm_Stats!$F$3),"",MAX(0,MIN(100,100*(Norm_Stats!$G$3-MIN(MAX(City_Inputs!$N29,Norm_Stats!$F$3),Norm_Stats!$G$3))/(Norm_Stats!$G$3-Norm_Stats!$F$3))))</f>
        <v/>
      </c>
      <c r="J29" s="14">
        <f>IF(I29="","",1)</f>
        <v/>
      </c>
      <c r="K29" s="11">
        <f>IF(OR(City_Inputs!$P29="",Norm_Stats!$F$4="",Norm_Stats!$G$4="",Norm_Stats!$G$4=Norm_Stats!$F$4),"",MAX(0,MIN(100,100*(Norm_Stats!$G$4-MIN(MAX(City_Inputs!$P29,Norm_Stats!$F$4),Norm_Stats!$G$4))/(Norm_Stats!$G$4-Norm_Stats!$F$4))))</f>
        <v/>
      </c>
      <c r="L29" s="14">
        <f>IF(K29="","",1)</f>
        <v/>
      </c>
      <c r="M29" s="11">
        <f>IF(OR(City_Inputs!$Q29="",Norm_Stats!$F$5="",Norm_Stats!$G$5="",Norm_Stats!$G$5=Norm_Stats!$F$5),"",MAX(0,MIN(100,100*(Norm_Stats!$G$5-MIN(MAX(City_Inputs!$Q29,Norm_Stats!$F$5),Norm_Stats!$G$5))/(Norm_Stats!$G$5-Norm_Stats!$F$5))))</f>
        <v/>
      </c>
      <c r="N29" s="14">
        <f>IF(M29="","",1)</f>
        <v/>
      </c>
      <c r="O29" s="11">
        <f>IF(OR(City_Inputs!$R29="",Norm_Stats!$F$6="",Norm_Stats!$G$6="",Norm_Stats!$G$6=Norm_Stats!$F$6),"",MAX(0,MIN(100,100*(Norm_Stats!$G$6-MIN(MAX(City_Inputs!$R29,Norm_Stats!$F$6),Norm_Stats!$G$6))/(Norm_Stats!$G$6-Norm_Stats!$F$6))))</f>
        <v/>
      </c>
      <c r="P29" s="14">
        <f>IF(O29="","",1)</f>
        <v/>
      </c>
      <c r="Q29" s="15">
        <f>IF((IF(G29="",0,9)+IF(I29="",0,5)+IF(K29="",0,4)+IF(M29="",0,4)+IF(O29="",0,3))=0,"",(IF(G29="",0,G29*9)+IF(I29="",0,I29*5)+IF(K29="",0,K29*4)+IF(M29="",0,M29*4)+IF(O29="",0,O29*3))/(IF(G29="",0,9)+IF(I29="",0,5)+IF(K29="",0,4)+IF(M29="",0,4)+IF(O29="",0,3)))</f>
        <v/>
      </c>
      <c r="R29" s="14">
        <f>IF((IF(H29="",0,9)+IF(J29="",0,5)+IF(L29="",0,4)+IF(N29="",0,4)+IF(P29="",0,3))=0,"",(IF(H29="",0,H29*9)+IF(J29="",0,J29*5)+IF(L29="",0,L29*4)+IF(N29="",0,N29*4)+IF(P29="",0,P29*3))/25)</f>
        <v/>
      </c>
      <c r="S29" s="11">
        <f>IF(OR(City_Inputs!$S29="",Norm_Stats!$F$7="",Norm_Stats!$G$7="",Norm_Stats!$G$7=Norm_Stats!$F$7),"",MAX(0,MIN(100,100*(Norm_Stats!$G$7-MIN(MAX(City_Inputs!$S29,Norm_Stats!$F$7),Norm_Stats!$G$7))/(Norm_Stats!$G$7-Norm_Stats!$F$7))))</f>
        <v/>
      </c>
      <c r="T29" s="14">
        <f>IF(S29="","",1)</f>
        <v/>
      </c>
      <c r="U29" s="11">
        <f>IF(OR(City_Inputs!$T29="",Norm_Stats!$F$8="",Norm_Stats!$G$8="",Norm_Stats!$G$8=Norm_Stats!$F$8),"",MAX(0,MIN(100,100*(MIN(MAX(City_Inputs!$T29,Norm_Stats!$F$8),Norm_Stats!$G$8)-Norm_Stats!$F$8)/(Norm_Stats!$G$8-Norm_Stats!$F$8))))</f>
        <v/>
      </c>
      <c r="V29" s="14">
        <f>IF(U29="","",1)</f>
        <v/>
      </c>
      <c r="W29" s="11">
        <f>IF(OR(City_Inputs!$U29="",Norm_Stats!$F$9="",Norm_Stats!$G$9="",Norm_Stats!$G$9=Norm_Stats!$F$9),"",MAX(0,MIN(100,100*(Norm_Stats!$G$9-MIN(MAX(City_Inputs!$U29,Norm_Stats!$F$9),Norm_Stats!$G$9))/(Norm_Stats!$G$9-Norm_Stats!$F$9))))</f>
        <v/>
      </c>
      <c r="X29" s="14">
        <f>IF(W29="","",1)</f>
        <v/>
      </c>
      <c r="Y29" s="11">
        <f>IF(OR(City_Inputs!$V29="",Norm_Stats!$F$10="",Norm_Stats!$G$10="",Norm_Stats!$G$10=Norm_Stats!$F$10),"",MAX(0,MIN(100,100*(MIN(MAX(City_Inputs!$V29,Norm_Stats!$F$10),Norm_Stats!$G$10)-Norm_Stats!$F$10)/(Norm_Stats!$G$10-Norm_Stats!$F$10))))</f>
        <v/>
      </c>
      <c r="Z29" s="14">
        <f>IF(Y29="","",1)</f>
        <v/>
      </c>
      <c r="AA29" s="11">
        <f>IF(OR(City_Inputs!$W29="",Norm_Stats!$F$11="",Norm_Stats!$G$11="",Norm_Stats!$G$11=Norm_Stats!$F$11),"",MAX(0,MIN(100,100*(MIN(MAX(City_Inputs!$W29,Norm_Stats!$F$11),Norm_Stats!$G$11)-Norm_Stats!$F$11)/(Norm_Stats!$G$11-Norm_Stats!$F$11))))</f>
        <v/>
      </c>
      <c r="AB29" s="14">
        <f>IF(AA29="","",1)</f>
        <v/>
      </c>
      <c r="AC29" s="15">
        <f>IF((IF(S29="",0,5)+IF(U29="",0,5)+IF(W29="",0,4)+IF(Y29="",0,4)+IF(AA29="",0,4))=0,"",(IF(S29="",0,S29*5)+IF(U29="",0,U29*5)+IF(W29="",0,W29*4)+IF(Y29="",0,Y29*4)+IF(AA29="",0,AA29*4))/(IF(S29="",0,5)+IF(U29="",0,5)+IF(W29="",0,4)+IF(Y29="",0,4)+IF(AA29="",0,4)))</f>
        <v/>
      </c>
      <c r="AD29" s="14">
        <f>IF((IF(T29="",0,5)+IF(V29="",0,5)+IF(X29="",0,4)+IF(Z29="",0,4)+IF(AB29="",0,4))=0,"",(IF(T29="",0,T29*5)+IF(V29="",0,V29*5)+IF(X29="",0,X29*4)+IF(Z29="",0,Z29*4)+IF(AB29="",0,AB29*4))/22)</f>
        <v/>
      </c>
      <c r="AE29" s="11">
        <f>IF(OR(City_Inputs!$X29="",Norm_Stats!$F$12="",Norm_Stats!$G$12="",Norm_Stats!$G$12=Norm_Stats!$F$12),"",MAX(0,MIN(100,100*(MIN(MAX(City_Inputs!$X29,Norm_Stats!$F$12),Norm_Stats!$G$12)-Norm_Stats!$F$12)/(Norm_Stats!$G$12-Norm_Stats!$F$12))))</f>
        <v/>
      </c>
      <c r="AF29" s="14">
        <f>IF(AE29="","",1)</f>
        <v/>
      </c>
      <c r="AG29" s="11">
        <f>IF(OR(City_Inputs!$Y29="",Norm_Stats!$F$13="",Norm_Stats!$G$13="",Norm_Stats!$G$13=Norm_Stats!$F$13),"",MAX(0,MIN(100,100*(MIN(MAX(City_Inputs!$Y29,Norm_Stats!$F$13),Norm_Stats!$G$13)-Norm_Stats!$F$13)/(Norm_Stats!$G$13-Norm_Stats!$F$13))))</f>
        <v/>
      </c>
      <c r="AH29" s="14">
        <f>IF(AG29="","",1)</f>
        <v/>
      </c>
      <c r="AI29" s="11">
        <f>IF((IF((IF(OR(City_Inputs!$Z29="",Norm_Stats!$F$14="",Norm_Stats!$G$14="",Norm_Stats!$G$14=Norm_Stats!$F$14),"",MAX(0,MIN(100,100*(MIN(MAX(City_Inputs!$Z29,Norm_Stats!$F$14),Norm_Stats!$G$14)-Norm_Stats!$F$14)/(Norm_Stats!$G$14-Norm_Stats!$F$14)))))="",0,0.7)+IF((IF(OR(City_Inputs!$AK29="",Norm_Stats!$F$15="",Norm_Stats!$G$15="",Norm_Stats!$G$15=Norm_Stats!$F$15),"",MAX(0,MIN(100,100*(Norm_Stats!$G$15-MIN(MAX(City_Inputs!$AK29,Norm_Stats!$F$15),Norm_Stats!$G$15))/(Norm_Stats!$G$15-Norm_Stats!$F$15)))))="",0,0.3))=0,"",(IF((IF(OR(City_Inputs!$Z29="",Norm_Stats!$F$14="",Norm_Stats!$G$14="",Norm_Stats!$G$14=Norm_Stats!$F$14),"",MAX(0,MIN(100,100*(MIN(MAX(City_Inputs!$Z29,Norm_Stats!$F$14),Norm_Stats!$G$14)-Norm_Stats!$F$14)/(Norm_Stats!$G$14-Norm_Stats!$F$14)))))="",0,(IF(OR(City_Inputs!$Z29="",Norm_Stats!$F$14="",Norm_Stats!$G$14="",Norm_Stats!$G$14=Norm_Stats!$F$14),"",MAX(0,MIN(100,100*(MIN(MAX(City_Inputs!$Z29,Norm_Stats!$F$14),Norm_Stats!$G$14)-Norm_Stats!$F$14)/(Norm_Stats!$G$14-Norm_Stats!$F$14)))))*0.7)+IF((IF(OR(City_Inputs!$AK29="",Norm_Stats!$F$15="",Norm_Stats!$G$15="",Norm_Stats!$G$15=Norm_Stats!$F$15),"",MAX(0,MIN(100,100*(Norm_Stats!$G$15-MIN(MAX(City_Inputs!$AK29,Norm_Stats!$F$15),Norm_Stats!$G$15))/(Norm_Stats!$G$15-Norm_Stats!$F$15)))))="",0,(IF(OR(City_Inputs!$AK29="",Norm_Stats!$F$15="",Norm_Stats!$G$15="",Norm_Stats!$G$15=Norm_Stats!$F$15),"",MAX(0,MIN(100,100*(Norm_Stats!$G$15-MIN(MAX(City_Inputs!$AK29,Norm_Stats!$F$15),Norm_Stats!$G$15))/(Norm_Stats!$G$15-Norm_Stats!$F$15)))))*0.3))/(IF((IF(OR(City_Inputs!$Z29="",Norm_Stats!$F$14="",Norm_Stats!$G$14="",Norm_Stats!$G$14=Norm_Stats!$F$14),"",MAX(0,MIN(100,100*(MIN(MAX(City_Inputs!$Z29,Norm_Stats!$F$14),Norm_Stats!$G$14)-Norm_Stats!$F$14)/(Norm_Stats!$G$14-Norm_Stats!$F$14)))))="",0,0.7)+IF((IF(OR(City_Inputs!$AK29="",Norm_Stats!$F$15="",Norm_Stats!$G$15="",Norm_Stats!$G$15=Norm_Stats!$F$15),"",MAX(0,MIN(100,100*(Norm_Stats!$G$15-MIN(MAX(City_Inputs!$AK29,Norm_Stats!$F$15),Norm_Stats!$G$15))/(Norm_Stats!$G$15-Norm_Stats!$F$15)))))="",0,0.3)))</f>
        <v/>
      </c>
      <c r="AJ29" s="14">
        <f>IF((IF((IF(OR(City_Inputs!$Z29="",Norm_Stats!$F$14="",Norm_Stats!$G$14="",Norm_Stats!$G$14=Norm_Stats!$F$14),"",MAX(0,MIN(100,100*(MIN(MAX(City_Inputs!$Z29,Norm_Stats!$F$14),Norm_Stats!$G$14)-Norm_Stats!$F$14)/(Norm_Stats!$G$14-Norm_Stats!$F$14)))))="",0,0.7)+IF((IF(OR(City_Inputs!$AK29="",Norm_Stats!$F$15="",Norm_Stats!$G$15="",Norm_Stats!$G$15=Norm_Stats!$F$15),"",MAX(0,MIN(100,100*(Norm_Stats!$G$15-MIN(MAX(City_Inputs!$AK29,Norm_Stats!$F$15),Norm_Stats!$G$15))/(Norm_Stats!$G$15-Norm_Stats!$F$15)))))="",0,0.3))=0,"",(IF((IF(OR(City_Inputs!$Z29="",Norm_Stats!$F$14="",Norm_Stats!$G$14="",Norm_Stats!$G$14=Norm_Stats!$F$14),"",MAX(0,MIN(100,100*(MIN(MAX(City_Inputs!$Z29,Norm_Stats!$F$14),Norm_Stats!$G$14)-Norm_Stats!$F$14)/(Norm_Stats!$G$14-Norm_Stats!$F$14)))))="",0,0.7)+IF((IF(OR(City_Inputs!$AK29="",Norm_Stats!$F$15="",Norm_Stats!$G$15="",Norm_Stats!$G$15=Norm_Stats!$F$15),"",MAX(0,MIN(100,100*(Norm_Stats!$G$15-MIN(MAX(City_Inputs!$AK29,Norm_Stats!$F$15),Norm_Stats!$G$15))/(Norm_Stats!$G$15-Norm_Stats!$F$15)))))="",0,0.3)))</f>
        <v/>
      </c>
      <c r="AK29" s="15">
        <f>IF((IF(AE29="",0,8)+IF(AG29="",0,6)+IF(AI29="",0,4))=0,"",(IF(AE29="",0,AE29*8)+IF(AG29="",0,AG29*6)+IF(AI29="",0,AI29*4))/(IF(AE29="",0,8)+IF(AG29="",0,6)+IF(AI29="",0,4)))</f>
        <v/>
      </c>
      <c r="AL29" s="14">
        <f>IF((IF(AF29="",0,8)+IF(AH29="",0,6)+IF(AJ29="",0,4))=0,"",(IF(AF29="",0,AF29*8)+IF(AH29="",0,AH29*6)+IF(AJ29="",0,AJ29*4))/18)</f>
        <v/>
      </c>
      <c r="AM29" s="11">
        <f>IF(OR(City_Inputs!$AA29="",Norm_Stats!$F$16="",Norm_Stats!$G$16="",Norm_Stats!$G$16=Norm_Stats!$F$16),"",MAX(0,MIN(100,100*(MIN(MAX(City_Inputs!$AA29,Norm_Stats!$F$16),Norm_Stats!$G$16)-Norm_Stats!$F$16)/(Norm_Stats!$G$16-Norm_Stats!$F$16))))</f>
        <v/>
      </c>
      <c r="AN29" s="14">
        <f>IF(AM29="","",1)</f>
        <v/>
      </c>
      <c r="AO29" s="11">
        <f>IF(OR(City_Inputs!$AB29="",Norm_Stats!$F$17="",Norm_Stats!$G$17="",Norm_Stats!$G$17=Norm_Stats!$F$17),"",MAX(0,MIN(100,100*(MIN(MAX(City_Inputs!$AB29,Norm_Stats!$F$17),Norm_Stats!$G$17)-Norm_Stats!$F$17)/(Norm_Stats!$G$17-Norm_Stats!$F$17))))</f>
        <v/>
      </c>
      <c r="AP29" s="14">
        <f>IF(AO29="","",1)</f>
        <v/>
      </c>
      <c r="AQ29" s="11">
        <f>IF(OR(City_Inputs!$AC29="",Norm_Stats!$F$18="",Norm_Stats!$G$18="",Norm_Stats!$G$18=Norm_Stats!$F$18),"",MAX(0,MIN(100,100*(MIN(MAX(City_Inputs!$AC29,Norm_Stats!$F$18),Norm_Stats!$G$18)-Norm_Stats!$F$18)/(Norm_Stats!$G$18-Norm_Stats!$F$18))))</f>
        <v/>
      </c>
      <c r="AR29" s="14">
        <f>IF(AQ29="","",1)</f>
        <v/>
      </c>
      <c r="AS29" s="15">
        <f>IF((IF(AM29="",0,5)+IF(AO29="",0,5)+IF(AQ29="",0,5))=0,"",(IF(AM29="",0,AM29*5)+IF(AO29="",0,AO29*5)+IF(AQ29="",0,AQ29*5))/(IF(AM29="",0,5)+IF(AO29="",0,5)+IF(AQ29="",0,5)))</f>
        <v/>
      </c>
      <c r="AT29" s="14">
        <f>IF((IF(AN29="",0,5)+IF(AP29="",0,5)+IF(AR29="",0,5))=0,"",(IF(AN29="",0,AN29*5)+IF(AP29="",0,AP29*5)+IF(AR29="",0,AR29*5))/15)</f>
        <v/>
      </c>
      <c r="AU29" s="11">
        <f>IF(OR(City_Inputs!$AD29="",Norm_Stats!$F$19="",Norm_Stats!$G$19="",Norm_Stats!$G$19=Norm_Stats!$F$19),"",MAX(0,MIN(100,100*(MIN(MAX(City_Inputs!$AD29,Norm_Stats!$F$19),Norm_Stats!$G$19)-Norm_Stats!$F$19)/(Norm_Stats!$G$19-Norm_Stats!$F$19))))</f>
        <v/>
      </c>
      <c r="AV29" s="14">
        <f>IF(AU29="","",1)</f>
        <v/>
      </c>
      <c r="AW29" s="11">
        <f>IF(OR(City_Inputs!$AE29="",Norm_Stats!$F$20="",Norm_Stats!$G$20="",Norm_Stats!$G$20=Norm_Stats!$F$20),"",MAX(0,MIN(100,100*(MIN(MAX(City_Inputs!$AE29,Norm_Stats!$F$20),Norm_Stats!$G$20)-Norm_Stats!$F$20)/(Norm_Stats!$G$20-Norm_Stats!$F$20))))</f>
        <v/>
      </c>
      <c r="AX29" s="14">
        <f>IF(AW29="","",1)</f>
        <v/>
      </c>
      <c r="AY29" s="11">
        <f>IF((IF((IF(OR(City_Inputs!$AF29="",Norm_Stats!$F$21="",Norm_Stats!$G$21="",Norm_Stats!$G$21=Norm_Stats!$F$21),"",MAX(0,MIN(100,100*(MIN(MAX(City_Inputs!$AF29,Norm_Stats!$F$21),Norm_Stats!$G$21)-Norm_Stats!$F$21)/(Norm_Stats!$G$21-Norm_Stats!$F$21)))))="",0,0.5)+IF((IF(OR(City_Inputs!$AI29="",Norm_Stats!$F$22="",Norm_Stats!$G$22="",Norm_Stats!$G$22=Norm_Stats!$F$22),"",MAX(0,MIN(100,100*(MIN(MAX(City_Inputs!$AI29,Norm_Stats!$F$22),Norm_Stats!$G$22)-Norm_Stats!$F$22)/(Norm_Stats!$G$22-Norm_Stats!$F$22)))))="",0,0.3)+IF((IF(OR(City_Inputs!$AJ29="",Norm_Stats!$F$23="",Norm_Stats!$G$23="",Norm_Stats!$G$23=Norm_Stats!$F$23),"",MAX(0,MIN(100,100*(MIN(MAX(City_Inputs!$AJ29,Norm_Stats!$F$23),Norm_Stats!$G$23)-Norm_Stats!$F$23)/(Norm_Stats!$G$23-Norm_Stats!$F$23)))))="",0,0.2))=0,"",(IF((IF(OR(City_Inputs!$AF29="",Norm_Stats!$F$21="",Norm_Stats!$G$21="",Norm_Stats!$G$21=Norm_Stats!$F$21),"",MAX(0,MIN(100,100*(MIN(MAX(City_Inputs!$AF29,Norm_Stats!$F$21),Norm_Stats!$G$21)-Norm_Stats!$F$21)/(Norm_Stats!$G$21-Norm_Stats!$F$21)))))="",0,(IF(OR(City_Inputs!$AF29="",Norm_Stats!$F$21="",Norm_Stats!$G$21="",Norm_Stats!$G$21=Norm_Stats!$F$21),"",MAX(0,MIN(100,100*(MIN(MAX(City_Inputs!$AF29,Norm_Stats!$F$21),Norm_Stats!$G$21)-Norm_Stats!$F$21)/(Norm_Stats!$G$21-Norm_Stats!$F$21)))))*0.5)+IF((IF(OR(City_Inputs!$AI29="",Norm_Stats!$F$22="",Norm_Stats!$G$22="",Norm_Stats!$G$22=Norm_Stats!$F$22),"",MAX(0,MIN(100,100*(MIN(MAX(City_Inputs!$AI29,Norm_Stats!$F$22),Norm_Stats!$G$22)-Norm_Stats!$F$22)/(Norm_Stats!$G$22-Norm_Stats!$F$22)))))="",0,(IF(OR(City_Inputs!$AI29="",Norm_Stats!$F$22="",Norm_Stats!$G$22="",Norm_Stats!$G$22=Norm_Stats!$F$22),"",MAX(0,MIN(100,100*(MIN(MAX(City_Inputs!$AI29,Norm_Stats!$F$22),Norm_Stats!$G$22)-Norm_Stats!$F$22)/(Norm_Stats!$G$22-Norm_Stats!$F$22)))))*0.3)+IF((IF(OR(City_Inputs!$AJ29="",Norm_Stats!$F$23="",Norm_Stats!$G$23="",Norm_Stats!$G$23=Norm_Stats!$F$23),"",MAX(0,MIN(100,100*(MIN(MAX(City_Inputs!$AJ29,Norm_Stats!$F$23),Norm_Stats!$G$23)-Norm_Stats!$F$23)/(Norm_Stats!$G$23-Norm_Stats!$F$23)))))="",0,(IF(OR(City_Inputs!$AJ29="",Norm_Stats!$F$23="",Norm_Stats!$G$23="",Norm_Stats!$G$23=Norm_Stats!$F$23),"",MAX(0,MIN(100,100*(MIN(MAX(City_Inputs!$AJ29,Norm_Stats!$F$23),Norm_Stats!$G$23)-Norm_Stats!$F$23)/(Norm_Stats!$G$23-Norm_Stats!$F$23)))))*0.2))/(IF((IF(OR(City_Inputs!$AF29="",Norm_Stats!$F$21="",Norm_Stats!$G$21="",Norm_Stats!$G$21=Norm_Stats!$F$21),"",MAX(0,MIN(100,100*(MIN(MAX(City_Inputs!$AF29,Norm_Stats!$F$21),Norm_Stats!$G$21)-Norm_Stats!$F$21)/(Norm_Stats!$G$21-Norm_Stats!$F$21)))))="",0,0.5)+IF((IF(OR(City_Inputs!$AI29="",Norm_Stats!$F$22="",Norm_Stats!$G$22="",Norm_Stats!$G$22=Norm_Stats!$F$22),"",MAX(0,MIN(100,100*(MIN(MAX(City_Inputs!$AI29,Norm_Stats!$F$22),Norm_Stats!$G$22)-Norm_Stats!$F$22)/(Norm_Stats!$G$22-Norm_Stats!$F$22)))))="",0,0.3)+IF((IF(OR(City_Inputs!$AJ29="",Norm_Stats!$F$23="",Norm_Stats!$G$23="",Norm_Stats!$G$23=Norm_Stats!$F$23),"",MAX(0,MIN(100,100*(MIN(MAX(City_Inputs!$AJ29,Norm_Stats!$F$23),Norm_Stats!$G$23)-Norm_Stats!$F$23)/(Norm_Stats!$G$23-Norm_Stats!$F$23)))))="",0,0.2)))</f>
        <v/>
      </c>
      <c r="AZ29" s="14">
        <f>IF((IF((IF(OR(City_Inputs!$AF29="",Norm_Stats!$F$21="",Norm_Stats!$G$21="",Norm_Stats!$G$21=Norm_Stats!$F$21),"",MAX(0,MIN(100,100*(MIN(MAX(City_Inputs!$AF29,Norm_Stats!$F$21),Norm_Stats!$G$21)-Norm_Stats!$F$21)/(Norm_Stats!$G$21-Norm_Stats!$F$21)))))="",0,0.5)+IF((IF(OR(City_Inputs!$AI29="",Norm_Stats!$F$22="",Norm_Stats!$G$22="",Norm_Stats!$G$22=Norm_Stats!$F$22),"",MAX(0,MIN(100,100*(MIN(MAX(City_Inputs!$AI29,Norm_Stats!$F$22),Norm_Stats!$G$22)-Norm_Stats!$F$22)/(Norm_Stats!$G$22-Norm_Stats!$F$22)))))="",0,0.3)+IF((IF(OR(City_Inputs!$AJ29="",Norm_Stats!$F$23="",Norm_Stats!$G$23="",Norm_Stats!$G$23=Norm_Stats!$F$23),"",MAX(0,MIN(100,100*(MIN(MAX(City_Inputs!$AJ29,Norm_Stats!$F$23),Norm_Stats!$G$23)-Norm_Stats!$F$23)/(Norm_Stats!$G$23-Norm_Stats!$F$23)))))="",0,0.2))=0,"",(IF((IF(OR(City_Inputs!$AF29="",Norm_Stats!$F$21="",Norm_Stats!$G$21="",Norm_Stats!$G$21=Norm_Stats!$F$21),"",MAX(0,MIN(100,100*(MIN(MAX(City_Inputs!$AF29,Norm_Stats!$F$21),Norm_Stats!$G$21)-Norm_Stats!$F$21)/(Norm_Stats!$G$21-Norm_Stats!$F$21)))))="",0,0.5)+IF((IF(OR(City_Inputs!$AI29="",Norm_Stats!$F$22="",Norm_Stats!$G$22="",Norm_Stats!$G$22=Norm_Stats!$F$22),"",MAX(0,MIN(100,100*(MIN(MAX(City_Inputs!$AI29,Norm_Stats!$F$22),Norm_Stats!$G$22)-Norm_Stats!$F$22)/(Norm_Stats!$G$22-Norm_Stats!$F$22)))))="",0,0.3)+IF((IF(OR(City_Inputs!$AJ29="",Norm_Stats!$F$23="",Norm_Stats!$G$23="",Norm_Stats!$G$23=Norm_Stats!$F$23),"",MAX(0,MIN(100,100*(MIN(MAX(City_Inputs!$AJ29,Norm_Stats!$F$23),Norm_Stats!$G$23)-Norm_Stats!$F$23)/(Norm_Stats!$G$23-Norm_Stats!$F$23)))))="",0,0.2)))</f>
        <v/>
      </c>
      <c r="BA29" s="11">
        <f>IF(OR(City_Inputs!$AG29="",Norm_Stats!$F$24="",Norm_Stats!$G$24="",Norm_Stats!$G$24=Norm_Stats!$F$24),"",MAX(0,MIN(100,100*(Norm_Stats!$G$24-MIN(MAX(City_Inputs!$AG29,Norm_Stats!$F$24),Norm_Stats!$G$24))/(Norm_Stats!$G$24-Norm_Stats!$F$24))))</f>
        <v/>
      </c>
      <c r="BB29" s="14">
        <f>IF(BA29="","",1)</f>
        <v/>
      </c>
      <c r="BC29" s="15">
        <f>IF((IF(AU29="",0,6)+IF(AW29="",0,5)+IF(AY29="",0,5)+IF(BA29="",0,4))=0,"",(IF(AU29="",0,AU29*6)+IF(AW29="",0,AW29*5)+IF(AY29="",0,AY29*5)+IF(BA29="",0,BA29*4))/(IF(AU29="",0,6)+IF(AW29="",0,5)+IF(AY29="",0,5)+IF(BA29="",0,4)))</f>
        <v/>
      </c>
      <c r="BD29" s="14">
        <f>IF((IF(AV29="",0,6)+IF(AX29="",0,5)+IF(AZ29="",0,5)+IF(BB29="",0,4))=0,"",(IF(AV29="",0,AV29*6)+IF(AX29="",0,AX29*5)+IF(AZ29="",0,AZ29*5)+IF(BB29="",0,BB29*4))/20)</f>
        <v/>
      </c>
      <c r="BE29" s="14">
        <f>IF(AND(R29="",AD29="",AL29="",AT29="",BD29=""),"",((R29*25)+(AD29*22)+(AL29*18)+(AT29*15)+(BD29*20))/100)</f>
        <v/>
      </c>
      <c r="BF29" s="11">
        <f>IF(BE29="","",IF(BE29&gt;=0.75,"A",IF(BE29&gt;=0.5,"B",IF(BE29&gt;=0.35,"C","Watchlist"))))</f>
        <v/>
      </c>
      <c r="BG29" s="11">
        <f>IF(OR(BE29="",BE29&lt;0.5,R29="",R29&lt;0.35,AD29="",AD29&lt;0.35,AL29="",AL29&lt;0.35,AT29="",AT29&lt;0.35,BD29="",BD29&lt;0.35),"Watchlist","Ranked")</f>
        <v/>
      </c>
      <c r="BH29" s="15">
        <f>IF(AND(Q29="",AC29="",AK29="",AS29="",BC29=""),"",(IF(Q29="",0,Q29*25)+IF(AC29="",0,AC29*22)+IF(AK29="",0,AK29*18)+IF(AS29="",0,AS29*15)+IF(BC29="",0,BC29*20))/(IF(Q29="",0,25)+IF(AC29="",0,22)+IF(AK29="",0,18)+IF(AS29="",0,15)+IF(BC29="",0,20)))</f>
        <v/>
      </c>
      <c r="BI29" s="11">
        <f>IF(BG29="Ranked",1+COUNTIFS($BG$2:$BG$103,"Ranked",$BH$2:$BH$103,"&gt;"&amp;BH29),"")</f>
        <v/>
      </c>
      <c r="BJ29" s="11">
        <f>City_Inputs!$AH29</f>
        <v/>
      </c>
    </row>
    <row r="30">
      <c r="A30" t="inlineStr">
        <is>
          <t>bt-thimphu</t>
        </is>
      </c>
      <c r="B30" t="inlineStr">
        <is>
          <t>Thimphu</t>
        </is>
      </c>
      <c r="C30" t="inlineStr">
        <is>
          <t>Bhutan</t>
        </is>
      </c>
      <c r="D30" t="inlineStr">
        <is>
          <t>South Asia</t>
        </is>
      </c>
      <c r="E30" t="inlineStr">
        <is>
          <t>locked</t>
        </is>
      </c>
      <c r="F30" t="inlineStr">
        <is>
          <t>secondary</t>
        </is>
      </c>
      <c r="G30" s="11">
        <f>IF(OR(City_Inputs!$M30="",Norm_Stats!$F$2="",Norm_Stats!$G$2="",Norm_Stats!$G$2=Norm_Stats!$F$2),"",MAX(0,MIN(100,100*(MIN(MAX(City_Inputs!$M30,Norm_Stats!$F$2),Norm_Stats!$G$2)-Norm_Stats!$F$2)/(Norm_Stats!$G$2-Norm_Stats!$F$2))))</f>
        <v/>
      </c>
      <c r="H30" s="14">
        <f>IF(G30="","",1)</f>
        <v/>
      </c>
      <c r="I30" s="11">
        <f>IF(OR(City_Inputs!$N30="",Norm_Stats!$F$3="",Norm_Stats!$G$3="",Norm_Stats!$G$3=Norm_Stats!$F$3),"",MAX(0,MIN(100,100*(Norm_Stats!$G$3-MIN(MAX(City_Inputs!$N30,Norm_Stats!$F$3),Norm_Stats!$G$3))/(Norm_Stats!$G$3-Norm_Stats!$F$3))))</f>
        <v/>
      </c>
      <c r="J30" s="14">
        <f>IF(I30="","",1)</f>
        <v/>
      </c>
      <c r="K30" s="11">
        <f>IF(OR(City_Inputs!$P30="",Norm_Stats!$F$4="",Norm_Stats!$G$4="",Norm_Stats!$G$4=Norm_Stats!$F$4),"",MAX(0,MIN(100,100*(Norm_Stats!$G$4-MIN(MAX(City_Inputs!$P30,Norm_Stats!$F$4),Norm_Stats!$G$4))/(Norm_Stats!$G$4-Norm_Stats!$F$4))))</f>
        <v/>
      </c>
      <c r="L30" s="14">
        <f>IF(K30="","",1)</f>
        <v/>
      </c>
      <c r="M30" s="11">
        <f>IF(OR(City_Inputs!$Q30="",Norm_Stats!$F$5="",Norm_Stats!$G$5="",Norm_Stats!$G$5=Norm_Stats!$F$5),"",MAX(0,MIN(100,100*(Norm_Stats!$G$5-MIN(MAX(City_Inputs!$Q30,Norm_Stats!$F$5),Norm_Stats!$G$5))/(Norm_Stats!$G$5-Norm_Stats!$F$5))))</f>
        <v/>
      </c>
      <c r="N30" s="14">
        <f>IF(M30="","",1)</f>
        <v/>
      </c>
      <c r="O30" s="11">
        <f>IF(OR(City_Inputs!$R30="",Norm_Stats!$F$6="",Norm_Stats!$G$6="",Norm_Stats!$G$6=Norm_Stats!$F$6),"",MAX(0,MIN(100,100*(Norm_Stats!$G$6-MIN(MAX(City_Inputs!$R30,Norm_Stats!$F$6),Norm_Stats!$G$6))/(Norm_Stats!$G$6-Norm_Stats!$F$6))))</f>
        <v/>
      </c>
      <c r="P30" s="14">
        <f>IF(O30="","",1)</f>
        <v/>
      </c>
      <c r="Q30" s="15">
        <f>IF((IF(G30="",0,9)+IF(I30="",0,5)+IF(K30="",0,4)+IF(M30="",0,4)+IF(O30="",0,3))=0,"",(IF(G30="",0,G30*9)+IF(I30="",0,I30*5)+IF(K30="",0,K30*4)+IF(M30="",0,M30*4)+IF(O30="",0,O30*3))/(IF(G30="",0,9)+IF(I30="",0,5)+IF(K30="",0,4)+IF(M30="",0,4)+IF(O30="",0,3)))</f>
        <v/>
      </c>
      <c r="R30" s="14">
        <f>IF((IF(H30="",0,9)+IF(J30="",0,5)+IF(L30="",0,4)+IF(N30="",0,4)+IF(P30="",0,3))=0,"",(IF(H30="",0,H30*9)+IF(J30="",0,J30*5)+IF(L30="",0,L30*4)+IF(N30="",0,N30*4)+IF(P30="",0,P30*3))/25)</f>
        <v/>
      </c>
      <c r="S30" s="11">
        <f>IF(OR(City_Inputs!$S30="",Norm_Stats!$F$7="",Norm_Stats!$G$7="",Norm_Stats!$G$7=Norm_Stats!$F$7),"",MAX(0,MIN(100,100*(Norm_Stats!$G$7-MIN(MAX(City_Inputs!$S30,Norm_Stats!$F$7),Norm_Stats!$G$7))/(Norm_Stats!$G$7-Norm_Stats!$F$7))))</f>
        <v/>
      </c>
      <c r="T30" s="14">
        <f>IF(S30="","",1)</f>
        <v/>
      </c>
      <c r="U30" s="11">
        <f>IF(OR(City_Inputs!$T30="",Norm_Stats!$F$8="",Norm_Stats!$G$8="",Norm_Stats!$G$8=Norm_Stats!$F$8),"",MAX(0,MIN(100,100*(MIN(MAX(City_Inputs!$T30,Norm_Stats!$F$8),Norm_Stats!$G$8)-Norm_Stats!$F$8)/(Norm_Stats!$G$8-Norm_Stats!$F$8))))</f>
        <v/>
      </c>
      <c r="V30" s="14">
        <f>IF(U30="","",1)</f>
        <v/>
      </c>
      <c r="W30" s="11">
        <f>IF(OR(City_Inputs!$U30="",Norm_Stats!$F$9="",Norm_Stats!$G$9="",Norm_Stats!$G$9=Norm_Stats!$F$9),"",MAX(0,MIN(100,100*(Norm_Stats!$G$9-MIN(MAX(City_Inputs!$U30,Norm_Stats!$F$9),Norm_Stats!$G$9))/(Norm_Stats!$G$9-Norm_Stats!$F$9))))</f>
        <v/>
      </c>
      <c r="X30" s="14">
        <f>IF(W30="","",1)</f>
        <v/>
      </c>
      <c r="Y30" s="11">
        <f>IF(OR(City_Inputs!$V30="",Norm_Stats!$F$10="",Norm_Stats!$G$10="",Norm_Stats!$G$10=Norm_Stats!$F$10),"",MAX(0,MIN(100,100*(MIN(MAX(City_Inputs!$V30,Norm_Stats!$F$10),Norm_Stats!$G$10)-Norm_Stats!$F$10)/(Norm_Stats!$G$10-Norm_Stats!$F$10))))</f>
        <v/>
      </c>
      <c r="Z30" s="14">
        <f>IF(Y30="","",1)</f>
        <v/>
      </c>
      <c r="AA30" s="11">
        <f>IF(OR(City_Inputs!$W30="",Norm_Stats!$F$11="",Norm_Stats!$G$11="",Norm_Stats!$G$11=Norm_Stats!$F$11),"",MAX(0,MIN(100,100*(MIN(MAX(City_Inputs!$W30,Norm_Stats!$F$11),Norm_Stats!$G$11)-Norm_Stats!$F$11)/(Norm_Stats!$G$11-Norm_Stats!$F$11))))</f>
        <v/>
      </c>
      <c r="AB30" s="14">
        <f>IF(AA30="","",1)</f>
        <v/>
      </c>
      <c r="AC30" s="15">
        <f>IF((IF(S30="",0,5)+IF(U30="",0,5)+IF(W30="",0,4)+IF(Y30="",0,4)+IF(AA30="",0,4))=0,"",(IF(S30="",0,S30*5)+IF(U30="",0,U30*5)+IF(W30="",0,W30*4)+IF(Y30="",0,Y30*4)+IF(AA30="",0,AA30*4))/(IF(S30="",0,5)+IF(U30="",0,5)+IF(W30="",0,4)+IF(Y30="",0,4)+IF(AA30="",0,4)))</f>
        <v/>
      </c>
      <c r="AD30" s="14">
        <f>IF((IF(T30="",0,5)+IF(V30="",0,5)+IF(X30="",0,4)+IF(Z30="",0,4)+IF(AB30="",0,4))=0,"",(IF(T30="",0,T30*5)+IF(V30="",0,V30*5)+IF(X30="",0,X30*4)+IF(Z30="",0,Z30*4)+IF(AB30="",0,AB30*4))/22)</f>
        <v/>
      </c>
      <c r="AE30" s="11">
        <f>IF(OR(City_Inputs!$X30="",Norm_Stats!$F$12="",Norm_Stats!$G$12="",Norm_Stats!$G$12=Norm_Stats!$F$12),"",MAX(0,MIN(100,100*(MIN(MAX(City_Inputs!$X30,Norm_Stats!$F$12),Norm_Stats!$G$12)-Norm_Stats!$F$12)/(Norm_Stats!$G$12-Norm_Stats!$F$12))))</f>
        <v/>
      </c>
      <c r="AF30" s="14">
        <f>IF(AE30="","",1)</f>
        <v/>
      </c>
      <c r="AG30" s="11">
        <f>IF(OR(City_Inputs!$Y30="",Norm_Stats!$F$13="",Norm_Stats!$G$13="",Norm_Stats!$G$13=Norm_Stats!$F$13),"",MAX(0,MIN(100,100*(MIN(MAX(City_Inputs!$Y30,Norm_Stats!$F$13),Norm_Stats!$G$13)-Norm_Stats!$F$13)/(Norm_Stats!$G$13-Norm_Stats!$F$13))))</f>
        <v/>
      </c>
      <c r="AH30" s="14">
        <f>IF(AG30="","",1)</f>
        <v/>
      </c>
      <c r="AI30" s="11">
        <f>IF((IF((IF(OR(City_Inputs!$Z30="",Norm_Stats!$F$14="",Norm_Stats!$G$14="",Norm_Stats!$G$14=Norm_Stats!$F$14),"",MAX(0,MIN(100,100*(MIN(MAX(City_Inputs!$Z30,Norm_Stats!$F$14),Norm_Stats!$G$14)-Norm_Stats!$F$14)/(Norm_Stats!$G$14-Norm_Stats!$F$14)))))="",0,0.7)+IF((IF(OR(City_Inputs!$AK30="",Norm_Stats!$F$15="",Norm_Stats!$G$15="",Norm_Stats!$G$15=Norm_Stats!$F$15),"",MAX(0,MIN(100,100*(Norm_Stats!$G$15-MIN(MAX(City_Inputs!$AK30,Norm_Stats!$F$15),Norm_Stats!$G$15))/(Norm_Stats!$G$15-Norm_Stats!$F$15)))))="",0,0.3))=0,"",(IF((IF(OR(City_Inputs!$Z30="",Norm_Stats!$F$14="",Norm_Stats!$G$14="",Norm_Stats!$G$14=Norm_Stats!$F$14),"",MAX(0,MIN(100,100*(MIN(MAX(City_Inputs!$Z30,Norm_Stats!$F$14),Norm_Stats!$G$14)-Norm_Stats!$F$14)/(Norm_Stats!$G$14-Norm_Stats!$F$14)))))="",0,(IF(OR(City_Inputs!$Z30="",Norm_Stats!$F$14="",Norm_Stats!$G$14="",Norm_Stats!$G$14=Norm_Stats!$F$14),"",MAX(0,MIN(100,100*(MIN(MAX(City_Inputs!$Z30,Norm_Stats!$F$14),Norm_Stats!$G$14)-Norm_Stats!$F$14)/(Norm_Stats!$G$14-Norm_Stats!$F$14)))))*0.7)+IF((IF(OR(City_Inputs!$AK30="",Norm_Stats!$F$15="",Norm_Stats!$G$15="",Norm_Stats!$G$15=Norm_Stats!$F$15),"",MAX(0,MIN(100,100*(Norm_Stats!$G$15-MIN(MAX(City_Inputs!$AK30,Norm_Stats!$F$15),Norm_Stats!$G$15))/(Norm_Stats!$G$15-Norm_Stats!$F$15)))))="",0,(IF(OR(City_Inputs!$AK30="",Norm_Stats!$F$15="",Norm_Stats!$G$15="",Norm_Stats!$G$15=Norm_Stats!$F$15),"",MAX(0,MIN(100,100*(Norm_Stats!$G$15-MIN(MAX(City_Inputs!$AK30,Norm_Stats!$F$15),Norm_Stats!$G$15))/(Norm_Stats!$G$15-Norm_Stats!$F$15)))))*0.3))/(IF((IF(OR(City_Inputs!$Z30="",Norm_Stats!$F$14="",Norm_Stats!$G$14="",Norm_Stats!$G$14=Norm_Stats!$F$14),"",MAX(0,MIN(100,100*(MIN(MAX(City_Inputs!$Z30,Norm_Stats!$F$14),Norm_Stats!$G$14)-Norm_Stats!$F$14)/(Norm_Stats!$G$14-Norm_Stats!$F$14)))))="",0,0.7)+IF((IF(OR(City_Inputs!$AK30="",Norm_Stats!$F$15="",Norm_Stats!$G$15="",Norm_Stats!$G$15=Norm_Stats!$F$15),"",MAX(0,MIN(100,100*(Norm_Stats!$G$15-MIN(MAX(City_Inputs!$AK30,Norm_Stats!$F$15),Norm_Stats!$G$15))/(Norm_Stats!$G$15-Norm_Stats!$F$15)))))="",0,0.3)))</f>
        <v/>
      </c>
      <c r="AJ30" s="14">
        <f>IF((IF((IF(OR(City_Inputs!$Z30="",Norm_Stats!$F$14="",Norm_Stats!$G$14="",Norm_Stats!$G$14=Norm_Stats!$F$14),"",MAX(0,MIN(100,100*(MIN(MAX(City_Inputs!$Z30,Norm_Stats!$F$14),Norm_Stats!$G$14)-Norm_Stats!$F$14)/(Norm_Stats!$G$14-Norm_Stats!$F$14)))))="",0,0.7)+IF((IF(OR(City_Inputs!$AK30="",Norm_Stats!$F$15="",Norm_Stats!$G$15="",Norm_Stats!$G$15=Norm_Stats!$F$15),"",MAX(0,MIN(100,100*(Norm_Stats!$G$15-MIN(MAX(City_Inputs!$AK30,Norm_Stats!$F$15),Norm_Stats!$G$15))/(Norm_Stats!$G$15-Norm_Stats!$F$15)))))="",0,0.3))=0,"",(IF((IF(OR(City_Inputs!$Z30="",Norm_Stats!$F$14="",Norm_Stats!$G$14="",Norm_Stats!$G$14=Norm_Stats!$F$14),"",MAX(0,MIN(100,100*(MIN(MAX(City_Inputs!$Z30,Norm_Stats!$F$14),Norm_Stats!$G$14)-Norm_Stats!$F$14)/(Norm_Stats!$G$14-Norm_Stats!$F$14)))))="",0,0.7)+IF((IF(OR(City_Inputs!$AK30="",Norm_Stats!$F$15="",Norm_Stats!$G$15="",Norm_Stats!$G$15=Norm_Stats!$F$15),"",MAX(0,MIN(100,100*(Norm_Stats!$G$15-MIN(MAX(City_Inputs!$AK30,Norm_Stats!$F$15),Norm_Stats!$G$15))/(Norm_Stats!$G$15-Norm_Stats!$F$15)))))="",0,0.3)))</f>
        <v/>
      </c>
      <c r="AK30" s="15">
        <f>IF((IF(AE30="",0,8)+IF(AG30="",0,6)+IF(AI30="",0,4))=0,"",(IF(AE30="",0,AE30*8)+IF(AG30="",0,AG30*6)+IF(AI30="",0,AI30*4))/(IF(AE30="",0,8)+IF(AG30="",0,6)+IF(AI30="",0,4)))</f>
        <v/>
      </c>
      <c r="AL30" s="14">
        <f>IF((IF(AF30="",0,8)+IF(AH30="",0,6)+IF(AJ30="",0,4))=0,"",(IF(AF30="",0,AF30*8)+IF(AH30="",0,AH30*6)+IF(AJ30="",0,AJ30*4))/18)</f>
        <v/>
      </c>
      <c r="AM30" s="11">
        <f>IF(OR(City_Inputs!$AA30="",Norm_Stats!$F$16="",Norm_Stats!$G$16="",Norm_Stats!$G$16=Norm_Stats!$F$16),"",MAX(0,MIN(100,100*(MIN(MAX(City_Inputs!$AA30,Norm_Stats!$F$16),Norm_Stats!$G$16)-Norm_Stats!$F$16)/(Norm_Stats!$G$16-Norm_Stats!$F$16))))</f>
        <v/>
      </c>
      <c r="AN30" s="14">
        <f>IF(AM30="","",1)</f>
        <v/>
      </c>
      <c r="AO30" s="11">
        <f>IF(OR(City_Inputs!$AB30="",Norm_Stats!$F$17="",Norm_Stats!$G$17="",Norm_Stats!$G$17=Norm_Stats!$F$17),"",MAX(0,MIN(100,100*(MIN(MAX(City_Inputs!$AB30,Norm_Stats!$F$17),Norm_Stats!$G$17)-Norm_Stats!$F$17)/(Norm_Stats!$G$17-Norm_Stats!$F$17))))</f>
        <v/>
      </c>
      <c r="AP30" s="14">
        <f>IF(AO30="","",1)</f>
        <v/>
      </c>
      <c r="AQ30" s="11">
        <f>IF(OR(City_Inputs!$AC30="",Norm_Stats!$F$18="",Norm_Stats!$G$18="",Norm_Stats!$G$18=Norm_Stats!$F$18),"",MAX(0,MIN(100,100*(MIN(MAX(City_Inputs!$AC30,Norm_Stats!$F$18),Norm_Stats!$G$18)-Norm_Stats!$F$18)/(Norm_Stats!$G$18-Norm_Stats!$F$18))))</f>
        <v/>
      </c>
      <c r="AR30" s="14">
        <f>IF(AQ30="","",1)</f>
        <v/>
      </c>
      <c r="AS30" s="15">
        <f>IF((IF(AM30="",0,5)+IF(AO30="",0,5)+IF(AQ30="",0,5))=0,"",(IF(AM30="",0,AM30*5)+IF(AO30="",0,AO30*5)+IF(AQ30="",0,AQ30*5))/(IF(AM30="",0,5)+IF(AO30="",0,5)+IF(AQ30="",0,5)))</f>
        <v/>
      </c>
      <c r="AT30" s="14">
        <f>IF((IF(AN30="",0,5)+IF(AP30="",0,5)+IF(AR30="",0,5))=0,"",(IF(AN30="",0,AN30*5)+IF(AP30="",0,AP30*5)+IF(AR30="",0,AR30*5))/15)</f>
        <v/>
      </c>
      <c r="AU30" s="11">
        <f>IF(OR(City_Inputs!$AD30="",Norm_Stats!$F$19="",Norm_Stats!$G$19="",Norm_Stats!$G$19=Norm_Stats!$F$19),"",MAX(0,MIN(100,100*(MIN(MAX(City_Inputs!$AD30,Norm_Stats!$F$19),Norm_Stats!$G$19)-Norm_Stats!$F$19)/(Norm_Stats!$G$19-Norm_Stats!$F$19))))</f>
        <v/>
      </c>
      <c r="AV30" s="14">
        <f>IF(AU30="","",1)</f>
        <v/>
      </c>
      <c r="AW30" s="11">
        <f>IF(OR(City_Inputs!$AE30="",Norm_Stats!$F$20="",Norm_Stats!$G$20="",Norm_Stats!$G$20=Norm_Stats!$F$20),"",MAX(0,MIN(100,100*(MIN(MAX(City_Inputs!$AE30,Norm_Stats!$F$20),Norm_Stats!$G$20)-Norm_Stats!$F$20)/(Norm_Stats!$G$20-Norm_Stats!$F$20))))</f>
        <v/>
      </c>
      <c r="AX30" s="14">
        <f>IF(AW30="","",1)</f>
        <v/>
      </c>
      <c r="AY30" s="11">
        <f>IF((IF((IF(OR(City_Inputs!$AF30="",Norm_Stats!$F$21="",Norm_Stats!$G$21="",Norm_Stats!$G$21=Norm_Stats!$F$21),"",MAX(0,MIN(100,100*(MIN(MAX(City_Inputs!$AF30,Norm_Stats!$F$21),Norm_Stats!$G$21)-Norm_Stats!$F$21)/(Norm_Stats!$G$21-Norm_Stats!$F$21)))))="",0,0.5)+IF((IF(OR(City_Inputs!$AI30="",Norm_Stats!$F$22="",Norm_Stats!$G$22="",Norm_Stats!$G$22=Norm_Stats!$F$22),"",MAX(0,MIN(100,100*(MIN(MAX(City_Inputs!$AI30,Norm_Stats!$F$22),Norm_Stats!$G$22)-Norm_Stats!$F$22)/(Norm_Stats!$G$22-Norm_Stats!$F$22)))))="",0,0.3)+IF((IF(OR(City_Inputs!$AJ30="",Norm_Stats!$F$23="",Norm_Stats!$G$23="",Norm_Stats!$G$23=Norm_Stats!$F$23),"",MAX(0,MIN(100,100*(MIN(MAX(City_Inputs!$AJ30,Norm_Stats!$F$23),Norm_Stats!$G$23)-Norm_Stats!$F$23)/(Norm_Stats!$G$23-Norm_Stats!$F$23)))))="",0,0.2))=0,"",(IF((IF(OR(City_Inputs!$AF30="",Norm_Stats!$F$21="",Norm_Stats!$G$21="",Norm_Stats!$G$21=Norm_Stats!$F$21),"",MAX(0,MIN(100,100*(MIN(MAX(City_Inputs!$AF30,Norm_Stats!$F$21),Norm_Stats!$G$21)-Norm_Stats!$F$21)/(Norm_Stats!$G$21-Norm_Stats!$F$21)))))="",0,(IF(OR(City_Inputs!$AF30="",Norm_Stats!$F$21="",Norm_Stats!$G$21="",Norm_Stats!$G$21=Norm_Stats!$F$21),"",MAX(0,MIN(100,100*(MIN(MAX(City_Inputs!$AF30,Norm_Stats!$F$21),Norm_Stats!$G$21)-Norm_Stats!$F$21)/(Norm_Stats!$G$21-Norm_Stats!$F$21)))))*0.5)+IF((IF(OR(City_Inputs!$AI30="",Norm_Stats!$F$22="",Norm_Stats!$G$22="",Norm_Stats!$G$22=Norm_Stats!$F$22),"",MAX(0,MIN(100,100*(MIN(MAX(City_Inputs!$AI30,Norm_Stats!$F$22),Norm_Stats!$G$22)-Norm_Stats!$F$22)/(Norm_Stats!$G$22-Norm_Stats!$F$22)))))="",0,(IF(OR(City_Inputs!$AI30="",Norm_Stats!$F$22="",Norm_Stats!$G$22="",Norm_Stats!$G$22=Norm_Stats!$F$22),"",MAX(0,MIN(100,100*(MIN(MAX(City_Inputs!$AI30,Norm_Stats!$F$22),Norm_Stats!$G$22)-Norm_Stats!$F$22)/(Norm_Stats!$G$22-Norm_Stats!$F$22)))))*0.3)+IF((IF(OR(City_Inputs!$AJ30="",Norm_Stats!$F$23="",Norm_Stats!$G$23="",Norm_Stats!$G$23=Norm_Stats!$F$23),"",MAX(0,MIN(100,100*(MIN(MAX(City_Inputs!$AJ30,Norm_Stats!$F$23),Norm_Stats!$G$23)-Norm_Stats!$F$23)/(Norm_Stats!$G$23-Norm_Stats!$F$23)))))="",0,(IF(OR(City_Inputs!$AJ30="",Norm_Stats!$F$23="",Norm_Stats!$G$23="",Norm_Stats!$G$23=Norm_Stats!$F$23),"",MAX(0,MIN(100,100*(MIN(MAX(City_Inputs!$AJ30,Norm_Stats!$F$23),Norm_Stats!$G$23)-Norm_Stats!$F$23)/(Norm_Stats!$G$23-Norm_Stats!$F$23)))))*0.2))/(IF((IF(OR(City_Inputs!$AF30="",Norm_Stats!$F$21="",Norm_Stats!$G$21="",Norm_Stats!$G$21=Norm_Stats!$F$21),"",MAX(0,MIN(100,100*(MIN(MAX(City_Inputs!$AF30,Norm_Stats!$F$21),Norm_Stats!$G$21)-Norm_Stats!$F$21)/(Norm_Stats!$G$21-Norm_Stats!$F$21)))))="",0,0.5)+IF((IF(OR(City_Inputs!$AI30="",Norm_Stats!$F$22="",Norm_Stats!$G$22="",Norm_Stats!$G$22=Norm_Stats!$F$22),"",MAX(0,MIN(100,100*(MIN(MAX(City_Inputs!$AI30,Norm_Stats!$F$22),Norm_Stats!$G$22)-Norm_Stats!$F$22)/(Norm_Stats!$G$22-Norm_Stats!$F$22)))))="",0,0.3)+IF((IF(OR(City_Inputs!$AJ30="",Norm_Stats!$F$23="",Norm_Stats!$G$23="",Norm_Stats!$G$23=Norm_Stats!$F$23),"",MAX(0,MIN(100,100*(MIN(MAX(City_Inputs!$AJ30,Norm_Stats!$F$23),Norm_Stats!$G$23)-Norm_Stats!$F$23)/(Norm_Stats!$G$23-Norm_Stats!$F$23)))))="",0,0.2)))</f>
        <v/>
      </c>
      <c r="AZ30" s="14">
        <f>IF((IF((IF(OR(City_Inputs!$AF30="",Norm_Stats!$F$21="",Norm_Stats!$G$21="",Norm_Stats!$G$21=Norm_Stats!$F$21),"",MAX(0,MIN(100,100*(MIN(MAX(City_Inputs!$AF30,Norm_Stats!$F$21),Norm_Stats!$G$21)-Norm_Stats!$F$21)/(Norm_Stats!$G$21-Norm_Stats!$F$21)))))="",0,0.5)+IF((IF(OR(City_Inputs!$AI30="",Norm_Stats!$F$22="",Norm_Stats!$G$22="",Norm_Stats!$G$22=Norm_Stats!$F$22),"",MAX(0,MIN(100,100*(MIN(MAX(City_Inputs!$AI30,Norm_Stats!$F$22),Norm_Stats!$G$22)-Norm_Stats!$F$22)/(Norm_Stats!$G$22-Norm_Stats!$F$22)))))="",0,0.3)+IF((IF(OR(City_Inputs!$AJ30="",Norm_Stats!$F$23="",Norm_Stats!$G$23="",Norm_Stats!$G$23=Norm_Stats!$F$23),"",MAX(0,MIN(100,100*(MIN(MAX(City_Inputs!$AJ30,Norm_Stats!$F$23),Norm_Stats!$G$23)-Norm_Stats!$F$23)/(Norm_Stats!$G$23-Norm_Stats!$F$23)))))="",0,0.2))=0,"",(IF((IF(OR(City_Inputs!$AF30="",Norm_Stats!$F$21="",Norm_Stats!$G$21="",Norm_Stats!$G$21=Norm_Stats!$F$21),"",MAX(0,MIN(100,100*(MIN(MAX(City_Inputs!$AF30,Norm_Stats!$F$21),Norm_Stats!$G$21)-Norm_Stats!$F$21)/(Norm_Stats!$G$21-Norm_Stats!$F$21)))))="",0,0.5)+IF((IF(OR(City_Inputs!$AI30="",Norm_Stats!$F$22="",Norm_Stats!$G$22="",Norm_Stats!$G$22=Norm_Stats!$F$22),"",MAX(0,MIN(100,100*(MIN(MAX(City_Inputs!$AI30,Norm_Stats!$F$22),Norm_Stats!$G$22)-Norm_Stats!$F$22)/(Norm_Stats!$G$22-Norm_Stats!$F$22)))))="",0,0.3)+IF((IF(OR(City_Inputs!$AJ30="",Norm_Stats!$F$23="",Norm_Stats!$G$23="",Norm_Stats!$G$23=Norm_Stats!$F$23),"",MAX(0,MIN(100,100*(MIN(MAX(City_Inputs!$AJ30,Norm_Stats!$F$23),Norm_Stats!$G$23)-Norm_Stats!$F$23)/(Norm_Stats!$G$23-Norm_Stats!$F$23)))))="",0,0.2)))</f>
        <v/>
      </c>
      <c r="BA30" s="11">
        <f>IF(OR(City_Inputs!$AG30="",Norm_Stats!$F$24="",Norm_Stats!$G$24="",Norm_Stats!$G$24=Norm_Stats!$F$24),"",MAX(0,MIN(100,100*(Norm_Stats!$G$24-MIN(MAX(City_Inputs!$AG30,Norm_Stats!$F$24),Norm_Stats!$G$24))/(Norm_Stats!$G$24-Norm_Stats!$F$24))))</f>
        <v/>
      </c>
      <c r="BB30" s="14">
        <f>IF(BA30="","",1)</f>
        <v/>
      </c>
      <c r="BC30" s="15">
        <f>IF((IF(AU30="",0,6)+IF(AW30="",0,5)+IF(AY30="",0,5)+IF(BA30="",0,4))=0,"",(IF(AU30="",0,AU30*6)+IF(AW30="",0,AW30*5)+IF(AY30="",0,AY30*5)+IF(BA30="",0,BA30*4))/(IF(AU30="",0,6)+IF(AW30="",0,5)+IF(AY30="",0,5)+IF(BA30="",0,4)))</f>
        <v/>
      </c>
      <c r="BD30" s="14">
        <f>IF((IF(AV30="",0,6)+IF(AX30="",0,5)+IF(AZ30="",0,5)+IF(BB30="",0,4))=0,"",(IF(AV30="",0,AV30*6)+IF(AX30="",0,AX30*5)+IF(AZ30="",0,AZ30*5)+IF(BB30="",0,BB30*4))/20)</f>
        <v/>
      </c>
      <c r="BE30" s="14">
        <f>IF(AND(R30="",AD30="",AL30="",AT30="",BD30=""),"",((R30*25)+(AD30*22)+(AL30*18)+(AT30*15)+(BD30*20))/100)</f>
        <v/>
      </c>
      <c r="BF30" s="11">
        <f>IF(BE30="","",IF(BE30&gt;=0.75,"A",IF(BE30&gt;=0.5,"B",IF(BE30&gt;=0.35,"C","Watchlist"))))</f>
        <v/>
      </c>
      <c r="BG30" s="11">
        <f>IF(OR(BE30="",BE30&lt;0.5,R30="",R30&lt;0.35,AD30="",AD30&lt;0.35,AL30="",AL30&lt;0.35,AT30="",AT30&lt;0.35,BD30="",BD30&lt;0.35),"Watchlist","Ranked")</f>
        <v/>
      </c>
      <c r="BH30" s="15">
        <f>IF(AND(Q30="",AC30="",AK30="",AS30="",BC30=""),"",(IF(Q30="",0,Q30*25)+IF(AC30="",0,AC30*22)+IF(AK30="",0,AK30*18)+IF(AS30="",0,AS30*15)+IF(BC30="",0,BC30*20))/(IF(Q30="",0,25)+IF(AC30="",0,22)+IF(AK30="",0,18)+IF(AS30="",0,15)+IF(BC30="",0,20)))</f>
        <v/>
      </c>
      <c r="BI30" s="11">
        <f>IF(BG30="Ranked",1+COUNTIFS($BG$2:$BG$103,"Ranked",$BH$2:$BH$103,"&gt;"&amp;BH30),"")</f>
        <v/>
      </c>
      <c r="BJ30" s="11">
        <f>City_Inputs!$AH30</f>
        <v/>
      </c>
    </row>
    <row r="31">
      <c r="A31" t="inlineStr">
        <is>
          <t>mv-male</t>
        </is>
      </c>
      <c r="B31" t="inlineStr">
        <is>
          <t>Male</t>
        </is>
      </c>
      <c r="C31" t="inlineStr">
        <is>
          <t>Maldives</t>
        </is>
      </c>
      <c r="D31" t="inlineStr">
        <is>
          <t>South Asia</t>
        </is>
      </c>
      <c r="E31" t="inlineStr">
        <is>
          <t>locked</t>
        </is>
      </c>
      <c r="F31" t="inlineStr">
        <is>
          <t>secondary</t>
        </is>
      </c>
      <c r="G31" s="11">
        <f>IF(OR(City_Inputs!$M31="",Norm_Stats!$F$2="",Norm_Stats!$G$2="",Norm_Stats!$G$2=Norm_Stats!$F$2),"",MAX(0,MIN(100,100*(MIN(MAX(City_Inputs!$M31,Norm_Stats!$F$2),Norm_Stats!$G$2)-Norm_Stats!$F$2)/(Norm_Stats!$G$2-Norm_Stats!$F$2))))</f>
        <v/>
      </c>
      <c r="H31" s="14">
        <f>IF(G31="","",1)</f>
        <v/>
      </c>
      <c r="I31" s="11">
        <f>IF(OR(City_Inputs!$N31="",Norm_Stats!$F$3="",Norm_Stats!$G$3="",Norm_Stats!$G$3=Norm_Stats!$F$3),"",MAX(0,MIN(100,100*(Norm_Stats!$G$3-MIN(MAX(City_Inputs!$N31,Norm_Stats!$F$3),Norm_Stats!$G$3))/(Norm_Stats!$G$3-Norm_Stats!$F$3))))</f>
        <v/>
      </c>
      <c r="J31" s="14">
        <f>IF(I31="","",1)</f>
        <v/>
      </c>
      <c r="K31" s="11">
        <f>IF(OR(City_Inputs!$P31="",Norm_Stats!$F$4="",Norm_Stats!$G$4="",Norm_Stats!$G$4=Norm_Stats!$F$4),"",MAX(0,MIN(100,100*(Norm_Stats!$G$4-MIN(MAX(City_Inputs!$P31,Norm_Stats!$F$4),Norm_Stats!$G$4))/(Norm_Stats!$G$4-Norm_Stats!$F$4))))</f>
        <v/>
      </c>
      <c r="L31" s="14">
        <f>IF(K31="","",1)</f>
        <v/>
      </c>
      <c r="M31" s="11">
        <f>IF(OR(City_Inputs!$Q31="",Norm_Stats!$F$5="",Norm_Stats!$G$5="",Norm_Stats!$G$5=Norm_Stats!$F$5),"",MAX(0,MIN(100,100*(Norm_Stats!$G$5-MIN(MAX(City_Inputs!$Q31,Norm_Stats!$F$5),Norm_Stats!$G$5))/(Norm_Stats!$G$5-Norm_Stats!$F$5))))</f>
        <v/>
      </c>
      <c r="N31" s="14">
        <f>IF(M31="","",1)</f>
        <v/>
      </c>
      <c r="O31" s="11">
        <f>IF(OR(City_Inputs!$R31="",Norm_Stats!$F$6="",Norm_Stats!$G$6="",Norm_Stats!$G$6=Norm_Stats!$F$6),"",MAX(0,MIN(100,100*(Norm_Stats!$G$6-MIN(MAX(City_Inputs!$R31,Norm_Stats!$F$6),Norm_Stats!$G$6))/(Norm_Stats!$G$6-Norm_Stats!$F$6))))</f>
        <v/>
      </c>
      <c r="P31" s="14">
        <f>IF(O31="","",1)</f>
        <v/>
      </c>
      <c r="Q31" s="15">
        <f>IF((IF(G31="",0,9)+IF(I31="",0,5)+IF(K31="",0,4)+IF(M31="",0,4)+IF(O31="",0,3))=0,"",(IF(G31="",0,G31*9)+IF(I31="",0,I31*5)+IF(K31="",0,K31*4)+IF(M31="",0,M31*4)+IF(O31="",0,O31*3))/(IF(G31="",0,9)+IF(I31="",0,5)+IF(K31="",0,4)+IF(M31="",0,4)+IF(O31="",0,3)))</f>
        <v/>
      </c>
      <c r="R31" s="14">
        <f>IF((IF(H31="",0,9)+IF(J31="",0,5)+IF(L31="",0,4)+IF(N31="",0,4)+IF(P31="",0,3))=0,"",(IF(H31="",0,H31*9)+IF(J31="",0,J31*5)+IF(L31="",0,L31*4)+IF(N31="",0,N31*4)+IF(P31="",0,P31*3))/25)</f>
        <v/>
      </c>
      <c r="S31" s="11">
        <f>IF(OR(City_Inputs!$S31="",Norm_Stats!$F$7="",Norm_Stats!$G$7="",Norm_Stats!$G$7=Norm_Stats!$F$7),"",MAX(0,MIN(100,100*(Norm_Stats!$G$7-MIN(MAX(City_Inputs!$S31,Norm_Stats!$F$7),Norm_Stats!$G$7))/(Norm_Stats!$G$7-Norm_Stats!$F$7))))</f>
        <v/>
      </c>
      <c r="T31" s="14">
        <f>IF(S31="","",1)</f>
        <v/>
      </c>
      <c r="U31" s="11">
        <f>IF(OR(City_Inputs!$T31="",Norm_Stats!$F$8="",Norm_Stats!$G$8="",Norm_Stats!$G$8=Norm_Stats!$F$8),"",MAX(0,MIN(100,100*(MIN(MAX(City_Inputs!$T31,Norm_Stats!$F$8),Norm_Stats!$G$8)-Norm_Stats!$F$8)/(Norm_Stats!$G$8-Norm_Stats!$F$8))))</f>
        <v/>
      </c>
      <c r="V31" s="14">
        <f>IF(U31="","",1)</f>
        <v/>
      </c>
      <c r="W31" s="11">
        <f>IF(OR(City_Inputs!$U31="",Norm_Stats!$F$9="",Norm_Stats!$G$9="",Norm_Stats!$G$9=Norm_Stats!$F$9),"",MAX(0,MIN(100,100*(Norm_Stats!$G$9-MIN(MAX(City_Inputs!$U31,Norm_Stats!$F$9),Norm_Stats!$G$9))/(Norm_Stats!$G$9-Norm_Stats!$F$9))))</f>
        <v/>
      </c>
      <c r="X31" s="14">
        <f>IF(W31="","",1)</f>
        <v/>
      </c>
      <c r="Y31" s="11">
        <f>IF(OR(City_Inputs!$V31="",Norm_Stats!$F$10="",Norm_Stats!$G$10="",Norm_Stats!$G$10=Norm_Stats!$F$10),"",MAX(0,MIN(100,100*(MIN(MAX(City_Inputs!$V31,Norm_Stats!$F$10),Norm_Stats!$G$10)-Norm_Stats!$F$10)/(Norm_Stats!$G$10-Norm_Stats!$F$10))))</f>
        <v/>
      </c>
      <c r="Z31" s="14">
        <f>IF(Y31="","",1)</f>
        <v/>
      </c>
      <c r="AA31" s="11">
        <f>IF(OR(City_Inputs!$W31="",Norm_Stats!$F$11="",Norm_Stats!$G$11="",Norm_Stats!$G$11=Norm_Stats!$F$11),"",MAX(0,MIN(100,100*(MIN(MAX(City_Inputs!$W31,Norm_Stats!$F$11),Norm_Stats!$G$11)-Norm_Stats!$F$11)/(Norm_Stats!$G$11-Norm_Stats!$F$11))))</f>
        <v/>
      </c>
      <c r="AB31" s="14">
        <f>IF(AA31="","",1)</f>
        <v/>
      </c>
      <c r="AC31" s="15">
        <f>IF((IF(S31="",0,5)+IF(U31="",0,5)+IF(W31="",0,4)+IF(Y31="",0,4)+IF(AA31="",0,4))=0,"",(IF(S31="",0,S31*5)+IF(U31="",0,U31*5)+IF(W31="",0,W31*4)+IF(Y31="",0,Y31*4)+IF(AA31="",0,AA31*4))/(IF(S31="",0,5)+IF(U31="",0,5)+IF(W31="",0,4)+IF(Y31="",0,4)+IF(AA31="",0,4)))</f>
        <v/>
      </c>
      <c r="AD31" s="14">
        <f>IF((IF(T31="",0,5)+IF(V31="",0,5)+IF(X31="",0,4)+IF(Z31="",0,4)+IF(AB31="",0,4))=0,"",(IF(T31="",0,T31*5)+IF(V31="",0,V31*5)+IF(X31="",0,X31*4)+IF(Z31="",0,Z31*4)+IF(AB31="",0,AB31*4))/22)</f>
        <v/>
      </c>
      <c r="AE31" s="11">
        <f>IF(OR(City_Inputs!$X31="",Norm_Stats!$F$12="",Norm_Stats!$G$12="",Norm_Stats!$G$12=Norm_Stats!$F$12),"",MAX(0,MIN(100,100*(MIN(MAX(City_Inputs!$X31,Norm_Stats!$F$12),Norm_Stats!$G$12)-Norm_Stats!$F$12)/(Norm_Stats!$G$12-Norm_Stats!$F$12))))</f>
        <v/>
      </c>
      <c r="AF31" s="14">
        <f>IF(AE31="","",1)</f>
        <v/>
      </c>
      <c r="AG31" s="11">
        <f>IF(OR(City_Inputs!$Y31="",Norm_Stats!$F$13="",Norm_Stats!$G$13="",Norm_Stats!$G$13=Norm_Stats!$F$13),"",MAX(0,MIN(100,100*(MIN(MAX(City_Inputs!$Y31,Norm_Stats!$F$13),Norm_Stats!$G$13)-Norm_Stats!$F$13)/(Norm_Stats!$G$13-Norm_Stats!$F$13))))</f>
        <v/>
      </c>
      <c r="AH31" s="14">
        <f>IF(AG31="","",1)</f>
        <v/>
      </c>
      <c r="AI31" s="11">
        <f>IF((IF((IF(OR(City_Inputs!$Z31="",Norm_Stats!$F$14="",Norm_Stats!$G$14="",Norm_Stats!$G$14=Norm_Stats!$F$14),"",MAX(0,MIN(100,100*(MIN(MAX(City_Inputs!$Z31,Norm_Stats!$F$14),Norm_Stats!$G$14)-Norm_Stats!$F$14)/(Norm_Stats!$G$14-Norm_Stats!$F$14)))))="",0,0.7)+IF((IF(OR(City_Inputs!$AK31="",Norm_Stats!$F$15="",Norm_Stats!$G$15="",Norm_Stats!$G$15=Norm_Stats!$F$15),"",MAX(0,MIN(100,100*(Norm_Stats!$G$15-MIN(MAX(City_Inputs!$AK31,Norm_Stats!$F$15),Norm_Stats!$G$15))/(Norm_Stats!$G$15-Norm_Stats!$F$15)))))="",0,0.3))=0,"",(IF((IF(OR(City_Inputs!$Z31="",Norm_Stats!$F$14="",Norm_Stats!$G$14="",Norm_Stats!$G$14=Norm_Stats!$F$14),"",MAX(0,MIN(100,100*(MIN(MAX(City_Inputs!$Z31,Norm_Stats!$F$14),Norm_Stats!$G$14)-Norm_Stats!$F$14)/(Norm_Stats!$G$14-Norm_Stats!$F$14)))))="",0,(IF(OR(City_Inputs!$Z31="",Norm_Stats!$F$14="",Norm_Stats!$G$14="",Norm_Stats!$G$14=Norm_Stats!$F$14),"",MAX(0,MIN(100,100*(MIN(MAX(City_Inputs!$Z31,Norm_Stats!$F$14),Norm_Stats!$G$14)-Norm_Stats!$F$14)/(Norm_Stats!$G$14-Norm_Stats!$F$14)))))*0.7)+IF((IF(OR(City_Inputs!$AK31="",Norm_Stats!$F$15="",Norm_Stats!$G$15="",Norm_Stats!$G$15=Norm_Stats!$F$15),"",MAX(0,MIN(100,100*(Norm_Stats!$G$15-MIN(MAX(City_Inputs!$AK31,Norm_Stats!$F$15),Norm_Stats!$G$15))/(Norm_Stats!$G$15-Norm_Stats!$F$15)))))="",0,(IF(OR(City_Inputs!$AK31="",Norm_Stats!$F$15="",Norm_Stats!$G$15="",Norm_Stats!$G$15=Norm_Stats!$F$15),"",MAX(0,MIN(100,100*(Norm_Stats!$G$15-MIN(MAX(City_Inputs!$AK31,Norm_Stats!$F$15),Norm_Stats!$G$15))/(Norm_Stats!$G$15-Norm_Stats!$F$15)))))*0.3))/(IF((IF(OR(City_Inputs!$Z31="",Norm_Stats!$F$14="",Norm_Stats!$G$14="",Norm_Stats!$G$14=Norm_Stats!$F$14),"",MAX(0,MIN(100,100*(MIN(MAX(City_Inputs!$Z31,Norm_Stats!$F$14),Norm_Stats!$G$14)-Norm_Stats!$F$14)/(Norm_Stats!$G$14-Norm_Stats!$F$14)))))="",0,0.7)+IF((IF(OR(City_Inputs!$AK31="",Norm_Stats!$F$15="",Norm_Stats!$G$15="",Norm_Stats!$G$15=Norm_Stats!$F$15),"",MAX(0,MIN(100,100*(Norm_Stats!$G$15-MIN(MAX(City_Inputs!$AK31,Norm_Stats!$F$15),Norm_Stats!$G$15))/(Norm_Stats!$G$15-Norm_Stats!$F$15)))))="",0,0.3)))</f>
        <v/>
      </c>
      <c r="AJ31" s="14">
        <f>IF((IF((IF(OR(City_Inputs!$Z31="",Norm_Stats!$F$14="",Norm_Stats!$G$14="",Norm_Stats!$G$14=Norm_Stats!$F$14),"",MAX(0,MIN(100,100*(MIN(MAX(City_Inputs!$Z31,Norm_Stats!$F$14),Norm_Stats!$G$14)-Norm_Stats!$F$14)/(Norm_Stats!$G$14-Norm_Stats!$F$14)))))="",0,0.7)+IF((IF(OR(City_Inputs!$AK31="",Norm_Stats!$F$15="",Norm_Stats!$G$15="",Norm_Stats!$G$15=Norm_Stats!$F$15),"",MAX(0,MIN(100,100*(Norm_Stats!$G$15-MIN(MAX(City_Inputs!$AK31,Norm_Stats!$F$15),Norm_Stats!$G$15))/(Norm_Stats!$G$15-Norm_Stats!$F$15)))))="",0,0.3))=0,"",(IF((IF(OR(City_Inputs!$Z31="",Norm_Stats!$F$14="",Norm_Stats!$G$14="",Norm_Stats!$G$14=Norm_Stats!$F$14),"",MAX(0,MIN(100,100*(MIN(MAX(City_Inputs!$Z31,Norm_Stats!$F$14),Norm_Stats!$G$14)-Norm_Stats!$F$14)/(Norm_Stats!$G$14-Norm_Stats!$F$14)))))="",0,0.7)+IF((IF(OR(City_Inputs!$AK31="",Norm_Stats!$F$15="",Norm_Stats!$G$15="",Norm_Stats!$G$15=Norm_Stats!$F$15),"",MAX(0,MIN(100,100*(Norm_Stats!$G$15-MIN(MAX(City_Inputs!$AK31,Norm_Stats!$F$15),Norm_Stats!$G$15))/(Norm_Stats!$G$15-Norm_Stats!$F$15)))))="",0,0.3)))</f>
        <v/>
      </c>
      <c r="AK31" s="15">
        <f>IF((IF(AE31="",0,8)+IF(AG31="",0,6)+IF(AI31="",0,4))=0,"",(IF(AE31="",0,AE31*8)+IF(AG31="",0,AG31*6)+IF(AI31="",0,AI31*4))/(IF(AE31="",0,8)+IF(AG31="",0,6)+IF(AI31="",0,4)))</f>
        <v/>
      </c>
      <c r="AL31" s="14">
        <f>IF((IF(AF31="",0,8)+IF(AH31="",0,6)+IF(AJ31="",0,4))=0,"",(IF(AF31="",0,AF31*8)+IF(AH31="",0,AH31*6)+IF(AJ31="",0,AJ31*4))/18)</f>
        <v/>
      </c>
      <c r="AM31" s="11">
        <f>IF(OR(City_Inputs!$AA31="",Norm_Stats!$F$16="",Norm_Stats!$G$16="",Norm_Stats!$G$16=Norm_Stats!$F$16),"",MAX(0,MIN(100,100*(MIN(MAX(City_Inputs!$AA31,Norm_Stats!$F$16),Norm_Stats!$G$16)-Norm_Stats!$F$16)/(Norm_Stats!$G$16-Norm_Stats!$F$16))))</f>
        <v/>
      </c>
      <c r="AN31" s="14">
        <f>IF(AM31="","",1)</f>
        <v/>
      </c>
      <c r="AO31" s="11">
        <f>IF(OR(City_Inputs!$AB31="",Norm_Stats!$F$17="",Norm_Stats!$G$17="",Norm_Stats!$G$17=Norm_Stats!$F$17),"",MAX(0,MIN(100,100*(MIN(MAX(City_Inputs!$AB31,Norm_Stats!$F$17),Norm_Stats!$G$17)-Norm_Stats!$F$17)/(Norm_Stats!$G$17-Norm_Stats!$F$17))))</f>
        <v/>
      </c>
      <c r="AP31" s="14">
        <f>IF(AO31="","",1)</f>
        <v/>
      </c>
      <c r="AQ31" s="11">
        <f>IF(OR(City_Inputs!$AC31="",Norm_Stats!$F$18="",Norm_Stats!$G$18="",Norm_Stats!$G$18=Norm_Stats!$F$18),"",MAX(0,MIN(100,100*(MIN(MAX(City_Inputs!$AC31,Norm_Stats!$F$18),Norm_Stats!$G$18)-Norm_Stats!$F$18)/(Norm_Stats!$G$18-Norm_Stats!$F$18))))</f>
        <v/>
      </c>
      <c r="AR31" s="14">
        <f>IF(AQ31="","",1)</f>
        <v/>
      </c>
      <c r="AS31" s="15">
        <f>IF((IF(AM31="",0,5)+IF(AO31="",0,5)+IF(AQ31="",0,5))=0,"",(IF(AM31="",0,AM31*5)+IF(AO31="",0,AO31*5)+IF(AQ31="",0,AQ31*5))/(IF(AM31="",0,5)+IF(AO31="",0,5)+IF(AQ31="",0,5)))</f>
        <v/>
      </c>
      <c r="AT31" s="14">
        <f>IF((IF(AN31="",0,5)+IF(AP31="",0,5)+IF(AR31="",0,5))=0,"",(IF(AN31="",0,AN31*5)+IF(AP31="",0,AP31*5)+IF(AR31="",0,AR31*5))/15)</f>
        <v/>
      </c>
      <c r="AU31" s="11">
        <f>IF(OR(City_Inputs!$AD31="",Norm_Stats!$F$19="",Norm_Stats!$G$19="",Norm_Stats!$G$19=Norm_Stats!$F$19),"",MAX(0,MIN(100,100*(MIN(MAX(City_Inputs!$AD31,Norm_Stats!$F$19),Norm_Stats!$G$19)-Norm_Stats!$F$19)/(Norm_Stats!$G$19-Norm_Stats!$F$19))))</f>
        <v/>
      </c>
      <c r="AV31" s="14">
        <f>IF(AU31="","",1)</f>
        <v/>
      </c>
      <c r="AW31" s="11">
        <f>IF(OR(City_Inputs!$AE31="",Norm_Stats!$F$20="",Norm_Stats!$G$20="",Norm_Stats!$G$20=Norm_Stats!$F$20),"",MAX(0,MIN(100,100*(MIN(MAX(City_Inputs!$AE31,Norm_Stats!$F$20),Norm_Stats!$G$20)-Norm_Stats!$F$20)/(Norm_Stats!$G$20-Norm_Stats!$F$20))))</f>
        <v/>
      </c>
      <c r="AX31" s="14">
        <f>IF(AW31="","",1)</f>
        <v/>
      </c>
      <c r="AY31" s="11">
        <f>IF((IF((IF(OR(City_Inputs!$AF31="",Norm_Stats!$F$21="",Norm_Stats!$G$21="",Norm_Stats!$G$21=Norm_Stats!$F$21),"",MAX(0,MIN(100,100*(MIN(MAX(City_Inputs!$AF31,Norm_Stats!$F$21),Norm_Stats!$G$21)-Norm_Stats!$F$21)/(Norm_Stats!$G$21-Norm_Stats!$F$21)))))="",0,0.5)+IF((IF(OR(City_Inputs!$AI31="",Norm_Stats!$F$22="",Norm_Stats!$G$22="",Norm_Stats!$G$22=Norm_Stats!$F$22),"",MAX(0,MIN(100,100*(MIN(MAX(City_Inputs!$AI31,Norm_Stats!$F$22),Norm_Stats!$G$22)-Norm_Stats!$F$22)/(Norm_Stats!$G$22-Norm_Stats!$F$22)))))="",0,0.3)+IF((IF(OR(City_Inputs!$AJ31="",Norm_Stats!$F$23="",Norm_Stats!$G$23="",Norm_Stats!$G$23=Norm_Stats!$F$23),"",MAX(0,MIN(100,100*(MIN(MAX(City_Inputs!$AJ31,Norm_Stats!$F$23),Norm_Stats!$G$23)-Norm_Stats!$F$23)/(Norm_Stats!$G$23-Norm_Stats!$F$23)))))="",0,0.2))=0,"",(IF((IF(OR(City_Inputs!$AF31="",Norm_Stats!$F$21="",Norm_Stats!$G$21="",Norm_Stats!$G$21=Norm_Stats!$F$21),"",MAX(0,MIN(100,100*(MIN(MAX(City_Inputs!$AF31,Norm_Stats!$F$21),Norm_Stats!$G$21)-Norm_Stats!$F$21)/(Norm_Stats!$G$21-Norm_Stats!$F$21)))))="",0,(IF(OR(City_Inputs!$AF31="",Norm_Stats!$F$21="",Norm_Stats!$G$21="",Norm_Stats!$G$21=Norm_Stats!$F$21),"",MAX(0,MIN(100,100*(MIN(MAX(City_Inputs!$AF31,Norm_Stats!$F$21),Norm_Stats!$G$21)-Norm_Stats!$F$21)/(Norm_Stats!$G$21-Norm_Stats!$F$21)))))*0.5)+IF((IF(OR(City_Inputs!$AI31="",Norm_Stats!$F$22="",Norm_Stats!$G$22="",Norm_Stats!$G$22=Norm_Stats!$F$22),"",MAX(0,MIN(100,100*(MIN(MAX(City_Inputs!$AI31,Norm_Stats!$F$22),Norm_Stats!$G$22)-Norm_Stats!$F$22)/(Norm_Stats!$G$22-Norm_Stats!$F$22)))))="",0,(IF(OR(City_Inputs!$AI31="",Norm_Stats!$F$22="",Norm_Stats!$G$22="",Norm_Stats!$G$22=Norm_Stats!$F$22),"",MAX(0,MIN(100,100*(MIN(MAX(City_Inputs!$AI31,Norm_Stats!$F$22),Norm_Stats!$G$22)-Norm_Stats!$F$22)/(Norm_Stats!$G$22-Norm_Stats!$F$22)))))*0.3)+IF((IF(OR(City_Inputs!$AJ31="",Norm_Stats!$F$23="",Norm_Stats!$G$23="",Norm_Stats!$G$23=Norm_Stats!$F$23),"",MAX(0,MIN(100,100*(MIN(MAX(City_Inputs!$AJ31,Norm_Stats!$F$23),Norm_Stats!$G$23)-Norm_Stats!$F$23)/(Norm_Stats!$G$23-Norm_Stats!$F$23)))))="",0,(IF(OR(City_Inputs!$AJ31="",Norm_Stats!$F$23="",Norm_Stats!$G$23="",Norm_Stats!$G$23=Norm_Stats!$F$23),"",MAX(0,MIN(100,100*(MIN(MAX(City_Inputs!$AJ31,Norm_Stats!$F$23),Norm_Stats!$G$23)-Norm_Stats!$F$23)/(Norm_Stats!$G$23-Norm_Stats!$F$23)))))*0.2))/(IF((IF(OR(City_Inputs!$AF31="",Norm_Stats!$F$21="",Norm_Stats!$G$21="",Norm_Stats!$G$21=Norm_Stats!$F$21),"",MAX(0,MIN(100,100*(MIN(MAX(City_Inputs!$AF31,Norm_Stats!$F$21),Norm_Stats!$G$21)-Norm_Stats!$F$21)/(Norm_Stats!$G$21-Norm_Stats!$F$21)))))="",0,0.5)+IF((IF(OR(City_Inputs!$AI31="",Norm_Stats!$F$22="",Norm_Stats!$G$22="",Norm_Stats!$G$22=Norm_Stats!$F$22),"",MAX(0,MIN(100,100*(MIN(MAX(City_Inputs!$AI31,Norm_Stats!$F$22),Norm_Stats!$G$22)-Norm_Stats!$F$22)/(Norm_Stats!$G$22-Norm_Stats!$F$22)))))="",0,0.3)+IF((IF(OR(City_Inputs!$AJ31="",Norm_Stats!$F$23="",Norm_Stats!$G$23="",Norm_Stats!$G$23=Norm_Stats!$F$23),"",MAX(0,MIN(100,100*(MIN(MAX(City_Inputs!$AJ31,Norm_Stats!$F$23),Norm_Stats!$G$23)-Norm_Stats!$F$23)/(Norm_Stats!$G$23-Norm_Stats!$F$23)))))="",0,0.2)))</f>
        <v/>
      </c>
      <c r="AZ31" s="14">
        <f>IF((IF((IF(OR(City_Inputs!$AF31="",Norm_Stats!$F$21="",Norm_Stats!$G$21="",Norm_Stats!$G$21=Norm_Stats!$F$21),"",MAX(0,MIN(100,100*(MIN(MAX(City_Inputs!$AF31,Norm_Stats!$F$21),Norm_Stats!$G$21)-Norm_Stats!$F$21)/(Norm_Stats!$G$21-Norm_Stats!$F$21)))))="",0,0.5)+IF((IF(OR(City_Inputs!$AI31="",Norm_Stats!$F$22="",Norm_Stats!$G$22="",Norm_Stats!$G$22=Norm_Stats!$F$22),"",MAX(0,MIN(100,100*(MIN(MAX(City_Inputs!$AI31,Norm_Stats!$F$22),Norm_Stats!$G$22)-Norm_Stats!$F$22)/(Norm_Stats!$G$22-Norm_Stats!$F$22)))))="",0,0.3)+IF((IF(OR(City_Inputs!$AJ31="",Norm_Stats!$F$23="",Norm_Stats!$G$23="",Norm_Stats!$G$23=Norm_Stats!$F$23),"",MAX(0,MIN(100,100*(MIN(MAX(City_Inputs!$AJ31,Norm_Stats!$F$23),Norm_Stats!$G$23)-Norm_Stats!$F$23)/(Norm_Stats!$G$23-Norm_Stats!$F$23)))))="",0,0.2))=0,"",(IF((IF(OR(City_Inputs!$AF31="",Norm_Stats!$F$21="",Norm_Stats!$G$21="",Norm_Stats!$G$21=Norm_Stats!$F$21),"",MAX(0,MIN(100,100*(MIN(MAX(City_Inputs!$AF31,Norm_Stats!$F$21),Norm_Stats!$G$21)-Norm_Stats!$F$21)/(Norm_Stats!$G$21-Norm_Stats!$F$21)))))="",0,0.5)+IF((IF(OR(City_Inputs!$AI31="",Norm_Stats!$F$22="",Norm_Stats!$G$22="",Norm_Stats!$G$22=Norm_Stats!$F$22),"",MAX(0,MIN(100,100*(MIN(MAX(City_Inputs!$AI31,Norm_Stats!$F$22),Norm_Stats!$G$22)-Norm_Stats!$F$22)/(Norm_Stats!$G$22-Norm_Stats!$F$22)))))="",0,0.3)+IF((IF(OR(City_Inputs!$AJ31="",Norm_Stats!$F$23="",Norm_Stats!$G$23="",Norm_Stats!$G$23=Norm_Stats!$F$23),"",MAX(0,MIN(100,100*(MIN(MAX(City_Inputs!$AJ31,Norm_Stats!$F$23),Norm_Stats!$G$23)-Norm_Stats!$F$23)/(Norm_Stats!$G$23-Norm_Stats!$F$23)))))="",0,0.2)))</f>
        <v/>
      </c>
      <c r="BA31" s="11">
        <f>IF(OR(City_Inputs!$AG31="",Norm_Stats!$F$24="",Norm_Stats!$G$24="",Norm_Stats!$G$24=Norm_Stats!$F$24),"",MAX(0,MIN(100,100*(Norm_Stats!$G$24-MIN(MAX(City_Inputs!$AG31,Norm_Stats!$F$24),Norm_Stats!$G$24))/(Norm_Stats!$G$24-Norm_Stats!$F$24))))</f>
        <v/>
      </c>
      <c r="BB31" s="14">
        <f>IF(BA31="","",1)</f>
        <v/>
      </c>
      <c r="BC31" s="15">
        <f>IF((IF(AU31="",0,6)+IF(AW31="",0,5)+IF(AY31="",0,5)+IF(BA31="",0,4))=0,"",(IF(AU31="",0,AU31*6)+IF(AW31="",0,AW31*5)+IF(AY31="",0,AY31*5)+IF(BA31="",0,BA31*4))/(IF(AU31="",0,6)+IF(AW31="",0,5)+IF(AY31="",0,5)+IF(BA31="",0,4)))</f>
        <v/>
      </c>
      <c r="BD31" s="14">
        <f>IF((IF(AV31="",0,6)+IF(AX31="",0,5)+IF(AZ31="",0,5)+IF(BB31="",0,4))=0,"",(IF(AV31="",0,AV31*6)+IF(AX31="",0,AX31*5)+IF(AZ31="",0,AZ31*5)+IF(BB31="",0,BB31*4))/20)</f>
        <v/>
      </c>
      <c r="BE31" s="14">
        <f>IF(AND(R31="",AD31="",AL31="",AT31="",BD31=""),"",((R31*25)+(AD31*22)+(AL31*18)+(AT31*15)+(BD31*20))/100)</f>
        <v/>
      </c>
      <c r="BF31" s="11">
        <f>IF(BE31="","",IF(BE31&gt;=0.75,"A",IF(BE31&gt;=0.5,"B",IF(BE31&gt;=0.35,"C","Watchlist"))))</f>
        <v/>
      </c>
      <c r="BG31" s="11">
        <f>IF(OR(BE31="",BE31&lt;0.5,R31="",R31&lt;0.35,AD31="",AD31&lt;0.35,AL31="",AL31&lt;0.35,AT31="",AT31&lt;0.35,BD31="",BD31&lt;0.35),"Watchlist","Ranked")</f>
        <v/>
      </c>
      <c r="BH31" s="15">
        <f>IF(AND(Q31="",AC31="",AK31="",AS31="",BC31=""),"",(IF(Q31="",0,Q31*25)+IF(AC31="",0,AC31*22)+IF(AK31="",0,AK31*18)+IF(AS31="",0,AS31*15)+IF(BC31="",0,BC31*20))/(IF(Q31="",0,25)+IF(AC31="",0,22)+IF(AK31="",0,18)+IF(AS31="",0,15)+IF(BC31="",0,20)))</f>
        <v/>
      </c>
      <c r="BI31" s="11">
        <f>IF(BG31="Ranked",1+COUNTIFS($BG$2:$BG$103,"Ranked",$BH$2:$BH$103,"&gt;"&amp;BH31),"")</f>
        <v/>
      </c>
      <c r="BJ31" s="11">
        <f>City_Inputs!$AH31</f>
        <v/>
      </c>
    </row>
    <row r="32">
      <c r="A32" t="inlineStr">
        <is>
          <t>fr-paris</t>
        </is>
      </c>
      <c r="B32" t="inlineStr">
        <is>
          <t>Paris</t>
        </is>
      </c>
      <c r="C32" t="inlineStr">
        <is>
          <t>France</t>
        </is>
      </c>
      <c r="D32" t="inlineStr">
        <is>
          <t>Western, Northern, and Southern Europe</t>
        </is>
      </c>
      <c r="E32" t="inlineStr">
        <is>
          <t>locked</t>
        </is>
      </c>
      <c r="F32" t="inlineStr">
        <is>
          <t>primary</t>
        </is>
      </c>
      <c r="G32" s="11">
        <f>IF(OR(City_Inputs!$M32="",Norm_Stats!$F$2="",Norm_Stats!$G$2="",Norm_Stats!$G$2=Norm_Stats!$F$2),"",MAX(0,MIN(100,100*(MIN(MAX(City_Inputs!$M32,Norm_Stats!$F$2),Norm_Stats!$G$2)-Norm_Stats!$F$2)/(Norm_Stats!$G$2-Norm_Stats!$F$2))))</f>
        <v/>
      </c>
      <c r="H32" s="14">
        <f>IF(G32="","",1)</f>
        <v/>
      </c>
      <c r="I32" s="11">
        <f>IF(OR(City_Inputs!$N32="",Norm_Stats!$F$3="",Norm_Stats!$G$3="",Norm_Stats!$G$3=Norm_Stats!$F$3),"",MAX(0,MIN(100,100*(Norm_Stats!$G$3-MIN(MAX(City_Inputs!$N32,Norm_Stats!$F$3),Norm_Stats!$G$3))/(Norm_Stats!$G$3-Norm_Stats!$F$3))))</f>
        <v/>
      </c>
      <c r="J32" s="14">
        <f>IF(I32="","",1)</f>
        <v/>
      </c>
      <c r="K32" s="11">
        <f>IF(OR(City_Inputs!$P32="",Norm_Stats!$F$4="",Norm_Stats!$G$4="",Norm_Stats!$G$4=Norm_Stats!$F$4),"",MAX(0,MIN(100,100*(Norm_Stats!$G$4-MIN(MAX(City_Inputs!$P32,Norm_Stats!$F$4),Norm_Stats!$G$4))/(Norm_Stats!$G$4-Norm_Stats!$F$4))))</f>
        <v/>
      </c>
      <c r="L32" s="14">
        <f>IF(K32="","",1)</f>
        <v/>
      </c>
      <c r="M32" s="11">
        <f>IF(OR(City_Inputs!$Q32="",Norm_Stats!$F$5="",Norm_Stats!$G$5="",Norm_Stats!$G$5=Norm_Stats!$F$5),"",MAX(0,MIN(100,100*(Norm_Stats!$G$5-MIN(MAX(City_Inputs!$Q32,Norm_Stats!$F$5),Norm_Stats!$G$5))/(Norm_Stats!$G$5-Norm_Stats!$F$5))))</f>
        <v/>
      </c>
      <c r="N32" s="14">
        <f>IF(M32="","",1)</f>
        <v/>
      </c>
      <c r="O32" s="11">
        <f>IF(OR(City_Inputs!$R32="",Norm_Stats!$F$6="",Norm_Stats!$G$6="",Norm_Stats!$G$6=Norm_Stats!$F$6),"",MAX(0,MIN(100,100*(Norm_Stats!$G$6-MIN(MAX(City_Inputs!$R32,Norm_Stats!$F$6),Norm_Stats!$G$6))/(Norm_Stats!$G$6-Norm_Stats!$F$6))))</f>
        <v/>
      </c>
      <c r="P32" s="14">
        <f>IF(O32="","",1)</f>
        <v/>
      </c>
      <c r="Q32" s="15">
        <f>IF((IF(G32="",0,9)+IF(I32="",0,5)+IF(K32="",0,4)+IF(M32="",0,4)+IF(O32="",0,3))=0,"",(IF(G32="",0,G32*9)+IF(I32="",0,I32*5)+IF(K32="",0,K32*4)+IF(M32="",0,M32*4)+IF(O32="",0,O32*3))/(IF(G32="",0,9)+IF(I32="",0,5)+IF(K32="",0,4)+IF(M32="",0,4)+IF(O32="",0,3)))</f>
        <v/>
      </c>
      <c r="R32" s="14">
        <f>IF((IF(H32="",0,9)+IF(J32="",0,5)+IF(L32="",0,4)+IF(N32="",0,4)+IF(P32="",0,3))=0,"",(IF(H32="",0,H32*9)+IF(J32="",0,J32*5)+IF(L32="",0,L32*4)+IF(N32="",0,N32*4)+IF(P32="",0,P32*3))/25)</f>
        <v/>
      </c>
      <c r="S32" s="11">
        <f>IF(OR(City_Inputs!$S32="",Norm_Stats!$F$7="",Norm_Stats!$G$7="",Norm_Stats!$G$7=Norm_Stats!$F$7),"",MAX(0,MIN(100,100*(Norm_Stats!$G$7-MIN(MAX(City_Inputs!$S32,Norm_Stats!$F$7),Norm_Stats!$G$7))/(Norm_Stats!$G$7-Norm_Stats!$F$7))))</f>
        <v/>
      </c>
      <c r="T32" s="14">
        <f>IF(S32="","",1)</f>
        <v/>
      </c>
      <c r="U32" s="11">
        <f>IF(OR(City_Inputs!$T32="",Norm_Stats!$F$8="",Norm_Stats!$G$8="",Norm_Stats!$G$8=Norm_Stats!$F$8),"",MAX(0,MIN(100,100*(MIN(MAX(City_Inputs!$T32,Norm_Stats!$F$8),Norm_Stats!$G$8)-Norm_Stats!$F$8)/(Norm_Stats!$G$8-Norm_Stats!$F$8))))</f>
        <v/>
      </c>
      <c r="V32" s="14">
        <f>IF(U32="","",1)</f>
        <v/>
      </c>
      <c r="W32" s="11">
        <f>IF(OR(City_Inputs!$U32="",Norm_Stats!$F$9="",Norm_Stats!$G$9="",Norm_Stats!$G$9=Norm_Stats!$F$9),"",MAX(0,MIN(100,100*(Norm_Stats!$G$9-MIN(MAX(City_Inputs!$U32,Norm_Stats!$F$9),Norm_Stats!$G$9))/(Norm_Stats!$G$9-Norm_Stats!$F$9))))</f>
        <v/>
      </c>
      <c r="X32" s="14">
        <f>IF(W32="","",1)</f>
        <v/>
      </c>
      <c r="Y32" s="11">
        <f>IF(OR(City_Inputs!$V32="",Norm_Stats!$F$10="",Norm_Stats!$G$10="",Norm_Stats!$G$10=Norm_Stats!$F$10),"",MAX(0,MIN(100,100*(MIN(MAX(City_Inputs!$V32,Norm_Stats!$F$10),Norm_Stats!$G$10)-Norm_Stats!$F$10)/(Norm_Stats!$G$10-Norm_Stats!$F$10))))</f>
        <v/>
      </c>
      <c r="Z32" s="14">
        <f>IF(Y32="","",1)</f>
        <v/>
      </c>
      <c r="AA32" s="11">
        <f>IF(OR(City_Inputs!$W32="",Norm_Stats!$F$11="",Norm_Stats!$G$11="",Norm_Stats!$G$11=Norm_Stats!$F$11),"",MAX(0,MIN(100,100*(MIN(MAX(City_Inputs!$W32,Norm_Stats!$F$11),Norm_Stats!$G$11)-Norm_Stats!$F$11)/(Norm_Stats!$G$11-Norm_Stats!$F$11))))</f>
        <v/>
      </c>
      <c r="AB32" s="14">
        <f>IF(AA32="","",1)</f>
        <v/>
      </c>
      <c r="AC32" s="15">
        <f>IF((IF(S32="",0,5)+IF(U32="",0,5)+IF(W32="",0,4)+IF(Y32="",0,4)+IF(AA32="",0,4))=0,"",(IF(S32="",0,S32*5)+IF(U32="",0,U32*5)+IF(W32="",0,W32*4)+IF(Y32="",0,Y32*4)+IF(AA32="",0,AA32*4))/(IF(S32="",0,5)+IF(U32="",0,5)+IF(W32="",0,4)+IF(Y32="",0,4)+IF(AA32="",0,4)))</f>
        <v/>
      </c>
      <c r="AD32" s="14">
        <f>IF((IF(T32="",0,5)+IF(V32="",0,5)+IF(X32="",0,4)+IF(Z32="",0,4)+IF(AB32="",0,4))=0,"",(IF(T32="",0,T32*5)+IF(V32="",0,V32*5)+IF(X32="",0,X32*4)+IF(Z32="",0,Z32*4)+IF(AB32="",0,AB32*4))/22)</f>
        <v/>
      </c>
      <c r="AE32" s="11">
        <f>IF(OR(City_Inputs!$X32="",Norm_Stats!$F$12="",Norm_Stats!$G$12="",Norm_Stats!$G$12=Norm_Stats!$F$12),"",MAX(0,MIN(100,100*(MIN(MAX(City_Inputs!$X32,Norm_Stats!$F$12),Norm_Stats!$G$12)-Norm_Stats!$F$12)/(Norm_Stats!$G$12-Norm_Stats!$F$12))))</f>
        <v/>
      </c>
      <c r="AF32" s="14">
        <f>IF(AE32="","",1)</f>
        <v/>
      </c>
      <c r="AG32" s="11">
        <f>IF(OR(City_Inputs!$Y32="",Norm_Stats!$F$13="",Norm_Stats!$G$13="",Norm_Stats!$G$13=Norm_Stats!$F$13),"",MAX(0,MIN(100,100*(MIN(MAX(City_Inputs!$Y32,Norm_Stats!$F$13),Norm_Stats!$G$13)-Norm_Stats!$F$13)/(Norm_Stats!$G$13-Norm_Stats!$F$13))))</f>
        <v/>
      </c>
      <c r="AH32" s="14">
        <f>IF(AG32="","",1)</f>
        <v/>
      </c>
      <c r="AI32" s="11">
        <f>IF((IF((IF(OR(City_Inputs!$Z32="",Norm_Stats!$F$14="",Norm_Stats!$G$14="",Norm_Stats!$G$14=Norm_Stats!$F$14),"",MAX(0,MIN(100,100*(MIN(MAX(City_Inputs!$Z32,Norm_Stats!$F$14),Norm_Stats!$G$14)-Norm_Stats!$F$14)/(Norm_Stats!$G$14-Norm_Stats!$F$14)))))="",0,0.7)+IF((IF(OR(City_Inputs!$AK32="",Norm_Stats!$F$15="",Norm_Stats!$G$15="",Norm_Stats!$G$15=Norm_Stats!$F$15),"",MAX(0,MIN(100,100*(Norm_Stats!$G$15-MIN(MAX(City_Inputs!$AK32,Norm_Stats!$F$15),Norm_Stats!$G$15))/(Norm_Stats!$G$15-Norm_Stats!$F$15)))))="",0,0.3))=0,"",(IF((IF(OR(City_Inputs!$Z32="",Norm_Stats!$F$14="",Norm_Stats!$G$14="",Norm_Stats!$G$14=Norm_Stats!$F$14),"",MAX(0,MIN(100,100*(MIN(MAX(City_Inputs!$Z32,Norm_Stats!$F$14),Norm_Stats!$G$14)-Norm_Stats!$F$14)/(Norm_Stats!$G$14-Norm_Stats!$F$14)))))="",0,(IF(OR(City_Inputs!$Z32="",Norm_Stats!$F$14="",Norm_Stats!$G$14="",Norm_Stats!$G$14=Norm_Stats!$F$14),"",MAX(0,MIN(100,100*(MIN(MAX(City_Inputs!$Z32,Norm_Stats!$F$14),Norm_Stats!$G$14)-Norm_Stats!$F$14)/(Norm_Stats!$G$14-Norm_Stats!$F$14)))))*0.7)+IF((IF(OR(City_Inputs!$AK32="",Norm_Stats!$F$15="",Norm_Stats!$G$15="",Norm_Stats!$G$15=Norm_Stats!$F$15),"",MAX(0,MIN(100,100*(Norm_Stats!$G$15-MIN(MAX(City_Inputs!$AK32,Norm_Stats!$F$15),Norm_Stats!$G$15))/(Norm_Stats!$G$15-Norm_Stats!$F$15)))))="",0,(IF(OR(City_Inputs!$AK32="",Norm_Stats!$F$15="",Norm_Stats!$G$15="",Norm_Stats!$G$15=Norm_Stats!$F$15),"",MAX(0,MIN(100,100*(Norm_Stats!$G$15-MIN(MAX(City_Inputs!$AK32,Norm_Stats!$F$15),Norm_Stats!$G$15))/(Norm_Stats!$G$15-Norm_Stats!$F$15)))))*0.3))/(IF((IF(OR(City_Inputs!$Z32="",Norm_Stats!$F$14="",Norm_Stats!$G$14="",Norm_Stats!$G$14=Norm_Stats!$F$14),"",MAX(0,MIN(100,100*(MIN(MAX(City_Inputs!$Z32,Norm_Stats!$F$14),Norm_Stats!$G$14)-Norm_Stats!$F$14)/(Norm_Stats!$G$14-Norm_Stats!$F$14)))))="",0,0.7)+IF((IF(OR(City_Inputs!$AK32="",Norm_Stats!$F$15="",Norm_Stats!$G$15="",Norm_Stats!$G$15=Norm_Stats!$F$15),"",MAX(0,MIN(100,100*(Norm_Stats!$G$15-MIN(MAX(City_Inputs!$AK32,Norm_Stats!$F$15),Norm_Stats!$G$15))/(Norm_Stats!$G$15-Norm_Stats!$F$15)))))="",0,0.3)))</f>
        <v/>
      </c>
      <c r="AJ32" s="14">
        <f>IF((IF((IF(OR(City_Inputs!$Z32="",Norm_Stats!$F$14="",Norm_Stats!$G$14="",Norm_Stats!$G$14=Norm_Stats!$F$14),"",MAX(0,MIN(100,100*(MIN(MAX(City_Inputs!$Z32,Norm_Stats!$F$14),Norm_Stats!$G$14)-Norm_Stats!$F$14)/(Norm_Stats!$G$14-Norm_Stats!$F$14)))))="",0,0.7)+IF((IF(OR(City_Inputs!$AK32="",Norm_Stats!$F$15="",Norm_Stats!$G$15="",Norm_Stats!$G$15=Norm_Stats!$F$15),"",MAX(0,MIN(100,100*(Norm_Stats!$G$15-MIN(MAX(City_Inputs!$AK32,Norm_Stats!$F$15),Norm_Stats!$G$15))/(Norm_Stats!$G$15-Norm_Stats!$F$15)))))="",0,0.3))=0,"",(IF((IF(OR(City_Inputs!$Z32="",Norm_Stats!$F$14="",Norm_Stats!$G$14="",Norm_Stats!$G$14=Norm_Stats!$F$14),"",MAX(0,MIN(100,100*(MIN(MAX(City_Inputs!$Z32,Norm_Stats!$F$14),Norm_Stats!$G$14)-Norm_Stats!$F$14)/(Norm_Stats!$G$14-Norm_Stats!$F$14)))))="",0,0.7)+IF((IF(OR(City_Inputs!$AK32="",Norm_Stats!$F$15="",Norm_Stats!$G$15="",Norm_Stats!$G$15=Norm_Stats!$F$15),"",MAX(0,MIN(100,100*(Norm_Stats!$G$15-MIN(MAX(City_Inputs!$AK32,Norm_Stats!$F$15),Norm_Stats!$G$15))/(Norm_Stats!$G$15-Norm_Stats!$F$15)))))="",0,0.3)))</f>
        <v/>
      </c>
      <c r="AK32" s="15">
        <f>IF((IF(AE32="",0,8)+IF(AG32="",0,6)+IF(AI32="",0,4))=0,"",(IF(AE32="",0,AE32*8)+IF(AG32="",0,AG32*6)+IF(AI32="",0,AI32*4))/(IF(AE32="",0,8)+IF(AG32="",0,6)+IF(AI32="",0,4)))</f>
        <v/>
      </c>
      <c r="AL32" s="14">
        <f>IF((IF(AF32="",0,8)+IF(AH32="",0,6)+IF(AJ32="",0,4))=0,"",(IF(AF32="",0,AF32*8)+IF(AH32="",0,AH32*6)+IF(AJ32="",0,AJ32*4))/18)</f>
        <v/>
      </c>
      <c r="AM32" s="11">
        <f>IF(OR(City_Inputs!$AA32="",Norm_Stats!$F$16="",Norm_Stats!$G$16="",Norm_Stats!$G$16=Norm_Stats!$F$16),"",MAX(0,MIN(100,100*(MIN(MAX(City_Inputs!$AA32,Norm_Stats!$F$16),Norm_Stats!$G$16)-Norm_Stats!$F$16)/(Norm_Stats!$G$16-Norm_Stats!$F$16))))</f>
        <v/>
      </c>
      <c r="AN32" s="14">
        <f>IF(AM32="","",1)</f>
        <v/>
      </c>
      <c r="AO32" s="11">
        <f>IF(OR(City_Inputs!$AB32="",Norm_Stats!$F$17="",Norm_Stats!$G$17="",Norm_Stats!$G$17=Norm_Stats!$F$17),"",MAX(0,MIN(100,100*(MIN(MAX(City_Inputs!$AB32,Norm_Stats!$F$17),Norm_Stats!$G$17)-Norm_Stats!$F$17)/(Norm_Stats!$G$17-Norm_Stats!$F$17))))</f>
        <v/>
      </c>
      <c r="AP32" s="14">
        <f>IF(AO32="","",1)</f>
        <v/>
      </c>
      <c r="AQ32" s="11">
        <f>IF(OR(City_Inputs!$AC32="",Norm_Stats!$F$18="",Norm_Stats!$G$18="",Norm_Stats!$G$18=Norm_Stats!$F$18),"",MAX(0,MIN(100,100*(MIN(MAX(City_Inputs!$AC32,Norm_Stats!$F$18),Norm_Stats!$G$18)-Norm_Stats!$F$18)/(Norm_Stats!$G$18-Norm_Stats!$F$18))))</f>
        <v/>
      </c>
      <c r="AR32" s="14">
        <f>IF(AQ32="","",1)</f>
        <v/>
      </c>
      <c r="AS32" s="15">
        <f>IF((IF(AM32="",0,5)+IF(AO32="",0,5)+IF(AQ32="",0,5))=0,"",(IF(AM32="",0,AM32*5)+IF(AO32="",0,AO32*5)+IF(AQ32="",0,AQ32*5))/(IF(AM32="",0,5)+IF(AO32="",0,5)+IF(AQ32="",0,5)))</f>
        <v/>
      </c>
      <c r="AT32" s="14">
        <f>IF((IF(AN32="",0,5)+IF(AP32="",0,5)+IF(AR32="",0,5))=0,"",(IF(AN32="",0,AN32*5)+IF(AP32="",0,AP32*5)+IF(AR32="",0,AR32*5))/15)</f>
        <v/>
      </c>
      <c r="AU32" s="11">
        <f>IF(OR(City_Inputs!$AD32="",Norm_Stats!$F$19="",Norm_Stats!$G$19="",Norm_Stats!$G$19=Norm_Stats!$F$19),"",MAX(0,MIN(100,100*(MIN(MAX(City_Inputs!$AD32,Norm_Stats!$F$19),Norm_Stats!$G$19)-Norm_Stats!$F$19)/(Norm_Stats!$G$19-Norm_Stats!$F$19))))</f>
        <v/>
      </c>
      <c r="AV32" s="14">
        <f>IF(AU32="","",1)</f>
        <v/>
      </c>
      <c r="AW32" s="11">
        <f>IF(OR(City_Inputs!$AE32="",Norm_Stats!$F$20="",Norm_Stats!$G$20="",Norm_Stats!$G$20=Norm_Stats!$F$20),"",MAX(0,MIN(100,100*(MIN(MAX(City_Inputs!$AE32,Norm_Stats!$F$20),Norm_Stats!$G$20)-Norm_Stats!$F$20)/(Norm_Stats!$G$20-Norm_Stats!$F$20))))</f>
        <v/>
      </c>
      <c r="AX32" s="14">
        <f>IF(AW32="","",1)</f>
        <v/>
      </c>
      <c r="AY32" s="11">
        <f>IF((IF((IF(OR(City_Inputs!$AF32="",Norm_Stats!$F$21="",Norm_Stats!$G$21="",Norm_Stats!$G$21=Norm_Stats!$F$21),"",MAX(0,MIN(100,100*(MIN(MAX(City_Inputs!$AF32,Norm_Stats!$F$21),Norm_Stats!$G$21)-Norm_Stats!$F$21)/(Norm_Stats!$G$21-Norm_Stats!$F$21)))))="",0,0.5)+IF((IF(OR(City_Inputs!$AI32="",Norm_Stats!$F$22="",Norm_Stats!$G$22="",Norm_Stats!$G$22=Norm_Stats!$F$22),"",MAX(0,MIN(100,100*(MIN(MAX(City_Inputs!$AI32,Norm_Stats!$F$22),Norm_Stats!$G$22)-Norm_Stats!$F$22)/(Norm_Stats!$G$22-Norm_Stats!$F$22)))))="",0,0.3)+IF((IF(OR(City_Inputs!$AJ32="",Norm_Stats!$F$23="",Norm_Stats!$G$23="",Norm_Stats!$G$23=Norm_Stats!$F$23),"",MAX(0,MIN(100,100*(MIN(MAX(City_Inputs!$AJ32,Norm_Stats!$F$23),Norm_Stats!$G$23)-Norm_Stats!$F$23)/(Norm_Stats!$G$23-Norm_Stats!$F$23)))))="",0,0.2))=0,"",(IF((IF(OR(City_Inputs!$AF32="",Norm_Stats!$F$21="",Norm_Stats!$G$21="",Norm_Stats!$G$21=Norm_Stats!$F$21),"",MAX(0,MIN(100,100*(MIN(MAX(City_Inputs!$AF32,Norm_Stats!$F$21),Norm_Stats!$G$21)-Norm_Stats!$F$21)/(Norm_Stats!$G$21-Norm_Stats!$F$21)))))="",0,(IF(OR(City_Inputs!$AF32="",Norm_Stats!$F$21="",Norm_Stats!$G$21="",Norm_Stats!$G$21=Norm_Stats!$F$21),"",MAX(0,MIN(100,100*(MIN(MAX(City_Inputs!$AF32,Norm_Stats!$F$21),Norm_Stats!$G$21)-Norm_Stats!$F$21)/(Norm_Stats!$G$21-Norm_Stats!$F$21)))))*0.5)+IF((IF(OR(City_Inputs!$AI32="",Norm_Stats!$F$22="",Norm_Stats!$G$22="",Norm_Stats!$G$22=Norm_Stats!$F$22),"",MAX(0,MIN(100,100*(MIN(MAX(City_Inputs!$AI32,Norm_Stats!$F$22),Norm_Stats!$G$22)-Norm_Stats!$F$22)/(Norm_Stats!$G$22-Norm_Stats!$F$22)))))="",0,(IF(OR(City_Inputs!$AI32="",Norm_Stats!$F$22="",Norm_Stats!$G$22="",Norm_Stats!$G$22=Norm_Stats!$F$22),"",MAX(0,MIN(100,100*(MIN(MAX(City_Inputs!$AI32,Norm_Stats!$F$22),Norm_Stats!$G$22)-Norm_Stats!$F$22)/(Norm_Stats!$G$22-Norm_Stats!$F$22)))))*0.3)+IF((IF(OR(City_Inputs!$AJ32="",Norm_Stats!$F$23="",Norm_Stats!$G$23="",Norm_Stats!$G$23=Norm_Stats!$F$23),"",MAX(0,MIN(100,100*(MIN(MAX(City_Inputs!$AJ32,Norm_Stats!$F$23),Norm_Stats!$G$23)-Norm_Stats!$F$23)/(Norm_Stats!$G$23-Norm_Stats!$F$23)))))="",0,(IF(OR(City_Inputs!$AJ32="",Norm_Stats!$F$23="",Norm_Stats!$G$23="",Norm_Stats!$G$23=Norm_Stats!$F$23),"",MAX(0,MIN(100,100*(MIN(MAX(City_Inputs!$AJ32,Norm_Stats!$F$23),Norm_Stats!$G$23)-Norm_Stats!$F$23)/(Norm_Stats!$G$23-Norm_Stats!$F$23)))))*0.2))/(IF((IF(OR(City_Inputs!$AF32="",Norm_Stats!$F$21="",Norm_Stats!$G$21="",Norm_Stats!$G$21=Norm_Stats!$F$21),"",MAX(0,MIN(100,100*(MIN(MAX(City_Inputs!$AF32,Norm_Stats!$F$21),Norm_Stats!$G$21)-Norm_Stats!$F$21)/(Norm_Stats!$G$21-Norm_Stats!$F$21)))))="",0,0.5)+IF((IF(OR(City_Inputs!$AI32="",Norm_Stats!$F$22="",Norm_Stats!$G$22="",Norm_Stats!$G$22=Norm_Stats!$F$22),"",MAX(0,MIN(100,100*(MIN(MAX(City_Inputs!$AI32,Norm_Stats!$F$22),Norm_Stats!$G$22)-Norm_Stats!$F$22)/(Norm_Stats!$G$22-Norm_Stats!$F$22)))))="",0,0.3)+IF((IF(OR(City_Inputs!$AJ32="",Norm_Stats!$F$23="",Norm_Stats!$G$23="",Norm_Stats!$G$23=Norm_Stats!$F$23),"",MAX(0,MIN(100,100*(MIN(MAX(City_Inputs!$AJ32,Norm_Stats!$F$23),Norm_Stats!$G$23)-Norm_Stats!$F$23)/(Norm_Stats!$G$23-Norm_Stats!$F$23)))))="",0,0.2)))</f>
        <v/>
      </c>
      <c r="AZ32" s="14">
        <f>IF((IF((IF(OR(City_Inputs!$AF32="",Norm_Stats!$F$21="",Norm_Stats!$G$21="",Norm_Stats!$G$21=Norm_Stats!$F$21),"",MAX(0,MIN(100,100*(MIN(MAX(City_Inputs!$AF32,Norm_Stats!$F$21),Norm_Stats!$G$21)-Norm_Stats!$F$21)/(Norm_Stats!$G$21-Norm_Stats!$F$21)))))="",0,0.5)+IF((IF(OR(City_Inputs!$AI32="",Norm_Stats!$F$22="",Norm_Stats!$G$22="",Norm_Stats!$G$22=Norm_Stats!$F$22),"",MAX(0,MIN(100,100*(MIN(MAX(City_Inputs!$AI32,Norm_Stats!$F$22),Norm_Stats!$G$22)-Norm_Stats!$F$22)/(Norm_Stats!$G$22-Norm_Stats!$F$22)))))="",0,0.3)+IF((IF(OR(City_Inputs!$AJ32="",Norm_Stats!$F$23="",Norm_Stats!$G$23="",Norm_Stats!$G$23=Norm_Stats!$F$23),"",MAX(0,MIN(100,100*(MIN(MAX(City_Inputs!$AJ32,Norm_Stats!$F$23),Norm_Stats!$G$23)-Norm_Stats!$F$23)/(Norm_Stats!$G$23-Norm_Stats!$F$23)))))="",0,0.2))=0,"",(IF((IF(OR(City_Inputs!$AF32="",Norm_Stats!$F$21="",Norm_Stats!$G$21="",Norm_Stats!$G$21=Norm_Stats!$F$21),"",MAX(0,MIN(100,100*(MIN(MAX(City_Inputs!$AF32,Norm_Stats!$F$21),Norm_Stats!$G$21)-Norm_Stats!$F$21)/(Norm_Stats!$G$21-Norm_Stats!$F$21)))))="",0,0.5)+IF((IF(OR(City_Inputs!$AI32="",Norm_Stats!$F$22="",Norm_Stats!$G$22="",Norm_Stats!$G$22=Norm_Stats!$F$22),"",MAX(0,MIN(100,100*(MIN(MAX(City_Inputs!$AI32,Norm_Stats!$F$22),Norm_Stats!$G$22)-Norm_Stats!$F$22)/(Norm_Stats!$G$22-Norm_Stats!$F$22)))))="",0,0.3)+IF((IF(OR(City_Inputs!$AJ32="",Norm_Stats!$F$23="",Norm_Stats!$G$23="",Norm_Stats!$G$23=Norm_Stats!$F$23),"",MAX(0,MIN(100,100*(MIN(MAX(City_Inputs!$AJ32,Norm_Stats!$F$23),Norm_Stats!$G$23)-Norm_Stats!$F$23)/(Norm_Stats!$G$23-Norm_Stats!$F$23)))))="",0,0.2)))</f>
        <v/>
      </c>
      <c r="BA32" s="11">
        <f>IF(OR(City_Inputs!$AG32="",Norm_Stats!$F$24="",Norm_Stats!$G$24="",Norm_Stats!$G$24=Norm_Stats!$F$24),"",MAX(0,MIN(100,100*(Norm_Stats!$G$24-MIN(MAX(City_Inputs!$AG32,Norm_Stats!$F$24),Norm_Stats!$G$24))/(Norm_Stats!$G$24-Norm_Stats!$F$24))))</f>
        <v/>
      </c>
      <c r="BB32" s="14">
        <f>IF(BA32="","",1)</f>
        <v/>
      </c>
      <c r="BC32" s="15">
        <f>IF((IF(AU32="",0,6)+IF(AW32="",0,5)+IF(AY32="",0,5)+IF(BA32="",0,4))=0,"",(IF(AU32="",0,AU32*6)+IF(AW32="",0,AW32*5)+IF(AY32="",0,AY32*5)+IF(BA32="",0,BA32*4))/(IF(AU32="",0,6)+IF(AW32="",0,5)+IF(AY32="",0,5)+IF(BA32="",0,4)))</f>
        <v/>
      </c>
      <c r="BD32" s="14">
        <f>IF((IF(AV32="",0,6)+IF(AX32="",0,5)+IF(AZ32="",0,5)+IF(BB32="",0,4))=0,"",(IF(AV32="",0,AV32*6)+IF(AX32="",0,AX32*5)+IF(AZ32="",0,AZ32*5)+IF(BB32="",0,BB32*4))/20)</f>
        <v/>
      </c>
      <c r="BE32" s="14">
        <f>IF(AND(R32="",AD32="",AL32="",AT32="",BD32=""),"",((R32*25)+(AD32*22)+(AL32*18)+(AT32*15)+(BD32*20))/100)</f>
        <v/>
      </c>
      <c r="BF32" s="11">
        <f>IF(BE32="","",IF(BE32&gt;=0.75,"A",IF(BE32&gt;=0.5,"B",IF(BE32&gt;=0.35,"C","Watchlist"))))</f>
        <v/>
      </c>
      <c r="BG32" s="11">
        <f>IF(OR(BE32="",BE32&lt;0.5,R32="",R32&lt;0.35,AD32="",AD32&lt;0.35,AL32="",AL32&lt;0.35,AT32="",AT32&lt;0.35,BD32="",BD32&lt;0.35),"Watchlist","Ranked")</f>
        <v/>
      </c>
      <c r="BH32" s="15">
        <f>IF(AND(Q32="",AC32="",AK32="",AS32="",BC32=""),"",(IF(Q32="",0,Q32*25)+IF(AC32="",0,AC32*22)+IF(AK32="",0,AK32*18)+IF(AS32="",0,AS32*15)+IF(BC32="",0,BC32*20))/(IF(Q32="",0,25)+IF(AC32="",0,22)+IF(AK32="",0,18)+IF(AS32="",0,15)+IF(BC32="",0,20)))</f>
        <v/>
      </c>
      <c r="BI32" s="11">
        <f>IF(BG32="Ranked",1+COUNTIFS($BG$2:$BG$103,"Ranked",$BH$2:$BH$103,"&gt;"&amp;BH32),"")</f>
        <v/>
      </c>
      <c r="BJ32" s="11">
        <f>City_Inputs!$AH32</f>
        <v/>
      </c>
    </row>
    <row r="33">
      <c r="A33" t="inlineStr">
        <is>
          <t>at-vienna</t>
        </is>
      </c>
      <c r="B33" t="inlineStr">
        <is>
          <t>Vienna</t>
        </is>
      </c>
      <c r="C33" t="inlineStr">
        <is>
          <t>Austria</t>
        </is>
      </c>
      <c r="D33" t="inlineStr">
        <is>
          <t>Western, Northern, and Southern Europe</t>
        </is>
      </c>
      <c r="E33" t="inlineStr">
        <is>
          <t>locked</t>
        </is>
      </c>
      <c r="F33" t="inlineStr">
        <is>
          <t>primary</t>
        </is>
      </c>
      <c r="G33" s="11">
        <f>IF(OR(City_Inputs!$M33="",Norm_Stats!$F$2="",Norm_Stats!$G$2="",Norm_Stats!$G$2=Norm_Stats!$F$2),"",MAX(0,MIN(100,100*(MIN(MAX(City_Inputs!$M33,Norm_Stats!$F$2),Norm_Stats!$G$2)-Norm_Stats!$F$2)/(Norm_Stats!$G$2-Norm_Stats!$F$2))))</f>
        <v/>
      </c>
      <c r="H33" s="14">
        <f>IF(G33="","",1)</f>
        <v/>
      </c>
      <c r="I33" s="11">
        <f>IF(OR(City_Inputs!$N33="",Norm_Stats!$F$3="",Norm_Stats!$G$3="",Norm_Stats!$G$3=Norm_Stats!$F$3),"",MAX(0,MIN(100,100*(Norm_Stats!$G$3-MIN(MAX(City_Inputs!$N33,Norm_Stats!$F$3),Norm_Stats!$G$3))/(Norm_Stats!$G$3-Norm_Stats!$F$3))))</f>
        <v/>
      </c>
      <c r="J33" s="14">
        <f>IF(I33="","",1)</f>
        <v/>
      </c>
      <c r="K33" s="11">
        <f>IF(OR(City_Inputs!$P33="",Norm_Stats!$F$4="",Norm_Stats!$G$4="",Norm_Stats!$G$4=Norm_Stats!$F$4),"",MAX(0,MIN(100,100*(Norm_Stats!$G$4-MIN(MAX(City_Inputs!$P33,Norm_Stats!$F$4),Norm_Stats!$G$4))/(Norm_Stats!$G$4-Norm_Stats!$F$4))))</f>
        <v/>
      </c>
      <c r="L33" s="14">
        <f>IF(K33="","",1)</f>
        <v/>
      </c>
      <c r="M33" s="11">
        <f>IF(OR(City_Inputs!$Q33="",Norm_Stats!$F$5="",Norm_Stats!$G$5="",Norm_Stats!$G$5=Norm_Stats!$F$5),"",MAX(0,MIN(100,100*(Norm_Stats!$G$5-MIN(MAX(City_Inputs!$Q33,Norm_Stats!$F$5),Norm_Stats!$G$5))/(Norm_Stats!$G$5-Norm_Stats!$F$5))))</f>
        <v/>
      </c>
      <c r="N33" s="14">
        <f>IF(M33="","",1)</f>
        <v/>
      </c>
      <c r="O33" s="11">
        <f>IF(OR(City_Inputs!$R33="",Norm_Stats!$F$6="",Norm_Stats!$G$6="",Norm_Stats!$G$6=Norm_Stats!$F$6),"",MAX(0,MIN(100,100*(Norm_Stats!$G$6-MIN(MAX(City_Inputs!$R33,Norm_Stats!$F$6),Norm_Stats!$G$6))/(Norm_Stats!$G$6-Norm_Stats!$F$6))))</f>
        <v/>
      </c>
      <c r="P33" s="14">
        <f>IF(O33="","",1)</f>
        <v/>
      </c>
      <c r="Q33" s="15">
        <f>IF((IF(G33="",0,9)+IF(I33="",0,5)+IF(K33="",0,4)+IF(M33="",0,4)+IF(O33="",0,3))=0,"",(IF(G33="",0,G33*9)+IF(I33="",0,I33*5)+IF(K33="",0,K33*4)+IF(M33="",0,M33*4)+IF(O33="",0,O33*3))/(IF(G33="",0,9)+IF(I33="",0,5)+IF(K33="",0,4)+IF(M33="",0,4)+IF(O33="",0,3)))</f>
        <v/>
      </c>
      <c r="R33" s="14">
        <f>IF((IF(H33="",0,9)+IF(J33="",0,5)+IF(L33="",0,4)+IF(N33="",0,4)+IF(P33="",0,3))=0,"",(IF(H33="",0,H33*9)+IF(J33="",0,J33*5)+IF(L33="",0,L33*4)+IF(N33="",0,N33*4)+IF(P33="",0,P33*3))/25)</f>
        <v/>
      </c>
      <c r="S33" s="11">
        <f>IF(OR(City_Inputs!$S33="",Norm_Stats!$F$7="",Norm_Stats!$G$7="",Norm_Stats!$G$7=Norm_Stats!$F$7),"",MAX(0,MIN(100,100*(Norm_Stats!$G$7-MIN(MAX(City_Inputs!$S33,Norm_Stats!$F$7),Norm_Stats!$G$7))/(Norm_Stats!$G$7-Norm_Stats!$F$7))))</f>
        <v/>
      </c>
      <c r="T33" s="14">
        <f>IF(S33="","",1)</f>
        <v/>
      </c>
      <c r="U33" s="11">
        <f>IF(OR(City_Inputs!$T33="",Norm_Stats!$F$8="",Norm_Stats!$G$8="",Norm_Stats!$G$8=Norm_Stats!$F$8),"",MAX(0,MIN(100,100*(MIN(MAX(City_Inputs!$T33,Norm_Stats!$F$8),Norm_Stats!$G$8)-Norm_Stats!$F$8)/(Norm_Stats!$G$8-Norm_Stats!$F$8))))</f>
        <v/>
      </c>
      <c r="V33" s="14">
        <f>IF(U33="","",1)</f>
        <v/>
      </c>
      <c r="W33" s="11">
        <f>IF(OR(City_Inputs!$U33="",Norm_Stats!$F$9="",Norm_Stats!$G$9="",Norm_Stats!$G$9=Norm_Stats!$F$9),"",MAX(0,MIN(100,100*(Norm_Stats!$G$9-MIN(MAX(City_Inputs!$U33,Norm_Stats!$F$9),Norm_Stats!$G$9))/(Norm_Stats!$G$9-Norm_Stats!$F$9))))</f>
        <v/>
      </c>
      <c r="X33" s="14">
        <f>IF(W33="","",1)</f>
        <v/>
      </c>
      <c r="Y33" s="11">
        <f>IF(OR(City_Inputs!$V33="",Norm_Stats!$F$10="",Norm_Stats!$G$10="",Norm_Stats!$G$10=Norm_Stats!$F$10),"",MAX(0,MIN(100,100*(MIN(MAX(City_Inputs!$V33,Norm_Stats!$F$10),Norm_Stats!$G$10)-Norm_Stats!$F$10)/(Norm_Stats!$G$10-Norm_Stats!$F$10))))</f>
        <v/>
      </c>
      <c r="Z33" s="14">
        <f>IF(Y33="","",1)</f>
        <v/>
      </c>
      <c r="AA33" s="11">
        <f>IF(OR(City_Inputs!$W33="",Norm_Stats!$F$11="",Norm_Stats!$G$11="",Norm_Stats!$G$11=Norm_Stats!$F$11),"",MAX(0,MIN(100,100*(MIN(MAX(City_Inputs!$W33,Norm_Stats!$F$11),Norm_Stats!$G$11)-Norm_Stats!$F$11)/(Norm_Stats!$G$11-Norm_Stats!$F$11))))</f>
        <v/>
      </c>
      <c r="AB33" s="14">
        <f>IF(AA33="","",1)</f>
        <v/>
      </c>
      <c r="AC33" s="15">
        <f>IF((IF(S33="",0,5)+IF(U33="",0,5)+IF(W33="",0,4)+IF(Y33="",0,4)+IF(AA33="",0,4))=0,"",(IF(S33="",0,S33*5)+IF(U33="",0,U33*5)+IF(W33="",0,W33*4)+IF(Y33="",0,Y33*4)+IF(AA33="",0,AA33*4))/(IF(S33="",0,5)+IF(U33="",0,5)+IF(W33="",0,4)+IF(Y33="",0,4)+IF(AA33="",0,4)))</f>
        <v/>
      </c>
      <c r="AD33" s="14">
        <f>IF((IF(T33="",0,5)+IF(V33="",0,5)+IF(X33="",0,4)+IF(Z33="",0,4)+IF(AB33="",0,4))=0,"",(IF(T33="",0,T33*5)+IF(V33="",0,V33*5)+IF(X33="",0,X33*4)+IF(Z33="",0,Z33*4)+IF(AB33="",0,AB33*4))/22)</f>
        <v/>
      </c>
      <c r="AE33" s="11">
        <f>IF(OR(City_Inputs!$X33="",Norm_Stats!$F$12="",Norm_Stats!$G$12="",Norm_Stats!$G$12=Norm_Stats!$F$12),"",MAX(0,MIN(100,100*(MIN(MAX(City_Inputs!$X33,Norm_Stats!$F$12),Norm_Stats!$G$12)-Norm_Stats!$F$12)/(Norm_Stats!$G$12-Norm_Stats!$F$12))))</f>
        <v/>
      </c>
      <c r="AF33" s="14">
        <f>IF(AE33="","",1)</f>
        <v/>
      </c>
      <c r="AG33" s="11">
        <f>IF(OR(City_Inputs!$Y33="",Norm_Stats!$F$13="",Norm_Stats!$G$13="",Norm_Stats!$G$13=Norm_Stats!$F$13),"",MAX(0,MIN(100,100*(MIN(MAX(City_Inputs!$Y33,Norm_Stats!$F$13),Norm_Stats!$G$13)-Norm_Stats!$F$13)/(Norm_Stats!$G$13-Norm_Stats!$F$13))))</f>
        <v/>
      </c>
      <c r="AH33" s="14">
        <f>IF(AG33="","",1)</f>
        <v/>
      </c>
      <c r="AI33" s="11">
        <f>IF((IF((IF(OR(City_Inputs!$Z33="",Norm_Stats!$F$14="",Norm_Stats!$G$14="",Norm_Stats!$G$14=Norm_Stats!$F$14),"",MAX(0,MIN(100,100*(MIN(MAX(City_Inputs!$Z33,Norm_Stats!$F$14),Norm_Stats!$G$14)-Norm_Stats!$F$14)/(Norm_Stats!$G$14-Norm_Stats!$F$14)))))="",0,0.7)+IF((IF(OR(City_Inputs!$AK33="",Norm_Stats!$F$15="",Norm_Stats!$G$15="",Norm_Stats!$G$15=Norm_Stats!$F$15),"",MAX(0,MIN(100,100*(Norm_Stats!$G$15-MIN(MAX(City_Inputs!$AK33,Norm_Stats!$F$15),Norm_Stats!$G$15))/(Norm_Stats!$G$15-Norm_Stats!$F$15)))))="",0,0.3))=0,"",(IF((IF(OR(City_Inputs!$Z33="",Norm_Stats!$F$14="",Norm_Stats!$G$14="",Norm_Stats!$G$14=Norm_Stats!$F$14),"",MAX(0,MIN(100,100*(MIN(MAX(City_Inputs!$Z33,Norm_Stats!$F$14),Norm_Stats!$G$14)-Norm_Stats!$F$14)/(Norm_Stats!$G$14-Norm_Stats!$F$14)))))="",0,(IF(OR(City_Inputs!$Z33="",Norm_Stats!$F$14="",Norm_Stats!$G$14="",Norm_Stats!$G$14=Norm_Stats!$F$14),"",MAX(0,MIN(100,100*(MIN(MAX(City_Inputs!$Z33,Norm_Stats!$F$14),Norm_Stats!$G$14)-Norm_Stats!$F$14)/(Norm_Stats!$G$14-Norm_Stats!$F$14)))))*0.7)+IF((IF(OR(City_Inputs!$AK33="",Norm_Stats!$F$15="",Norm_Stats!$G$15="",Norm_Stats!$G$15=Norm_Stats!$F$15),"",MAX(0,MIN(100,100*(Norm_Stats!$G$15-MIN(MAX(City_Inputs!$AK33,Norm_Stats!$F$15),Norm_Stats!$G$15))/(Norm_Stats!$G$15-Norm_Stats!$F$15)))))="",0,(IF(OR(City_Inputs!$AK33="",Norm_Stats!$F$15="",Norm_Stats!$G$15="",Norm_Stats!$G$15=Norm_Stats!$F$15),"",MAX(0,MIN(100,100*(Norm_Stats!$G$15-MIN(MAX(City_Inputs!$AK33,Norm_Stats!$F$15),Norm_Stats!$G$15))/(Norm_Stats!$G$15-Norm_Stats!$F$15)))))*0.3))/(IF((IF(OR(City_Inputs!$Z33="",Norm_Stats!$F$14="",Norm_Stats!$G$14="",Norm_Stats!$G$14=Norm_Stats!$F$14),"",MAX(0,MIN(100,100*(MIN(MAX(City_Inputs!$Z33,Norm_Stats!$F$14),Norm_Stats!$G$14)-Norm_Stats!$F$14)/(Norm_Stats!$G$14-Norm_Stats!$F$14)))))="",0,0.7)+IF((IF(OR(City_Inputs!$AK33="",Norm_Stats!$F$15="",Norm_Stats!$G$15="",Norm_Stats!$G$15=Norm_Stats!$F$15),"",MAX(0,MIN(100,100*(Norm_Stats!$G$15-MIN(MAX(City_Inputs!$AK33,Norm_Stats!$F$15),Norm_Stats!$G$15))/(Norm_Stats!$G$15-Norm_Stats!$F$15)))))="",0,0.3)))</f>
        <v/>
      </c>
      <c r="AJ33" s="14">
        <f>IF((IF((IF(OR(City_Inputs!$Z33="",Norm_Stats!$F$14="",Norm_Stats!$G$14="",Norm_Stats!$G$14=Norm_Stats!$F$14),"",MAX(0,MIN(100,100*(MIN(MAX(City_Inputs!$Z33,Norm_Stats!$F$14),Norm_Stats!$G$14)-Norm_Stats!$F$14)/(Norm_Stats!$G$14-Norm_Stats!$F$14)))))="",0,0.7)+IF((IF(OR(City_Inputs!$AK33="",Norm_Stats!$F$15="",Norm_Stats!$G$15="",Norm_Stats!$G$15=Norm_Stats!$F$15),"",MAX(0,MIN(100,100*(Norm_Stats!$G$15-MIN(MAX(City_Inputs!$AK33,Norm_Stats!$F$15),Norm_Stats!$G$15))/(Norm_Stats!$G$15-Norm_Stats!$F$15)))))="",0,0.3))=0,"",(IF((IF(OR(City_Inputs!$Z33="",Norm_Stats!$F$14="",Norm_Stats!$G$14="",Norm_Stats!$G$14=Norm_Stats!$F$14),"",MAX(0,MIN(100,100*(MIN(MAX(City_Inputs!$Z33,Norm_Stats!$F$14),Norm_Stats!$G$14)-Norm_Stats!$F$14)/(Norm_Stats!$G$14-Norm_Stats!$F$14)))))="",0,0.7)+IF((IF(OR(City_Inputs!$AK33="",Norm_Stats!$F$15="",Norm_Stats!$G$15="",Norm_Stats!$G$15=Norm_Stats!$F$15),"",MAX(0,MIN(100,100*(Norm_Stats!$G$15-MIN(MAX(City_Inputs!$AK33,Norm_Stats!$F$15),Norm_Stats!$G$15))/(Norm_Stats!$G$15-Norm_Stats!$F$15)))))="",0,0.3)))</f>
        <v/>
      </c>
      <c r="AK33" s="15">
        <f>IF((IF(AE33="",0,8)+IF(AG33="",0,6)+IF(AI33="",0,4))=0,"",(IF(AE33="",0,AE33*8)+IF(AG33="",0,AG33*6)+IF(AI33="",0,AI33*4))/(IF(AE33="",0,8)+IF(AG33="",0,6)+IF(AI33="",0,4)))</f>
        <v/>
      </c>
      <c r="AL33" s="14">
        <f>IF((IF(AF33="",0,8)+IF(AH33="",0,6)+IF(AJ33="",0,4))=0,"",(IF(AF33="",0,AF33*8)+IF(AH33="",0,AH33*6)+IF(AJ33="",0,AJ33*4))/18)</f>
        <v/>
      </c>
      <c r="AM33" s="11">
        <f>IF(OR(City_Inputs!$AA33="",Norm_Stats!$F$16="",Norm_Stats!$G$16="",Norm_Stats!$G$16=Norm_Stats!$F$16),"",MAX(0,MIN(100,100*(MIN(MAX(City_Inputs!$AA33,Norm_Stats!$F$16),Norm_Stats!$G$16)-Norm_Stats!$F$16)/(Norm_Stats!$G$16-Norm_Stats!$F$16))))</f>
        <v/>
      </c>
      <c r="AN33" s="14">
        <f>IF(AM33="","",1)</f>
        <v/>
      </c>
      <c r="AO33" s="11">
        <f>IF(OR(City_Inputs!$AB33="",Norm_Stats!$F$17="",Norm_Stats!$G$17="",Norm_Stats!$G$17=Norm_Stats!$F$17),"",MAX(0,MIN(100,100*(MIN(MAX(City_Inputs!$AB33,Norm_Stats!$F$17),Norm_Stats!$G$17)-Norm_Stats!$F$17)/(Norm_Stats!$G$17-Norm_Stats!$F$17))))</f>
        <v/>
      </c>
      <c r="AP33" s="14">
        <f>IF(AO33="","",1)</f>
        <v/>
      </c>
      <c r="AQ33" s="11">
        <f>IF(OR(City_Inputs!$AC33="",Norm_Stats!$F$18="",Norm_Stats!$G$18="",Norm_Stats!$G$18=Norm_Stats!$F$18),"",MAX(0,MIN(100,100*(MIN(MAX(City_Inputs!$AC33,Norm_Stats!$F$18),Norm_Stats!$G$18)-Norm_Stats!$F$18)/(Norm_Stats!$G$18-Norm_Stats!$F$18))))</f>
        <v/>
      </c>
      <c r="AR33" s="14">
        <f>IF(AQ33="","",1)</f>
        <v/>
      </c>
      <c r="AS33" s="15">
        <f>IF((IF(AM33="",0,5)+IF(AO33="",0,5)+IF(AQ33="",0,5))=0,"",(IF(AM33="",0,AM33*5)+IF(AO33="",0,AO33*5)+IF(AQ33="",0,AQ33*5))/(IF(AM33="",0,5)+IF(AO33="",0,5)+IF(AQ33="",0,5)))</f>
        <v/>
      </c>
      <c r="AT33" s="14">
        <f>IF((IF(AN33="",0,5)+IF(AP33="",0,5)+IF(AR33="",0,5))=0,"",(IF(AN33="",0,AN33*5)+IF(AP33="",0,AP33*5)+IF(AR33="",0,AR33*5))/15)</f>
        <v/>
      </c>
      <c r="AU33" s="11">
        <f>IF(OR(City_Inputs!$AD33="",Norm_Stats!$F$19="",Norm_Stats!$G$19="",Norm_Stats!$G$19=Norm_Stats!$F$19),"",MAX(0,MIN(100,100*(MIN(MAX(City_Inputs!$AD33,Norm_Stats!$F$19),Norm_Stats!$G$19)-Norm_Stats!$F$19)/(Norm_Stats!$G$19-Norm_Stats!$F$19))))</f>
        <v/>
      </c>
      <c r="AV33" s="14">
        <f>IF(AU33="","",1)</f>
        <v/>
      </c>
      <c r="AW33" s="11">
        <f>IF(OR(City_Inputs!$AE33="",Norm_Stats!$F$20="",Norm_Stats!$G$20="",Norm_Stats!$G$20=Norm_Stats!$F$20),"",MAX(0,MIN(100,100*(MIN(MAX(City_Inputs!$AE33,Norm_Stats!$F$20),Norm_Stats!$G$20)-Norm_Stats!$F$20)/(Norm_Stats!$G$20-Norm_Stats!$F$20))))</f>
        <v/>
      </c>
      <c r="AX33" s="14">
        <f>IF(AW33="","",1)</f>
        <v/>
      </c>
      <c r="AY33" s="11">
        <f>IF((IF((IF(OR(City_Inputs!$AF33="",Norm_Stats!$F$21="",Norm_Stats!$G$21="",Norm_Stats!$G$21=Norm_Stats!$F$21),"",MAX(0,MIN(100,100*(MIN(MAX(City_Inputs!$AF33,Norm_Stats!$F$21),Norm_Stats!$G$21)-Norm_Stats!$F$21)/(Norm_Stats!$G$21-Norm_Stats!$F$21)))))="",0,0.5)+IF((IF(OR(City_Inputs!$AI33="",Norm_Stats!$F$22="",Norm_Stats!$G$22="",Norm_Stats!$G$22=Norm_Stats!$F$22),"",MAX(0,MIN(100,100*(MIN(MAX(City_Inputs!$AI33,Norm_Stats!$F$22),Norm_Stats!$G$22)-Norm_Stats!$F$22)/(Norm_Stats!$G$22-Norm_Stats!$F$22)))))="",0,0.3)+IF((IF(OR(City_Inputs!$AJ33="",Norm_Stats!$F$23="",Norm_Stats!$G$23="",Norm_Stats!$G$23=Norm_Stats!$F$23),"",MAX(0,MIN(100,100*(MIN(MAX(City_Inputs!$AJ33,Norm_Stats!$F$23),Norm_Stats!$G$23)-Norm_Stats!$F$23)/(Norm_Stats!$G$23-Norm_Stats!$F$23)))))="",0,0.2))=0,"",(IF((IF(OR(City_Inputs!$AF33="",Norm_Stats!$F$21="",Norm_Stats!$G$21="",Norm_Stats!$G$21=Norm_Stats!$F$21),"",MAX(0,MIN(100,100*(MIN(MAX(City_Inputs!$AF33,Norm_Stats!$F$21),Norm_Stats!$G$21)-Norm_Stats!$F$21)/(Norm_Stats!$G$21-Norm_Stats!$F$21)))))="",0,(IF(OR(City_Inputs!$AF33="",Norm_Stats!$F$21="",Norm_Stats!$G$21="",Norm_Stats!$G$21=Norm_Stats!$F$21),"",MAX(0,MIN(100,100*(MIN(MAX(City_Inputs!$AF33,Norm_Stats!$F$21),Norm_Stats!$G$21)-Norm_Stats!$F$21)/(Norm_Stats!$G$21-Norm_Stats!$F$21)))))*0.5)+IF((IF(OR(City_Inputs!$AI33="",Norm_Stats!$F$22="",Norm_Stats!$G$22="",Norm_Stats!$G$22=Norm_Stats!$F$22),"",MAX(0,MIN(100,100*(MIN(MAX(City_Inputs!$AI33,Norm_Stats!$F$22),Norm_Stats!$G$22)-Norm_Stats!$F$22)/(Norm_Stats!$G$22-Norm_Stats!$F$22)))))="",0,(IF(OR(City_Inputs!$AI33="",Norm_Stats!$F$22="",Norm_Stats!$G$22="",Norm_Stats!$G$22=Norm_Stats!$F$22),"",MAX(0,MIN(100,100*(MIN(MAX(City_Inputs!$AI33,Norm_Stats!$F$22),Norm_Stats!$G$22)-Norm_Stats!$F$22)/(Norm_Stats!$G$22-Norm_Stats!$F$22)))))*0.3)+IF((IF(OR(City_Inputs!$AJ33="",Norm_Stats!$F$23="",Norm_Stats!$G$23="",Norm_Stats!$G$23=Norm_Stats!$F$23),"",MAX(0,MIN(100,100*(MIN(MAX(City_Inputs!$AJ33,Norm_Stats!$F$23),Norm_Stats!$G$23)-Norm_Stats!$F$23)/(Norm_Stats!$G$23-Norm_Stats!$F$23)))))="",0,(IF(OR(City_Inputs!$AJ33="",Norm_Stats!$F$23="",Norm_Stats!$G$23="",Norm_Stats!$G$23=Norm_Stats!$F$23),"",MAX(0,MIN(100,100*(MIN(MAX(City_Inputs!$AJ33,Norm_Stats!$F$23),Norm_Stats!$G$23)-Norm_Stats!$F$23)/(Norm_Stats!$G$23-Norm_Stats!$F$23)))))*0.2))/(IF((IF(OR(City_Inputs!$AF33="",Norm_Stats!$F$21="",Norm_Stats!$G$21="",Norm_Stats!$G$21=Norm_Stats!$F$21),"",MAX(0,MIN(100,100*(MIN(MAX(City_Inputs!$AF33,Norm_Stats!$F$21),Norm_Stats!$G$21)-Norm_Stats!$F$21)/(Norm_Stats!$G$21-Norm_Stats!$F$21)))))="",0,0.5)+IF((IF(OR(City_Inputs!$AI33="",Norm_Stats!$F$22="",Norm_Stats!$G$22="",Norm_Stats!$G$22=Norm_Stats!$F$22),"",MAX(0,MIN(100,100*(MIN(MAX(City_Inputs!$AI33,Norm_Stats!$F$22),Norm_Stats!$G$22)-Norm_Stats!$F$22)/(Norm_Stats!$G$22-Norm_Stats!$F$22)))))="",0,0.3)+IF((IF(OR(City_Inputs!$AJ33="",Norm_Stats!$F$23="",Norm_Stats!$G$23="",Norm_Stats!$G$23=Norm_Stats!$F$23),"",MAX(0,MIN(100,100*(MIN(MAX(City_Inputs!$AJ33,Norm_Stats!$F$23),Norm_Stats!$G$23)-Norm_Stats!$F$23)/(Norm_Stats!$G$23-Norm_Stats!$F$23)))))="",0,0.2)))</f>
        <v/>
      </c>
      <c r="AZ33" s="14">
        <f>IF((IF((IF(OR(City_Inputs!$AF33="",Norm_Stats!$F$21="",Norm_Stats!$G$21="",Norm_Stats!$G$21=Norm_Stats!$F$21),"",MAX(0,MIN(100,100*(MIN(MAX(City_Inputs!$AF33,Norm_Stats!$F$21),Norm_Stats!$G$21)-Norm_Stats!$F$21)/(Norm_Stats!$G$21-Norm_Stats!$F$21)))))="",0,0.5)+IF((IF(OR(City_Inputs!$AI33="",Norm_Stats!$F$22="",Norm_Stats!$G$22="",Norm_Stats!$G$22=Norm_Stats!$F$22),"",MAX(0,MIN(100,100*(MIN(MAX(City_Inputs!$AI33,Norm_Stats!$F$22),Norm_Stats!$G$22)-Norm_Stats!$F$22)/(Norm_Stats!$G$22-Norm_Stats!$F$22)))))="",0,0.3)+IF((IF(OR(City_Inputs!$AJ33="",Norm_Stats!$F$23="",Norm_Stats!$G$23="",Norm_Stats!$G$23=Norm_Stats!$F$23),"",MAX(0,MIN(100,100*(MIN(MAX(City_Inputs!$AJ33,Norm_Stats!$F$23),Norm_Stats!$G$23)-Norm_Stats!$F$23)/(Norm_Stats!$G$23-Norm_Stats!$F$23)))))="",0,0.2))=0,"",(IF((IF(OR(City_Inputs!$AF33="",Norm_Stats!$F$21="",Norm_Stats!$G$21="",Norm_Stats!$G$21=Norm_Stats!$F$21),"",MAX(0,MIN(100,100*(MIN(MAX(City_Inputs!$AF33,Norm_Stats!$F$21),Norm_Stats!$G$21)-Norm_Stats!$F$21)/(Norm_Stats!$G$21-Norm_Stats!$F$21)))))="",0,0.5)+IF((IF(OR(City_Inputs!$AI33="",Norm_Stats!$F$22="",Norm_Stats!$G$22="",Norm_Stats!$G$22=Norm_Stats!$F$22),"",MAX(0,MIN(100,100*(MIN(MAX(City_Inputs!$AI33,Norm_Stats!$F$22),Norm_Stats!$G$22)-Norm_Stats!$F$22)/(Norm_Stats!$G$22-Norm_Stats!$F$22)))))="",0,0.3)+IF((IF(OR(City_Inputs!$AJ33="",Norm_Stats!$F$23="",Norm_Stats!$G$23="",Norm_Stats!$G$23=Norm_Stats!$F$23),"",MAX(0,MIN(100,100*(MIN(MAX(City_Inputs!$AJ33,Norm_Stats!$F$23),Norm_Stats!$G$23)-Norm_Stats!$F$23)/(Norm_Stats!$G$23-Norm_Stats!$F$23)))))="",0,0.2)))</f>
        <v/>
      </c>
      <c r="BA33" s="11">
        <f>IF(OR(City_Inputs!$AG33="",Norm_Stats!$F$24="",Norm_Stats!$G$24="",Norm_Stats!$G$24=Norm_Stats!$F$24),"",MAX(0,MIN(100,100*(Norm_Stats!$G$24-MIN(MAX(City_Inputs!$AG33,Norm_Stats!$F$24),Norm_Stats!$G$24))/(Norm_Stats!$G$24-Norm_Stats!$F$24))))</f>
        <v/>
      </c>
      <c r="BB33" s="14">
        <f>IF(BA33="","",1)</f>
        <v/>
      </c>
      <c r="BC33" s="15">
        <f>IF((IF(AU33="",0,6)+IF(AW33="",0,5)+IF(AY33="",0,5)+IF(BA33="",0,4))=0,"",(IF(AU33="",0,AU33*6)+IF(AW33="",0,AW33*5)+IF(AY33="",0,AY33*5)+IF(BA33="",0,BA33*4))/(IF(AU33="",0,6)+IF(AW33="",0,5)+IF(AY33="",0,5)+IF(BA33="",0,4)))</f>
        <v/>
      </c>
      <c r="BD33" s="14">
        <f>IF((IF(AV33="",0,6)+IF(AX33="",0,5)+IF(AZ33="",0,5)+IF(BB33="",0,4))=0,"",(IF(AV33="",0,AV33*6)+IF(AX33="",0,AX33*5)+IF(AZ33="",0,AZ33*5)+IF(BB33="",0,BB33*4))/20)</f>
        <v/>
      </c>
      <c r="BE33" s="14">
        <f>IF(AND(R33="",AD33="",AL33="",AT33="",BD33=""),"",((R33*25)+(AD33*22)+(AL33*18)+(AT33*15)+(BD33*20))/100)</f>
        <v/>
      </c>
      <c r="BF33" s="11">
        <f>IF(BE33="","",IF(BE33&gt;=0.75,"A",IF(BE33&gt;=0.5,"B",IF(BE33&gt;=0.35,"C","Watchlist"))))</f>
        <v/>
      </c>
      <c r="BG33" s="11">
        <f>IF(OR(BE33="",BE33&lt;0.5,R33="",R33&lt;0.35,AD33="",AD33&lt;0.35,AL33="",AL33&lt;0.35,AT33="",AT33&lt;0.35,BD33="",BD33&lt;0.35),"Watchlist","Ranked")</f>
        <v/>
      </c>
      <c r="BH33" s="15">
        <f>IF(AND(Q33="",AC33="",AK33="",AS33="",BC33=""),"",(IF(Q33="",0,Q33*25)+IF(AC33="",0,AC33*22)+IF(AK33="",0,AK33*18)+IF(AS33="",0,AS33*15)+IF(BC33="",0,BC33*20))/(IF(Q33="",0,25)+IF(AC33="",0,22)+IF(AK33="",0,18)+IF(AS33="",0,15)+IF(BC33="",0,20)))</f>
        <v/>
      </c>
      <c r="BI33" s="11">
        <f>IF(BG33="Ranked",1+COUNTIFS($BG$2:$BG$103,"Ranked",$BH$2:$BH$103,"&gt;"&amp;BH33),"")</f>
        <v/>
      </c>
      <c r="BJ33" s="11">
        <f>City_Inputs!$AH33</f>
        <v/>
      </c>
    </row>
    <row r="34">
      <c r="A34" t="inlineStr">
        <is>
          <t>ch-zurich</t>
        </is>
      </c>
      <c r="B34" t="inlineStr">
        <is>
          <t>Zurich</t>
        </is>
      </c>
      <c r="C34" t="inlineStr">
        <is>
          <t>Switzerland</t>
        </is>
      </c>
      <c r="D34" t="inlineStr">
        <is>
          <t>Western, Northern, and Southern Europe</t>
        </is>
      </c>
      <c r="E34" t="inlineStr">
        <is>
          <t>locked</t>
        </is>
      </c>
      <c r="F34" t="inlineStr">
        <is>
          <t>primary</t>
        </is>
      </c>
      <c r="G34" s="11">
        <f>IF(OR(City_Inputs!$M34="",Norm_Stats!$F$2="",Norm_Stats!$G$2="",Norm_Stats!$G$2=Norm_Stats!$F$2),"",MAX(0,MIN(100,100*(MIN(MAX(City_Inputs!$M34,Norm_Stats!$F$2),Norm_Stats!$G$2)-Norm_Stats!$F$2)/(Norm_Stats!$G$2-Norm_Stats!$F$2))))</f>
        <v/>
      </c>
      <c r="H34" s="14">
        <f>IF(G34="","",1)</f>
        <v/>
      </c>
      <c r="I34" s="11">
        <f>IF(OR(City_Inputs!$N34="",Norm_Stats!$F$3="",Norm_Stats!$G$3="",Norm_Stats!$G$3=Norm_Stats!$F$3),"",MAX(0,MIN(100,100*(Norm_Stats!$G$3-MIN(MAX(City_Inputs!$N34,Norm_Stats!$F$3),Norm_Stats!$G$3))/(Norm_Stats!$G$3-Norm_Stats!$F$3))))</f>
        <v/>
      </c>
      <c r="J34" s="14">
        <f>IF(I34="","",1)</f>
        <v/>
      </c>
      <c r="K34" s="11">
        <f>IF(OR(City_Inputs!$P34="",Norm_Stats!$F$4="",Norm_Stats!$G$4="",Norm_Stats!$G$4=Norm_Stats!$F$4),"",MAX(0,MIN(100,100*(Norm_Stats!$G$4-MIN(MAX(City_Inputs!$P34,Norm_Stats!$F$4),Norm_Stats!$G$4))/(Norm_Stats!$G$4-Norm_Stats!$F$4))))</f>
        <v/>
      </c>
      <c r="L34" s="14">
        <f>IF(K34="","",1)</f>
        <v/>
      </c>
      <c r="M34" s="11">
        <f>IF(OR(City_Inputs!$Q34="",Norm_Stats!$F$5="",Norm_Stats!$G$5="",Norm_Stats!$G$5=Norm_Stats!$F$5),"",MAX(0,MIN(100,100*(Norm_Stats!$G$5-MIN(MAX(City_Inputs!$Q34,Norm_Stats!$F$5),Norm_Stats!$G$5))/(Norm_Stats!$G$5-Norm_Stats!$F$5))))</f>
        <v/>
      </c>
      <c r="N34" s="14">
        <f>IF(M34="","",1)</f>
        <v/>
      </c>
      <c r="O34" s="11">
        <f>IF(OR(City_Inputs!$R34="",Norm_Stats!$F$6="",Norm_Stats!$G$6="",Norm_Stats!$G$6=Norm_Stats!$F$6),"",MAX(0,MIN(100,100*(Norm_Stats!$G$6-MIN(MAX(City_Inputs!$R34,Norm_Stats!$F$6),Norm_Stats!$G$6))/(Norm_Stats!$G$6-Norm_Stats!$F$6))))</f>
        <v/>
      </c>
      <c r="P34" s="14">
        <f>IF(O34="","",1)</f>
        <v/>
      </c>
      <c r="Q34" s="15">
        <f>IF((IF(G34="",0,9)+IF(I34="",0,5)+IF(K34="",0,4)+IF(M34="",0,4)+IF(O34="",0,3))=0,"",(IF(G34="",0,G34*9)+IF(I34="",0,I34*5)+IF(K34="",0,K34*4)+IF(M34="",0,M34*4)+IF(O34="",0,O34*3))/(IF(G34="",0,9)+IF(I34="",0,5)+IF(K34="",0,4)+IF(M34="",0,4)+IF(O34="",0,3)))</f>
        <v/>
      </c>
      <c r="R34" s="14">
        <f>IF((IF(H34="",0,9)+IF(J34="",0,5)+IF(L34="",0,4)+IF(N34="",0,4)+IF(P34="",0,3))=0,"",(IF(H34="",0,H34*9)+IF(J34="",0,J34*5)+IF(L34="",0,L34*4)+IF(N34="",0,N34*4)+IF(P34="",0,P34*3))/25)</f>
        <v/>
      </c>
      <c r="S34" s="11">
        <f>IF(OR(City_Inputs!$S34="",Norm_Stats!$F$7="",Norm_Stats!$G$7="",Norm_Stats!$G$7=Norm_Stats!$F$7),"",MAX(0,MIN(100,100*(Norm_Stats!$G$7-MIN(MAX(City_Inputs!$S34,Norm_Stats!$F$7),Norm_Stats!$G$7))/(Norm_Stats!$G$7-Norm_Stats!$F$7))))</f>
        <v/>
      </c>
      <c r="T34" s="14">
        <f>IF(S34="","",1)</f>
        <v/>
      </c>
      <c r="U34" s="11">
        <f>IF(OR(City_Inputs!$T34="",Norm_Stats!$F$8="",Norm_Stats!$G$8="",Norm_Stats!$G$8=Norm_Stats!$F$8),"",MAX(0,MIN(100,100*(MIN(MAX(City_Inputs!$T34,Norm_Stats!$F$8),Norm_Stats!$G$8)-Norm_Stats!$F$8)/(Norm_Stats!$G$8-Norm_Stats!$F$8))))</f>
        <v/>
      </c>
      <c r="V34" s="14">
        <f>IF(U34="","",1)</f>
        <v/>
      </c>
      <c r="W34" s="11">
        <f>IF(OR(City_Inputs!$U34="",Norm_Stats!$F$9="",Norm_Stats!$G$9="",Norm_Stats!$G$9=Norm_Stats!$F$9),"",MAX(0,MIN(100,100*(Norm_Stats!$G$9-MIN(MAX(City_Inputs!$U34,Norm_Stats!$F$9),Norm_Stats!$G$9))/(Norm_Stats!$G$9-Norm_Stats!$F$9))))</f>
        <v/>
      </c>
      <c r="X34" s="14">
        <f>IF(W34="","",1)</f>
        <v/>
      </c>
      <c r="Y34" s="11">
        <f>IF(OR(City_Inputs!$V34="",Norm_Stats!$F$10="",Norm_Stats!$G$10="",Norm_Stats!$G$10=Norm_Stats!$F$10),"",MAX(0,MIN(100,100*(MIN(MAX(City_Inputs!$V34,Norm_Stats!$F$10),Norm_Stats!$G$10)-Norm_Stats!$F$10)/(Norm_Stats!$G$10-Norm_Stats!$F$10))))</f>
        <v/>
      </c>
      <c r="Z34" s="14">
        <f>IF(Y34="","",1)</f>
        <v/>
      </c>
      <c r="AA34" s="11">
        <f>IF(OR(City_Inputs!$W34="",Norm_Stats!$F$11="",Norm_Stats!$G$11="",Norm_Stats!$G$11=Norm_Stats!$F$11),"",MAX(0,MIN(100,100*(MIN(MAX(City_Inputs!$W34,Norm_Stats!$F$11),Norm_Stats!$G$11)-Norm_Stats!$F$11)/(Norm_Stats!$G$11-Norm_Stats!$F$11))))</f>
        <v/>
      </c>
      <c r="AB34" s="14">
        <f>IF(AA34="","",1)</f>
        <v/>
      </c>
      <c r="AC34" s="15">
        <f>IF((IF(S34="",0,5)+IF(U34="",0,5)+IF(W34="",0,4)+IF(Y34="",0,4)+IF(AA34="",0,4))=0,"",(IF(S34="",0,S34*5)+IF(U34="",0,U34*5)+IF(W34="",0,W34*4)+IF(Y34="",0,Y34*4)+IF(AA34="",0,AA34*4))/(IF(S34="",0,5)+IF(U34="",0,5)+IF(W34="",0,4)+IF(Y34="",0,4)+IF(AA34="",0,4)))</f>
        <v/>
      </c>
      <c r="AD34" s="14">
        <f>IF((IF(T34="",0,5)+IF(V34="",0,5)+IF(X34="",0,4)+IF(Z34="",0,4)+IF(AB34="",0,4))=0,"",(IF(T34="",0,T34*5)+IF(V34="",0,V34*5)+IF(X34="",0,X34*4)+IF(Z34="",0,Z34*4)+IF(AB34="",0,AB34*4))/22)</f>
        <v/>
      </c>
      <c r="AE34" s="11">
        <f>IF(OR(City_Inputs!$X34="",Norm_Stats!$F$12="",Norm_Stats!$G$12="",Norm_Stats!$G$12=Norm_Stats!$F$12),"",MAX(0,MIN(100,100*(MIN(MAX(City_Inputs!$X34,Norm_Stats!$F$12),Norm_Stats!$G$12)-Norm_Stats!$F$12)/(Norm_Stats!$G$12-Norm_Stats!$F$12))))</f>
        <v/>
      </c>
      <c r="AF34" s="14">
        <f>IF(AE34="","",1)</f>
        <v/>
      </c>
      <c r="AG34" s="11">
        <f>IF(OR(City_Inputs!$Y34="",Norm_Stats!$F$13="",Norm_Stats!$G$13="",Norm_Stats!$G$13=Norm_Stats!$F$13),"",MAX(0,MIN(100,100*(MIN(MAX(City_Inputs!$Y34,Norm_Stats!$F$13),Norm_Stats!$G$13)-Norm_Stats!$F$13)/(Norm_Stats!$G$13-Norm_Stats!$F$13))))</f>
        <v/>
      </c>
      <c r="AH34" s="14">
        <f>IF(AG34="","",1)</f>
        <v/>
      </c>
      <c r="AI34" s="11">
        <f>IF((IF((IF(OR(City_Inputs!$Z34="",Norm_Stats!$F$14="",Norm_Stats!$G$14="",Norm_Stats!$G$14=Norm_Stats!$F$14),"",MAX(0,MIN(100,100*(MIN(MAX(City_Inputs!$Z34,Norm_Stats!$F$14),Norm_Stats!$G$14)-Norm_Stats!$F$14)/(Norm_Stats!$G$14-Norm_Stats!$F$14)))))="",0,0.7)+IF((IF(OR(City_Inputs!$AK34="",Norm_Stats!$F$15="",Norm_Stats!$G$15="",Norm_Stats!$G$15=Norm_Stats!$F$15),"",MAX(0,MIN(100,100*(Norm_Stats!$G$15-MIN(MAX(City_Inputs!$AK34,Norm_Stats!$F$15),Norm_Stats!$G$15))/(Norm_Stats!$G$15-Norm_Stats!$F$15)))))="",0,0.3))=0,"",(IF((IF(OR(City_Inputs!$Z34="",Norm_Stats!$F$14="",Norm_Stats!$G$14="",Norm_Stats!$G$14=Norm_Stats!$F$14),"",MAX(0,MIN(100,100*(MIN(MAX(City_Inputs!$Z34,Norm_Stats!$F$14),Norm_Stats!$G$14)-Norm_Stats!$F$14)/(Norm_Stats!$G$14-Norm_Stats!$F$14)))))="",0,(IF(OR(City_Inputs!$Z34="",Norm_Stats!$F$14="",Norm_Stats!$G$14="",Norm_Stats!$G$14=Norm_Stats!$F$14),"",MAX(0,MIN(100,100*(MIN(MAX(City_Inputs!$Z34,Norm_Stats!$F$14),Norm_Stats!$G$14)-Norm_Stats!$F$14)/(Norm_Stats!$G$14-Norm_Stats!$F$14)))))*0.7)+IF((IF(OR(City_Inputs!$AK34="",Norm_Stats!$F$15="",Norm_Stats!$G$15="",Norm_Stats!$G$15=Norm_Stats!$F$15),"",MAX(0,MIN(100,100*(Norm_Stats!$G$15-MIN(MAX(City_Inputs!$AK34,Norm_Stats!$F$15),Norm_Stats!$G$15))/(Norm_Stats!$G$15-Norm_Stats!$F$15)))))="",0,(IF(OR(City_Inputs!$AK34="",Norm_Stats!$F$15="",Norm_Stats!$G$15="",Norm_Stats!$G$15=Norm_Stats!$F$15),"",MAX(0,MIN(100,100*(Norm_Stats!$G$15-MIN(MAX(City_Inputs!$AK34,Norm_Stats!$F$15),Norm_Stats!$G$15))/(Norm_Stats!$G$15-Norm_Stats!$F$15)))))*0.3))/(IF((IF(OR(City_Inputs!$Z34="",Norm_Stats!$F$14="",Norm_Stats!$G$14="",Norm_Stats!$G$14=Norm_Stats!$F$14),"",MAX(0,MIN(100,100*(MIN(MAX(City_Inputs!$Z34,Norm_Stats!$F$14),Norm_Stats!$G$14)-Norm_Stats!$F$14)/(Norm_Stats!$G$14-Norm_Stats!$F$14)))))="",0,0.7)+IF((IF(OR(City_Inputs!$AK34="",Norm_Stats!$F$15="",Norm_Stats!$G$15="",Norm_Stats!$G$15=Norm_Stats!$F$15),"",MAX(0,MIN(100,100*(Norm_Stats!$G$15-MIN(MAX(City_Inputs!$AK34,Norm_Stats!$F$15),Norm_Stats!$G$15))/(Norm_Stats!$G$15-Norm_Stats!$F$15)))))="",0,0.3)))</f>
        <v/>
      </c>
      <c r="AJ34" s="14">
        <f>IF((IF((IF(OR(City_Inputs!$Z34="",Norm_Stats!$F$14="",Norm_Stats!$G$14="",Norm_Stats!$G$14=Norm_Stats!$F$14),"",MAX(0,MIN(100,100*(MIN(MAX(City_Inputs!$Z34,Norm_Stats!$F$14),Norm_Stats!$G$14)-Norm_Stats!$F$14)/(Norm_Stats!$G$14-Norm_Stats!$F$14)))))="",0,0.7)+IF((IF(OR(City_Inputs!$AK34="",Norm_Stats!$F$15="",Norm_Stats!$G$15="",Norm_Stats!$G$15=Norm_Stats!$F$15),"",MAX(0,MIN(100,100*(Norm_Stats!$G$15-MIN(MAX(City_Inputs!$AK34,Norm_Stats!$F$15),Norm_Stats!$G$15))/(Norm_Stats!$G$15-Norm_Stats!$F$15)))))="",0,0.3))=0,"",(IF((IF(OR(City_Inputs!$Z34="",Norm_Stats!$F$14="",Norm_Stats!$G$14="",Norm_Stats!$G$14=Norm_Stats!$F$14),"",MAX(0,MIN(100,100*(MIN(MAX(City_Inputs!$Z34,Norm_Stats!$F$14),Norm_Stats!$G$14)-Norm_Stats!$F$14)/(Norm_Stats!$G$14-Norm_Stats!$F$14)))))="",0,0.7)+IF((IF(OR(City_Inputs!$AK34="",Norm_Stats!$F$15="",Norm_Stats!$G$15="",Norm_Stats!$G$15=Norm_Stats!$F$15),"",MAX(0,MIN(100,100*(Norm_Stats!$G$15-MIN(MAX(City_Inputs!$AK34,Norm_Stats!$F$15),Norm_Stats!$G$15))/(Norm_Stats!$G$15-Norm_Stats!$F$15)))))="",0,0.3)))</f>
        <v/>
      </c>
      <c r="AK34" s="15">
        <f>IF((IF(AE34="",0,8)+IF(AG34="",0,6)+IF(AI34="",0,4))=0,"",(IF(AE34="",0,AE34*8)+IF(AG34="",0,AG34*6)+IF(AI34="",0,AI34*4))/(IF(AE34="",0,8)+IF(AG34="",0,6)+IF(AI34="",0,4)))</f>
        <v/>
      </c>
      <c r="AL34" s="14">
        <f>IF((IF(AF34="",0,8)+IF(AH34="",0,6)+IF(AJ34="",0,4))=0,"",(IF(AF34="",0,AF34*8)+IF(AH34="",0,AH34*6)+IF(AJ34="",0,AJ34*4))/18)</f>
        <v/>
      </c>
      <c r="AM34" s="11">
        <f>IF(OR(City_Inputs!$AA34="",Norm_Stats!$F$16="",Norm_Stats!$G$16="",Norm_Stats!$G$16=Norm_Stats!$F$16),"",MAX(0,MIN(100,100*(MIN(MAX(City_Inputs!$AA34,Norm_Stats!$F$16),Norm_Stats!$G$16)-Norm_Stats!$F$16)/(Norm_Stats!$G$16-Norm_Stats!$F$16))))</f>
        <v/>
      </c>
      <c r="AN34" s="14">
        <f>IF(AM34="","",1)</f>
        <v/>
      </c>
      <c r="AO34" s="11">
        <f>IF(OR(City_Inputs!$AB34="",Norm_Stats!$F$17="",Norm_Stats!$G$17="",Norm_Stats!$G$17=Norm_Stats!$F$17),"",MAX(0,MIN(100,100*(MIN(MAX(City_Inputs!$AB34,Norm_Stats!$F$17),Norm_Stats!$G$17)-Norm_Stats!$F$17)/(Norm_Stats!$G$17-Norm_Stats!$F$17))))</f>
        <v/>
      </c>
      <c r="AP34" s="14">
        <f>IF(AO34="","",1)</f>
        <v/>
      </c>
      <c r="AQ34" s="11">
        <f>IF(OR(City_Inputs!$AC34="",Norm_Stats!$F$18="",Norm_Stats!$G$18="",Norm_Stats!$G$18=Norm_Stats!$F$18),"",MAX(0,MIN(100,100*(MIN(MAX(City_Inputs!$AC34,Norm_Stats!$F$18),Norm_Stats!$G$18)-Norm_Stats!$F$18)/(Norm_Stats!$G$18-Norm_Stats!$F$18))))</f>
        <v/>
      </c>
      <c r="AR34" s="14">
        <f>IF(AQ34="","",1)</f>
        <v/>
      </c>
      <c r="AS34" s="15">
        <f>IF((IF(AM34="",0,5)+IF(AO34="",0,5)+IF(AQ34="",0,5))=0,"",(IF(AM34="",0,AM34*5)+IF(AO34="",0,AO34*5)+IF(AQ34="",0,AQ34*5))/(IF(AM34="",0,5)+IF(AO34="",0,5)+IF(AQ34="",0,5)))</f>
        <v/>
      </c>
      <c r="AT34" s="14">
        <f>IF((IF(AN34="",0,5)+IF(AP34="",0,5)+IF(AR34="",0,5))=0,"",(IF(AN34="",0,AN34*5)+IF(AP34="",0,AP34*5)+IF(AR34="",0,AR34*5))/15)</f>
        <v/>
      </c>
      <c r="AU34" s="11">
        <f>IF(OR(City_Inputs!$AD34="",Norm_Stats!$F$19="",Norm_Stats!$G$19="",Norm_Stats!$G$19=Norm_Stats!$F$19),"",MAX(0,MIN(100,100*(MIN(MAX(City_Inputs!$AD34,Norm_Stats!$F$19),Norm_Stats!$G$19)-Norm_Stats!$F$19)/(Norm_Stats!$G$19-Norm_Stats!$F$19))))</f>
        <v/>
      </c>
      <c r="AV34" s="14">
        <f>IF(AU34="","",1)</f>
        <v/>
      </c>
      <c r="AW34" s="11">
        <f>IF(OR(City_Inputs!$AE34="",Norm_Stats!$F$20="",Norm_Stats!$G$20="",Norm_Stats!$G$20=Norm_Stats!$F$20),"",MAX(0,MIN(100,100*(MIN(MAX(City_Inputs!$AE34,Norm_Stats!$F$20),Norm_Stats!$G$20)-Norm_Stats!$F$20)/(Norm_Stats!$G$20-Norm_Stats!$F$20))))</f>
        <v/>
      </c>
      <c r="AX34" s="14">
        <f>IF(AW34="","",1)</f>
        <v/>
      </c>
      <c r="AY34" s="11">
        <f>IF((IF((IF(OR(City_Inputs!$AF34="",Norm_Stats!$F$21="",Norm_Stats!$G$21="",Norm_Stats!$G$21=Norm_Stats!$F$21),"",MAX(0,MIN(100,100*(MIN(MAX(City_Inputs!$AF34,Norm_Stats!$F$21),Norm_Stats!$G$21)-Norm_Stats!$F$21)/(Norm_Stats!$G$21-Norm_Stats!$F$21)))))="",0,0.5)+IF((IF(OR(City_Inputs!$AI34="",Norm_Stats!$F$22="",Norm_Stats!$G$22="",Norm_Stats!$G$22=Norm_Stats!$F$22),"",MAX(0,MIN(100,100*(MIN(MAX(City_Inputs!$AI34,Norm_Stats!$F$22),Norm_Stats!$G$22)-Norm_Stats!$F$22)/(Norm_Stats!$G$22-Norm_Stats!$F$22)))))="",0,0.3)+IF((IF(OR(City_Inputs!$AJ34="",Norm_Stats!$F$23="",Norm_Stats!$G$23="",Norm_Stats!$G$23=Norm_Stats!$F$23),"",MAX(0,MIN(100,100*(MIN(MAX(City_Inputs!$AJ34,Norm_Stats!$F$23),Norm_Stats!$G$23)-Norm_Stats!$F$23)/(Norm_Stats!$G$23-Norm_Stats!$F$23)))))="",0,0.2))=0,"",(IF((IF(OR(City_Inputs!$AF34="",Norm_Stats!$F$21="",Norm_Stats!$G$21="",Norm_Stats!$G$21=Norm_Stats!$F$21),"",MAX(0,MIN(100,100*(MIN(MAX(City_Inputs!$AF34,Norm_Stats!$F$21),Norm_Stats!$G$21)-Norm_Stats!$F$21)/(Norm_Stats!$G$21-Norm_Stats!$F$21)))))="",0,(IF(OR(City_Inputs!$AF34="",Norm_Stats!$F$21="",Norm_Stats!$G$21="",Norm_Stats!$G$21=Norm_Stats!$F$21),"",MAX(0,MIN(100,100*(MIN(MAX(City_Inputs!$AF34,Norm_Stats!$F$21),Norm_Stats!$G$21)-Norm_Stats!$F$21)/(Norm_Stats!$G$21-Norm_Stats!$F$21)))))*0.5)+IF((IF(OR(City_Inputs!$AI34="",Norm_Stats!$F$22="",Norm_Stats!$G$22="",Norm_Stats!$G$22=Norm_Stats!$F$22),"",MAX(0,MIN(100,100*(MIN(MAX(City_Inputs!$AI34,Norm_Stats!$F$22),Norm_Stats!$G$22)-Norm_Stats!$F$22)/(Norm_Stats!$G$22-Norm_Stats!$F$22)))))="",0,(IF(OR(City_Inputs!$AI34="",Norm_Stats!$F$22="",Norm_Stats!$G$22="",Norm_Stats!$G$22=Norm_Stats!$F$22),"",MAX(0,MIN(100,100*(MIN(MAX(City_Inputs!$AI34,Norm_Stats!$F$22),Norm_Stats!$G$22)-Norm_Stats!$F$22)/(Norm_Stats!$G$22-Norm_Stats!$F$22)))))*0.3)+IF((IF(OR(City_Inputs!$AJ34="",Norm_Stats!$F$23="",Norm_Stats!$G$23="",Norm_Stats!$G$23=Norm_Stats!$F$23),"",MAX(0,MIN(100,100*(MIN(MAX(City_Inputs!$AJ34,Norm_Stats!$F$23),Norm_Stats!$G$23)-Norm_Stats!$F$23)/(Norm_Stats!$G$23-Norm_Stats!$F$23)))))="",0,(IF(OR(City_Inputs!$AJ34="",Norm_Stats!$F$23="",Norm_Stats!$G$23="",Norm_Stats!$G$23=Norm_Stats!$F$23),"",MAX(0,MIN(100,100*(MIN(MAX(City_Inputs!$AJ34,Norm_Stats!$F$23),Norm_Stats!$G$23)-Norm_Stats!$F$23)/(Norm_Stats!$G$23-Norm_Stats!$F$23)))))*0.2))/(IF((IF(OR(City_Inputs!$AF34="",Norm_Stats!$F$21="",Norm_Stats!$G$21="",Norm_Stats!$G$21=Norm_Stats!$F$21),"",MAX(0,MIN(100,100*(MIN(MAX(City_Inputs!$AF34,Norm_Stats!$F$21),Norm_Stats!$G$21)-Norm_Stats!$F$21)/(Norm_Stats!$G$21-Norm_Stats!$F$21)))))="",0,0.5)+IF((IF(OR(City_Inputs!$AI34="",Norm_Stats!$F$22="",Norm_Stats!$G$22="",Norm_Stats!$G$22=Norm_Stats!$F$22),"",MAX(0,MIN(100,100*(MIN(MAX(City_Inputs!$AI34,Norm_Stats!$F$22),Norm_Stats!$G$22)-Norm_Stats!$F$22)/(Norm_Stats!$G$22-Norm_Stats!$F$22)))))="",0,0.3)+IF((IF(OR(City_Inputs!$AJ34="",Norm_Stats!$F$23="",Norm_Stats!$G$23="",Norm_Stats!$G$23=Norm_Stats!$F$23),"",MAX(0,MIN(100,100*(MIN(MAX(City_Inputs!$AJ34,Norm_Stats!$F$23),Norm_Stats!$G$23)-Norm_Stats!$F$23)/(Norm_Stats!$G$23-Norm_Stats!$F$23)))))="",0,0.2)))</f>
        <v/>
      </c>
      <c r="AZ34" s="14">
        <f>IF((IF((IF(OR(City_Inputs!$AF34="",Norm_Stats!$F$21="",Norm_Stats!$G$21="",Norm_Stats!$G$21=Norm_Stats!$F$21),"",MAX(0,MIN(100,100*(MIN(MAX(City_Inputs!$AF34,Norm_Stats!$F$21),Norm_Stats!$G$21)-Norm_Stats!$F$21)/(Norm_Stats!$G$21-Norm_Stats!$F$21)))))="",0,0.5)+IF((IF(OR(City_Inputs!$AI34="",Norm_Stats!$F$22="",Norm_Stats!$G$22="",Norm_Stats!$G$22=Norm_Stats!$F$22),"",MAX(0,MIN(100,100*(MIN(MAX(City_Inputs!$AI34,Norm_Stats!$F$22),Norm_Stats!$G$22)-Norm_Stats!$F$22)/(Norm_Stats!$G$22-Norm_Stats!$F$22)))))="",0,0.3)+IF((IF(OR(City_Inputs!$AJ34="",Norm_Stats!$F$23="",Norm_Stats!$G$23="",Norm_Stats!$G$23=Norm_Stats!$F$23),"",MAX(0,MIN(100,100*(MIN(MAX(City_Inputs!$AJ34,Norm_Stats!$F$23),Norm_Stats!$G$23)-Norm_Stats!$F$23)/(Norm_Stats!$G$23-Norm_Stats!$F$23)))))="",0,0.2))=0,"",(IF((IF(OR(City_Inputs!$AF34="",Norm_Stats!$F$21="",Norm_Stats!$G$21="",Norm_Stats!$G$21=Norm_Stats!$F$21),"",MAX(0,MIN(100,100*(MIN(MAX(City_Inputs!$AF34,Norm_Stats!$F$21),Norm_Stats!$G$21)-Norm_Stats!$F$21)/(Norm_Stats!$G$21-Norm_Stats!$F$21)))))="",0,0.5)+IF((IF(OR(City_Inputs!$AI34="",Norm_Stats!$F$22="",Norm_Stats!$G$22="",Norm_Stats!$G$22=Norm_Stats!$F$22),"",MAX(0,MIN(100,100*(MIN(MAX(City_Inputs!$AI34,Norm_Stats!$F$22),Norm_Stats!$G$22)-Norm_Stats!$F$22)/(Norm_Stats!$G$22-Norm_Stats!$F$22)))))="",0,0.3)+IF((IF(OR(City_Inputs!$AJ34="",Norm_Stats!$F$23="",Norm_Stats!$G$23="",Norm_Stats!$G$23=Norm_Stats!$F$23),"",MAX(0,MIN(100,100*(MIN(MAX(City_Inputs!$AJ34,Norm_Stats!$F$23),Norm_Stats!$G$23)-Norm_Stats!$F$23)/(Norm_Stats!$G$23-Norm_Stats!$F$23)))))="",0,0.2)))</f>
        <v/>
      </c>
      <c r="BA34" s="11">
        <f>IF(OR(City_Inputs!$AG34="",Norm_Stats!$F$24="",Norm_Stats!$G$24="",Norm_Stats!$G$24=Norm_Stats!$F$24),"",MAX(0,MIN(100,100*(Norm_Stats!$G$24-MIN(MAX(City_Inputs!$AG34,Norm_Stats!$F$24),Norm_Stats!$G$24))/(Norm_Stats!$G$24-Norm_Stats!$F$24))))</f>
        <v/>
      </c>
      <c r="BB34" s="14">
        <f>IF(BA34="","",1)</f>
        <v/>
      </c>
      <c r="BC34" s="15">
        <f>IF((IF(AU34="",0,6)+IF(AW34="",0,5)+IF(AY34="",0,5)+IF(BA34="",0,4))=0,"",(IF(AU34="",0,AU34*6)+IF(AW34="",0,AW34*5)+IF(AY34="",0,AY34*5)+IF(BA34="",0,BA34*4))/(IF(AU34="",0,6)+IF(AW34="",0,5)+IF(AY34="",0,5)+IF(BA34="",0,4)))</f>
        <v/>
      </c>
      <c r="BD34" s="14">
        <f>IF((IF(AV34="",0,6)+IF(AX34="",0,5)+IF(AZ34="",0,5)+IF(BB34="",0,4))=0,"",(IF(AV34="",0,AV34*6)+IF(AX34="",0,AX34*5)+IF(AZ34="",0,AZ34*5)+IF(BB34="",0,BB34*4))/20)</f>
        <v/>
      </c>
      <c r="BE34" s="14">
        <f>IF(AND(R34="",AD34="",AL34="",AT34="",BD34=""),"",((R34*25)+(AD34*22)+(AL34*18)+(AT34*15)+(BD34*20))/100)</f>
        <v/>
      </c>
      <c r="BF34" s="11">
        <f>IF(BE34="","",IF(BE34&gt;=0.75,"A",IF(BE34&gt;=0.5,"B",IF(BE34&gt;=0.35,"C","Watchlist"))))</f>
        <v/>
      </c>
      <c r="BG34" s="11">
        <f>IF(OR(BE34="",BE34&lt;0.5,R34="",R34&lt;0.35,AD34="",AD34&lt;0.35,AL34="",AL34&lt;0.35,AT34="",AT34&lt;0.35,BD34="",BD34&lt;0.35),"Watchlist","Ranked")</f>
        <v/>
      </c>
      <c r="BH34" s="15">
        <f>IF(AND(Q34="",AC34="",AK34="",AS34="",BC34=""),"",(IF(Q34="",0,Q34*25)+IF(AC34="",0,AC34*22)+IF(AK34="",0,AK34*18)+IF(AS34="",0,AS34*15)+IF(BC34="",0,BC34*20))/(IF(Q34="",0,25)+IF(AC34="",0,22)+IF(AK34="",0,18)+IF(AS34="",0,15)+IF(BC34="",0,20)))</f>
        <v/>
      </c>
      <c r="BI34" s="11">
        <f>IF(BG34="Ranked",1+COUNTIFS($BG$2:$BG$103,"Ranked",$BH$2:$BH$103,"&gt;"&amp;BH34),"")</f>
        <v/>
      </c>
      <c r="BJ34" s="11">
        <f>City_Inputs!$AH34</f>
        <v/>
      </c>
    </row>
    <row r="35">
      <c r="A35" t="inlineStr">
        <is>
          <t>nl-amsterdam</t>
        </is>
      </c>
      <c r="B35" t="inlineStr">
        <is>
          <t>Amsterdam</t>
        </is>
      </c>
      <c r="C35" t="inlineStr">
        <is>
          <t>Netherlands</t>
        </is>
      </c>
      <c r="D35" t="inlineStr">
        <is>
          <t>Western, Northern, and Southern Europe</t>
        </is>
      </c>
      <c r="E35" t="inlineStr">
        <is>
          <t>provisional</t>
        </is>
      </c>
      <c r="F35" t="inlineStr">
        <is>
          <t>primary</t>
        </is>
      </c>
      <c r="G35" s="11">
        <f>IF(OR(City_Inputs!$M35="",Norm_Stats!$F$2="",Norm_Stats!$G$2="",Norm_Stats!$G$2=Norm_Stats!$F$2),"",MAX(0,MIN(100,100*(MIN(MAX(City_Inputs!$M35,Norm_Stats!$F$2),Norm_Stats!$G$2)-Norm_Stats!$F$2)/(Norm_Stats!$G$2-Norm_Stats!$F$2))))</f>
        <v/>
      </c>
      <c r="H35" s="14">
        <f>IF(G35="","",1)</f>
        <v/>
      </c>
      <c r="I35" s="11">
        <f>IF(OR(City_Inputs!$N35="",Norm_Stats!$F$3="",Norm_Stats!$G$3="",Norm_Stats!$G$3=Norm_Stats!$F$3),"",MAX(0,MIN(100,100*(Norm_Stats!$G$3-MIN(MAX(City_Inputs!$N35,Norm_Stats!$F$3),Norm_Stats!$G$3))/(Norm_Stats!$G$3-Norm_Stats!$F$3))))</f>
        <v/>
      </c>
      <c r="J35" s="14">
        <f>IF(I35="","",1)</f>
        <v/>
      </c>
      <c r="K35" s="11">
        <f>IF(OR(City_Inputs!$P35="",Norm_Stats!$F$4="",Norm_Stats!$G$4="",Norm_Stats!$G$4=Norm_Stats!$F$4),"",MAX(0,MIN(100,100*(Norm_Stats!$G$4-MIN(MAX(City_Inputs!$P35,Norm_Stats!$F$4),Norm_Stats!$G$4))/(Norm_Stats!$G$4-Norm_Stats!$F$4))))</f>
        <v/>
      </c>
      <c r="L35" s="14">
        <f>IF(K35="","",1)</f>
        <v/>
      </c>
      <c r="M35" s="11">
        <f>IF(OR(City_Inputs!$Q35="",Norm_Stats!$F$5="",Norm_Stats!$G$5="",Norm_Stats!$G$5=Norm_Stats!$F$5),"",MAX(0,MIN(100,100*(Norm_Stats!$G$5-MIN(MAX(City_Inputs!$Q35,Norm_Stats!$F$5),Norm_Stats!$G$5))/(Norm_Stats!$G$5-Norm_Stats!$F$5))))</f>
        <v/>
      </c>
      <c r="N35" s="14">
        <f>IF(M35="","",1)</f>
        <v/>
      </c>
      <c r="O35" s="11">
        <f>IF(OR(City_Inputs!$R35="",Norm_Stats!$F$6="",Norm_Stats!$G$6="",Norm_Stats!$G$6=Norm_Stats!$F$6),"",MAX(0,MIN(100,100*(Norm_Stats!$G$6-MIN(MAX(City_Inputs!$R35,Norm_Stats!$F$6),Norm_Stats!$G$6))/(Norm_Stats!$G$6-Norm_Stats!$F$6))))</f>
        <v/>
      </c>
      <c r="P35" s="14">
        <f>IF(O35="","",1)</f>
        <v/>
      </c>
      <c r="Q35" s="15">
        <f>IF((IF(G35="",0,9)+IF(I35="",0,5)+IF(K35="",0,4)+IF(M35="",0,4)+IF(O35="",0,3))=0,"",(IF(G35="",0,G35*9)+IF(I35="",0,I35*5)+IF(K35="",0,K35*4)+IF(M35="",0,M35*4)+IF(O35="",0,O35*3))/(IF(G35="",0,9)+IF(I35="",0,5)+IF(K35="",0,4)+IF(M35="",0,4)+IF(O35="",0,3)))</f>
        <v/>
      </c>
      <c r="R35" s="14">
        <f>IF((IF(H35="",0,9)+IF(J35="",0,5)+IF(L35="",0,4)+IF(N35="",0,4)+IF(P35="",0,3))=0,"",(IF(H35="",0,H35*9)+IF(J35="",0,J35*5)+IF(L35="",0,L35*4)+IF(N35="",0,N35*4)+IF(P35="",0,P35*3))/25)</f>
        <v/>
      </c>
      <c r="S35" s="11">
        <f>IF(OR(City_Inputs!$S35="",Norm_Stats!$F$7="",Norm_Stats!$G$7="",Norm_Stats!$G$7=Norm_Stats!$F$7),"",MAX(0,MIN(100,100*(Norm_Stats!$G$7-MIN(MAX(City_Inputs!$S35,Norm_Stats!$F$7),Norm_Stats!$G$7))/(Norm_Stats!$G$7-Norm_Stats!$F$7))))</f>
        <v/>
      </c>
      <c r="T35" s="14">
        <f>IF(S35="","",1)</f>
        <v/>
      </c>
      <c r="U35" s="11">
        <f>IF(OR(City_Inputs!$T35="",Norm_Stats!$F$8="",Norm_Stats!$G$8="",Norm_Stats!$G$8=Norm_Stats!$F$8),"",MAX(0,MIN(100,100*(MIN(MAX(City_Inputs!$T35,Norm_Stats!$F$8),Norm_Stats!$G$8)-Norm_Stats!$F$8)/(Norm_Stats!$G$8-Norm_Stats!$F$8))))</f>
        <v/>
      </c>
      <c r="V35" s="14">
        <f>IF(U35="","",1)</f>
        <v/>
      </c>
      <c r="W35" s="11">
        <f>IF(OR(City_Inputs!$U35="",Norm_Stats!$F$9="",Norm_Stats!$G$9="",Norm_Stats!$G$9=Norm_Stats!$F$9),"",MAX(0,MIN(100,100*(Norm_Stats!$G$9-MIN(MAX(City_Inputs!$U35,Norm_Stats!$F$9),Norm_Stats!$G$9))/(Norm_Stats!$G$9-Norm_Stats!$F$9))))</f>
        <v/>
      </c>
      <c r="X35" s="14">
        <f>IF(W35="","",1)</f>
        <v/>
      </c>
      <c r="Y35" s="11">
        <f>IF(OR(City_Inputs!$V35="",Norm_Stats!$F$10="",Norm_Stats!$G$10="",Norm_Stats!$G$10=Norm_Stats!$F$10),"",MAX(0,MIN(100,100*(MIN(MAX(City_Inputs!$V35,Norm_Stats!$F$10),Norm_Stats!$G$10)-Norm_Stats!$F$10)/(Norm_Stats!$G$10-Norm_Stats!$F$10))))</f>
        <v/>
      </c>
      <c r="Z35" s="14">
        <f>IF(Y35="","",1)</f>
        <v/>
      </c>
      <c r="AA35" s="11">
        <f>IF(OR(City_Inputs!$W35="",Norm_Stats!$F$11="",Norm_Stats!$G$11="",Norm_Stats!$G$11=Norm_Stats!$F$11),"",MAX(0,MIN(100,100*(MIN(MAX(City_Inputs!$W35,Norm_Stats!$F$11),Norm_Stats!$G$11)-Norm_Stats!$F$11)/(Norm_Stats!$G$11-Norm_Stats!$F$11))))</f>
        <v/>
      </c>
      <c r="AB35" s="14">
        <f>IF(AA35="","",1)</f>
        <v/>
      </c>
      <c r="AC35" s="15">
        <f>IF((IF(S35="",0,5)+IF(U35="",0,5)+IF(W35="",0,4)+IF(Y35="",0,4)+IF(AA35="",0,4))=0,"",(IF(S35="",0,S35*5)+IF(U35="",0,U35*5)+IF(W35="",0,W35*4)+IF(Y35="",0,Y35*4)+IF(AA35="",0,AA35*4))/(IF(S35="",0,5)+IF(U35="",0,5)+IF(W35="",0,4)+IF(Y35="",0,4)+IF(AA35="",0,4)))</f>
        <v/>
      </c>
      <c r="AD35" s="14">
        <f>IF((IF(T35="",0,5)+IF(V35="",0,5)+IF(X35="",0,4)+IF(Z35="",0,4)+IF(AB35="",0,4))=0,"",(IF(T35="",0,T35*5)+IF(V35="",0,V35*5)+IF(X35="",0,X35*4)+IF(Z35="",0,Z35*4)+IF(AB35="",0,AB35*4))/22)</f>
        <v/>
      </c>
      <c r="AE35" s="11">
        <f>IF(OR(City_Inputs!$X35="",Norm_Stats!$F$12="",Norm_Stats!$G$12="",Norm_Stats!$G$12=Norm_Stats!$F$12),"",MAX(0,MIN(100,100*(MIN(MAX(City_Inputs!$X35,Norm_Stats!$F$12),Norm_Stats!$G$12)-Norm_Stats!$F$12)/(Norm_Stats!$G$12-Norm_Stats!$F$12))))</f>
        <v/>
      </c>
      <c r="AF35" s="14">
        <f>IF(AE35="","",1)</f>
        <v/>
      </c>
      <c r="AG35" s="11">
        <f>IF(OR(City_Inputs!$Y35="",Norm_Stats!$F$13="",Norm_Stats!$G$13="",Norm_Stats!$G$13=Norm_Stats!$F$13),"",MAX(0,MIN(100,100*(MIN(MAX(City_Inputs!$Y35,Norm_Stats!$F$13),Norm_Stats!$G$13)-Norm_Stats!$F$13)/(Norm_Stats!$G$13-Norm_Stats!$F$13))))</f>
        <v/>
      </c>
      <c r="AH35" s="14">
        <f>IF(AG35="","",1)</f>
        <v/>
      </c>
      <c r="AI35" s="11">
        <f>IF((IF((IF(OR(City_Inputs!$Z35="",Norm_Stats!$F$14="",Norm_Stats!$G$14="",Norm_Stats!$G$14=Norm_Stats!$F$14),"",MAX(0,MIN(100,100*(MIN(MAX(City_Inputs!$Z35,Norm_Stats!$F$14),Norm_Stats!$G$14)-Norm_Stats!$F$14)/(Norm_Stats!$G$14-Norm_Stats!$F$14)))))="",0,0.7)+IF((IF(OR(City_Inputs!$AK35="",Norm_Stats!$F$15="",Norm_Stats!$G$15="",Norm_Stats!$G$15=Norm_Stats!$F$15),"",MAX(0,MIN(100,100*(Norm_Stats!$G$15-MIN(MAX(City_Inputs!$AK35,Norm_Stats!$F$15),Norm_Stats!$G$15))/(Norm_Stats!$G$15-Norm_Stats!$F$15)))))="",0,0.3))=0,"",(IF((IF(OR(City_Inputs!$Z35="",Norm_Stats!$F$14="",Norm_Stats!$G$14="",Norm_Stats!$G$14=Norm_Stats!$F$14),"",MAX(0,MIN(100,100*(MIN(MAX(City_Inputs!$Z35,Norm_Stats!$F$14),Norm_Stats!$G$14)-Norm_Stats!$F$14)/(Norm_Stats!$G$14-Norm_Stats!$F$14)))))="",0,(IF(OR(City_Inputs!$Z35="",Norm_Stats!$F$14="",Norm_Stats!$G$14="",Norm_Stats!$G$14=Norm_Stats!$F$14),"",MAX(0,MIN(100,100*(MIN(MAX(City_Inputs!$Z35,Norm_Stats!$F$14),Norm_Stats!$G$14)-Norm_Stats!$F$14)/(Norm_Stats!$G$14-Norm_Stats!$F$14)))))*0.7)+IF((IF(OR(City_Inputs!$AK35="",Norm_Stats!$F$15="",Norm_Stats!$G$15="",Norm_Stats!$G$15=Norm_Stats!$F$15),"",MAX(0,MIN(100,100*(Norm_Stats!$G$15-MIN(MAX(City_Inputs!$AK35,Norm_Stats!$F$15),Norm_Stats!$G$15))/(Norm_Stats!$G$15-Norm_Stats!$F$15)))))="",0,(IF(OR(City_Inputs!$AK35="",Norm_Stats!$F$15="",Norm_Stats!$G$15="",Norm_Stats!$G$15=Norm_Stats!$F$15),"",MAX(0,MIN(100,100*(Norm_Stats!$G$15-MIN(MAX(City_Inputs!$AK35,Norm_Stats!$F$15),Norm_Stats!$G$15))/(Norm_Stats!$G$15-Norm_Stats!$F$15)))))*0.3))/(IF((IF(OR(City_Inputs!$Z35="",Norm_Stats!$F$14="",Norm_Stats!$G$14="",Norm_Stats!$G$14=Norm_Stats!$F$14),"",MAX(0,MIN(100,100*(MIN(MAX(City_Inputs!$Z35,Norm_Stats!$F$14),Norm_Stats!$G$14)-Norm_Stats!$F$14)/(Norm_Stats!$G$14-Norm_Stats!$F$14)))))="",0,0.7)+IF((IF(OR(City_Inputs!$AK35="",Norm_Stats!$F$15="",Norm_Stats!$G$15="",Norm_Stats!$G$15=Norm_Stats!$F$15),"",MAX(0,MIN(100,100*(Norm_Stats!$G$15-MIN(MAX(City_Inputs!$AK35,Norm_Stats!$F$15),Norm_Stats!$G$15))/(Norm_Stats!$G$15-Norm_Stats!$F$15)))))="",0,0.3)))</f>
        <v/>
      </c>
      <c r="AJ35" s="14">
        <f>IF((IF((IF(OR(City_Inputs!$Z35="",Norm_Stats!$F$14="",Norm_Stats!$G$14="",Norm_Stats!$G$14=Norm_Stats!$F$14),"",MAX(0,MIN(100,100*(MIN(MAX(City_Inputs!$Z35,Norm_Stats!$F$14),Norm_Stats!$G$14)-Norm_Stats!$F$14)/(Norm_Stats!$G$14-Norm_Stats!$F$14)))))="",0,0.7)+IF((IF(OR(City_Inputs!$AK35="",Norm_Stats!$F$15="",Norm_Stats!$G$15="",Norm_Stats!$G$15=Norm_Stats!$F$15),"",MAX(0,MIN(100,100*(Norm_Stats!$G$15-MIN(MAX(City_Inputs!$AK35,Norm_Stats!$F$15),Norm_Stats!$G$15))/(Norm_Stats!$G$15-Norm_Stats!$F$15)))))="",0,0.3))=0,"",(IF((IF(OR(City_Inputs!$Z35="",Norm_Stats!$F$14="",Norm_Stats!$G$14="",Norm_Stats!$G$14=Norm_Stats!$F$14),"",MAX(0,MIN(100,100*(MIN(MAX(City_Inputs!$Z35,Norm_Stats!$F$14),Norm_Stats!$G$14)-Norm_Stats!$F$14)/(Norm_Stats!$G$14-Norm_Stats!$F$14)))))="",0,0.7)+IF((IF(OR(City_Inputs!$AK35="",Norm_Stats!$F$15="",Norm_Stats!$G$15="",Norm_Stats!$G$15=Norm_Stats!$F$15),"",MAX(0,MIN(100,100*(Norm_Stats!$G$15-MIN(MAX(City_Inputs!$AK35,Norm_Stats!$F$15),Norm_Stats!$G$15))/(Norm_Stats!$G$15-Norm_Stats!$F$15)))))="",0,0.3)))</f>
        <v/>
      </c>
      <c r="AK35" s="15">
        <f>IF((IF(AE35="",0,8)+IF(AG35="",0,6)+IF(AI35="",0,4))=0,"",(IF(AE35="",0,AE35*8)+IF(AG35="",0,AG35*6)+IF(AI35="",0,AI35*4))/(IF(AE35="",0,8)+IF(AG35="",0,6)+IF(AI35="",0,4)))</f>
        <v/>
      </c>
      <c r="AL35" s="14">
        <f>IF((IF(AF35="",0,8)+IF(AH35="",0,6)+IF(AJ35="",0,4))=0,"",(IF(AF35="",0,AF35*8)+IF(AH35="",0,AH35*6)+IF(AJ35="",0,AJ35*4))/18)</f>
        <v/>
      </c>
      <c r="AM35" s="11">
        <f>IF(OR(City_Inputs!$AA35="",Norm_Stats!$F$16="",Norm_Stats!$G$16="",Norm_Stats!$G$16=Norm_Stats!$F$16),"",MAX(0,MIN(100,100*(MIN(MAX(City_Inputs!$AA35,Norm_Stats!$F$16),Norm_Stats!$G$16)-Norm_Stats!$F$16)/(Norm_Stats!$G$16-Norm_Stats!$F$16))))</f>
        <v/>
      </c>
      <c r="AN35" s="14">
        <f>IF(AM35="","",1)</f>
        <v/>
      </c>
      <c r="AO35" s="11">
        <f>IF(OR(City_Inputs!$AB35="",Norm_Stats!$F$17="",Norm_Stats!$G$17="",Norm_Stats!$G$17=Norm_Stats!$F$17),"",MAX(0,MIN(100,100*(MIN(MAX(City_Inputs!$AB35,Norm_Stats!$F$17),Norm_Stats!$G$17)-Norm_Stats!$F$17)/(Norm_Stats!$G$17-Norm_Stats!$F$17))))</f>
        <v/>
      </c>
      <c r="AP35" s="14">
        <f>IF(AO35="","",1)</f>
        <v/>
      </c>
      <c r="AQ35" s="11">
        <f>IF(OR(City_Inputs!$AC35="",Norm_Stats!$F$18="",Norm_Stats!$G$18="",Norm_Stats!$G$18=Norm_Stats!$F$18),"",MAX(0,MIN(100,100*(MIN(MAX(City_Inputs!$AC35,Norm_Stats!$F$18),Norm_Stats!$G$18)-Norm_Stats!$F$18)/(Norm_Stats!$G$18-Norm_Stats!$F$18))))</f>
        <v/>
      </c>
      <c r="AR35" s="14">
        <f>IF(AQ35="","",1)</f>
        <v/>
      </c>
      <c r="AS35" s="15">
        <f>IF((IF(AM35="",0,5)+IF(AO35="",0,5)+IF(AQ35="",0,5))=0,"",(IF(AM35="",0,AM35*5)+IF(AO35="",0,AO35*5)+IF(AQ35="",0,AQ35*5))/(IF(AM35="",0,5)+IF(AO35="",0,5)+IF(AQ35="",0,5)))</f>
        <v/>
      </c>
      <c r="AT35" s="14">
        <f>IF((IF(AN35="",0,5)+IF(AP35="",0,5)+IF(AR35="",0,5))=0,"",(IF(AN35="",0,AN35*5)+IF(AP35="",0,AP35*5)+IF(AR35="",0,AR35*5))/15)</f>
        <v/>
      </c>
      <c r="AU35" s="11">
        <f>IF(OR(City_Inputs!$AD35="",Norm_Stats!$F$19="",Norm_Stats!$G$19="",Norm_Stats!$G$19=Norm_Stats!$F$19),"",MAX(0,MIN(100,100*(MIN(MAX(City_Inputs!$AD35,Norm_Stats!$F$19),Norm_Stats!$G$19)-Norm_Stats!$F$19)/(Norm_Stats!$G$19-Norm_Stats!$F$19))))</f>
        <v/>
      </c>
      <c r="AV35" s="14">
        <f>IF(AU35="","",1)</f>
        <v/>
      </c>
      <c r="AW35" s="11">
        <f>IF(OR(City_Inputs!$AE35="",Norm_Stats!$F$20="",Norm_Stats!$G$20="",Norm_Stats!$G$20=Norm_Stats!$F$20),"",MAX(0,MIN(100,100*(MIN(MAX(City_Inputs!$AE35,Norm_Stats!$F$20),Norm_Stats!$G$20)-Norm_Stats!$F$20)/(Norm_Stats!$G$20-Norm_Stats!$F$20))))</f>
        <v/>
      </c>
      <c r="AX35" s="14">
        <f>IF(AW35="","",1)</f>
        <v/>
      </c>
      <c r="AY35" s="11">
        <f>IF((IF((IF(OR(City_Inputs!$AF35="",Norm_Stats!$F$21="",Norm_Stats!$G$21="",Norm_Stats!$G$21=Norm_Stats!$F$21),"",MAX(0,MIN(100,100*(MIN(MAX(City_Inputs!$AF35,Norm_Stats!$F$21),Norm_Stats!$G$21)-Norm_Stats!$F$21)/(Norm_Stats!$G$21-Norm_Stats!$F$21)))))="",0,0.5)+IF((IF(OR(City_Inputs!$AI35="",Norm_Stats!$F$22="",Norm_Stats!$G$22="",Norm_Stats!$G$22=Norm_Stats!$F$22),"",MAX(0,MIN(100,100*(MIN(MAX(City_Inputs!$AI35,Norm_Stats!$F$22),Norm_Stats!$G$22)-Norm_Stats!$F$22)/(Norm_Stats!$G$22-Norm_Stats!$F$22)))))="",0,0.3)+IF((IF(OR(City_Inputs!$AJ35="",Norm_Stats!$F$23="",Norm_Stats!$G$23="",Norm_Stats!$G$23=Norm_Stats!$F$23),"",MAX(0,MIN(100,100*(MIN(MAX(City_Inputs!$AJ35,Norm_Stats!$F$23),Norm_Stats!$G$23)-Norm_Stats!$F$23)/(Norm_Stats!$G$23-Norm_Stats!$F$23)))))="",0,0.2))=0,"",(IF((IF(OR(City_Inputs!$AF35="",Norm_Stats!$F$21="",Norm_Stats!$G$21="",Norm_Stats!$G$21=Norm_Stats!$F$21),"",MAX(0,MIN(100,100*(MIN(MAX(City_Inputs!$AF35,Norm_Stats!$F$21),Norm_Stats!$G$21)-Norm_Stats!$F$21)/(Norm_Stats!$G$21-Norm_Stats!$F$21)))))="",0,(IF(OR(City_Inputs!$AF35="",Norm_Stats!$F$21="",Norm_Stats!$G$21="",Norm_Stats!$G$21=Norm_Stats!$F$21),"",MAX(0,MIN(100,100*(MIN(MAX(City_Inputs!$AF35,Norm_Stats!$F$21),Norm_Stats!$G$21)-Norm_Stats!$F$21)/(Norm_Stats!$G$21-Norm_Stats!$F$21)))))*0.5)+IF((IF(OR(City_Inputs!$AI35="",Norm_Stats!$F$22="",Norm_Stats!$G$22="",Norm_Stats!$G$22=Norm_Stats!$F$22),"",MAX(0,MIN(100,100*(MIN(MAX(City_Inputs!$AI35,Norm_Stats!$F$22),Norm_Stats!$G$22)-Norm_Stats!$F$22)/(Norm_Stats!$G$22-Norm_Stats!$F$22)))))="",0,(IF(OR(City_Inputs!$AI35="",Norm_Stats!$F$22="",Norm_Stats!$G$22="",Norm_Stats!$G$22=Norm_Stats!$F$22),"",MAX(0,MIN(100,100*(MIN(MAX(City_Inputs!$AI35,Norm_Stats!$F$22),Norm_Stats!$G$22)-Norm_Stats!$F$22)/(Norm_Stats!$G$22-Norm_Stats!$F$22)))))*0.3)+IF((IF(OR(City_Inputs!$AJ35="",Norm_Stats!$F$23="",Norm_Stats!$G$23="",Norm_Stats!$G$23=Norm_Stats!$F$23),"",MAX(0,MIN(100,100*(MIN(MAX(City_Inputs!$AJ35,Norm_Stats!$F$23),Norm_Stats!$G$23)-Norm_Stats!$F$23)/(Norm_Stats!$G$23-Norm_Stats!$F$23)))))="",0,(IF(OR(City_Inputs!$AJ35="",Norm_Stats!$F$23="",Norm_Stats!$G$23="",Norm_Stats!$G$23=Norm_Stats!$F$23),"",MAX(0,MIN(100,100*(MIN(MAX(City_Inputs!$AJ35,Norm_Stats!$F$23),Norm_Stats!$G$23)-Norm_Stats!$F$23)/(Norm_Stats!$G$23-Norm_Stats!$F$23)))))*0.2))/(IF((IF(OR(City_Inputs!$AF35="",Norm_Stats!$F$21="",Norm_Stats!$G$21="",Norm_Stats!$G$21=Norm_Stats!$F$21),"",MAX(0,MIN(100,100*(MIN(MAX(City_Inputs!$AF35,Norm_Stats!$F$21),Norm_Stats!$G$21)-Norm_Stats!$F$21)/(Norm_Stats!$G$21-Norm_Stats!$F$21)))))="",0,0.5)+IF((IF(OR(City_Inputs!$AI35="",Norm_Stats!$F$22="",Norm_Stats!$G$22="",Norm_Stats!$G$22=Norm_Stats!$F$22),"",MAX(0,MIN(100,100*(MIN(MAX(City_Inputs!$AI35,Norm_Stats!$F$22),Norm_Stats!$G$22)-Norm_Stats!$F$22)/(Norm_Stats!$G$22-Norm_Stats!$F$22)))))="",0,0.3)+IF((IF(OR(City_Inputs!$AJ35="",Norm_Stats!$F$23="",Norm_Stats!$G$23="",Norm_Stats!$G$23=Norm_Stats!$F$23),"",MAX(0,MIN(100,100*(MIN(MAX(City_Inputs!$AJ35,Norm_Stats!$F$23),Norm_Stats!$G$23)-Norm_Stats!$F$23)/(Norm_Stats!$G$23-Norm_Stats!$F$23)))))="",0,0.2)))</f>
        <v/>
      </c>
      <c r="AZ35" s="14">
        <f>IF((IF((IF(OR(City_Inputs!$AF35="",Norm_Stats!$F$21="",Norm_Stats!$G$21="",Norm_Stats!$G$21=Norm_Stats!$F$21),"",MAX(0,MIN(100,100*(MIN(MAX(City_Inputs!$AF35,Norm_Stats!$F$21),Norm_Stats!$G$21)-Norm_Stats!$F$21)/(Norm_Stats!$G$21-Norm_Stats!$F$21)))))="",0,0.5)+IF((IF(OR(City_Inputs!$AI35="",Norm_Stats!$F$22="",Norm_Stats!$G$22="",Norm_Stats!$G$22=Norm_Stats!$F$22),"",MAX(0,MIN(100,100*(MIN(MAX(City_Inputs!$AI35,Norm_Stats!$F$22),Norm_Stats!$G$22)-Norm_Stats!$F$22)/(Norm_Stats!$G$22-Norm_Stats!$F$22)))))="",0,0.3)+IF((IF(OR(City_Inputs!$AJ35="",Norm_Stats!$F$23="",Norm_Stats!$G$23="",Norm_Stats!$G$23=Norm_Stats!$F$23),"",MAX(0,MIN(100,100*(MIN(MAX(City_Inputs!$AJ35,Norm_Stats!$F$23),Norm_Stats!$G$23)-Norm_Stats!$F$23)/(Norm_Stats!$G$23-Norm_Stats!$F$23)))))="",0,0.2))=0,"",(IF((IF(OR(City_Inputs!$AF35="",Norm_Stats!$F$21="",Norm_Stats!$G$21="",Norm_Stats!$G$21=Norm_Stats!$F$21),"",MAX(0,MIN(100,100*(MIN(MAX(City_Inputs!$AF35,Norm_Stats!$F$21),Norm_Stats!$G$21)-Norm_Stats!$F$21)/(Norm_Stats!$G$21-Norm_Stats!$F$21)))))="",0,0.5)+IF((IF(OR(City_Inputs!$AI35="",Norm_Stats!$F$22="",Norm_Stats!$G$22="",Norm_Stats!$G$22=Norm_Stats!$F$22),"",MAX(0,MIN(100,100*(MIN(MAX(City_Inputs!$AI35,Norm_Stats!$F$22),Norm_Stats!$G$22)-Norm_Stats!$F$22)/(Norm_Stats!$G$22-Norm_Stats!$F$22)))))="",0,0.3)+IF((IF(OR(City_Inputs!$AJ35="",Norm_Stats!$F$23="",Norm_Stats!$G$23="",Norm_Stats!$G$23=Norm_Stats!$F$23),"",MAX(0,MIN(100,100*(MIN(MAX(City_Inputs!$AJ35,Norm_Stats!$F$23),Norm_Stats!$G$23)-Norm_Stats!$F$23)/(Norm_Stats!$G$23-Norm_Stats!$F$23)))))="",0,0.2)))</f>
        <v/>
      </c>
      <c r="BA35" s="11">
        <f>IF(OR(City_Inputs!$AG35="",Norm_Stats!$F$24="",Norm_Stats!$G$24="",Norm_Stats!$G$24=Norm_Stats!$F$24),"",MAX(0,MIN(100,100*(Norm_Stats!$G$24-MIN(MAX(City_Inputs!$AG35,Norm_Stats!$F$24),Norm_Stats!$G$24))/(Norm_Stats!$G$24-Norm_Stats!$F$24))))</f>
        <v/>
      </c>
      <c r="BB35" s="14">
        <f>IF(BA35="","",1)</f>
        <v/>
      </c>
      <c r="BC35" s="15">
        <f>IF((IF(AU35="",0,6)+IF(AW35="",0,5)+IF(AY35="",0,5)+IF(BA35="",0,4))=0,"",(IF(AU35="",0,AU35*6)+IF(AW35="",0,AW35*5)+IF(AY35="",0,AY35*5)+IF(BA35="",0,BA35*4))/(IF(AU35="",0,6)+IF(AW35="",0,5)+IF(AY35="",0,5)+IF(BA35="",0,4)))</f>
        <v/>
      </c>
      <c r="BD35" s="14">
        <f>IF((IF(AV35="",0,6)+IF(AX35="",0,5)+IF(AZ35="",0,5)+IF(BB35="",0,4))=0,"",(IF(AV35="",0,AV35*6)+IF(AX35="",0,AX35*5)+IF(AZ35="",0,AZ35*5)+IF(BB35="",0,BB35*4))/20)</f>
        <v/>
      </c>
      <c r="BE35" s="14">
        <f>IF(AND(R35="",AD35="",AL35="",AT35="",BD35=""),"",((R35*25)+(AD35*22)+(AL35*18)+(AT35*15)+(BD35*20))/100)</f>
        <v/>
      </c>
      <c r="BF35" s="11">
        <f>IF(BE35="","",IF(BE35&gt;=0.75,"A",IF(BE35&gt;=0.5,"B",IF(BE35&gt;=0.35,"C","Watchlist"))))</f>
        <v/>
      </c>
      <c r="BG35" s="11">
        <f>IF(OR(BE35="",BE35&lt;0.5,R35="",R35&lt;0.35,AD35="",AD35&lt;0.35,AL35="",AL35&lt;0.35,AT35="",AT35&lt;0.35,BD35="",BD35&lt;0.35),"Watchlist","Ranked")</f>
        <v/>
      </c>
      <c r="BH35" s="15">
        <f>IF(AND(Q35="",AC35="",AK35="",AS35="",BC35=""),"",(IF(Q35="",0,Q35*25)+IF(AC35="",0,AC35*22)+IF(AK35="",0,AK35*18)+IF(AS35="",0,AS35*15)+IF(BC35="",0,BC35*20))/(IF(Q35="",0,25)+IF(AC35="",0,22)+IF(AK35="",0,18)+IF(AS35="",0,15)+IF(BC35="",0,20)))</f>
        <v/>
      </c>
      <c r="BI35" s="11">
        <f>IF(BG35="Ranked",1+COUNTIFS($BG$2:$BG$103,"Ranked",$BH$2:$BH$103,"&gt;"&amp;BH35),"")</f>
        <v/>
      </c>
      <c r="BJ35" s="11">
        <f>City_Inputs!$AH35</f>
        <v/>
      </c>
    </row>
    <row r="36">
      <c r="A36" t="inlineStr">
        <is>
          <t>dk-copenhagen</t>
        </is>
      </c>
      <c r="B36" t="inlineStr">
        <is>
          <t>Copenhagen</t>
        </is>
      </c>
      <c r="C36" t="inlineStr">
        <is>
          <t>Denmark</t>
        </is>
      </c>
      <c r="D36" t="inlineStr">
        <is>
          <t>Western, Northern, and Southern Europe</t>
        </is>
      </c>
      <c r="E36" t="inlineStr">
        <is>
          <t>provisional</t>
        </is>
      </c>
      <c r="F36" t="inlineStr">
        <is>
          <t>primary</t>
        </is>
      </c>
      <c r="G36" s="11">
        <f>IF(OR(City_Inputs!$M36="",Norm_Stats!$F$2="",Norm_Stats!$G$2="",Norm_Stats!$G$2=Norm_Stats!$F$2),"",MAX(0,MIN(100,100*(MIN(MAX(City_Inputs!$M36,Norm_Stats!$F$2),Norm_Stats!$G$2)-Norm_Stats!$F$2)/(Norm_Stats!$G$2-Norm_Stats!$F$2))))</f>
        <v/>
      </c>
      <c r="H36" s="14">
        <f>IF(G36="","",1)</f>
        <v/>
      </c>
      <c r="I36" s="11">
        <f>IF(OR(City_Inputs!$N36="",Norm_Stats!$F$3="",Norm_Stats!$G$3="",Norm_Stats!$G$3=Norm_Stats!$F$3),"",MAX(0,MIN(100,100*(Norm_Stats!$G$3-MIN(MAX(City_Inputs!$N36,Norm_Stats!$F$3),Norm_Stats!$G$3))/(Norm_Stats!$G$3-Norm_Stats!$F$3))))</f>
        <v/>
      </c>
      <c r="J36" s="14">
        <f>IF(I36="","",1)</f>
        <v/>
      </c>
      <c r="K36" s="11">
        <f>IF(OR(City_Inputs!$P36="",Norm_Stats!$F$4="",Norm_Stats!$G$4="",Norm_Stats!$G$4=Norm_Stats!$F$4),"",MAX(0,MIN(100,100*(Norm_Stats!$G$4-MIN(MAX(City_Inputs!$P36,Norm_Stats!$F$4),Norm_Stats!$G$4))/(Norm_Stats!$G$4-Norm_Stats!$F$4))))</f>
        <v/>
      </c>
      <c r="L36" s="14">
        <f>IF(K36="","",1)</f>
        <v/>
      </c>
      <c r="M36" s="11">
        <f>IF(OR(City_Inputs!$Q36="",Norm_Stats!$F$5="",Norm_Stats!$G$5="",Norm_Stats!$G$5=Norm_Stats!$F$5),"",MAX(0,MIN(100,100*(Norm_Stats!$G$5-MIN(MAX(City_Inputs!$Q36,Norm_Stats!$F$5),Norm_Stats!$G$5))/(Norm_Stats!$G$5-Norm_Stats!$F$5))))</f>
        <v/>
      </c>
      <c r="N36" s="14">
        <f>IF(M36="","",1)</f>
        <v/>
      </c>
      <c r="O36" s="11">
        <f>IF(OR(City_Inputs!$R36="",Norm_Stats!$F$6="",Norm_Stats!$G$6="",Norm_Stats!$G$6=Norm_Stats!$F$6),"",MAX(0,MIN(100,100*(Norm_Stats!$G$6-MIN(MAX(City_Inputs!$R36,Norm_Stats!$F$6),Norm_Stats!$G$6))/(Norm_Stats!$G$6-Norm_Stats!$F$6))))</f>
        <v/>
      </c>
      <c r="P36" s="14">
        <f>IF(O36="","",1)</f>
        <v/>
      </c>
      <c r="Q36" s="15">
        <f>IF((IF(G36="",0,9)+IF(I36="",0,5)+IF(K36="",0,4)+IF(M36="",0,4)+IF(O36="",0,3))=0,"",(IF(G36="",0,G36*9)+IF(I36="",0,I36*5)+IF(K36="",0,K36*4)+IF(M36="",0,M36*4)+IF(O36="",0,O36*3))/(IF(G36="",0,9)+IF(I36="",0,5)+IF(K36="",0,4)+IF(M36="",0,4)+IF(O36="",0,3)))</f>
        <v/>
      </c>
      <c r="R36" s="14">
        <f>IF((IF(H36="",0,9)+IF(J36="",0,5)+IF(L36="",0,4)+IF(N36="",0,4)+IF(P36="",0,3))=0,"",(IF(H36="",0,H36*9)+IF(J36="",0,J36*5)+IF(L36="",0,L36*4)+IF(N36="",0,N36*4)+IF(P36="",0,P36*3))/25)</f>
        <v/>
      </c>
      <c r="S36" s="11">
        <f>IF(OR(City_Inputs!$S36="",Norm_Stats!$F$7="",Norm_Stats!$G$7="",Norm_Stats!$G$7=Norm_Stats!$F$7),"",MAX(0,MIN(100,100*(Norm_Stats!$G$7-MIN(MAX(City_Inputs!$S36,Norm_Stats!$F$7),Norm_Stats!$G$7))/(Norm_Stats!$G$7-Norm_Stats!$F$7))))</f>
        <v/>
      </c>
      <c r="T36" s="14">
        <f>IF(S36="","",1)</f>
        <v/>
      </c>
      <c r="U36" s="11">
        <f>IF(OR(City_Inputs!$T36="",Norm_Stats!$F$8="",Norm_Stats!$G$8="",Norm_Stats!$G$8=Norm_Stats!$F$8),"",MAX(0,MIN(100,100*(MIN(MAX(City_Inputs!$T36,Norm_Stats!$F$8),Norm_Stats!$G$8)-Norm_Stats!$F$8)/(Norm_Stats!$G$8-Norm_Stats!$F$8))))</f>
        <v/>
      </c>
      <c r="V36" s="14">
        <f>IF(U36="","",1)</f>
        <v/>
      </c>
      <c r="W36" s="11">
        <f>IF(OR(City_Inputs!$U36="",Norm_Stats!$F$9="",Norm_Stats!$G$9="",Norm_Stats!$G$9=Norm_Stats!$F$9),"",MAX(0,MIN(100,100*(Norm_Stats!$G$9-MIN(MAX(City_Inputs!$U36,Norm_Stats!$F$9),Norm_Stats!$G$9))/(Norm_Stats!$G$9-Norm_Stats!$F$9))))</f>
        <v/>
      </c>
      <c r="X36" s="14">
        <f>IF(W36="","",1)</f>
        <v/>
      </c>
      <c r="Y36" s="11">
        <f>IF(OR(City_Inputs!$V36="",Norm_Stats!$F$10="",Norm_Stats!$G$10="",Norm_Stats!$G$10=Norm_Stats!$F$10),"",MAX(0,MIN(100,100*(MIN(MAX(City_Inputs!$V36,Norm_Stats!$F$10),Norm_Stats!$G$10)-Norm_Stats!$F$10)/(Norm_Stats!$G$10-Norm_Stats!$F$10))))</f>
        <v/>
      </c>
      <c r="Z36" s="14">
        <f>IF(Y36="","",1)</f>
        <v/>
      </c>
      <c r="AA36" s="11">
        <f>IF(OR(City_Inputs!$W36="",Norm_Stats!$F$11="",Norm_Stats!$G$11="",Norm_Stats!$G$11=Norm_Stats!$F$11),"",MAX(0,MIN(100,100*(MIN(MAX(City_Inputs!$W36,Norm_Stats!$F$11),Norm_Stats!$G$11)-Norm_Stats!$F$11)/(Norm_Stats!$G$11-Norm_Stats!$F$11))))</f>
        <v/>
      </c>
      <c r="AB36" s="14">
        <f>IF(AA36="","",1)</f>
        <v/>
      </c>
      <c r="AC36" s="15">
        <f>IF((IF(S36="",0,5)+IF(U36="",0,5)+IF(W36="",0,4)+IF(Y36="",0,4)+IF(AA36="",0,4))=0,"",(IF(S36="",0,S36*5)+IF(U36="",0,U36*5)+IF(W36="",0,W36*4)+IF(Y36="",0,Y36*4)+IF(AA36="",0,AA36*4))/(IF(S36="",0,5)+IF(U36="",0,5)+IF(W36="",0,4)+IF(Y36="",0,4)+IF(AA36="",0,4)))</f>
        <v/>
      </c>
      <c r="AD36" s="14">
        <f>IF((IF(T36="",0,5)+IF(V36="",0,5)+IF(X36="",0,4)+IF(Z36="",0,4)+IF(AB36="",0,4))=0,"",(IF(T36="",0,T36*5)+IF(V36="",0,V36*5)+IF(X36="",0,X36*4)+IF(Z36="",0,Z36*4)+IF(AB36="",0,AB36*4))/22)</f>
        <v/>
      </c>
      <c r="AE36" s="11">
        <f>IF(OR(City_Inputs!$X36="",Norm_Stats!$F$12="",Norm_Stats!$G$12="",Norm_Stats!$G$12=Norm_Stats!$F$12),"",MAX(0,MIN(100,100*(MIN(MAX(City_Inputs!$X36,Norm_Stats!$F$12),Norm_Stats!$G$12)-Norm_Stats!$F$12)/(Norm_Stats!$G$12-Norm_Stats!$F$12))))</f>
        <v/>
      </c>
      <c r="AF36" s="14">
        <f>IF(AE36="","",1)</f>
        <v/>
      </c>
      <c r="AG36" s="11">
        <f>IF(OR(City_Inputs!$Y36="",Norm_Stats!$F$13="",Norm_Stats!$G$13="",Norm_Stats!$G$13=Norm_Stats!$F$13),"",MAX(0,MIN(100,100*(MIN(MAX(City_Inputs!$Y36,Norm_Stats!$F$13),Norm_Stats!$G$13)-Norm_Stats!$F$13)/(Norm_Stats!$G$13-Norm_Stats!$F$13))))</f>
        <v/>
      </c>
      <c r="AH36" s="14">
        <f>IF(AG36="","",1)</f>
        <v/>
      </c>
      <c r="AI36" s="11">
        <f>IF((IF((IF(OR(City_Inputs!$Z36="",Norm_Stats!$F$14="",Norm_Stats!$G$14="",Norm_Stats!$G$14=Norm_Stats!$F$14),"",MAX(0,MIN(100,100*(MIN(MAX(City_Inputs!$Z36,Norm_Stats!$F$14),Norm_Stats!$G$14)-Norm_Stats!$F$14)/(Norm_Stats!$G$14-Norm_Stats!$F$14)))))="",0,0.7)+IF((IF(OR(City_Inputs!$AK36="",Norm_Stats!$F$15="",Norm_Stats!$G$15="",Norm_Stats!$G$15=Norm_Stats!$F$15),"",MAX(0,MIN(100,100*(Norm_Stats!$G$15-MIN(MAX(City_Inputs!$AK36,Norm_Stats!$F$15),Norm_Stats!$G$15))/(Norm_Stats!$G$15-Norm_Stats!$F$15)))))="",0,0.3))=0,"",(IF((IF(OR(City_Inputs!$Z36="",Norm_Stats!$F$14="",Norm_Stats!$G$14="",Norm_Stats!$G$14=Norm_Stats!$F$14),"",MAX(0,MIN(100,100*(MIN(MAX(City_Inputs!$Z36,Norm_Stats!$F$14),Norm_Stats!$G$14)-Norm_Stats!$F$14)/(Norm_Stats!$G$14-Norm_Stats!$F$14)))))="",0,(IF(OR(City_Inputs!$Z36="",Norm_Stats!$F$14="",Norm_Stats!$G$14="",Norm_Stats!$G$14=Norm_Stats!$F$14),"",MAX(0,MIN(100,100*(MIN(MAX(City_Inputs!$Z36,Norm_Stats!$F$14),Norm_Stats!$G$14)-Norm_Stats!$F$14)/(Norm_Stats!$G$14-Norm_Stats!$F$14)))))*0.7)+IF((IF(OR(City_Inputs!$AK36="",Norm_Stats!$F$15="",Norm_Stats!$G$15="",Norm_Stats!$G$15=Norm_Stats!$F$15),"",MAX(0,MIN(100,100*(Norm_Stats!$G$15-MIN(MAX(City_Inputs!$AK36,Norm_Stats!$F$15),Norm_Stats!$G$15))/(Norm_Stats!$G$15-Norm_Stats!$F$15)))))="",0,(IF(OR(City_Inputs!$AK36="",Norm_Stats!$F$15="",Norm_Stats!$G$15="",Norm_Stats!$G$15=Norm_Stats!$F$15),"",MAX(0,MIN(100,100*(Norm_Stats!$G$15-MIN(MAX(City_Inputs!$AK36,Norm_Stats!$F$15),Norm_Stats!$G$15))/(Norm_Stats!$G$15-Norm_Stats!$F$15)))))*0.3))/(IF((IF(OR(City_Inputs!$Z36="",Norm_Stats!$F$14="",Norm_Stats!$G$14="",Norm_Stats!$G$14=Norm_Stats!$F$14),"",MAX(0,MIN(100,100*(MIN(MAX(City_Inputs!$Z36,Norm_Stats!$F$14),Norm_Stats!$G$14)-Norm_Stats!$F$14)/(Norm_Stats!$G$14-Norm_Stats!$F$14)))))="",0,0.7)+IF((IF(OR(City_Inputs!$AK36="",Norm_Stats!$F$15="",Norm_Stats!$G$15="",Norm_Stats!$G$15=Norm_Stats!$F$15),"",MAX(0,MIN(100,100*(Norm_Stats!$G$15-MIN(MAX(City_Inputs!$AK36,Norm_Stats!$F$15),Norm_Stats!$G$15))/(Norm_Stats!$G$15-Norm_Stats!$F$15)))))="",0,0.3)))</f>
        <v/>
      </c>
      <c r="AJ36" s="14">
        <f>IF((IF((IF(OR(City_Inputs!$Z36="",Norm_Stats!$F$14="",Norm_Stats!$G$14="",Norm_Stats!$G$14=Norm_Stats!$F$14),"",MAX(0,MIN(100,100*(MIN(MAX(City_Inputs!$Z36,Norm_Stats!$F$14),Norm_Stats!$G$14)-Norm_Stats!$F$14)/(Norm_Stats!$G$14-Norm_Stats!$F$14)))))="",0,0.7)+IF((IF(OR(City_Inputs!$AK36="",Norm_Stats!$F$15="",Norm_Stats!$G$15="",Norm_Stats!$G$15=Norm_Stats!$F$15),"",MAX(0,MIN(100,100*(Norm_Stats!$G$15-MIN(MAX(City_Inputs!$AK36,Norm_Stats!$F$15),Norm_Stats!$G$15))/(Norm_Stats!$G$15-Norm_Stats!$F$15)))))="",0,0.3))=0,"",(IF((IF(OR(City_Inputs!$Z36="",Norm_Stats!$F$14="",Norm_Stats!$G$14="",Norm_Stats!$G$14=Norm_Stats!$F$14),"",MAX(0,MIN(100,100*(MIN(MAX(City_Inputs!$Z36,Norm_Stats!$F$14),Norm_Stats!$G$14)-Norm_Stats!$F$14)/(Norm_Stats!$G$14-Norm_Stats!$F$14)))))="",0,0.7)+IF((IF(OR(City_Inputs!$AK36="",Norm_Stats!$F$15="",Norm_Stats!$G$15="",Norm_Stats!$G$15=Norm_Stats!$F$15),"",MAX(0,MIN(100,100*(Norm_Stats!$G$15-MIN(MAX(City_Inputs!$AK36,Norm_Stats!$F$15),Norm_Stats!$G$15))/(Norm_Stats!$G$15-Norm_Stats!$F$15)))))="",0,0.3)))</f>
        <v/>
      </c>
      <c r="AK36" s="15">
        <f>IF((IF(AE36="",0,8)+IF(AG36="",0,6)+IF(AI36="",0,4))=0,"",(IF(AE36="",0,AE36*8)+IF(AG36="",0,AG36*6)+IF(AI36="",0,AI36*4))/(IF(AE36="",0,8)+IF(AG36="",0,6)+IF(AI36="",0,4)))</f>
        <v/>
      </c>
      <c r="AL36" s="14">
        <f>IF((IF(AF36="",0,8)+IF(AH36="",0,6)+IF(AJ36="",0,4))=0,"",(IF(AF36="",0,AF36*8)+IF(AH36="",0,AH36*6)+IF(AJ36="",0,AJ36*4))/18)</f>
        <v/>
      </c>
      <c r="AM36" s="11">
        <f>IF(OR(City_Inputs!$AA36="",Norm_Stats!$F$16="",Norm_Stats!$G$16="",Norm_Stats!$G$16=Norm_Stats!$F$16),"",MAX(0,MIN(100,100*(MIN(MAX(City_Inputs!$AA36,Norm_Stats!$F$16),Norm_Stats!$G$16)-Norm_Stats!$F$16)/(Norm_Stats!$G$16-Norm_Stats!$F$16))))</f>
        <v/>
      </c>
      <c r="AN36" s="14">
        <f>IF(AM36="","",1)</f>
        <v/>
      </c>
      <c r="AO36" s="11">
        <f>IF(OR(City_Inputs!$AB36="",Norm_Stats!$F$17="",Norm_Stats!$G$17="",Norm_Stats!$G$17=Norm_Stats!$F$17),"",MAX(0,MIN(100,100*(MIN(MAX(City_Inputs!$AB36,Norm_Stats!$F$17),Norm_Stats!$G$17)-Norm_Stats!$F$17)/(Norm_Stats!$G$17-Norm_Stats!$F$17))))</f>
        <v/>
      </c>
      <c r="AP36" s="14">
        <f>IF(AO36="","",1)</f>
        <v/>
      </c>
      <c r="AQ36" s="11">
        <f>IF(OR(City_Inputs!$AC36="",Norm_Stats!$F$18="",Norm_Stats!$G$18="",Norm_Stats!$G$18=Norm_Stats!$F$18),"",MAX(0,MIN(100,100*(MIN(MAX(City_Inputs!$AC36,Norm_Stats!$F$18),Norm_Stats!$G$18)-Norm_Stats!$F$18)/(Norm_Stats!$G$18-Norm_Stats!$F$18))))</f>
        <v/>
      </c>
      <c r="AR36" s="14">
        <f>IF(AQ36="","",1)</f>
        <v/>
      </c>
      <c r="AS36" s="15">
        <f>IF((IF(AM36="",0,5)+IF(AO36="",0,5)+IF(AQ36="",0,5))=0,"",(IF(AM36="",0,AM36*5)+IF(AO36="",0,AO36*5)+IF(AQ36="",0,AQ36*5))/(IF(AM36="",0,5)+IF(AO36="",0,5)+IF(AQ36="",0,5)))</f>
        <v/>
      </c>
      <c r="AT36" s="14">
        <f>IF((IF(AN36="",0,5)+IF(AP36="",0,5)+IF(AR36="",0,5))=0,"",(IF(AN36="",0,AN36*5)+IF(AP36="",0,AP36*5)+IF(AR36="",0,AR36*5))/15)</f>
        <v/>
      </c>
      <c r="AU36" s="11">
        <f>IF(OR(City_Inputs!$AD36="",Norm_Stats!$F$19="",Norm_Stats!$G$19="",Norm_Stats!$G$19=Norm_Stats!$F$19),"",MAX(0,MIN(100,100*(MIN(MAX(City_Inputs!$AD36,Norm_Stats!$F$19),Norm_Stats!$G$19)-Norm_Stats!$F$19)/(Norm_Stats!$G$19-Norm_Stats!$F$19))))</f>
        <v/>
      </c>
      <c r="AV36" s="14">
        <f>IF(AU36="","",1)</f>
        <v/>
      </c>
      <c r="AW36" s="11">
        <f>IF(OR(City_Inputs!$AE36="",Norm_Stats!$F$20="",Norm_Stats!$G$20="",Norm_Stats!$G$20=Norm_Stats!$F$20),"",MAX(0,MIN(100,100*(MIN(MAX(City_Inputs!$AE36,Norm_Stats!$F$20),Norm_Stats!$G$20)-Norm_Stats!$F$20)/(Norm_Stats!$G$20-Norm_Stats!$F$20))))</f>
        <v/>
      </c>
      <c r="AX36" s="14">
        <f>IF(AW36="","",1)</f>
        <v/>
      </c>
      <c r="AY36" s="11">
        <f>IF((IF((IF(OR(City_Inputs!$AF36="",Norm_Stats!$F$21="",Norm_Stats!$G$21="",Norm_Stats!$G$21=Norm_Stats!$F$21),"",MAX(0,MIN(100,100*(MIN(MAX(City_Inputs!$AF36,Norm_Stats!$F$21),Norm_Stats!$G$21)-Norm_Stats!$F$21)/(Norm_Stats!$G$21-Norm_Stats!$F$21)))))="",0,0.5)+IF((IF(OR(City_Inputs!$AI36="",Norm_Stats!$F$22="",Norm_Stats!$G$22="",Norm_Stats!$G$22=Norm_Stats!$F$22),"",MAX(0,MIN(100,100*(MIN(MAX(City_Inputs!$AI36,Norm_Stats!$F$22),Norm_Stats!$G$22)-Norm_Stats!$F$22)/(Norm_Stats!$G$22-Norm_Stats!$F$22)))))="",0,0.3)+IF((IF(OR(City_Inputs!$AJ36="",Norm_Stats!$F$23="",Norm_Stats!$G$23="",Norm_Stats!$G$23=Norm_Stats!$F$23),"",MAX(0,MIN(100,100*(MIN(MAX(City_Inputs!$AJ36,Norm_Stats!$F$23),Norm_Stats!$G$23)-Norm_Stats!$F$23)/(Norm_Stats!$G$23-Norm_Stats!$F$23)))))="",0,0.2))=0,"",(IF((IF(OR(City_Inputs!$AF36="",Norm_Stats!$F$21="",Norm_Stats!$G$21="",Norm_Stats!$G$21=Norm_Stats!$F$21),"",MAX(0,MIN(100,100*(MIN(MAX(City_Inputs!$AF36,Norm_Stats!$F$21),Norm_Stats!$G$21)-Norm_Stats!$F$21)/(Norm_Stats!$G$21-Norm_Stats!$F$21)))))="",0,(IF(OR(City_Inputs!$AF36="",Norm_Stats!$F$21="",Norm_Stats!$G$21="",Norm_Stats!$G$21=Norm_Stats!$F$21),"",MAX(0,MIN(100,100*(MIN(MAX(City_Inputs!$AF36,Norm_Stats!$F$21),Norm_Stats!$G$21)-Norm_Stats!$F$21)/(Norm_Stats!$G$21-Norm_Stats!$F$21)))))*0.5)+IF((IF(OR(City_Inputs!$AI36="",Norm_Stats!$F$22="",Norm_Stats!$G$22="",Norm_Stats!$G$22=Norm_Stats!$F$22),"",MAX(0,MIN(100,100*(MIN(MAX(City_Inputs!$AI36,Norm_Stats!$F$22),Norm_Stats!$G$22)-Norm_Stats!$F$22)/(Norm_Stats!$G$22-Norm_Stats!$F$22)))))="",0,(IF(OR(City_Inputs!$AI36="",Norm_Stats!$F$22="",Norm_Stats!$G$22="",Norm_Stats!$G$22=Norm_Stats!$F$22),"",MAX(0,MIN(100,100*(MIN(MAX(City_Inputs!$AI36,Norm_Stats!$F$22),Norm_Stats!$G$22)-Norm_Stats!$F$22)/(Norm_Stats!$G$22-Norm_Stats!$F$22)))))*0.3)+IF((IF(OR(City_Inputs!$AJ36="",Norm_Stats!$F$23="",Norm_Stats!$G$23="",Norm_Stats!$G$23=Norm_Stats!$F$23),"",MAX(0,MIN(100,100*(MIN(MAX(City_Inputs!$AJ36,Norm_Stats!$F$23),Norm_Stats!$G$23)-Norm_Stats!$F$23)/(Norm_Stats!$G$23-Norm_Stats!$F$23)))))="",0,(IF(OR(City_Inputs!$AJ36="",Norm_Stats!$F$23="",Norm_Stats!$G$23="",Norm_Stats!$G$23=Norm_Stats!$F$23),"",MAX(0,MIN(100,100*(MIN(MAX(City_Inputs!$AJ36,Norm_Stats!$F$23),Norm_Stats!$G$23)-Norm_Stats!$F$23)/(Norm_Stats!$G$23-Norm_Stats!$F$23)))))*0.2))/(IF((IF(OR(City_Inputs!$AF36="",Norm_Stats!$F$21="",Norm_Stats!$G$21="",Norm_Stats!$G$21=Norm_Stats!$F$21),"",MAX(0,MIN(100,100*(MIN(MAX(City_Inputs!$AF36,Norm_Stats!$F$21),Norm_Stats!$G$21)-Norm_Stats!$F$21)/(Norm_Stats!$G$21-Norm_Stats!$F$21)))))="",0,0.5)+IF((IF(OR(City_Inputs!$AI36="",Norm_Stats!$F$22="",Norm_Stats!$G$22="",Norm_Stats!$G$22=Norm_Stats!$F$22),"",MAX(0,MIN(100,100*(MIN(MAX(City_Inputs!$AI36,Norm_Stats!$F$22),Norm_Stats!$G$22)-Norm_Stats!$F$22)/(Norm_Stats!$G$22-Norm_Stats!$F$22)))))="",0,0.3)+IF((IF(OR(City_Inputs!$AJ36="",Norm_Stats!$F$23="",Norm_Stats!$G$23="",Norm_Stats!$G$23=Norm_Stats!$F$23),"",MAX(0,MIN(100,100*(MIN(MAX(City_Inputs!$AJ36,Norm_Stats!$F$23),Norm_Stats!$G$23)-Norm_Stats!$F$23)/(Norm_Stats!$G$23-Norm_Stats!$F$23)))))="",0,0.2)))</f>
        <v/>
      </c>
      <c r="AZ36" s="14">
        <f>IF((IF((IF(OR(City_Inputs!$AF36="",Norm_Stats!$F$21="",Norm_Stats!$G$21="",Norm_Stats!$G$21=Norm_Stats!$F$21),"",MAX(0,MIN(100,100*(MIN(MAX(City_Inputs!$AF36,Norm_Stats!$F$21),Norm_Stats!$G$21)-Norm_Stats!$F$21)/(Norm_Stats!$G$21-Norm_Stats!$F$21)))))="",0,0.5)+IF((IF(OR(City_Inputs!$AI36="",Norm_Stats!$F$22="",Norm_Stats!$G$22="",Norm_Stats!$G$22=Norm_Stats!$F$22),"",MAX(0,MIN(100,100*(MIN(MAX(City_Inputs!$AI36,Norm_Stats!$F$22),Norm_Stats!$G$22)-Norm_Stats!$F$22)/(Norm_Stats!$G$22-Norm_Stats!$F$22)))))="",0,0.3)+IF((IF(OR(City_Inputs!$AJ36="",Norm_Stats!$F$23="",Norm_Stats!$G$23="",Norm_Stats!$G$23=Norm_Stats!$F$23),"",MAX(0,MIN(100,100*(MIN(MAX(City_Inputs!$AJ36,Norm_Stats!$F$23),Norm_Stats!$G$23)-Norm_Stats!$F$23)/(Norm_Stats!$G$23-Norm_Stats!$F$23)))))="",0,0.2))=0,"",(IF((IF(OR(City_Inputs!$AF36="",Norm_Stats!$F$21="",Norm_Stats!$G$21="",Norm_Stats!$G$21=Norm_Stats!$F$21),"",MAX(0,MIN(100,100*(MIN(MAX(City_Inputs!$AF36,Norm_Stats!$F$21),Norm_Stats!$G$21)-Norm_Stats!$F$21)/(Norm_Stats!$G$21-Norm_Stats!$F$21)))))="",0,0.5)+IF((IF(OR(City_Inputs!$AI36="",Norm_Stats!$F$22="",Norm_Stats!$G$22="",Norm_Stats!$G$22=Norm_Stats!$F$22),"",MAX(0,MIN(100,100*(MIN(MAX(City_Inputs!$AI36,Norm_Stats!$F$22),Norm_Stats!$G$22)-Norm_Stats!$F$22)/(Norm_Stats!$G$22-Norm_Stats!$F$22)))))="",0,0.3)+IF((IF(OR(City_Inputs!$AJ36="",Norm_Stats!$F$23="",Norm_Stats!$G$23="",Norm_Stats!$G$23=Norm_Stats!$F$23),"",MAX(0,MIN(100,100*(MIN(MAX(City_Inputs!$AJ36,Norm_Stats!$F$23),Norm_Stats!$G$23)-Norm_Stats!$F$23)/(Norm_Stats!$G$23-Norm_Stats!$F$23)))))="",0,0.2)))</f>
        <v/>
      </c>
      <c r="BA36" s="11">
        <f>IF(OR(City_Inputs!$AG36="",Norm_Stats!$F$24="",Norm_Stats!$G$24="",Norm_Stats!$G$24=Norm_Stats!$F$24),"",MAX(0,MIN(100,100*(Norm_Stats!$G$24-MIN(MAX(City_Inputs!$AG36,Norm_Stats!$F$24),Norm_Stats!$G$24))/(Norm_Stats!$G$24-Norm_Stats!$F$24))))</f>
        <v/>
      </c>
      <c r="BB36" s="14">
        <f>IF(BA36="","",1)</f>
        <v/>
      </c>
      <c r="BC36" s="15">
        <f>IF((IF(AU36="",0,6)+IF(AW36="",0,5)+IF(AY36="",0,5)+IF(BA36="",0,4))=0,"",(IF(AU36="",0,AU36*6)+IF(AW36="",0,AW36*5)+IF(AY36="",0,AY36*5)+IF(BA36="",0,BA36*4))/(IF(AU36="",0,6)+IF(AW36="",0,5)+IF(AY36="",0,5)+IF(BA36="",0,4)))</f>
        <v/>
      </c>
      <c r="BD36" s="14">
        <f>IF((IF(AV36="",0,6)+IF(AX36="",0,5)+IF(AZ36="",0,5)+IF(BB36="",0,4))=0,"",(IF(AV36="",0,AV36*6)+IF(AX36="",0,AX36*5)+IF(AZ36="",0,AZ36*5)+IF(BB36="",0,BB36*4))/20)</f>
        <v/>
      </c>
      <c r="BE36" s="14">
        <f>IF(AND(R36="",AD36="",AL36="",AT36="",BD36=""),"",((R36*25)+(AD36*22)+(AL36*18)+(AT36*15)+(BD36*20))/100)</f>
        <v/>
      </c>
      <c r="BF36" s="11">
        <f>IF(BE36="","",IF(BE36&gt;=0.75,"A",IF(BE36&gt;=0.5,"B",IF(BE36&gt;=0.35,"C","Watchlist"))))</f>
        <v/>
      </c>
      <c r="BG36" s="11">
        <f>IF(OR(BE36="",BE36&lt;0.5,R36="",R36&lt;0.35,AD36="",AD36&lt;0.35,AL36="",AL36&lt;0.35,AT36="",AT36&lt;0.35,BD36="",BD36&lt;0.35),"Watchlist","Ranked")</f>
        <v/>
      </c>
      <c r="BH36" s="15">
        <f>IF(AND(Q36="",AC36="",AK36="",AS36="",BC36=""),"",(IF(Q36="",0,Q36*25)+IF(AC36="",0,AC36*22)+IF(AK36="",0,AK36*18)+IF(AS36="",0,AS36*15)+IF(BC36="",0,BC36*20))/(IF(Q36="",0,25)+IF(AC36="",0,22)+IF(AK36="",0,18)+IF(AS36="",0,15)+IF(BC36="",0,20)))</f>
        <v/>
      </c>
      <c r="BI36" s="11">
        <f>IF(BG36="Ranked",1+COUNTIFS($BG$2:$BG$103,"Ranked",$BH$2:$BH$103,"&gt;"&amp;BH36),"")</f>
        <v/>
      </c>
      <c r="BJ36" s="11">
        <f>City_Inputs!$AH36</f>
        <v/>
      </c>
    </row>
    <row r="37">
      <c r="A37" t="inlineStr">
        <is>
          <t>it-milan</t>
        </is>
      </c>
      <c r="B37" t="inlineStr">
        <is>
          <t>Milan</t>
        </is>
      </c>
      <c r="C37" t="inlineStr">
        <is>
          <t>Italy</t>
        </is>
      </c>
      <c r="D37" t="inlineStr">
        <is>
          <t>Western, Northern, and Southern Europe</t>
        </is>
      </c>
      <c r="E37" t="inlineStr">
        <is>
          <t>provisional</t>
        </is>
      </c>
      <c r="F37" t="inlineStr">
        <is>
          <t>primary</t>
        </is>
      </c>
      <c r="G37" s="11">
        <f>IF(OR(City_Inputs!$M37="",Norm_Stats!$F$2="",Norm_Stats!$G$2="",Norm_Stats!$G$2=Norm_Stats!$F$2),"",MAX(0,MIN(100,100*(MIN(MAX(City_Inputs!$M37,Norm_Stats!$F$2),Norm_Stats!$G$2)-Norm_Stats!$F$2)/(Norm_Stats!$G$2-Norm_Stats!$F$2))))</f>
        <v/>
      </c>
      <c r="H37" s="14">
        <f>IF(G37="","",1)</f>
        <v/>
      </c>
      <c r="I37" s="11">
        <f>IF(OR(City_Inputs!$N37="",Norm_Stats!$F$3="",Norm_Stats!$G$3="",Norm_Stats!$G$3=Norm_Stats!$F$3),"",MAX(0,MIN(100,100*(Norm_Stats!$G$3-MIN(MAX(City_Inputs!$N37,Norm_Stats!$F$3),Norm_Stats!$G$3))/(Norm_Stats!$G$3-Norm_Stats!$F$3))))</f>
        <v/>
      </c>
      <c r="J37" s="14">
        <f>IF(I37="","",1)</f>
        <v/>
      </c>
      <c r="K37" s="11">
        <f>IF(OR(City_Inputs!$P37="",Norm_Stats!$F$4="",Norm_Stats!$G$4="",Norm_Stats!$G$4=Norm_Stats!$F$4),"",MAX(0,MIN(100,100*(Norm_Stats!$G$4-MIN(MAX(City_Inputs!$P37,Norm_Stats!$F$4),Norm_Stats!$G$4))/(Norm_Stats!$G$4-Norm_Stats!$F$4))))</f>
        <v/>
      </c>
      <c r="L37" s="14">
        <f>IF(K37="","",1)</f>
        <v/>
      </c>
      <c r="M37" s="11">
        <f>IF(OR(City_Inputs!$Q37="",Norm_Stats!$F$5="",Norm_Stats!$G$5="",Norm_Stats!$G$5=Norm_Stats!$F$5),"",MAX(0,MIN(100,100*(Norm_Stats!$G$5-MIN(MAX(City_Inputs!$Q37,Norm_Stats!$F$5),Norm_Stats!$G$5))/(Norm_Stats!$G$5-Norm_Stats!$F$5))))</f>
        <v/>
      </c>
      <c r="N37" s="14">
        <f>IF(M37="","",1)</f>
        <v/>
      </c>
      <c r="O37" s="11">
        <f>IF(OR(City_Inputs!$R37="",Norm_Stats!$F$6="",Norm_Stats!$G$6="",Norm_Stats!$G$6=Norm_Stats!$F$6),"",MAX(0,MIN(100,100*(Norm_Stats!$G$6-MIN(MAX(City_Inputs!$R37,Norm_Stats!$F$6),Norm_Stats!$G$6))/(Norm_Stats!$G$6-Norm_Stats!$F$6))))</f>
        <v/>
      </c>
      <c r="P37" s="14">
        <f>IF(O37="","",1)</f>
        <v/>
      </c>
      <c r="Q37" s="15">
        <f>IF((IF(G37="",0,9)+IF(I37="",0,5)+IF(K37="",0,4)+IF(M37="",0,4)+IF(O37="",0,3))=0,"",(IF(G37="",0,G37*9)+IF(I37="",0,I37*5)+IF(K37="",0,K37*4)+IF(M37="",0,M37*4)+IF(O37="",0,O37*3))/(IF(G37="",0,9)+IF(I37="",0,5)+IF(K37="",0,4)+IF(M37="",0,4)+IF(O37="",0,3)))</f>
        <v/>
      </c>
      <c r="R37" s="14">
        <f>IF((IF(H37="",0,9)+IF(J37="",0,5)+IF(L37="",0,4)+IF(N37="",0,4)+IF(P37="",0,3))=0,"",(IF(H37="",0,H37*9)+IF(J37="",0,J37*5)+IF(L37="",0,L37*4)+IF(N37="",0,N37*4)+IF(P37="",0,P37*3))/25)</f>
        <v/>
      </c>
      <c r="S37" s="11">
        <f>IF(OR(City_Inputs!$S37="",Norm_Stats!$F$7="",Norm_Stats!$G$7="",Norm_Stats!$G$7=Norm_Stats!$F$7),"",MAX(0,MIN(100,100*(Norm_Stats!$G$7-MIN(MAX(City_Inputs!$S37,Norm_Stats!$F$7),Norm_Stats!$G$7))/(Norm_Stats!$G$7-Norm_Stats!$F$7))))</f>
        <v/>
      </c>
      <c r="T37" s="14">
        <f>IF(S37="","",1)</f>
        <v/>
      </c>
      <c r="U37" s="11">
        <f>IF(OR(City_Inputs!$T37="",Norm_Stats!$F$8="",Norm_Stats!$G$8="",Norm_Stats!$G$8=Norm_Stats!$F$8),"",MAX(0,MIN(100,100*(MIN(MAX(City_Inputs!$T37,Norm_Stats!$F$8),Norm_Stats!$G$8)-Norm_Stats!$F$8)/(Norm_Stats!$G$8-Norm_Stats!$F$8))))</f>
        <v/>
      </c>
      <c r="V37" s="14">
        <f>IF(U37="","",1)</f>
        <v/>
      </c>
      <c r="W37" s="11">
        <f>IF(OR(City_Inputs!$U37="",Norm_Stats!$F$9="",Norm_Stats!$G$9="",Norm_Stats!$G$9=Norm_Stats!$F$9),"",MAX(0,MIN(100,100*(Norm_Stats!$G$9-MIN(MAX(City_Inputs!$U37,Norm_Stats!$F$9),Norm_Stats!$G$9))/(Norm_Stats!$G$9-Norm_Stats!$F$9))))</f>
        <v/>
      </c>
      <c r="X37" s="14">
        <f>IF(W37="","",1)</f>
        <v/>
      </c>
      <c r="Y37" s="11">
        <f>IF(OR(City_Inputs!$V37="",Norm_Stats!$F$10="",Norm_Stats!$G$10="",Norm_Stats!$G$10=Norm_Stats!$F$10),"",MAX(0,MIN(100,100*(MIN(MAX(City_Inputs!$V37,Norm_Stats!$F$10),Norm_Stats!$G$10)-Norm_Stats!$F$10)/(Norm_Stats!$G$10-Norm_Stats!$F$10))))</f>
        <v/>
      </c>
      <c r="Z37" s="14">
        <f>IF(Y37="","",1)</f>
        <v/>
      </c>
      <c r="AA37" s="11">
        <f>IF(OR(City_Inputs!$W37="",Norm_Stats!$F$11="",Norm_Stats!$G$11="",Norm_Stats!$G$11=Norm_Stats!$F$11),"",MAX(0,MIN(100,100*(MIN(MAX(City_Inputs!$W37,Norm_Stats!$F$11),Norm_Stats!$G$11)-Norm_Stats!$F$11)/(Norm_Stats!$G$11-Norm_Stats!$F$11))))</f>
        <v/>
      </c>
      <c r="AB37" s="14">
        <f>IF(AA37="","",1)</f>
        <v/>
      </c>
      <c r="AC37" s="15">
        <f>IF((IF(S37="",0,5)+IF(U37="",0,5)+IF(W37="",0,4)+IF(Y37="",0,4)+IF(AA37="",0,4))=0,"",(IF(S37="",0,S37*5)+IF(U37="",0,U37*5)+IF(W37="",0,W37*4)+IF(Y37="",0,Y37*4)+IF(AA37="",0,AA37*4))/(IF(S37="",0,5)+IF(U37="",0,5)+IF(W37="",0,4)+IF(Y37="",0,4)+IF(AA37="",0,4)))</f>
        <v/>
      </c>
      <c r="AD37" s="14">
        <f>IF((IF(T37="",0,5)+IF(V37="",0,5)+IF(X37="",0,4)+IF(Z37="",0,4)+IF(AB37="",0,4))=0,"",(IF(T37="",0,T37*5)+IF(V37="",0,V37*5)+IF(X37="",0,X37*4)+IF(Z37="",0,Z37*4)+IF(AB37="",0,AB37*4))/22)</f>
        <v/>
      </c>
      <c r="AE37" s="11">
        <f>IF(OR(City_Inputs!$X37="",Norm_Stats!$F$12="",Norm_Stats!$G$12="",Norm_Stats!$G$12=Norm_Stats!$F$12),"",MAX(0,MIN(100,100*(MIN(MAX(City_Inputs!$X37,Norm_Stats!$F$12),Norm_Stats!$G$12)-Norm_Stats!$F$12)/(Norm_Stats!$G$12-Norm_Stats!$F$12))))</f>
        <v/>
      </c>
      <c r="AF37" s="14">
        <f>IF(AE37="","",1)</f>
        <v/>
      </c>
      <c r="AG37" s="11">
        <f>IF(OR(City_Inputs!$Y37="",Norm_Stats!$F$13="",Norm_Stats!$G$13="",Norm_Stats!$G$13=Norm_Stats!$F$13),"",MAX(0,MIN(100,100*(MIN(MAX(City_Inputs!$Y37,Norm_Stats!$F$13),Norm_Stats!$G$13)-Norm_Stats!$F$13)/(Norm_Stats!$G$13-Norm_Stats!$F$13))))</f>
        <v/>
      </c>
      <c r="AH37" s="14">
        <f>IF(AG37="","",1)</f>
        <v/>
      </c>
      <c r="AI37" s="11">
        <f>IF((IF((IF(OR(City_Inputs!$Z37="",Norm_Stats!$F$14="",Norm_Stats!$G$14="",Norm_Stats!$G$14=Norm_Stats!$F$14),"",MAX(0,MIN(100,100*(MIN(MAX(City_Inputs!$Z37,Norm_Stats!$F$14),Norm_Stats!$G$14)-Norm_Stats!$F$14)/(Norm_Stats!$G$14-Norm_Stats!$F$14)))))="",0,0.7)+IF((IF(OR(City_Inputs!$AK37="",Norm_Stats!$F$15="",Norm_Stats!$G$15="",Norm_Stats!$G$15=Norm_Stats!$F$15),"",MAX(0,MIN(100,100*(Norm_Stats!$G$15-MIN(MAX(City_Inputs!$AK37,Norm_Stats!$F$15),Norm_Stats!$G$15))/(Norm_Stats!$G$15-Norm_Stats!$F$15)))))="",0,0.3))=0,"",(IF((IF(OR(City_Inputs!$Z37="",Norm_Stats!$F$14="",Norm_Stats!$G$14="",Norm_Stats!$G$14=Norm_Stats!$F$14),"",MAX(0,MIN(100,100*(MIN(MAX(City_Inputs!$Z37,Norm_Stats!$F$14),Norm_Stats!$G$14)-Norm_Stats!$F$14)/(Norm_Stats!$G$14-Norm_Stats!$F$14)))))="",0,(IF(OR(City_Inputs!$Z37="",Norm_Stats!$F$14="",Norm_Stats!$G$14="",Norm_Stats!$G$14=Norm_Stats!$F$14),"",MAX(0,MIN(100,100*(MIN(MAX(City_Inputs!$Z37,Norm_Stats!$F$14),Norm_Stats!$G$14)-Norm_Stats!$F$14)/(Norm_Stats!$G$14-Norm_Stats!$F$14)))))*0.7)+IF((IF(OR(City_Inputs!$AK37="",Norm_Stats!$F$15="",Norm_Stats!$G$15="",Norm_Stats!$G$15=Norm_Stats!$F$15),"",MAX(0,MIN(100,100*(Norm_Stats!$G$15-MIN(MAX(City_Inputs!$AK37,Norm_Stats!$F$15),Norm_Stats!$G$15))/(Norm_Stats!$G$15-Norm_Stats!$F$15)))))="",0,(IF(OR(City_Inputs!$AK37="",Norm_Stats!$F$15="",Norm_Stats!$G$15="",Norm_Stats!$G$15=Norm_Stats!$F$15),"",MAX(0,MIN(100,100*(Norm_Stats!$G$15-MIN(MAX(City_Inputs!$AK37,Norm_Stats!$F$15),Norm_Stats!$G$15))/(Norm_Stats!$G$15-Norm_Stats!$F$15)))))*0.3))/(IF((IF(OR(City_Inputs!$Z37="",Norm_Stats!$F$14="",Norm_Stats!$G$14="",Norm_Stats!$G$14=Norm_Stats!$F$14),"",MAX(0,MIN(100,100*(MIN(MAX(City_Inputs!$Z37,Norm_Stats!$F$14),Norm_Stats!$G$14)-Norm_Stats!$F$14)/(Norm_Stats!$G$14-Norm_Stats!$F$14)))))="",0,0.7)+IF((IF(OR(City_Inputs!$AK37="",Norm_Stats!$F$15="",Norm_Stats!$G$15="",Norm_Stats!$G$15=Norm_Stats!$F$15),"",MAX(0,MIN(100,100*(Norm_Stats!$G$15-MIN(MAX(City_Inputs!$AK37,Norm_Stats!$F$15),Norm_Stats!$G$15))/(Norm_Stats!$G$15-Norm_Stats!$F$15)))))="",0,0.3)))</f>
        <v/>
      </c>
      <c r="AJ37" s="14">
        <f>IF((IF((IF(OR(City_Inputs!$Z37="",Norm_Stats!$F$14="",Norm_Stats!$G$14="",Norm_Stats!$G$14=Norm_Stats!$F$14),"",MAX(0,MIN(100,100*(MIN(MAX(City_Inputs!$Z37,Norm_Stats!$F$14),Norm_Stats!$G$14)-Norm_Stats!$F$14)/(Norm_Stats!$G$14-Norm_Stats!$F$14)))))="",0,0.7)+IF((IF(OR(City_Inputs!$AK37="",Norm_Stats!$F$15="",Norm_Stats!$G$15="",Norm_Stats!$G$15=Norm_Stats!$F$15),"",MAX(0,MIN(100,100*(Norm_Stats!$G$15-MIN(MAX(City_Inputs!$AK37,Norm_Stats!$F$15),Norm_Stats!$G$15))/(Norm_Stats!$G$15-Norm_Stats!$F$15)))))="",0,0.3))=0,"",(IF((IF(OR(City_Inputs!$Z37="",Norm_Stats!$F$14="",Norm_Stats!$G$14="",Norm_Stats!$G$14=Norm_Stats!$F$14),"",MAX(0,MIN(100,100*(MIN(MAX(City_Inputs!$Z37,Norm_Stats!$F$14),Norm_Stats!$G$14)-Norm_Stats!$F$14)/(Norm_Stats!$G$14-Norm_Stats!$F$14)))))="",0,0.7)+IF((IF(OR(City_Inputs!$AK37="",Norm_Stats!$F$15="",Norm_Stats!$G$15="",Norm_Stats!$G$15=Norm_Stats!$F$15),"",MAX(0,MIN(100,100*(Norm_Stats!$G$15-MIN(MAX(City_Inputs!$AK37,Norm_Stats!$F$15),Norm_Stats!$G$15))/(Norm_Stats!$G$15-Norm_Stats!$F$15)))))="",0,0.3)))</f>
        <v/>
      </c>
      <c r="AK37" s="15">
        <f>IF((IF(AE37="",0,8)+IF(AG37="",0,6)+IF(AI37="",0,4))=0,"",(IF(AE37="",0,AE37*8)+IF(AG37="",0,AG37*6)+IF(AI37="",0,AI37*4))/(IF(AE37="",0,8)+IF(AG37="",0,6)+IF(AI37="",0,4)))</f>
        <v/>
      </c>
      <c r="AL37" s="14">
        <f>IF((IF(AF37="",0,8)+IF(AH37="",0,6)+IF(AJ37="",0,4))=0,"",(IF(AF37="",0,AF37*8)+IF(AH37="",0,AH37*6)+IF(AJ37="",0,AJ37*4))/18)</f>
        <v/>
      </c>
      <c r="AM37" s="11">
        <f>IF(OR(City_Inputs!$AA37="",Norm_Stats!$F$16="",Norm_Stats!$G$16="",Norm_Stats!$G$16=Norm_Stats!$F$16),"",MAX(0,MIN(100,100*(MIN(MAX(City_Inputs!$AA37,Norm_Stats!$F$16),Norm_Stats!$G$16)-Norm_Stats!$F$16)/(Norm_Stats!$G$16-Norm_Stats!$F$16))))</f>
        <v/>
      </c>
      <c r="AN37" s="14">
        <f>IF(AM37="","",1)</f>
        <v/>
      </c>
      <c r="AO37" s="11">
        <f>IF(OR(City_Inputs!$AB37="",Norm_Stats!$F$17="",Norm_Stats!$G$17="",Norm_Stats!$G$17=Norm_Stats!$F$17),"",MAX(0,MIN(100,100*(MIN(MAX(City_Inputs!$AB37,Norm_Stats!$F$17),Norm_Stats!$G$17)-Norm_Stats!$F$17)/(Norm_Stats!$G$17-Norm_Stats!$F$17))))</f>
        <v/>
      </c>
      <c r="AP37" s="14">
        <f>IF(AO37="","",1)</f>
        <v/>
      </c>
      <c r="AQ37" s="11">
        <f>IF(OR(City_Inputs!$AC37="",Norm_Stats!$F$18="",Norm_Stats!$G$18="",Norm_Stats!$G$18=Norm_Stats!$F$18),"",MAX(0,MIN(100,100*(MIN(MAX(City_Inputs!$AC37,Norm_Stats!$F$18),Norm_Stats!$G$18)-Norm_Stats!$F$18)/(Norm_Stats!$G$18-Norm_Stats!$F$18))))</f>
        <v/>
      </c>
      <c r="AR37" s="14">
        <f>IF(AQ37="","",1)</f>
        <v/>
      </c>
      <c r="AS37" s="15">
        <f>IF((IF(AM37="",0,5)+IF(AO37="",0,5)+IF(AQ37="",0,5))=0,"",(IF(AM37="",0,AM37*5)+IF(AO37="",0,AO37*5)+IF(AQ37="",0,AQ37*5))/(IF(AM37="",0,5)+IF(AO37="",0,5)+IF(AQ37="",0,5)))</f>
        <v/>
      </c>
      <c r="AT37" s="14">
        <f>IF((IF(AN37="",0,5)+IF(AP37="",0,5)+IF(AR37="",0,5))=0,"",(IF(AN37="",0,AN37*5)+IF(AP37="",0,AP37*5)+IF(AR37="",0,AR37*5))/15)</f>
        <v/>
      </c>
      <c r="AU37" s="11">
        <f>IF(OR(City_Inputs!$AD37="",Norm_Stats!$F$19="",Norm_Stats!$G$19="",Norm_Stats!$G$19=Norm_Stats!$F$19),"",MAX(0,MIN(100,100*(MIN(MAX(City_Inputs!$AD37,Norm_Stats!$F$19),Norm_Stats!$G$19)-Norm_Stats!$F$19)/(Norm_Stats!$G$19-Norm_Stats!$F$19))))</f>
        <v/>
      </c>
      <c r="AV37" s="14">
        <f>IF(AU37="","",1)</f>
        <v/>
      </c>
      <c r="AW37" s="11">
        <f>IF(OR(City_Inputs!$AE37="",Norm_Stats!$F$20="",Norm_Stats!$G$20="",Norm_Stats!$G$20=Norm_Stats!$F$20),"",MAX(0,MIN(100,100*(MIN(MAX(City_Inputs!$AE37,Norm_Stats!$F$20),Norm_Stats!$G$20)-Norm_Stats!$F$20)/(Norm_Stats!$G$20-Norm_Stats!$F$20))))</f>
        <v/>
      </c>
      <c r="AX37" s="14">
        <f>IF(AW37="","",1)</f>
        <v/>
      </c>
      <c r="AY37" s="11">
        <f>IF((IF((IF(OR(City_Inputs!$AF37="",Norm_Stats!$F$21="",Norm_Stats!$G$21="",Norm_Stats!$G$21=Norm_Stats!$F$21),"",MAX(0,MIN(100,100*(MIN(MAX(City_Inputs!$AF37,Norm_Stats!$F$21),Norm_Stats!$G$21)-Norm_Stats!$F$21)/(Norm_Stats!$G$21-Norm_Stats!$F$21)))))="",0,0.5)+IF((IF(OR(City_Inputs!$AI37="",Norm_Stats!$F$22="",Norm_Stats!$G$22="",Norm_Stats!$G$22=Norm_Stats!$F$22),"",MAX(0,MIN(100,100*(MIN(MAX(City_Inputs!$AI37,Norm_Stats!$F$22),Norm_Stats!$G$22)-Norm_Stats!$F$22)/(Norm_Stats!$G$22-Norm_Stats!$F$22)))))="",0,0.3)+IF((IF(OR(City_Inputs!$AJ37="",Norm_Stats!$F$23="",Norm_Stats!$G$23="",Norm_Stats!$G$23=Norm_Stats!$F$23),"",MAX(0,MIN(100,100*(MIN(MAX(City_Inputs!$AJ37,Norm_Stats!$F$23),Norm_Stats!$G$23)-Norm_Stats!$F$23)/(Norm_Stats!$G$23-Norm_Stats!$F$23)))))="",0,0.2))=0,"",(IF((IF(OR(City_Inputs!$AF37="",Norm_Stats!$F$21="",Norm_Stats!$G$21="",Norm_Stats!$G$21=Norm_Stats!$F$21),"",MAX(0,MIN(100,100*(MIN(MAX(City_Inputs!$AF37,Norm_Stats!$F$21),Norm_Stats!$G$21)-Norm_Stats!$F$21)/(Norm_Stats!$G$21-Norm_Stats!$F$21)))))="",0,(IF(OR(City_Inputs!$AF37="",Norm_Stats!$F$21="",Norm_Stats!$G$21="",Norm_Stats!$G$21=Norm_Stats!$F$21),"",MAX(0,MIN(100,100*(MIN(MAX(City_Inputs!$AF37,Norm_Stats!$F$21),Norm_Stats!$G$21)-Norm_Stats!$F$21)/(Norm_Stats!$G$21-Norm_Stats!$F$21)))))*0.5)+IF((IF(OR(City_Inputs!$AI37="",Norm_Stats!$F$22="",Norm_Stats!$G$22="",Norm_Stats!$G$22=Norm_Stats!$F$22),"",MAX(0,MIN(100,100*(MIN(MAX(City_Inputs!$AI37,Norm_Stats!$F$22),Norm_Stats!$G$22)-Norm_Stats!$F$22)/(Norm_Stats!$G$22-Norm_Stats!$F$22)))))="",0,(IF(OR(City_Inputs!$AI37="",Norm_Stats!$F$22="",Norm_Stats!$G$22="",Norm_Stats!$G$22=Norm_Stats!$F$22),"",MAX(0,MIN(100,100*(MIN(MAX(City_Inputs!$AI37,Norm_Stats!$F$22),Norm_Stats!$G$22)-Norm_Stats!$F$22)/(Norm_Stats!$G$22-Norm_Stats!$F$22)))))*0.3)+IF((IF(OR(City_Inputs!$AJ37="",Norm_Stats!$F$23="",Norm_Stats!$G$23="",Norm_Stats!$G$23=Norm_Stats!$F$23),"",MAX(0,MIN(100,100*(MIN(MAX(City_Inputs!$AJ37,Norm_Stats!$F$23),Norm_Stats!$G$23)-Norm_Stats!$F$23)/(Norm_Stats!$G$23-Norm_Stats!$F$23)))))="",0,(IF(OR(City_Inputs!$AJ37="",Norm_Stats!$F$23="",Norm_Stats!$G$23="",Norm_Stats!$G$23=Norm_Stats!$F$23),"",MAX(0,MIN(100,100*(MIN(MAX(City_Inputs!$AJ37,Norm_Stats!$F$23),Norm_Stats!$G$23)-Norm_Stats!$F$23)/(Norm_Stats!$G$23-Norm_Stats!$F$23)))))*0.2))/(IF((IF(OR(City_Inputs!$AF37="",Norm_Stats!$F$21="",Norm_Stats!$G$21="",Norm_Stats!$G$21=Norm_Stats!$F$21),"",MAX(0,MIN(100,100*(MIN(MAX(City_Inputs!$AF37,Norm_Stats!$F$21),Norm_Stats!$G$21)-Norm_Stats!$F$21)/(Norm_Stats!$G$21-Norm_Stats!$F$21)))))="",0,0.5)+IF((IF(OR(City_Inputs!$AI37="",Norm_Stats!$F$22="",Norm_Stats!$G$22="",Norm_Stats!$G$22=Norm_Stats!$F$22),"",MAX(0,MIN(100,100*(MIN(MAX(City_Inputs!$AI37,Norm_Stats!$F$22),Norm_Stats!$G$22)-Norm_Stats!$F$22)/(Norm_Stats!$G$22-Norm_Stats!$F$22)))))="",0,0.3)+IF((IF(OR(City_Inputs!$AJ37="",Norm_Stats!$F$23="",Norm_Stats!$G$23="",Norm_Stats!$G$23=Norm_Stats!$F$23),"",MAX(0,MIN(100,100*(MIN(MAX(City_Inputs!$AJ37,Norm_Stats!$F$23),Norm_Stats!$G$23)-Norm_Stats!$F$23)/(Norm_Stats!$G$23-Norm_Stats!$F$23)))))="",0,0.2)))</f>
        <v/>
      </c>
      <c r="AZ37" s="14">
        <f>IF((IF((IF(OR(City_Inputs!$AF37="",Norm_Stats!$F$21="",Norm_Stats!$G$21="",Norm_Stats!$G$21=Norm_Stats!$F$21),"",MAX(0,MIN(100,100*(MIN(MAX(City_Inputs!$AF37,Norm_Stats!$F$21),Norm_Stats!$G$21)-Norm_Stats!$F$21)/(Norm_Stats!$G$21-Norm_Stats!$F$21)))))="",0,0.5)+IF((IF(OR(City_Inputs!$AI37="",Norm_Stats!$F$22="",Norm_Stats!$G$22="",Norm_Stats!$G$22=Norm_Stats!$F$22),"",MAX(0,MIN(100,100*(MIN(MAX(City_Inputs!$AI37,Norm_Stats!$F$22),Norm_Stats!$G$22)-Norm_Stats!$F$22)/(Norm_Stats!$G$22-Norm_Stats!$F$22)))))="",0,0.3)+IF((IF(OR(City_Inputs!$AJ37="",Norm_Stats!$F$23="",Norm_Stats!$G$23="",Norm_Stats!$G$23=Norm_Stats!$F$23),"",MAX(0,MIN(100,100*(MIN(MAX(City_Inputs!$AJ37,Norm_Stats!$F$23),Norm_Stats!$G$23)-Norm_Stats!$F$23)/(Norm_Stats!$G$23-Norm_Stats!$F$23)))))="",0,0.2))=0,"",(IF((IF(OR(City_Inputs!$AF37="",Norm_Stats!$F$21="",Norm_Stats!$G$21="",Norm_Stats!$G$21=Norm_Stats!$F$21),"",MAX(0,MIN(100,100*(MIN(MAX(City_Inputs!$AF37,Norm_Stats!$F$21),Norm_Stats!$G$21)-Norm_Stats!$F$21)/(Norm_Stats!$G$21-Norm_Stats!$F$21)))))="",0,0.5)+IF((IF(OR(City_Inputs!$AI37="",Norm_Stats!$F$22="",Norm_Stats!$G$22="",Norm_Stats!$G$22=Norm_Stats!$F$22),"",MAX(0,MIN(100,100*(MIN(MAX(City_Inputs!$AI37,Norm_Stats!$F$22),Norm_Stats!$G$22)-Norm_Stats!$F$22)/(Norm_Stats!$G$22-Norm_Stats!$F$22)))))="",0,0.3)+IF((IF(OR(City_Inputs!$AJ37="",Norm_Stats!$F$23="",Norm_Stats!$G$23="",Norm_Stats!$G$23=Norm_Stats!$F$23),"",MAX(0,MIN(100,100*(MIN(MAX(City_Inputs!$AJ37,Norm_Stats!$F$23),Norm_Stats!$G$23)-Norm_Stats!$F$23)/(Norm_Stats!$G$23-Norm_Stats!$F$23)))))="",0,0.2)))</f>
        <v/>
      </c>
      <c r="BA37" s="11">
        <f>IF(OR(City_Inputs!$AG37="",Norm_Stats!$F$24="",Norm_Stats!$G$24="",Norm_Stats!$G$24=Norm_Stats!$F$24),"",MAX(0,MIN(100,100*(Norm_Stats!$G$24-MIN(MAX(City_Inputs!$AG37,Norm_Stats!$F$24),Norm_Stats!$G$24))/(Norm_Stats!$G$24-Norm_Stats!$F$24))))</f>
        <v/>
      </c>
      <c r="BB37" s="14">
        <f>IF(BA37="","",1)</f>
        <v/>
      </c>
      <c r="BC37" s="15">
        <f>IF((IF(AU37="",0,6)+IF(AW37="",0,5)+IF(AY37="",0,5)+IF(BA37="",0,4))=0,"",(IF(AU37="",0,AU37*6)+IF(AW37="",0,AW37*5)+IF(AY37="",0,AY37*5)+IF(BA37="",0,BA37*4))/(IF(AU37="",0,6)+IF(AW37="",0,5)+IF(AY37="",0,5)+IF(BA37="",0,4)))</f>
        <v/>
      </c>
      <c r="BD37" s="14">
        <f>IF((IF(AV37="",0,6)+IF(AX37="",0,5)+IF(AZ37="",0,5)+IF(BB37="",0,4))=0,"",(IF(AV37="",0,AV37*6)+IF(AX37="",0,AX37*5)+IF(AZ37="",0,AZ37*5)+IF(BB37="",0,BB37*4))/20)</f>
        <v/>
      </c>
      <c r="BE37" s="14">
        <f>IF(AND(R37="",AD37="",AL37="",AT37="",BD37=""),"",((R37*25)+(AD37*22)+(AL37*18)+(AT37*15)+(BD37*20))/100)</f>
        <v/>
      </c>
      <c r="BF37" s="11">
        <f>IF(BE37="","",IF(BE37&gt;=0.75,"A",IF(BE37&gt;=0.5,"B",IF(BE37&gt;=0.35,"C","Watchlist"))))</f>
        <v/>
      </c>
      <c r="BG37" s="11">
        <f>IF(OR(BE37="",BE37&lt;0.5,R37="",R37&lt;0.35,AD37="",AD37&lt;0.35,AL37="",AL37&lt;0.35,AT37="",AT37&lt;0.35,BD37="",BD37&lt;0.35),"Watchlist","Ranked")</f>
        <v/>
      </c>
      <c r="BH37" s="15">
        <f>IF(AND(Q37="",AC37="",AK37="",AS37="",BC37=""),"",(IF(Q37="",0,Q37*25)+IF(AC37="",0,AC37*22)+IF(AK37="",0,AK37*18)+IF(AS37="",0,AS37*15)+IF(BC37="",0,BC37*20))/(IF(Q37="",0,25)+IF(AC37="",0,22)+IF(AK37="",0,18)+IF(AS37="",0,15)+IF(BC37="",0,20)))</f>
        <v/>
      </c>
      <c r="BI37" s="11">
        <f>IF(BG37="Ranked",1+COUNTIFS($BG$2:$BG$103,"Ranked",$BH$2:$BH$103,"&gt;"&amp;BH37),"")</f>
        <v/>
      </c>
      <c r="BJ37" s="11">
        <f>City_Inputs!$AH37</f>
        <v/>
      </c>
    </row>
    <row r="38">
      <c r="A38" t="inlineStr">
        <is>
          <t>at-graz</t>
        </is>
      </c>
      <c r="B38" t="inlineStr">
        <is>
          <t>Graz</t>
        </is>
      </c>
      <c r="C38" t="inlineStr">
        <is>
          <t>Austria</t>
        </is>
      </c>
      <c r="D38" t="inlineStr">
        <is>
          <t>Western, Northern, and Southern Europe</t>
        </is>
      </c>
      <c r="E38" t="inlineStr">
        <is>
          <t>locked</t>
        </is>
      </c>
      <c r="F38" t="inlineStr">
        <is>
          <t>secondary</t>
        </is>
      </c>
      <c r="G38" s="11">
        <f>IF(OR(City_Inputs!$M38="",Norm_Stats!$F$2="",Norm_Stats!$G$2="",Norm_Stats!$G$2=Norm_Stats!$F$2),"",MAX(0,MIN(100,100*(MIN(MAX(City_Inputs!$M38,Norm_Stats!$F$2),Norm_Stats!$G$2)-Norm_Stats!$F$2)/(Norm_Stats!$G$2-Norm_Stats!$F$2))))</f>
        <v/>
      </c>
      <c r="H38" s="14">
        <f>IF(G38="","",1)</f>
        <v/>
      </c>
      <c r="I38" s="11">
        <f>IF(OR(City_Inputs!$N38="",Norm_Stats!$F$3="",Norm_Stats!$G$3="",Norm_Stats!$G$3=Norm_Stats!$F$3),"",MAX(0,MIN(100,100*(Norm_Stats!$G$3-MIN(MAX(City_Inputs!$N38,Norm_Stats!$F$3),Norm_Stats!$G$3))/(Norm_Stats!$G$3-Norm_Stats!$F$3))))</f>
        <v/>
      </c>
      <c r="J38" s="14">
        <f>IF(I38="","",1)</f>
        <v/>
      </c>
      <c r="K38" s="11">
        <f>IF(OR(City_Inputs!$P38="",Norm_Stats!$F$4="",Norm_Stats!$G$4="",Norm_Stats!$G$4=Norm_Stats!$F$4),"",MAX(0,MIN(100,100*(Norm_Stats!$G$4-MIN(MAX(City_Inputs!$P38,Norm_Stats!$F$4),Norm_Stats!$G$4))/(Norm_Stats!$G$4-Norm_Stats!$F$4))))</f>
        <v/>
      </c>
      <c r="L38" s="14">
        <f>IF(K38="","",1)</f>
        <v/>
      </c>
      <c r="M38" s="11">
        <f>IF(OR(City_Inputs!$Q38="",Norm_Stats!$F$5="",Norm_Stats!$G$5="",Norm_Stats!$G$5=Norm_Stats!$F$5),"",MAX(0,MIN(100,100*(Norm_Stats!$G$5-MIN(MAX(City_Inputs!$Q38,Norm_Stats!$F$5),Norm_Stats!$G$5))/(Norm_Stats!$G$5-Norm_Stats!$F$5))))</f>
        <v/>
      </c>
      <c r="N38" s="14">
        <f>IF(M38="","",1)</f>
        <v/>
      </c>
      <c r="O38" s="11">
        <f>IF(OR(City_Inputs!$R38="",Norm_Stats!$F$6="",Norm_Stats!$G$6="",Norm_Stats!$G$6=Norm_Stats!$F$6),"",MAX(0,MIN(100,100*(Norm_Stats!$G$6-MIN(MAX(City_Inputs!$R38,Norm_Stats!$F$6),Norm_Stats!$G$6))/(Norm_Stats!$G$6-Norm_Stats!$F$6))))</f>
        <v/>
      </c>
      <c r="P38" s="14">
        <f>IF(O38="","",1)</f>
        <v/>
      </c>
      <c r="Q38" s="15">
        <f>IF((IF(G38="",0,9)+IF(I38="",0,5)+IF(K38="",0,4)+IF(M38="",0,4)+IF(O38="",0,3))=0,"",(IF(G38="",0,G38*9)+IF(I38="",0,I38*5)+IF(K38="",0,K38*4)+IF(M38="",0,M38*4)+IF(O38="",0,O38*3))/(IF(G38="",0,9)+IF(I38="",0,5)+IF(K38="",0,4)+IF(M38="",0,4)+IF(O38="",0,3)))</f>
        <v/>
      </c>
      <c r="R38" s="14">
        <f>IF((IF(H38="",0,9)+IF(J38="",0,5)+IF(L38="",0,4)+IF(N38="",0,4)+IF(P38="",0,3))=0,"",(IF(H38="",0,H38*9)+IF(J38="",0,J38*5)+IF(L38="",0,L38*4)+IF(N38="",0,N38*4)+IF(P38="",0,P38*3))/25)</f>
        <v/>
      </c>
      <c r="S38" s="11">
        <f>IF(OR(City_Inputs!$S38="",Norm_Stats!$F$7="",Norm_Stats!$G$7="",Norm_Stats!$G$7=Norm_Stats!$F$7),"",MAX(0,MIN(100,100*(Norm_Stats!$G$7-MIN(MAX(City_Inputs!$S38,Norm_Stats!$F$7),Norm_Stats!$G$7))/(Norm_Stats!$G$7-Norm_Stats!$F$7))))</f>
        <v/>
      </c>
      <c r="T38" s="14">
        <f>IF(S38="","",1)</f>
        <v/>
      </c>
      <c r="U38" s="11">
        <f>IF(OR(City_Inputs!$T38="",Norm_Stats!$F$8="",Norm_Stats!$G$8="",Norm_Stats!$G$8=Norm_Stats!$F$8),"",MAX(0,MIN(100,100*(MIN(MAX(City_Inputs!$T38,Norm_Stats!$F$8),Norm_Stats!$G$8)-Norm_Stats!$F$8)/(Norm_Stats!$G$8-Norm_Stats!$F$8))))</f>
        <v/>
      </c>
      <c r="V38" s="14">
        <f>IF(U38="","",1)</f>
        <v/>
      </c>
      <c r="W38" s="11">
        <f>IF(OR(City_Inputs!$U38="",Norm_Stats!$F$9="",Norm_Stats!$G$9="",Norm_Stats!$G$9=Norm_Stats!$F$9),"",MAX(0,MIN(100,100*(Norm_Stats!$G$9-MIN(MAX(City_Inputs!$U38,Norm_Stats!$F$9),Norm_Stats!$G$9))/(Norm_Stats!$G$9-Norm_Stats!$F$9))))</f>
        <v/>
      </c>
      <c r="X38" s="14">
        <f>IF(W38="","",1)</f>
        <v/>
      </c>
      <c r="Y38" s="11">
        <f>IF(OR(City_Inputs!$V38="",Norm_Stats!$F$10="",Norm_Stats!$G$10="",Norm_Stats!$G$10=Norm_Stats!$F$10),"",MAX(0,MIN(100,100*(MIN(MAX(City_Inputs!$V38,Norm_Stats!$F$10),Norm_Stats!$G$10)-Norm_Stats!$F$10)/(Norm_Stats!$G$10-Norm_Stats!$F$10))))</f>
        <v/>
      </c>
      <c r="Z38" s="14">
        <f>IF(Y38="","",1)</f>
        <v/>
      </c>
      <c r="AA38" s="11">
        <f>IF(OR(City_Inputs!$W38="",Norm_Stats!$F$11="",Norm_Stats!$G$11="",Norm_Stats!$G$11=Norm_Stats!$F$11),"",MAX(0,MIN(100,100*(MIN(MAX(City_Inputs!$W38,Norm_Stats!$F$11),Norm_Stats!$G$11)-Norm_Stats!$F$11)/(Norm_Stats!$G$11-Norm_Stats!$F$11))))</f>
        <v/>
      </c>
      <c r="AB38" s="14">
        <f>IF(AA38="","",1)</f>
        <v/>
      </c>
      <c r="AC38" s="15">
        <f>IF((IF(S38="",0,5)+IF(U38="",0,5)+IF(W38="",0,4)+IF(Y38="",0,4)+IF(AA38="",0,4))=0,"",(IF(S38="",0,S38*5)+IF(U38="",0,U38*5)+IF(W38="",0,W38*4)+IF(Y38="",0,Y38*4)+IF(AA38="",0,AA38*4))/(IF(S38="",0,5)+IF(U38="",0,5)+IF(W38="",0,4)+IF(Y38="",0,4)+IF(AA38="",0,4)))</f>
        <v/>
      </c>
      <c r="AD38" s="14">
        <f>IF((IF(T38="",0,5)+IF(V38="",0,5)+IF(X38="",0,4)+IF(Z38="",0,4)+IF(AB38="",0,4))=0,"",(IF(T38="",0,T38*5)+IF(V38="",0,V38*5)+IF(X38="",0,X38*4)+IF(Z38="",0,Z38*4)+IF(AB38="",0,AB38*4))/22)</f>
        <v/>
      </c>
      <c r="AE38" s="11">
        <f>IF(OR(City_Inputs!$X38="",Norm_Stats!$F$12="",Norm_Stats!$G$12="",Norm_Stats!$G$12=Norm_Stats!$F$12),"",MAX(0,MIN(100,100*(MIN(MAX(City_Inputs!$X38,Norm_Stats!$F$12),Norm_Stats!$G$12)-Norm_Stats!$F$12)/(Norm_Stats!$G$12-Norm_Stats!$F$12))))</f>
        <v/>
      </c>
      <c r="AF38" s="14">
        <f>IF(AE38="","",1)</f>
        <v/>
      </c>
      <c r="AG38" s="11">
        <f>IF(OR(City_Inputs!$Y38="",Norm_Stats!$F$13="",Norm_Stats!$G$13="",Norm_Stats!$G$13=Norm_Stats!$F$13),"",MAX(0,MIN(100,100*(MIN(MAX(City_Inputs!$Y38,Norm_Stats!$F$13),Norm_Stats!$G$13)-Norm_Stats!$F$13)/(Norm_Stats!$G$13-Norm_Stats!$F$13))))</f>
        <v/>
      </c>
      <c r="AH38" s="14">
        <f>IF(AG38="","",1)</f>
        <v/>
      </c>
      <c r="AI38" s="11">
        <f>IF((IF((IF(OR(City_Inputs!$Z38="",Norm_Stats!$F$14="",Norm_Stats!$G$14="",Norm_Stats!$G$14=Norm_Stats!$F$14),"",MAX(0,MIN(100,100*(MIN(MAX(City_Inputs!$Z38,Norm_Stats!$F$14),Norm_Stats!$G$14)-Norm_Stats!$F$14)/(Norm_Stats!$G$14-Norm_Stats!$F$14)))))="",0,0.7)+IF((IF(OR(City_Inputs!$AK38="",Norm_Stats!$F$15="",Norm_Stats!$G$15="",Norm_Stats!$G$15=Norm_Stats!$F$15),"",MAX(0,MIN(100,100*(Norm_Stats!$G$15-MIN(MAX(City_Inputs!$AK38,Norm_Stats!$F$15),Norm_Stats!$G$15))/(Norm_Stats!$G$15-Norm_Stats!$F$15)))))="",0,0.3))=0,"",(IF((IF(OR(City_Inputs!$Z38="",Norm_Stats!$F$14="",Norm_Stats!$G$14="",Norm_Stats!$G$14=Norm_Stats!$F$14),"",MAX(0,MIN(100,100*(MIN(MAX(City_Inputs!$Z38,Norm_Stats!$F$14),Norm_Stats!$G$14)-Norm_Stats!$F$14)/(Norm_Stats!$G$14-Norm_Stats!$F$14)))))="",0,(IF(OR(City_Inputs!$Z38="",Norm_Stats!$F$14="",Norm_Stats!$G$14="",Norm_Stats!$G$14=Norm_Stats!$F$14),"",MAX(0,MIN(100,100*(MIN(MAX(City_Inputs!$Z38,Norm_Stats!$F$14),Norm_Stats!$G$14)-Norm_Stats!$F$14)/(Norm_Stats!$G$14-Norm_Stats!$F$14)))))*0.7)+IF((IF(OR(City_Inputs!$AK38="",Norm_Stats!$F$15="",Norm_Stats!$G$15="",Norm_Stats!$G$15=Norm_Stats!$F$15),"",MAX(0,MIN(100,100*(Norm_Stats!$G$15-MIN(MAX(City_Inputs!$AK38,Norm_Stats!$F$15),Norm_Stats!$G$15))/(Norm_Stats!$G$15-Norm_Stats!$F$15)))))="",0,(IF(OR(City_Inputs!$AK38="",Norm_Stats!$F$15="",Norm_Stats!$G$15="",Norm_Stats!$G$15=Norm_Stats!$F$15),"",MAX(0,MIN(100,100*(Norm_Stats!$G$15-MIN(MAX(City_Inputs!$AK38,Norm_Stats!$F$15),Norm_Stats!$G$15))/(Norm_Stats!$G$15-Norm_Stats!$F$15)))))*0.3))/(IF((IF(OR(City_Inputs!$Z38="",Norm_Stats!$F$14="",Norm_Stats!$G$14="",Norm_Stats!$G$14=Norm_Stats!$F$14),"",MAX(0,MIN(100,100*(MIN(MAX(City_Inputs!$Z38,Norm_Stats!$F$14),Norm_Stats!$G$14)-Norm_Stats!$F$14)/(Norm_Stats!$G$14-Norm_Stats!$F$14)))))="",0,0.7)+IF((IF(OR(City_Inputs!$AK38="",Norm_Stats!$F$15="",Norm_Stats!$G$15="",Norm_Stats!$G$15=Norm_Stats!$F$15),"",MAX(0,MIN(100,100*(Norm_Stats!$G$15-MIN(MAX(City_Inputs!$AK38,Norm_Stats!$F$15),Norm_Stats!$G$15))/(Norm_Stats!$G$15-Norm_Stats!$F$15)))))="",0,0.3)))</f>
        <v/>
      </c>
      <c r="AJ38" s="14">
        <f>IF((IF((IF(OR(City_Inputs!$Z38="",Norm_Stats!$F$14="",Norm_Stats!$G$14="",Norm_Stats!$G$14=Norm_Stats!$F$14),"",MAX(0,MIN(100,100*(MIN(MAX(City_Inputs!$Z38,Norm_Stats!$F$14),Norm_Stats!$G$14)-Norm_Stats!$F$14)/(Norm_Stats!$G$14-Norm_Stats!$F$14)))))="",0,0.7)+IF((IF(OR(City_Inputs!$AK38="",Norm_Stats!$F$15="",Norm_Stats!$G$15="",Norm_Stats!$G$15=Norm_Stats!$F$15),"",MAX(0,MIN(100,100*(Norm_Stats!$G$15-MIN(MAX(City_Inputs!$AK38,Norm_Stats!$F$15),Norm_Stats!$G$15))/(Norm_Stats!$G$15-Norm_Stats!$F$15)))))="",0,0.3))=0,"",(IF((IF(OR(City_Inputs!$Z38="",Norm_Stats!$F$14="",Norm_Stats!$G$14="",Norm_Stats!$G$14=Norm_Stats!$F$14),"",MAX(0,MIN(100,100*(MIN(MAX(City_Inputs!$Z38,Norm_Stats!$F$14),Norm_Stats!$G$14)-Norm_Stats!$F$14)/(Norm_Stats!$G$14-Norm_Stats!$F$14)))))="",0,0.7)+IF((IF(OR(City_Inputs!$AK38="",Norm_Stats!$F$15="",Norm_Stats!$G$15="",Norm_Stats!$G$15=Norm_Stats!$F$15),"",MAX(0,MIN(100,100*(Norm_Stats!$G$15-MIN(MAX(City_Inputs!$AK38,Norm_Stats!$F$15),Norm_Stats!$G$15))/(Norm_Stats!$G$15-Norm_Stats!$F$15)))))="",0,0.3)))</f>
        <v/>
      </c>
      <c r="AK38" s="15">
        <f>IF((IF(AE38="",0,8)+IF(AG38="",0,6)+IF(AI38="",0,4))=0,"",(IF(AE38="",0,AE38*8)+IF(AG38="",0,AG38*6)+IF(AI38="",0,AI38*4))/(IF(AE38="",0,8)+IF(AG38="",0,6)+IF(AI38="",0,4)))</f>
        <v/>
      </c>
      <c r="AL38" s="14">
        <f>IF((IF(AF38="",0,8)+IF(AH38="",0,6)+IF(AJ38="",0,4))=0,"",(IF(AF38="",0,AF38*8)+IF(AH38="",0,AH38*6)+IF(AJ38="",0,AJ38*4))/18)</f>
        <v/>
      </c>
      <c r="AM38" s="11">
        <f>IF(OR(City_Inputs!$AA38="",Norm_Stats!$F$16="",Norm_Stats!$G$16="",Norm_Stats!$G$16=Norm_Stats!$F$16),"",MAX(0,MIN(100,100*(MIN(MAX(City_Inputs!$AA38,Norm_Stats!$F$16),Norm_Stats!$G$16)-Norm_Stats!$F$16)/(Norm_Stats!$G$16-Norm_Stats!$F$16))))</f>
        <v/>
      </c>
      <c r="AN38" s="14">
        <f>IF(AM38="","",1)</f>
        <v/>
      </c>
      <c r="AO38" s="11">
        <f>IF(OR(City_Inputs!$AB38="",Norm_Stats!$F$17="",Norm_Stats!$G$17="",Norm_Stats!$G$17=Norm_Stats!$F$17),"",MAX(0,MIN(100,100*(MIN(MAX(City_Inputs!$AB38,Norm_Stats!$F$17),Norm_Stats!$G$17)-Norm_Stats!$F$17)/(Norm_Stats!$G$17-Norm_Stats!$F$17))))</f>
        <v/>
      </c>
      <c r="AP38" s="14">
        <f>IF(AO38="","",1)</f>
        <v/>
      </c>
      <c r="AQ38" s="11">
        <f>IF(OR(City_Inputs!$AC38="",Norm_Stats!$F$18="",Norm_Stats!$G$18="",Norm_Stats!$G$18=Norm_Stats!$F$18),"",MAX(0,MIN(100,100*(MIN(MAX(City_Inputs!$AC38,Norm_Stats!$F$18),Norm_Stats!$G$18)-Norm_Stats!$F$18)/(Norm_Stats!$G$18-Norm_Stats!$F$18))))</f>
        <v/>
      </c>
      <c r="AR38" s="14">
        <f>IF(AQ38="","",1)</f>
        <v/>
      </c>
      <c r="AS38" s="15">
        <f>IF((IF(AM38="",0,5)+IF(AO38="",0,5)+IF(AQ38="",0,5))=0,"",(IF(AM38="",0,AM38*5)+IF(AO38="",0,AO38*5)+IF(AQ38="",0,AQ38*5))/(IF(AM38="",0,5)+IF(AO38="",0,5)+IF(AQ38="",0,5)))</f>
        <v/>
      </c>
      <c r="AT38" s="14">
        <f>IF((IF(AN38="",0,5)+IF(AP38="",0,5)+IF(AR38="",0,5))=0,"",(IF(AN38="",0,AN38*5)+IF(AP38="",0,AP38*5)+IF(AR38="",0,AR38*5))/15)</f>
        <v/>
      </c>
      <c r="AU38" s="11">
        <f>IF(OR(City_Inputs!$AD38="",Norm_Stats!$F$19="",Norm_Stats!$G$19="",Norm_Stats!$G$19=Norm_Stats!$F$19),"",MAX(0,MIN(100,100*(MIN(MAX(City_Inputs!$AD38,Norm_Stats!$F$19),Norm_Stats!$G$19)-Norm_Stats!$F$19)/(Norm_Stats!$G$19-Norm_Stats!$F$19))))</f>
        <v/>
      </c>
      <c r="AV38" s="14">
        <f>IF(AU38="","",1)</f>
        <v/>
      </c>
      <c r="AW38" s="11">
        <f>IF(OR(City_Inputs!$AE38="",Norm_Stats!$F$20="",Norm_Stats!$G$20="",Norm_Stats!$G$20=Norm_Stats!$F$20),"",MAX(0,MIN(100,100*(MIN(MAX(City_Inputs!$AE38,Norm_Stats!$F$20),Norm_Stats!$G$20)-Norm_Stats!$F$20)/(Norm_Stats!$G$20-Norm_Stats!$F$20))))</f>
        <v/>
      </c>
      <c r="AX38" s="14">
        <f>IF(AW38="","",1)</f>
        <v/>
      </c>
      <c r="AY38" s="11">
        <f>IF((IF((IF(OR(City_Inputs!$AF38="",Norm_Stats!$F$21="",Norm_Stats!$G$21="",Norm_Stats!$G$21=Norm_Stats!$F$21),"",MAX(0,MIN(100,100*(MIN(MAX(City_Inputs!$AF38,Norm_Stats!$F$21),Norm_Stats!$G$21)-Norm_Stats!$F$21)/(Norm_Stats!$G$21-Norm_Stats!$F$21)))))="",0,0.5)+IF((IF(OR(City_Inputs!$AI38="",Norm_Stats!$F$22="",Norm_Stats!$G$22="",Norm_Stats!$G$22=Norm_Stats!$F$22),"",MAX(0,MIN(100,100*(MIN(MAX(City_Inputs!$AI38,Norm_Stats!$F$22),Norm_Stats!$G$22)-Norm_Stats!$F$22)/(Norm_Stats!$G$22-Norm_Stats!$F$22)))))="",0,0.3)+IF((IF(OR(City_Inputs!$AJ38="",Norm_Stats!$F$23="",Norm_Stats!$G$23="",Norm_Stats!$G$23=Norm_Stats!$F$23),"",MAX(0,MIN(100,100*(MIN(MAX(City_Inputs!$AJ38,Norm_Stats!$F$23),Norm_Stats!$G$23)-Norm_Stats!$F$23)/(Norm_Stats!$G$23-Norm_Stats!$F$23)))))="",0,0.2))=0,"",(IF((IF(OR(City_Inputs!$AF38="",Norm_Stats!$F$21="",Norm_Stats!$G$21="",Norm_Stats!$G$21=Norm_Stats!$F$21),"",MAX(0,MIN(100,100*(MIN(MAX(City_Inputs!$AF38,Norm_Stats!$F$21),Norm_Stats!$G$21)-Norm_Stats!$F$21)/(Norm_Stats!$G$21-Norm_Stats!$F$21)))))="",0,(IF(OR(City_Inputs!$AF38="",Norm_Stats!$F$21="",Norm_Stats!$G$21="",Norm_Stats!$G$21=Norm_Stats!$F$21),"",MAX(0,MIN(100,100*(MIN(MAX(City_Inputs!$AF38,Norm_Stats!$F$21),Norm_Stats!$G$21)-Norm_Stats!$F$21)/(Norm_Stats!$G$21-Norm_Stats!$F$21)))))*0.5)+IF((IF(OR(City_Inputs!$AI38="",Norm_Stats!$F$22="",Norm_Stats!$G$22="",Norm_Stats!$G$22=Norm_Stats!$F$22),"",MAX(0,MIN(100,100*(MIN(MAX(City_Inputs!$AI38,Norm_Stats!$F$22),Norm_Stats!$G$22)-Norm_Stats!$F$22)/(Norm_Stats!$G$22-Norm_Stats!$F$22)))))="",0,(IF(OR(City_Inputs!$AI38="",Norm_Stats!$F$22="",Norm_Stats!$G$22="",Norm_Stats!$G$22=Norm_Stats!$F$22),"",MAX(0,MIN(100,100*(MIN(MAX(City_Inputs!$AI38,Norm_Stats!$F$22),Norm_Stats!$G$22)-Norm_Stats!$F$22)/(Norm_Stats!$G$22-Norm_Stats!$F$22)))))*0.3)+IF((IF(OR(City_Inputs!$AJ38="",Norm_Stats!$F$23="",Norm_Stats!$G$23="",Norm_Stats!$G$23=Norm_Stats!$F$23),"",MAX(0,MIN(100,100*(MIN(MAX(City_Inputs!$AJ38,Norm_Stats!$F$23),Norm_Stats!$G$23)-Norm_Stats!$F$23)/(Norm_Stats!$G$23-Norm_Stats!$F$23)))))="",0,(IF(OR(City_Inputs!$AJ38="",Norm_Stats!$F$23="",Norm_Stats!$G$23="",Norm_Stats!$G$23=Norm_Stats!$F$23),"",MAX(0,MIN(100,100*(MIN(MAX(City_Inputs!$AJ38,Norm_Stats!$F$23),Norm_Stats!$G$23)-Norm_Stats!$F$23)/(Norm_Stats!$G$23-Norm_Stats!$F$23)))))*0.2))/(IF((IF(OR(City_Inputs!$AF38="",Norm_Stats!$F$21="",Norm_Stats!$G$21="",Norm_Stats!$G$21=Norm_Stats!$F$21),"",MAX(0,MIN(100,100*(MIN(MAX(City_Inputs!$AF38,Norm_Stats!$F$21),Norm_Stats!$G$21)-Norm_Stats!$F$21)/(Norm_Stats!$G$21-Norm_Stats!$F$21)))))="",0,0.5)+IF((IF(OR(City_Inputs!$AI38="",Norm_Stats!$F$22="",Norm_Stats!$G$22="",Norm_Stats!$G$22=Norm_Stats!$F$22),"",MAX(0,MIN(100,100*(MIN(MAX(City_Inputs!$AI38,Norm_Stats!$F$22),Norm_Stats!$G$22)-Norm_Stats!$F$22)/(Norm_Stats!$G$22-Norm_Stats!$F$22)))))="",0,0.3)+IF((IF(OR(City_Inputs!$AJ38="",Norm_Stats!$F$23="",Norm_Stats!$G$23="",Norm_Stats!$G$23=Norm_Stats!$F$23),"",MAX(0,MIN(100,100*(MIN(MAX(City_Inputs!$AJ38,Norm_Stats!$F$23),Norm_Stats!$G$23)-Norm_Stats!$F$23)/(Norm_Stats!$G$23-Norm_Stats!$F$23)))))="",0,0.2)))</f>
        <v/>
      </c>
      <c r="AZ38" s="14">
        <f>IF((IF((IF(OR(City_Inputs!$AF38="",Norm_Stats!$F$21="",Norm_Stats!$G$21="",Norm_Stats!$G$21=Norm_Stats!$F$21),"",MAX(0,MIN(100,100*(MIN(MAX(City_Inputs!$AF38,Norm_Stats!$F$21),Norm_Stats!$G$21)-Norm_Stats!$F$21)/(Norm_Stats!$G$21-Norm_Stats!$F$21)))))="",0,0.5)+IF((IF(OR(City_Inputs!$AI38="",Norm_Stats!$F$22="",Norm_Stats!$G$22="",Norm_Stats!$G$22=Norm_Stats!$F$22),"",MAX(0,MIN(100,100*(MIN(MAX(City_Inputs!$AI38,Norm_Stats!$F$22),Norm_Stats!$G$22)-Norm_Stats!$F$22)/(Norm_Stats!$G$22-Norm_Stats!$F$22)))))="",0,0.3)+IF((IF(OR(City_Inputs!$AJ38="",Norm_Stats!$F$23="",Norm_Stats!$G$23="",Norm_Stats!$G$23=Norm_Stats!$F$23),"",MAX(0,MIN(100,100*(MIN(MAX(City_Inputs!$AJ38,Norm_Stats!$F$23),Norm_Stats!$G$23)-Norm_Stats!$F$23)/(Norm_Stats!$G$23-Norm_Stats!$F$23)))))="",0,0.2))=0,"",(IF((IF(OR(City_Inputs!$AF38="",Norm_Stats!$F$21="",Norm_Stats!$G$21="",Norm_Stats!$G$21=Norm_Stats!$F$21),"",MAX(0,MIN(100,100*(MIN(MAX(City_Inputs!$AF38,Norm_Stats!$F$21),Norm_Stats!$G$21)-Norm_Stats!$F$21)/(Norm_Stats!$G$21-Norm_Stats!$F$21)))))="",0,0.5)+IF((IF(OR(City_Inputs!$AI38="",Norm_Stats!$F$22="",Norm_Stats!$G$22="",Norm_Stats!$G$22=Norm_Stats!$F$22),"",MAX(0,MIN(100,100*(MIN(MAX(City_Inputs!$AI38,Norm_Stats!$F$22),Norm_Stats!$G$22)-Norm_Stats!$F$22)/(Norm_Stats!$G$22-Norm_Stats!$F$22)))))="",0,0.3)+IF((IF(OR(City_Inputs!$AJ38="",Norm_Stats!$F$23="",Norm_Stats!$G$23="",Norm_Stats!$G$23=Norm_Stats!$F$23),"",MAX(0,MIN(100,100*(MIN(MAX(City_Inputs!$AJ38,Norm_Stats!$F$23),Norm_Stats!$G$23)-Norm_Stats!$F$23)/(Norm_Stats!$G$23-Norm_Stats!$F$23)))))="",0,0.2)))</f>
        <v/>
      </c>
      <c r="BA38" s="11">
        <f>IF(OR(City_Inputs!$AG38="",Norm_Stats!$F$24="",Norm_Stats!$G$24="",Norm_Stats!$G$24=Norm_Stats!$F$24),"",MAX(0,MIN(100,100*(Norm_Stats!$G$24-MIN(MAX(City_Inputs!$AG38,Norm_Stats!$F$24),Norm_Stats!$G$24))/(Norm_Stats!$G$24-Norm_Stats!$F$24))))</f>
        <v/>
      </c>
      <c r="BB38" s="14">
        <f>IF(BA38="","",1)</f>
        <v/>
      </c>
      <c r="BC38" s="15">
        <f>IF((IF(AU38="",0,6)+IF(AW38="",0,5)+IF(AY38="",0,5)+IF(BA38="",0,4))=0,"",(IF(AU38="",0,AU38*6)+IF(AW38="",0,AW38*5)+IF(AY38="",0,AY38*5)+IF(BA38="",0,BA38*4))/(IF(AU38="",0,6)+IF(AW38="",0,5)+IF(AY38="",0,5)+IF(BA38="",0,4)))</f>
        <v/>
      </c>
      <c r="BD38" s="14">
        <f>IF((IF(AV38="",0,6)+IF(AX38="",0,5)+IF(AZ38="",0,5)+IF(BB38="",0,4))=0,"",(IF(AV38="",0,AV38*6)+IF(AX38="",0,AX38*5)+IF(AZ38="",0,AZ38*5)+IF(BB38="",0,BB38*4))/20)</f>
        <v/>
      </c>
      <c r="BE38" s="14">
        <f>IF(AND(R38="",AD38="",AL38="",AT38="",BD38=""),"",((R38*25)+(AD38*22)+(AL38*18)+(AT38*15)+(BD38*20))/100)</f>
        <v/>
      </c>
      <c r="BF38" s="11">
        <f>IF(BE38="","",IF(BE38&gt;=0.75,"A",IF(BE38&gt;=0.5,"B",IF(BE38&gt;=0.35,"C","Watchlist"))))</f>
        <v/>
      </c>
      <c r="BG38" s="11">
        <f>IF(OR(BE38="",BE38&lt;0.5,R38="",R38&lt;0.35,AD38="",AD38&lt;0.35,AL38="",AL38&lt;0.35,AT38="",AT38&lt;0.35,BD38="",BD38&lt;0.35),"Watchlist","Ranked")</f>
        <v/>
      </c>
      <c r="BH38" s="15">
        <f>IF(AND(Q38="",AC38="",AK38="",AS38="",BC38=""),"",(IF(Q38="",0,Q38*25)+IF(AC38="",0,AC38*22)+IF(AK38="",0,AK38*18)+IF(AS38="",0,AS38*15)+IF(BC38="",0,BC38*20))/(IF(Q38="",0,25)+IF(AC38="",0,22)+IF(AK38="",0,18)+IF(AS38="",0,15)+IF(BC38="",0,20)))</f>
        <v/>
      </c>
      <c r="BI38" s="11">
        <f>IF(BG38="Ranked",1+COUNTIFS($BG$2:$BG$103,"Ranked",$BH$2:$BH$103,"&gt;"&amp;BH38),"")</f>
        <v/>
      </c>
      <c r="BJ38" s="11">
        <f>City_Inputs!$AH38</f>
        <v/>
      </c>
    </row>
    <row r="39">
      <c r="A39" t="inlineStr">
        <is>
          <t>pt-porto</t>
        </is>
      </c>
      <c r="B39" t="inlineStr">
        <is>
          <t>Porto</t>
        </is>
      </c>
      <c r="C39" t="inlineStr">
        <is>
          <t>Portugal</t>
        </is>
      </c>
      <c r="D39" t="inlineStr">
        <is>
          <t>Western, Northern, and Southern Europe</t>
        </is>
      </c>
      <c r="E39" t="inlineStr">
        <is>
          <t>locked</t>
        </is>
      </c>
      <c r="F39" t="inlineStr">
        <is>
          <t>secondary</t>
        </is>
      </c>
      <c r="G39" s="11">
        <f>IF(OR(City_Inputs!$M39="",Norm_Stats!$F$2="",Norm_Stats!$G$2="",Norm_Stats!$G$2=Norm_Stats!$F$2),"",MAX(0,MIN(100,100*(MIN(MAX(City_Inputs!$M39,Norm_Stats!$F$2),Norm_Stats!$G$2)-Norm_Stats!$F$2)/(Norm_Stats!$G$2-Norm_Stats!$F$2))))</f>
        <v/>
      </c>
      <c r="H39" s="14">
        <f>IF(G39="","",1)</f>
        <v/>
      </c>
      <c r="I39" s="11">
        <f>IF(OR(City_Inputs!$N39="",Norm_Stats!$F$3="",Norm_Stats!$G$3="",Norm_Stats!$G$3=Norm_Stats!$F$3),"",MAX(0,MIN(100,100*(Norm_Stats!$G$3-MIN(MAX(City_Inputs!$N39,Norm_Stats!$F$3),Norm_Stats!$G$3))/(Norm_Stats!$G$3-Norm_Stats!$F$3))))</f>
        <v/>
      </c>
      <c r="J39" s="14">
        <f>IF(I39="","",1)</f>
        <v/>
      </c>
      <c r="K39" s="11">
        <f>IF(OR(City_Inputs!$P39="",Norm_Stats!$F$4="",Norm_Stats!$G$4="",Norm_Stats!$G$4=Norm_Stats!$F$4),"",MAX(0,MIN(100,100*(Norm_Stats!$G$4-MIN(MAX(City_Inputs!$P39,Norm_Stats!$F$4),Norm_Stats!$G$4))/(Norm_Stats!$G$4-Norm_Stats!$F$4))))</f>
        <v/>
      </c>
      <c r="L39" s="14">
        <f>IF(K39="","",1)</f>
        <v/>
      </c>
      <c r="M39" s="11">
        <f>IF(OR(City_Inputs!$Q39="",Norm_Stats!$F$5="",Norm_Stats!$G$5="",Norm_Stats!$G$5=Norm_Stats!$F$5),"",MAX(0,MIN(100,100*(Norm_Stats!$G$5-MIN(MAX(City_Inputs!$Q39,Norm_Stats!$F$5),Norm_Stats!$G$5))/(Norm_Stats!$G$5-Norm_Stats!$F$5))))</f>
        <v/>
      </c>
      <c r="N39" s="14">
        <f>IF(M39="","",1)</f>
        <v/>
      </c>
      <c r="O39" s="11">
        <f>IF(OR(City_Inputs!$R39="",Norm_Stats!$F$6="",Norm_Stats!$G$6="",Norm_Stats!$G$6=Norm_Stats!$F$6),"",MAX(0,MIN(100,100*(Norm_Stats!$G$6-MIN(MAX(City_Inputs!$R39,Norm_Stats!$F$6),Norm_Stats!$G$6))/(Norm_Stats!$G$6-Norm_Stats!$F$6))))</f>
        <v/>
      </c>
      <c r="P39" s="14">
        <f>IF(O39="","",1)</f>
        <v/>
      </c>
      <c r="Q39" s="15">
        <f>IF((IF(G39="",0,9)+IF(I39="",0,5)+IF(K39="",0,4)+IF(M39="",0,4)+IF(O39="",0,3))=0,"",(IF(G39="",0,G39*9)+IF(I39="",0,I39*5)+IF(K39="",0,K39*4)+IF(M39="",0,M39*4)+IF(O39="",0,O39*3))/(IF(G39="",0,9)+IF(I39="",0,5)+IF(K39="",0,4)+IF(M39="",0,4)+IF(O39="",0,3)))</f>
        <v/>
      </c>
      <c r="R39" s="14">
        <f>IF((IF(H39="",0,9)+IF(J39="",0,5)+IF(L39="",0,4)+IF(N39="",0,4)+IF(P39="",0,3))=0,"",(IF(H39="",0,H39*9)+IF(J39="",0,J39*5)+IF(L39="",0,L39*4)+IF(N39="",0,N39*4)+IF(P39="",0,P39*3))/25)</f>
        <v/>
      </c>
      <c r="S39" s="11">
        <f>IF(OR(City_Inputs!$S39="",Norm_Stats!$F$7="",Norm_Stats!$G$7="",Norm_Stats!$G$7=Norm_Stats!$F$7),"",MAX(0,MIN(100,100*(Norm_Stats!$G$7-MIN(MAX(City_Inputs!$S39,Norm_Stats!$F$7),Norm_Stats!$G$7))/(Norm_Stats!$G$7-Norm_Stats!$F$7))))</f>
        <v/>
      </c>
      <c r="T39" s="14">
        <f>IF(S39="","",1)</f>
        <v/>
      </c>
      <c r="U39" s="11">
        <f>IF(OR(City_Inputs!$T39="",Norm_Stats!$F$8="",Norm_Stats!$G$8="",Norm_Stats!$G$8=Norm_Stats!$F$8),"",MAX(0,MIN(100,100*(MIN(MAX(City_Inputs!$T39,Norm_Stats!$F$8),Norm_Stats!$G$8)-Norm_Stats!$F$8)/(Norm_Stats!$G$8-Norm_Stats!$F$8))))</f>
        <v/>
      </c>
      <c r="V39" s="14">
        <f>IF(U39="","",1)</f>
        <v/>
      </c>
      <c r="W39" s="11">
        <f>IF(OR(City_Inputs!$U39="",Norm_Stats!$F$9="",Norm_Stats!$G$9="",Norm_Stats!$G$9=Norm_Stats!$F$9),"",MAX(0,MIN(100,100*(Norm_Stats!$G$9-MIN(MAX(City_Inputs!$U39,Norm_Stats!$F$9),Norm_Stats!$G$9))/(Norm_Stats!$G$9-Norm_Stats!$F$9))))</f>
        <v/>
      </c>
      <c r="X39" s="14">
        <f>IF(W39="","",1)</f>
        <v/>
      </c>
      <c r="Y39" s="11">
        <f>IF(OR(City_Inputs!$V39="",Norm_Stats!$F$10="",Norm_Stats!$G$10="",Norm_Stats!$G$10=Norm_Stats!$F$10),"",MAX(0,MIN(100,100*(MIN(MAX(City_Inputs!$V39,Norm_Stats!$F$10),Norm_Stats!$G$10)-Norm_Stats!$F$10)/(Norm_Stats!$G$10-Norm_Stats!$F$10))))</f>
        <v/>
      </c>
      <c r="Z39" s="14">
        <f>IF(Y39="","",1)</f>
        <v/>
      </c>
      <c r="AA39" s="11">
        <f>IF(OR(City_Inputs!$W39="",Norm_Stats!$F$11="",Norm_Stats!$G$11="",Norm_Stats!$G$11=Norm_Stats!$F$11),"",MAX(0,MIN(100,100*(MIN(MAX(City_Inputs!$W39,Norm_Stats!$F$11),Norm_Stats!$G$11)-Norm_Stats!$F$11)/(Norm_Stats!$G$11-Norm_Stats!$F$11))))</f>
        <v/>
      </c>
      <c r="AB39" s="14">
        <f>IF(AA39="","",1)</f>
        <v/>
      </c>
      <c r="AC39" s="15">
        <f>IF((IF(S39="",0,5)+IF(U39="",0,5)+IF(W39="",0,4)+IF(Y39="",0,4)+IF(AA39="",0,4))=0,"",(IF(S39="",0,S39*5)+IF(U39="",0,U39*5)+IF(W39="",0,W39*4)+IF(Y39="",0,Y39*4)+IF(AA39="",0,AA39*4))/(IF(S39="",0,5)+IF(U39="",0,5)+IF(W39="",0,4)+IF(Y39="",0,4)+IF(AA39="",0,4)))</f>
        <v/>
      </c>
      <c r="AD39" s="14">
        <f>IF((IF(T39="",0,5)+IF(V39="",0,5)+IF(X39="",0,4)+IF(Z39="",0,4)+IF(AB39="",0,4))=0,"",(IF(T39="",0,T39*5)+IF(V39="",0,V39*5)+IF(X39="",0,X39*4)+IF(Z39="",0,Z39*4)+IF(AB39="",0,AB39*4))/22)</f>
        <v/>
      </c>
      <c r="AE39" s="11">
        <f>IF(OR(City_Inputs!$X39="",Norm_Stats!$F$12="",Norm_Stats!$G$12="",Norm_Stats!$G$12=Norm_Stats!$F$12),"",MAX(0,MIN(100,100*(MIN(MAX(City_Inputs!$X39,Norm_Stats!$F$12),Norm_Stats!$G$12)-Norm_Stats!$F$12)/(Norm_Stats!$G$12-Norm_Stats!$F$12))))</f>
        <v/>
      </c>
      <c r="AF39" s="14">
        <f>IF(AE39="","",1)</f>
        <v/>
      </c>
      <c r="AG39" s="11">
        <f>IF(OR(City_Inputs!$Y39="",Norm_Stats!$F$13="",Norm_Stats!$G$13="",Norm_Stats!$G$13=Norm_Stats!$F$13),"",MAX(0,MIN(100,100*(MIN(MAX(City_Inputs!$Y39,Norm_Stats!$F$13),Norm_Stats!$G$13)-Norm_Stats!$F$13)/(Norm_Stats!$G$13-Norm_Stats!$F$13))))</f>
        <v/>
      </c>
      <c r="AH39" s="14">
        <f>IF(AG39="","",1)</f>
        <v/>
      </c>
      <c r="AI39" s="11">
        <f>IF((IF((IF(OR(City_Inputs!$Z39="",Norm_Stats!$F$14="",Norm_Stats!$G$14="",Norm_Stats!$G$14=Norm_Stats!$F$14),"",MAX(0,MIN(100,100*(MIN(MAX(City_Inputs!$Z39,Norm_Stats!$F$14),Norm_Stats!$G$14)-Norm_Stats!$F$14)/(Norm_Stats!$G$14-Norm_Stats!$F$14)))))="",0,0.7)+IF((IF(OR(City_Inputs!$AK39="",Norm_Stats!$F$15="",Norm_Stats!$G$15="",Norm_Stats!$G$15=Norm_Stats!$F$15),"",MAX(0,MIN(100,100*(Norm_Stats!$G$15-MIN(MAX(City_Inputs!$AK39,Norm_Stats!$F$15),Norm_Stats!$G$15))/(Norm_Stats!$G$15-Norm_Stats!$F$15)))))="",0,0.3))=0,"",(IF((IF(OR(City_Inputs!$Z39="",Norm_Stats!$F$14="",Norm_Stats!$G$14="",Norm_Stats!$G$14=Norm_Stats!$F$14),"",MAX(0,MIN(100,100*(MIN(MAX(City_Inputs!$Z39,Norm_Stats!$F$14),Norm_Stats!$G$14)-Norm_Stats!$F$14)/(Norm_Stats!$G$14-Norm_Stats!$F$14)))))="",0,(IF(OR(City_Inputs!$Z39="",Norm_Stats!$F$14="",Norm_Stats!$G$14="",Norm_Stats!$G$14=Norm_Stats!$F$14),"",MAX(0,MIN(100,100*(MIN(MAX(City_Inputs!$Z39,Norm_Stats!$F$14),Norm_Stats!$G$14)-Norm_Stats!$F$14)/(Norm_Stats!$G$14-Norm_Stats!$F$14)))))*0.7)+IF((IF(OR(City_Inputs!$AK39="",Norm_Stats!$F$15="",Norm_Stats!$G$15="",Norm_Stats!$G$15=Norm_Stats!$F$15),"",MAX(0,MIN(100,100*(Norm_Stats!$G$15-MIN(MAX(City_Inputs!$AK39,Norm_Stats!$F$15),Norm_Stats!$G$15))/(Norm_Stats!$G$15-Norm_Stats!$F$15)))))="",0,(IF(OR(City_Inputs!$AK39="",Norm_Stats!$F$15="",Norm_Stats!$G$15="",Norm_Stats!$G$15=Norm_Stats!$F$15),"",MAX(0,MIN(100,100*(Norm_Stats!$G$15-MIN(MAX(City_Inputs!$AK39,Norm_Stats!$F$15),Norm_Stats!$G$15))/(Norm_Stats!$G$15-Norm_Stats!$F$15)))))*0.3))/(IF((IF(OR(City_Inputs!$Z39="",Norm_Stats!$F$14="",Norm_Stats!$G$14="",Norm_Stats!$G$14=Norm_Stats!$F$14),"",MAX(0,MIN(100,100*(MIN(MAX(City_Inputs!$Z39,Norm_Stats!$F$14),Norm_Stats!$G$14)-Norm_Stats!$F$14)/(Norm_Stats!$G$14-Norm_Stats!$F$14)))))="",0,0.7)+IF((IF(OR(City_Inputs!$AK39="",Norm_Stats!$F$15="",Norm_Stats!$G$15="",Norm_Stats!$G$15=Norm_Stats!$F$15),"",MAX(0,MIN(100,100*(Norm_Stats!$G$15-MIN(MAX(City_Inputs!$AK39,Norm_Stats!$F$15),Norm_Stats!$G$15))/(Norm_Stats!$G$15-Norm_Stats!$F$15)))))="",0,0.3)))</f>
        <v/>
      </c>
      <c r="AJ39" s="14">
        <f>IF((IF((IF(OR(City_Inputs!$Z39="",Norm_Stats!$F$14="",Norm_Stats!$G$14="",Norm_Stats!$G$14=Norm_Stats!$F$14),"",MAX(0,MIN(100,100*(MIN(MAX(City_Inputs!$Z39,Norm_Stats!$F$14),Norm_Stats!$G$14)-Norm_Stats!$F$14)/(Norm_Stats!$G$14-Norm_Stats!$F$14)))))="",0,0.7)+IF((IF(OR(City_Inputs!$AK39="",Norm_Stats!$F$15="",Norm_Stats!$G$15="",Norm_Stats!$G$15=Norm_Stats!$F$15),"",MAX(0,MIN(100,100*(Norm_Stats!$G$15-MIN(MAX(City_Inputs!$AK39,Norm_Stats!$F$15),Norm_Stats!$G$15))/(Norm_Stats!$G$15-Norm_Stats!$F$15)))))="",0,0.3))=0,"",(IF((IF(OR(City_Inputs!$Z39="",Norm_Stats!$F$14="",Norm_Stats!$G$14="",Norm_Stats!$G$14=Norm_Stats!$F$14),"",MAX(0,MIN(100,100*(MIN(MAX(City_Inputs!$Z39,Norm_Stats!$F$14),Norm_Stats!$G$14)-Norm_Stats!$F$14)/(Norm_Stats!$G$14-Norm_Stats!$F$14)))))="",0,0.7)+IF((IF(OR(City_Inputs!$AK39="",Norm_Stats!$F$15="",Norm_Stats!$G$15="",Norm_Stats!$G$15=Norm_Stats!$F$15),"",MAX(0,MIN(100,100*(Norm_Stats!$G$15-MIN(MAX(City_Inputs!$AK39,Norm_Stats!$F$15),Norm_Stats!$G$15))/(Norm_Stats!$G$15-Norm_Stats!$F$15)))))="",0,0.3)))</f>
        <v/>
      </c>
      <c r="AK39" s="15">
        <f>IF((IF(AE39="",0,8)+IF(AG39="",0,6)+IF(AI39="",0,4))=0,"",(IF(AE39="",0,AE39*8)+IF(AG39="",0,AG39*6)+IF(AI39="",0,AI39*4))/(IF(AE39="",0,8)+IF(AG39="",0,6)+IF(AI39="",0,4)))</f>
        <v/>
      </c>
      <c r="AL39" s="14">
        <f>IF((IF(AF39="",0,8)+IF(AH39="",0,6)+IF(AJ39="",0,4))=0,"",(IF(AF39="",0,AF39*8)+IF(AH39="",0,AH39*6)+IF(AJ39="",0,AJ39*4))/18)</f>
        <v/>
      </c>
      <c r="AM39" s="11">
        <f>IF(OR(City_Inputs!$AA39="",Norm_Stats!$F$16="",Norm_Stats!$G$16="",Norm_Stats!$G$16=Norm_Stats!$F$16),"",MAX(0,MIN(100,100*(MIN(MAX(City_Inputs!$AA39,Norm_Stats!$F$16),Norm_Stats!$G$16)-Norm_Stats!$F$16)/(Norm_Stats!$G$16-Norm_Stats!$F$16))))</f>
        <v/>
      </c>
      <c r="AN39" s="14">
        <f>IF(AM39="","",1)</f>
        <v/>
      </c>
      <c r="AO39" s="11">
        <f>IF(OR(City_Inputs!$AB39="",Norm_Stats!$F$17="",Norm_Stats!$G$17="",Norm_Stats!$G$17=Norm_Stats!$F$17),"",MAX(0,MIN(100,100*(MIN(MAX(City_Inputs!$AB39,Norm_Stats!$F$17),Norm_Stats!$G$17)-Norm_Stats!$F$17)/(Norm_Stats!$G$17-Norm_Stats!$F$17))))</f>
        <v/>
      </c>
      <c r="AP39" s="14">
        <f>IF(AO39="","",1)</f>
        <v/>
      </c>
      <c r="AQ39" s="11">
        <f>IF(OR(City_Inputs!$AC39="",Norm_Stats!$F$18="",Norm_Stats!$G$18="",Norm_Stats!$G$18=Norm_Stats!$F$18),"",MAX(0,MIN(100,100*(MIN(MAX(City_Inputs!$AC39,Norm_Stats!$F$18),Norm_Stats!$G$18)-Norm_Stats!$F$18)/(Norm_Stats!$G$18-Norm_Stats!$F$18))))</f>
        <v/>
      </c>
      <c r="AR39" s="14">
        <f>IF(AQ39="","",1)</f>
        <v/>
      </c>
      <c r="AS39" s="15">
        <f>IF((IF(AM39="",0,5)+IF(AO39="",0,5)+IF(AQ39="",0,5))=0,"",(IF(AM39="",0,AM39*5)+IF(AO39="",0,AO39*5)+IF(AQ39="",0,AQ39*5))/(IF(AM39="",0,5)+IF(AO39="",0,5)+IF(AQ39="",0,5)))</f>
        <v/>
      </c>
      <c r="AT39" s="14">
        <f>IF((IF(AN39="",0,5)+IF(AP39="",0,5)+IF(AR39="",0,5))=0,"",(IF(AN39="",0,AN39*5)+IF(AP39="",0,AP39*5)+IF(AR39="",0,AR39*5))/15)</f>
        <v/>
      </c>
      <c r="AU39" s="11">
        <f>IF(OR(City_Inputs!$AD39="",Norm_Stats!$F$19="",Norm_Stats!$G$19="",Norm_Stats!$G$19=Norm_Stats!$F$19),"",MAX(0,MIN(100,100*(MIN(MAX(City_Inputs!$AD39,Norm_Stats!$F$19),Norm_Stats!$G$19)-Norm_Stats!$F$19)/(Norm_Stats!$G$19-Norm_Stats!$F$19))))</f>
        <v/>
      </c>
      <c r="AV39" s="14">
        <f>IF(AU39="","",1)</f>
        <v/>
      </c>
      <c r="AW39" s="11">
        <f>IF(OR(City_Inputs!$AE39="",Norm_Stats!$F$20="",Norm_Stats!$G$20="",Norm_Stats!$G$20=Norm_Stats!$F$20),"",MAX(0,MIN(100,100*(MIN(MAX(City_Inputs!$AE39,Norm_Stats!$F$20),Norm_Stats!$G$20)-Norm_Stats!$F$20)/(Norm_Stats!$G$20-Norm_Stats!$F$20))))</f>
        <v/>
      </c>
      <c r="AX39" s="14">
        <f>IF(AW39="","",1)</f>
        <v/>
      </c>
      <c r="AY39" s="11">
        <f>IF((IF((IF(OR(City_Inputs!$AF39="",Norm_Stats!$F$21="",Norm_Stats!$G$21="",Norm_Stats!$G$21=Norm_Stats!$F$21),"",MAX(0,MIN(100,100*(MIN(MAX(City_Inputs!$AF39,Norm_Stats!$F$21),Norm_Stats!$G$21)-Norm_Stats!$F$21)/(Norm_Stats!$G$21-Norm_Stats!$F$21)))))="",0,0.5)+IF((IF(OR(City_Inputs!$AI39="",Norm_Stats!$F$22="",Norm_Stats!$G$22="",Norm_Stats!$G$22=Norm_Stats!$F$22),"",MAX(0,MIN(100,100*(MIN(MAX(City_Inputs!$AI39,Norm_Stats!$F$22),Norm_Stats!$G$22)-Norm_Stats!$F$22)/(Norm_Stats!$G$22-Norm_Stats!$F$22)))))="",0,0.3)+IF((IF(OR(City_Inputs!$AJ39="",Norm_Stats!$F$23="",Norm_Stats!$G$23="",Norm_Stats!$G$23=Norm_Stats!$F$23),"",MAX(0,MIN(100,100*(MIN(MAX(City_Inputs!$AJ39,Norm_Stats!$F$23),Norm_Stats!$G$23)-Norm_Stats!$F$23)/(Norm_Stats!$G$23-Norm_Stats!$F$23)))))="",0,0.2))=0,"",(IF((IF(OR(City_Inputs!$AF39="",Norm_Stats!$F$21="",Norm_Stats!$G$21="",Norm_Stats!$G$21=Norm_Stats!$F$21),"",MAX(0,MIN(100,100*(MIN(MAX(City_Inputs!$AF39,Norm_Stats!$F$21),Norm_Stats!$G$21)-Norm_Stats!$F$21)/(Norm_Stats!$G$21-Norm_Stats!$F$21)))))="",0,(IF(OR(City_Inputs!$AF39="",Norm_Stats!$F$21="",Norm_Stats!$G$21="",Norm_Stats!$G$21=Norm_Stats!$F$21),"",MAX(0,MIN(100,100*(MIN(MAX(City_Inputs!$AF39,Norm_Stats!$F$21),Norm_Stats!$G$21)-Norm_Stats!$F$21)/(Norm_Stats!$G$21-Norm_Stats!$F$21)))))*0.5)+IF((IF(OR(City_Inputs!$AI39="",Norm_Stats!$F$22="",Norm_Stats!$G$22="",Norm_Stats!$G$22=Norm_Stats!$F$22),"",MAX(0,MIN(100,100*(MIN(MAX(City_Inputs!$AI39,Norm_Stats!$F$22),Norm_Stats!$G$22)-Norm_Stats!$F$22)/(Norm_Stats!$G$22-Norm_Stats!$F$22)))))="",0,(IF(OR(City_Inputs!$AI39="",Norm_Stats!$F$22="",Norm_Stats!$G$22="",Norm_Stats!$G$22=Norm_Stats!$F$22),"",MAX(0,MIN(100,100*(MIN(MAX(City_Inputs!$AI39,Norm_Stats!$F$22),Norm_Stats!$G$22)-Norm_Stats!$F$22)/(Norm_Stats!$G$22-Norm_Stats!$F$22)))))*0.3)+IF((IF(OR(City_Inputs!$AJ39="",Norm_Stats!$F$23="",Norm_Stats!$G$23="",Norm_Stats!$G$23=Norm_Stats!$F$23),"",MAX(0,MIN(100,100*(MIN(MAX(City_Inputs!$AJ39,Norm_Stats!$F$23),Norm_Stats!$G$23)-Norm_Stats!$F$23)/(Norm_Stats!$G$23-Norm_Stats!$F$23)))))="",0,(IF(OR(City_Inputs!$AJ39="",Norm_Stats!$F$23="",Norm_Stats!$G$23="",Norm_Stats!$G$23=Norm_Stats!$F$23),"",MAX(0,MIN(100,100*(MIN(MAX(City_Inputs!$AJ39,Norm_Stats!$F$23),Norm_Stats!$G$23)-Norm_Stats!$F$23)/(Norm_Stats!$G$23-Norm_Stats!$F$23)))))*0.2))/(IF((IF(OR(City_Inputs!$AF39="",Norm_Stats!$F$21="",Norm_Stats!$G$21="",Norm_Stats!$G$21=Norm_Stats!$F$21),"",MAX(0,MIN(100,100*(MIN(MAX(City_Inputs!$AF39,Norm_Stats!$F$21),Norm_Stats!$G$21)-Norm_Stats!$F$21)/(Norm_Stats!$G$21-Norm_Stats!$F$21)))))="",0,0.5)+IF((IF(OR(City_Inputs!$AI39="",Norm_Stats!$F$22="",Norm_Stats!$G$22="",Norm_Stats!$G$22=Norm_Stats!$F$22),"",MAX(0,MIN(100,100*(MIN(MAX(City_Inputs!$AI39,Norm_Stats!$F$22),Norm_Stats!$G$22)-Norm_Stats!$F$22)/(Norm_Stats!$G$22-Norm_Stats!$F$22)))))="",0,0.3)+IF((IF(OR(City_Inputs!$AJ39="",Norm_Stats!$F$23="",Norm_Stats!$G$23="",Norm_Stats!$G$23=Norm_Stats!$F$23),"",MAX(0,MIN(100,100*(MIN(MAX(City_Inputs!$AJ39,Norm_Stats!$F$23),Norm_Stats!$G$23)-Norm_Stats!$F$23)/(Norm_Stats!$G$23-Norm_Stats!$F$23)))))="",0,0.2)))</f>
        <v/>
      </c>
      <c r="AZ39" s="14">
        <f>IF((IF((IF(OR(City_Inputs!$AF39="",Norm_Stats!$F$21="",Norm_Stats!$G$21="",Norm_Stats!$G$21=Norm_Stats!$F$21),"",MAX(0,MIN(100,100*(MIN(MAX(City_Inputs!$AF39,Norm_Stats!$F$21),Norm_Stats!$G$21)-Norm_Stats!$F$21)/(Norm_Stats!$G$21-Norm_Stats!$F$21)))))="",0,0.5)+IF((IF(OR(City_Inputs!$AI39="",Norm_Stats!$F$22="",Norm_Stats!$G$22="",Norm_Stats!$G$22=Norm_Stats!$F$22),"",MAX(0,MIN(100,100*(MIN(MAX(City_Inputs!$AI39,Norm_Stats!$F$22),Norm_Stats!$G$22)-Norm_Stats!$F$22)/(Norm_Stats!$G$22-Norm_Stats!$F$22)))))="",0,0.3)+IF((IF(OR(City_Inputs!$AJ39="",Norm_Stats!$F$23="",Norm_Stats!$G$23="",Norm_Stats!$G$23=Norm_Stats!$F$23),"",MAX(0,MIN(100,100*(MIN(MAX(City_Inputs!$AJ39,Norm_Stats!$F$23),Norm_Stats!$G$23)-Norm_Stats!$F$23)/(Norm_Stats!$G$23-Norm_Stats!$F$23)))))="",0,0.2))=0,"",(IF((IF(OR(City_Inputs!$AF39="",Norm_Stats!$F$21="",Norm_Stats!$G$21="",Norm_Stats!$G$21=Norm_Stats!$F$21),"",MAX(0,MIN(100,100*(MIN(MAX(City_Inputs!$AF39,Norm_Stats!$F$21),Norm_Stats!$G$21)-Norm_Stats!$F$21)/(Norm_Stats!$G$21-Norm_Stats!$F$21)))))="",0,0.5)+IF((IF(OR(City_Inputs!$AI39="",Norm_Stats!$F$22="",Norm_Stats!$G$22="",Norm_Stats!$G$22=Norm_Stats!$F$22),"",MAX(0,MIN(100,100*(MIN(MAX(City_Inputs!$AI39,Norm_Stats!$F$22),Norm_Stats!$G$22)-Norm_Stats!$F$22)/(Norm_Stats!$G$22-Norm_Stats!$F$22)))))="",0,0.3)+IF((IF(OR(City_Inputs!$AJ39="",Norm_Stats!$F$23="",Norm_Stats!$G$23="",Norm_Stats!$G$23=Norm_Stats!$F$23),"",MAX(0,MIN(100,100*(MIN(MAX(City_Inputs!$AJ39,Norm_Stats!$F$23),Norm_Stats!$G$23)-Norm_Stats!$F$23)/(Norm_Stats!$G$23-Norm_Stats!$F$23)))))="",0,0.2)))</f>
        <v/>
      </c>
      <c r="BA39" s="11">
        <f>IF(OR(City_Inputs!$AG39="",Norm_Stats!$F$24="",Norm_Stats!$G$24="",Norm_Stats!$G$24=Norm_Stats!$F$24),"",MAX(0,MIN(100,100*(Norm_Stats!$G$24-MIN(MAX(City_Inputs!$AG39,Norm_Stats!$F$24),Norm_Stats!$G$24))/(Norm_Stats!$G$24-Norm_Stats!$F$24))))</f>
        <v/>
      </c>
      <c r="BB39" s="14">
        <f>IF(BA39="","",1)</f>
        <v/>
      </c>
      <c r="BC39" s="15">
        <f>IF((IF(AU39="",0,6)+IF(AW39="",0,5)+IF(AY39="",0,5)+IF(BA39="",0,4))=0,"",(IF(AU39="",0,AU39*6)+IF(AW39="",0,AW39*5)+IF(AY39="",0,AY39*5)+IF(BA39="",0,BA39*4))/(IF(AU39="",0,6)+IF(AW39="",0,5)+IF(AY39="",0,5)+IF(BA39="",0,4)))</f>
        <v/>
      </c>
      <c r="BD39" s="14">
        <f>IF((IF(AV39="",0,6)+IF(AX39="",0,5)+IF(AZ39="",0,5)+IF(BB39="",0,4))=0,"",(IF(AV39="",0,AV39*6)+IF(AX39="",0,AX39*5)+IF(AZ39="",0,AZ39*5)+IF(BB39="",0,BB39*4))/20)</f>
        <v/>
      </c>
      <c r="BE39" s="14">
        <f>IF(AND(R39="",AD39="",AL39="",AT39="",BD39=""),"",((R39*25)+(AD39*22)+(AL39*18)+(AT39*15)+(BD39*20))/100)</f>
        <v/>
      </c>
      <c r="BF39" s="11">
        <f>IF(BE39="","",IF(BE39&gt;=0.75,"A",IF(BE39&gt;=0.5,"B",IF(BE39&gt;=0.35,"C","Watchlist"))))</f>
        <v/>
      </c>
      <c r="BG39" s="11">
        <f>IF(OR(BE39="",BE39&lt;0.5,R39="",R39&lt;0.35,AD39="",AD39&lt;0.35,AL39="",AL39&lt;0.35,AT39="",AT39&lt;0.35,BD39="",BD39&lt;0.35),"Watchlist","Ranked")</f>
        <v/>
      </c>
      <c r="BH39" s="15">
        <f>IF(AND(Q39="",AC39="",AK39="",AS39="",BC39=""),"",(IF(Q39="",0,Q39*25)+IF(AC39="",0,AC39*22)+IF(AK39="",0,AK39*18)+IF(AS39="",0,AS39*15)+IF(BC39="",0,BC39*20))/(IF(Q39="",0,25)+IF(AC39="",0,22)+IF(AK39="",0,18)+IF(AS39="",0,15)+IF(BC39="",0,20)))</f>
        <v/>
      </c>
      <c r="BI39" s="11">
        <f>IF(BG39="Ranked",1+COUNTIFS($BG$2:$BG$103,"Ranked",$BH$2:$BH$103,"&gt;"&amp;BH39),"")</f>
        <v/>
      </c>
      <c r="BJ39" s="11">
        <f>City_Inputs!$AH39</f>
        <v/>
      </c>
    </row>
    <row r="40">
      <c r="A40" t="inlineStr">
        <is>
          <t>pt-braga</t>
        </is>
      </c>
      <c r="B40" t="inlineStr">
        <is>
          <t>Braga</t>
        </is>
      </c>
      <c r="C40" t="inlineStr">
        <is>
          <t>Portugal</t>
        </is>
      </c>
      <c r="D40" t="inlineStr">
        <is>
          <t>Western, Northern, and Southern Europe</t>
        </is>
      </c>
      <c r="E40" t="inlineStr">
        <is>
          <t>locked</t>
        </is>
      </c>
      <c r="F40" t="inlineStr">
        <is>
          <t>secondary</t>
        </is>
      </c>
      <c r="G40" s="11">
        <f>IF(OR(City_Inputs!$M40="",Norm_Stats!$F$2="",Norm_Stats!$G$2="",Norm_Stats!$G$2=Norm_Stats!$F$2),"",MAX(0,MIN(100,100*(MIN(MAX(City_Inputs!$M40,Norm_Stats!$F$2),Norm_Stats!$G$2)-Norm_Stats!$F$2)/(Norm_Stats!$G$2-Norm_Stats!$F$2))))</f>
        <v/>
      </c>
      <c r="H40" s="14">
        <f>IF(G40="","",1)</f>
        <v/>
      </c>
      <c r="I40" s="11">
        <f>IF(OR(City_Inputs!$N40="",Norm_Stats!$F$3="",Norm_Stats!$G$3="",Norm_Stats!$G$3=Norm_Stats!$F$3),"",MAX(0,MIN(100,100*(Norm_Stats!$G$3-MIN(MAX(City_Inputs!$N40,Norm_Stats!$F$3),Norm_Stats!$G$3))/(Norm_Stats!$G$3-Norm_Stats!$F$3))))</f>
        <v/>
      </c>
      <c r="J40" s="14">
        <f>IF(I40="","",1)</f>
        <v/>
      </c>
      <c r="K40" s="11">
        <f>IF(OR(City_Inputs!$P40="",Norm_Stats!$F$4="",Norm_Stats!$G$4="",Norm_Stats!$G$4=Norm_Stats!$F$4),"",MAX(0,MIN(100,100*(Norm_Stats!$G$4-MIN(MAX(City_Inputs!$P40,Norm_Stats!$F$4),Norm_Stats!$G$4))/(Norm_Stats!$G$4-Norm_Stats!$F$4))))</f>
        <v/>
      </c>
      <c r="L40" s="14">
        <f>IF(K40="","",1)</f>
        <v/>
      </c>
      <c r="M40" s="11">
        <f>IF(OR(City_Inputs!$Q40="",Norm_Stats!$F$5="",Norm_Stats!$G$5="",Norm_Stats!$G$5=Norm_Stats!$F$5),"",MAX(0,MIN(100,100*(Norm_Stats!$G$5-MIN(MAX(City_Inputs!$Q40,Norm_Stats!$F$5),Norm_Stats!$G$5))/(Norm_Stats!$G$5-Norm_Stats!$F$5))))</f>
        <v/>
      </c>
      <c r="N40" s="14">
        <f>IF(M40="","",1)</f>
        <v/>
      </c>
      <c r="O40" s="11">
        <f>IF(OR(City_Inputs!$R40="",Norm_Stats!$F$6="",Norm_Stats!$G$6="",Norm_Stats!$G$6=Norm_Stats!$F$6),"",MAX(0,MIN(100,100*(Norm_Stats!$G$6-MIN(MAX(City_Inputs!$R40,Norm_Stats!$F$6),Norm_Stats!$G$6))/(Norm_Stats!$G$6-Norm_Stats!$F$6))))</f>
        <v/>
      </c>
      <c r="P40" s="14">
        <f>IF(O40="","",1)</f>
        <v/>
      </c>
      <c r="Q40" s="15">
        <f>IF((IF(G40="",0,9)+IF(I40="",0,5)+IF(K40="",0,4)+IF(M40="",0,4)+IF(O40="",0,3))=0,"",(IF(G40="",0,G40*9)+IF(I40="",0,I40*5)+IF(K40="",0,K40*4)+IF(M40="",0,M40*4)+IF(O40="",0,O40*3))/(IF(G40="",0,9)+IF(I40="",0,5)+IF(K40="",0,4)+IF(M40="",0,4)+IF(O40="",0,3)))</f>
        <v/>
      </c>
      <c r="R40" s="14">
        <f>IF((IF(H40="",0,9)+IF(J40="",0,5)+IF(L40="",0,4)+IF(N40="",0,4)+IF(P40="",0,3))=0,"",(IF(H40="",0,H40*9)+IF(J40="",0,J40*5)+IF(L40="",0,L40*4)+IF(N40="",0,N40*4)+IF(P40="",0,P40*3))/25)</f>
        <v/>
      </c>
      <c r="S40" s="11">
        <f>IF(OR(City_Inputs!$S40="",Norm_Stats!$F$7="",Norm_Stats!$G$7="",Norm_Stats!$G$7=Norm_Stats!$F$7),"",MAX(0,MIN(100,100*(Norm_Stats!$G$7-MIN(MAX(City_Inputs!$S40,Norm_Stats!$F$7),Norm_Stats!$G$7))/(Norm_Stats!$G$7-Norm_Stats!$F$7))))</f>
        <v/>
      </c>
      <c r="T40" s="14">
        <f>IF(S40="","",1)</f>
        <v/>
      </c>
      <c r="U40" s="11">
        <f>IF(OR(City_Inputs!$T40="",Norm_Stats!$F$8="",Norm_Stats!$G$8="",Norm_Stats!$G$8=Norm_Stats!$F$8),"",MAX(0,MIN(100,100*(MIN(MAX(City_Inputs!$T40,Norm_Stats!$F$8),Norm_Stats!$G$8)-Norm_Stats!$F$8)/(Norm_Stats!$G$8-Norm_Stats!$F$8))))</f>
        <v/>
      </c>
      <c r="V40" s="14">
        <f>IF(U40="","",1)</f>
        <v/>
      </c>
      <c r="W40" s="11">
        <f>IF(OR(City_Inputs!$U40="",Norm_Stats!$F$9="",Norm_Stats!$G$9="",Norm_Stats!$G$9=Norm_Stats!$F$9),"",MAX(0,MIN(100,100*(Norm_Stats!$G$9-MIN(MAX(City_Inputs!$U40,Norm_Stats!$F$9),Norm_Stats!$G$9))/(Norm_Stats!$G$9-Norm_Stats!$F$9))))</f>
        <v/>
      </c>
      <c r="X40" s="14">
        <f>IF(W40="","",1)</f>
        <v/>
      </c>
      <c r="Y40" s="11">
        <f>IF(OR(City_Inputs!$V40="",Norm_Stats!$F$10="",Norm_Stats!$G$10="",Norm_Stats!$G$10=Norm_Stats!$F$10),"",MAX(0,MIN(100,100*(MIN(MAX(City_Inputs!$V40,Norm_Stats!$F$10),Norm_Stats!$G$10)-Norm_Stats!$F$10)/(Norm_Stats!$G$10-Norm_Stats!$F$10))))</f>
        <v/>
      </c>
      <c r="Z40" s="14">
        <f>IF(Y40="","",1)</f>
        <v/>
      </c>
      <c r="AA40" s="11">
        <f>IF(OR(City_Inputs!$W40="",Norm_Stats!$F$11="",Norm_Stats!$G$11="",Norm_Stats!$G$11=Norm_Stats!$F$11),"",MAX(0,MIN(100,100*(MIN(MAX(City_Inputs!$W40,Norm_Stats!$F$11),Norm_Stats!$G$11)-Norm_Stats!$F$11)/(Norm_Stats!$G$11-Norm_Stats!$F$11))))</f>
        <v/>
      </c>
      <c r="AB40" s="14">
        <f>IF(AA40="","",1)</f>
        <v/>
      </c>
      <c r="AC40" s="15">
        <f>IF((IF(S40="",0,5)+IF(U40="",0,5)+IF(W40="",0,4)+IF(Y40="",0,4)+IF(AA40="",0,4))=0,"",(IF(S40="",0,S40*5)+IF(U40="",0,U40*5)+IF(W40="",0,W40*4)+IF(Y40="",0,Y40*4)+IF(AA40="",0,AA40*4))/(IF(S40="",0,5)+IF(U40="",0,5)+IF(W40="",0,4)+IF(Y40="",0,4)+IF(AA40="",0,4)))</f>
        <v/>
      </c>
      <c r="AD40" s="14">
        <f>IF((IF(T40="",0,5)+IF(V40="",0,5)+IF(X40="",0,4)+IF(Z40="",0,4)+IF(AB40="",0,4))=0,"",(IF(T40="",0,T40*5)+IF(V40="",0,V40*5)+IF(X40="",0,X40*4)+IF(Z40="",0,Z40*4)+IF(AB40="",0,AB40*4))/22)</f>
        <v/>
      </c>
      <c r="AE40" s="11">
        <f>IF(OR(City_Inputs!$X40="",Norm_Stats!$F$12="",Norm_Stats!$G$12="",Norm_Stats!$G$12=Norm_Stats!$F$12),"",MAX(0,MIN(100,100*(MIN(MAX(City_Inputs!$X40,Norm_Stats!$F$12),Norm_Stats!$G$12)-Norm_Stats!$F$12)/(Norm_Stats!$G$12-Norm_Stats!$F$12))))</f>
        <v/>
      </c>
      <c r="AF40" s="14">
        <f>IF(AE40="","",1)</f>
        <v/>
      </c>
      <c r="AG40" s="11">
        <f>IF(OR(City_Inputs!$Y40="",Norm_Stats!$F$13="",Norm_Stats!$G$13="",Norm_Stats!$G$13=Norm_Stats!$F$13),"",MAX(0,MIN(100,100*(MIN(MAX(City_Inputs!$Y40,Norm_Stats!$F$13),Norm_Stats!$G$13)-Norm_Stats!$F$13)/(Norm_Stats!$G$13-Norm_Stats!$F$13))))</f>
        <v/>
      </c>
      <c r="AH40" s="14">
        <f>IF(AG40="","",1)</f>
        <v/>
      </c>
      <c r="AI40" s="11">
        <f>IF((IF((IF(OR(City_Inputs!$Z40="",Norm_Stats!$F$14="",Norm_Stats!$G$14="",Norm_Stats!$G$14=Norm_Stats!$F$14),"",MAX(0,MIN(100,100*(MIN(MAX(City_Inputs!$Z40,Norm_Stats!$F$14),Norm_Stats!$G$14)-Norm_Stats!$F$14)/(Norm_Stats!$G$14-Norm_Stats!$F$14)))))="",0,0.7)+IF((IF(OR(City_Inputs!$AK40="",Norm_Stats!$F$15="",Norm_Stats!$G$15="",Norm_Stats!$G$15=Norm_Stats!$F$15),"",MAX(0,MIN(100,100*(Norm_Stats!$G$15-MIN(MAX(City_Inputs!$AK40,Norm_Stats!$F$15),Norm_Stats!$G$15))/(Norm_Stats!$G$15-Norm_Stats!$F$15)))))="",0,0.3))=0,"",(IF((IF(OR(City_Inputs!$Z40="",Norm_Stats!$F$14="",Norm_Stats!$G$14="",Norm_Stats!$G$14=Norm_Stats!$F$14),"",MAX(0,MIN(100,100*(MIN(MAX(City_Inputs!$Z40,Norm_Stats!$F$14),Norm_Stats!$G$14)-Norm_Stats!$F$14)/(Norm_Stats!$G$14-Norm_Stats!$F$14)))))="",0,(IF(OR(City_Inputs!$Z40="",Norm_Stats!$F$14="",Norm_Stats!$G$14="",Norm_Stats!$G$14=Norm_Stats!$F$14),"",MAX(0,MIN(100,100*(MIN(MAX(City_Inputs!$Z40,Norm_Stats!$F$14),Norm_Stats!$G$14)-Norm_Stats!$F$14)/(Norm_Stats!$G$14-Norm_Stats!$F$14)))))*0.7)+IF((IF(OR(City_Inputs!$AK40="",Norm_Stats!$F$15="",Norm_Stats!$G$15="",Norm_Stats!$G$15=Norm_Stats!$F$15),"",MAX(0,MIN(100,100*(Norm_Stats!$G$15-MIN(MAX(City_Inputs!$AK40,Norm_Stats!$F$15),Norm_Stats!$G$15))/(Norm_Stats!$G$15-Norm_Stats!$F$15)))))="",0,(IF(OR(City_Inputs!$AK40="",Norm_Stats!$F$15="",Norm_Stats!$G$15="",Norm_Stats!$G$15=Norm_Stats!$F$15),"",MAX(0,MIN(100,100*(Norm_Stats!$G$15-MIN(MAX(City_Inputs!$AK40,Norm_Stats!$F$15),Norm_Stats!$G$15))/(Norm_Stats!$G$15-Norm_Stats!$F$15)))))*0.3))/(IF((IF(OR(City_Inputs!$Z40="",Norm_Stats!$F$14="",Norm_Stats!$G$14="",Norm_Stats!$G$14=Norm_Stats!$F$14),"",MAX(0,MIN(100,100*(MIN(MAX(City_Inputs!$Z40,Norm_Stats!$F$14),Norm_Stats!$G$14)-Norm_Stats!$F$14)/(Norm_Stats!$G$14-Norm_Stats!$F$14)))))="",0,0.7)+IF((IF(OR(City_Inputs!$AK40="",Norm_Stats!$F$15="",Norm_Stats!$G$15="",Norm_Stats!$G$15=Norm_Stats!$F$15),"",MAX(0,MIN(100,100*(Norm_Stats!$G$15-MIN(MAX(City_Inputs!$AK40,Norm_Stats!$F$15),Norm_Stats!$G$15))/(Norm_Stats!$G$15-Norm_Stats!$F$15)))))="",0,0.3)))</f>
        <v/>
      </c>
      <c r="AJ40" s="14">
        <f>IF((IF((IF(OR(City_Inputs!$Z40="",Norm_Stats!$F$14="",Norm_Stats!$G$14="",Norm_Stats!$G$14=Norm_Stats!$F$14),"",MAX(0,MIN(100,100*(MIN(MAX(City_Inputs!$Z40,Norm_Stats!$F$14),Norm_Stats!$G$14)-Norm_Stats!$F$14)/(Norm_Stats!$G$14-Norm_Stats!$F$14)))))="",0,0.7)+IF((IF(OR(City_Inputs!$AK40="",Norm_Stats!$F$15="",Norm_Stats!$G$15="",Norm_Stats!$G$15=Norm_Stats!$F$15),"",MAX(0,MIN(100,100*(Norm_Stats!$G$15-MIN(MAX(City_Inputs!$AK40,Norm_Stats!$F$15),Norm_Stats!$G$15))/(Norm_Stats!$G$15-Norm_Stats!$F$15)))))="",0,0.3))=0,"",(IF((IF(OR(City_Inputs!$Z40="",Norm_Stats!$F$14="",Norm_Stats!$G$14="",Norm_Stats!$G$14=Norm_Stats!$F$14),"",MAX(0,MIN(100,100*(MIN(MAX(City_Inputs!$Z40,Norm_Stats!$F$14),Norm_Stats!$G$14)-Norm_Stats!$F$14)/(Norm_Stats!$G$14-Norm_Stats!$F$14)))))="",0,0.7)+IF((IF(OR(City_Inputs!$AK40="",Norm_Stats!$F$15="",Norm_Stats!$G$15="",Norm_Stats!$G$15=Norm_Stats!$F$15),"",MAX(0,MIN(100,100*(Norm_Stats!$G$15-MIN(MAX(City_Inputs!$AK40,Norm_Stats!$F$15),Norm_Stats!$G$15))/(Norm_Stats!$G$15-Norm_Stats!$F$15)))))="",0,0.3)))</f>
        <v/>
      </c>
      <c r="AK40" s="15">
        <f>IF((IF(AE40="",0,8)+IF(AG40="",0,6)+IF(AI40="",0,4))=0,"",(IF(AE40="",0,AE40*8)+IF(AG40="",0,AG40*6)+IF(AI40="",0,AI40*4))/(IF(AE40="",0,8)+IF(AG40="",0,6)+IF(AI40="",0,4)))</f>
        <v/>
      </c>
      <c r="AL40" s="14">
        <f>IF((IF(AF40="",0,8)+IF(AH40="",0,6)+IF(AJ40="",0,4))=0,"",(IF(AF40="",0,AF40*8)+IF(AH40="",0,AH40*6)+IF(AJ40="",0,AJ40*4))/18)</f>
        <v/>
      </c>
      <c r="AM40" s="11">
        <f>IF(OR(City_Inputs!$AA40="",Norm_Stats!$F$16="",Norm_Stats!$G$16="",Norm_Stats!$G$16=Norm_Stats!$F$16),"",MAX(0,MIN(100,100*(MIN(MAX(City_Inputs!$AA40,Norm_Stats!$F$16),Norm_Stats!$G$16)-Norm_Stats!$F$16)/(Norm_Stats!$G$16-Norm_Stats!$F$16))))</f>
        <v/>
      </c>
      <c r="AN40" s="14">
        <f>IF(AM40="","",1)</f>
        <v/>
      </c>
      <c r="AO40" s="11">
        <f>IF(OR(City_Inputs!$AB40="",Norm_Stats!$F$17="",Norm_Stats!$G$17="",Norm_Stats!$G$17=Norm_Stats!$F$17),"",MAX(0,MIN(100,100*(MIN(MAX(City_Inputs!$AB40,Norm_Stats!$F$17),Norm_Stats!$G$17)-Norm_Stats!$F$17)/(Norm_Stats!$G$17-Norm_Stats!$F$17))))</f>
        <v/>
      </c>
      <c r="AP40" s="14">
        <f>IF(AO40="","",1)</f>
        <v/>
      </c>
      <c r="AQ40" s="11">
        <f>IF(OR(City_Inputs!$AC40="",Norm_Stats!$F$18="",Norm_Stats!$G$18="",Norm_Stats!$G$18=Norm_Stats!$F$18),"",MAX(0,MIN(100,100*(MIN(MAX(City_Inputs!$AC40,Norm_Stats!$F$18),Norm_Stats!$G$18)-Norm_Stats!$F$18)/(Norm_Stats!$G$18-Norm_Stats!$F$18))))</f>
        <v/>
      </c>
      <c r="AR40" s="14">
        <f>IF(AQ40="","",1)</f>
        <v/>
      </c>
      <c r="AS40" s="15">
        <f>IF((IF(AM40="",0,5)+IF(AO40="",0,5)+IF(AQ40="",0,5))=0,"",(IF(AM40="",0,AM40*5)+IF(AO40="",0,AO40*5)+IF(AQ40="",0,AQ40*5))/(IF(AM40="",0,5)+IF(AO40="",0,5)+IF(AQ40="",0,5)))</f>
        <v/>
      </c>
      <c r="AT40" s="14">
        <f>IF((IF(AN40="",0,5)+IF(AP40="",0,5)+IF(AR40="",0,5))=0,"",(IF(AN40="",0,AN40*5)+IF(AP40="",0,AP40*5)+IF(AR40="",0,AR40*5))/15)</f>
        <v/>
      </c>
      <c r="AU40" s="11">
        <f>IF(OR(City_Inputs!$AD40="",Norm_Stats!$F$19="",Norm_Stats!$G$19="",Norm_Stats!$G$19=Norm_Stats!$F$19),"",MAX(0,MIN(100,100*(MIN(MAX(City_Inputs!$AD40,Norm_Stats!$F$19),Norm_Stats!$G$19)-Norm_Stats!$F$19)/(Norm_Stats!$G$19-Norm_Stats!$F$19))))</f>
        <v/>
      </c>
      <c r="AV40" s="14">
        <f>IF(AU40="","",1)</f>
        <v/>
      </c>
      <c r="AW40" s="11">
        <f>IF(OR(City_Inputs!$AE40="",Norm_Stats!$F$20="",Norm_Stats!$G$20="",Norm_Stats!$G$20=Norm_Stats!$F$20),"",MAX(0,MIN(100,100*(MIN(MAX(City_Inputs!$AE40,Norm_Stats!$F$20),Norm_Stats!$G$20)-Norm_Stats!$F$20)/(Norm_Stats!$G$20-Norm_Stats!$F$20))))</f>
        <v/>
      </c>
      <c r="AX40" s="14">
        <f>IF(AW40="","",1)</f>
        <v/>
      </c>
      <c r="AY40" s="11">
        <f>IF((IF((IF(OR(City_Inputs!$AF40="",Norm_Stats!$F$21="",Norm_Stats!$G$21="",Norm_Stats!$G$21=Norm_Stats!$F$21),"",MAX(0,MIN(100,100*(MIN(MAX(City_Inputs!$AF40,Norm_Stats!$F$21),Norm_Stats!$G$21)-Norm_Stats!$F$21)/(Norm_Stats!$G$21-Norm_Stats!$F$21)))))="",0,0.5)+IF((IF(OR(City_Inputs!$AI40="",Norm_Stats!$F$22="",Norm_Stats!$G$22="",Norm_Stats!$G$22=Norm_Stats!$F$22),"",MAX(0,MIN(100,100*(MIN(MAX(City_Inputs!$AI40,Norm_Stats!$F$22),Norm_Stats!$G$22)-Norm_Stats!$F$22)/(Norm_Stats!$G$22-Norm_Stats!$F$22)))))="",0,0.3)+IF((IF(OR(City_Inputs!$AJ40="",Norm_Stats!$F$23="",Norm_Stats!$G$23="",Norm_Stats!$G$23=Norm_Stats!$F$23),"",MAX(0,MIN(100,100*(MIN(MAX(City_Inputs!$AJ40,Norm_Stats!$F$23),Norm_Stats!$G$23)-Norm_Stats!$F$23)/(Norm_Stats!$G$23-Norm_Stats!$F$23)))))="",0,0.2))=0,"",(IF((IF(OR(City_Inputs!$AF40="",Norm_Stats!$F$21="",Norm_Stats!$G$21="",Norm_Stats!$G$21=Norm_Stats!$F$21),"",MAX(0,MIN(100,100*(MIN(MAX(City_Inputs!$AF40,Norm_Stats!$F$21),Norm_Stats!$G$21)-Norm_Stats!$F$21)/(Norm_Stats!$G$21-Norm_Stats!$F$21)))))="",0,(IF(OR(City_Inputs!$AF40="",Norm_Stats!$F$21="",Norm_Stats!$G$21="",Norm_Stats!$G$21=Norm_Stats!$F$21),"",MAX(0,MIN(100,100*(MIN(MAX(City_Inputs!$AF40,Norm_Stats!$F$21),Norm_Stats!$G$21)-Norm_Stats!$F$21)/(Norm_Stats!$G$21-Norm_Stats!$F$21)))))*0.5)+IF((IF(OR(City_Inputs!$AI40="",Norm_Stats!$F$22="",Norm_Stats!$G$22="",Norm_Stats!$G$22=Norm_Stats!$F$22),"",MAX(0,MIN(100,100*(MIN(MAX(City_Inputs!$AI40,Norm_Stats!$F$22),Norm_Stats!$G$22)-Norm_Stats!$F$22)/(Norm_Stats!$G$22-Norm_Stats!$F$22)))))="",0,(IF(OR(City_Inputs!$AI40="",Norm_Stats!$F$22="",Norm_Stats!$G$22="",Norm_Stats!$G$22=Norm_Stats!$F$22),"",MAX(0,MIN(100,100*(MIN(MAX(City_Inputs!$AI40,Norm_Stats!$F$22),Norm_Stats!$G$22)-Norm_Stats!$F$22)/(Norm_Stats!$G$22-Norm_Stats!$F$22)))))*0.3)+IF((IF(OR(City_Inputs!$AJ40="",Norm_Stats!$F$23="",Norm_Stats!$G$23="",Norm_Stats!$G$23=Norm_Stats!$F$23),"",MAX(0,MIN(100,100*(MIN(MAX(City_Inputs!$AJ40,Norm_Stats!$F$23),Norm_Stats!$G$23)-Norm_Stats!$F$23)/(Norm_Stats!$G$23-Norm_Stats!$F$23)))))="",0,(IF(OR(City_Inputs!$AJ40="",Norm_Stats!$F$23="",Norm_Stats!$G$23="",Norm_Stats!$G$23=Norm_Stats!$F$23),"",MAX(0,MIN(100,100*(MIN(MAX(City_Inputs!$AJ40,Norm_Stats!$F$23),Norm_Stats!$G$23)-Norm_Stats!$F$23)/(Norm_Stats!$G$23-Norm_Stats!$F$23)))))*0.2))/(IF((IF(OR(City_Inputs!$AF40="",Norm_Stats!$F$21="",Norm_Stats!$G$21="",Norm_Stats!$G$21=Norm_Stats!$F$21),"",MAX(0,MIN(100,100*(MIN(MAX(City_Inputs!$AF40,Norm_Stats!$F$21),Norm_Stats!$G$21)-Norm_Stats!$F$21)/(Norm_Stats!$G$21-Norm_Stats!$F$21)))))="",0,0.5)+IF((IF(OR(City_Inputs!$AI40="",Norm_Stats!$F$22="",Norm_Stats!$G$22="",Norm_Stats!$G$22=Norm_Stats!$F$22),"",MAX(0,MIN(100,100*(MIN(MAX(City_Inputs!$AI40,Norm_Stats!$F$22),Norm_Stats!$G$22)-Norm_Stats!$F$22)/(Norm_Stats!$G$22-Norm_Stats!$F$22)))))="",0,0.3)+IF((IF(OR(City_Inputs!$AJ40="",Norm_Stats!$F$23="",Norm_Stats!$G$23="",Norm_Stats!$G$23=Norm_Stats!$F$23),"",MAX(0,MIN(100,100*(MIN(MAX(City_Inputs!$AJ40,Norm_Stats!$F$23),Norm_Stats!$G$23)-Norm_Stats!$F$23)/(Norm_Stats!$G$23-Norm_Stats!$F$23)))))="",0,0.2)))</f>
        <v/>
      </c>
      <c r="AZ40" s="14">
        <f>IF((IF((IF(OR(City_Inputs!$AF40="",Norm_Stats!$F$21="",Norm_Stats!$G$21="",Norm_Stats!$G$21=Norm_Stats!$F$21),"",MAX(0,MIN(100,100*(MIN(MAX(City_Inputs!$AF40,Norm_Stats!$F$21),Norm_Stats!$G$21)-Norm_Stats!$F$21)/(Norm_Stats!$G$21-Norm_Stats!$F$21)))))="",0,0.5)+IF((IF(OR(City_Inputs!$AI40="",Norm_Stats!$F$22="",Norm_Stats!$G$22="",Norm_Stats!$G$22=Norm_Stats!$F$22),"",MAX(0,MIN(100,100*(MIN(MAX(City_Inputs!$AI40,Norm_Stats!$F$22),Norm_Stats!$G$22)-Norm_Stats!$F$22)/(Norm_Stats!$G$22-Norm_Stats!$F$22)))))="",0,0.3)+IF((IF(OR(City_Inputs!$AJ40="",Norm_Stats!$F$23="",Norm_Stats!$G$23="",Norm_Stats!$G$23=Norm_Stats!$F$23),"",MAX(0,MIN(100,100*(MIN(MAX(City_Inputs!$AJ40,Norm_Stats!$F$23),Norm_Stats!$G$23)-Norm_Stats!$F$23)/(Norm_Stats!$G$23-Norm_Stats!$F$23)))))="",0,0.2))=0,"",(IF((IF(OR(City_Inputs!$AF40="",Norm_Stats!$F$21="",Norm_Stats!$G$21="",Norm_Stats!$G$21=Norm_Stats!$F$21),"",MAX(0,MIN(100,100*(MIN(MAX(City_Inputs!$AF40,Norm_Stats!$F$21),Norm_Stats!$G$21)-Norm_Stats!$F$21)/(Norm_Stats!$G$21-Norm_Stats!$F$21)))))="",0,0.5)+IF((IF(OR(City_Inputs!$AI40="",Norm_Stats!$F$22="",Norm_Stats!$G$22="",Norm_Stats!$G$22=Norm_Stats!$F$22),"",MAX(0,MIN(100,100*(MIN(MAX(City_Inputs!$AI40,Norm_Stats!$F$22),Norm_Stats!$G$22)-Norm_Stats!$F$22)/(Norm_Stats!$G$22-Norm_Stats!$F$22)))))="",0,0.3)+IF((IF(OR(City_Inputs!$AJ40="",Norm_Stats!$F$23="",Norm_Stats!$G$23="",Norm_Stats!$G$23=Norm_Stats!$F$23),"",MAX(0,MIN(100,100*(MIN(MAX(City_Inputs!$AJ40,Norm_Stats!$F$23),Norm_Stats!$G$23)-Norm_Stats!$F$23)/(Norm_Stats!$G$23-Norm_Stats!$F$23)))))="",0,0.2)))</f>
        <v/>
      </c>
      <c r="BA40" s="11">
        <f>IF(OR(City_Inputs!$AG40="",Norm_Stats!$F$24="",Norm_Stats!$G$24="",Norm_Stats!$G$24=Norm_Stats!$F$24),"",MAX(0,MIN(100,100*(Norm_Stats!$G$24-MIN(MAX(City_Inputs!$AG40,Norm_Stats!$F$24),Norm_Stats!$G$24))/(Norm_Stats!$G$24-Norm_Stats!$F$24))))</f>
        <v/>
      </c>
      <c r="BB40" s="14">
        <f>IF(BA40="","",1)</f>
        <v/>
      </c>
      <c r="BC40" s="15">
        <f>IF((IF(AU40="",0,6)+IF(AW40="",0,5)+IF(AY40="",0,5)+IF(BA40="",0,4))=0,"",(IF(AU40="",0,AU40*6)+IF(AW40="",0,AW40*5)+IF(AY40="",0,AY40*5)+IF(BA40="",0,BA40*4))/(IF(AU40="",0,6)+IF(AW40="",0,5)+IF(AY40="",0,5)+IF(BA40="",0,4)))</f>
        <v/>
      </c>
      <c r="BD40" s="14">
        <f>IF((IF(AV40="",0,6)+IF(AX40="",0,5)+IF(AZ40="",0,5)+IF(BB40="",0,4))=0,"",(IF(AV40="",0,AV40*6)+IF(AX40="",0,AX40*5)+IF(AZ40="",0,AZ40*5)+IF(BB40="",0,BB40*4))/20)</f>
        <v/>
      </c>
      <c r="BE40" s="14">
        <f>IF(AND(R40="",AD40="",AL40="",AT40="",BD40=""),"",((R40*25)+(AD40*22)+(AL40*18)+(AT40*15)+(BD40*20))/100)</f>
        <v/>
      </c>
      <c r="BF40" s="11">
        <f>IF(BE40="","",IF(BE40&gt;=0.75,"A",IF(BE40&gt;=0.5,"B",IF(BE40&gt;=0.35,"C","Watchlist"))))</f>
        <v/>
      </c>
      <c r="BG40" s="11">
        <f>IF(OR(BE40="",BE40&lt;0.5,R40="",R40&lt;0.35,AD40="",AD40&lt;0.35,AL40="",AL40&lt;0.35,AT40="",AT40&lt;0.35,BD40="",BD40&lt;0.35),"Watchlist","Ranked")</f>
        <v/>
      </c>
      <c r="BH40" s="15">
        <f>IF(AND(Q40="",AC40="",AK40="",AS40="",BC40=""),"",(IF(Q40="",0,Q40*25)+IF(AC40="",0,AC40*22)+IF(AK40="",0,AK40*18)+IF(AS40="",0,AS40*15)+IF(BC40="",0,BC40*20))/(IF(Q40="",0,25)+IF(AC40="",0,22)+IF(AK40="",0,18)+IF(AS40="",0,15)+IF(BC40="",0,20)))</f>
        <v/>
      </c>
      <c r="BI40" s="11">
        <f>IF(BG40="Ranked",1+COUNTIFS($BG$2:$BG$103,"Ranked",$BH$2:$BH$103,"&gt;"&amp;BH40),"")</f>
        <v/>
      </c>
      <c r="BJ40" s="11">
        <f>City_Inputs!$AH40</f>
        <v/>
      </c>
    </row>
    <row r="41">
      <c r="A41" t="inlineStr">
        <is>
          <t>ee-tallinn</t>
        </is>
      </c>
      <c r="B41" t="inlineStr">
        <is>
          <t>Tallinn</t>
        </is>
      </c>
      <c r="C41" t="inlineStr">
        <is>
          <t>Estonia</t>
        </is>
      </c>
      <c r="D41" t="inlineStr">
        <is>
          <t>Western, Northern, and Southern Europe</t>
        </is>
      </c>
      <c r="E41" t="inlineStr">
        <is>
          <t>locked</t>
        </is>
      </c>
      <c r="F41" t="inlineStr">
        <is>
          <t>secondary</t>
        </is>
      </c>
      <c r="G41" s="11">
        <f>IF(OR(City_Inputs!$M41="",Norm_Stats!$F$2="",Norm_Stats!$G$2="",Norm_Stats!$G$2=Norm_Stats!$F$2),"",MAX(0,MIN(100,100*(MIN(MAX(City_Inputs!$M41,Norm_Stats!$F$2),Norm_Stats!$G$2)-Norm_Stats!$F$2)/(Norm_Stats!$G$2-Norm_Stats!$F$2))))</f>
        <v/>
      </c>
      <c r="H41" s="14">
        <f>IF(G41="","",1)</f>
        <v/>
      </c>
      <c r="I41" s="11">
        <f>IF(OR(City_Inputs!$N41="",Norm_Stats!$F$3="",Norm_Stats!$G$3="",Norm_Stats!$G$3=Norm_Stats!$F$3),"",MAX(0,MIN(100,100*(Norm_Stats!$G$3-MIN(MAX(City_Inputs!$N41,Norm_Stats!$F$3),Norm_Stats!$G$3))/(Norm_Stats!$G$3-Norm_Stats!$F$3))))</f>
        <v/>
      </c>
      <c r="J41" s="14">
        <f>IF(I41="","",1)</f>
        <v/>
      </c>
      <c r="K41" s="11">
        <f>IF(OR(City_Inputs!$P41="",Norm_Stats!$F$4="",Norm_Stats!$G$4="",Norm_Stats!$G$4=Norm_Stats!$F$4),"",MAX(0,MIN(100,100*(Norm_Stats!$G$4-MIN(MAX(City_Inputs!$P41,Norm_Stats!$F$4),Norm_Stats!$G$4))/(Norm_Stats!$G$4-Norm_Stats!$F$4))))</f>
        <v/>
      </c>
      <c r="L41" s="14">
        <f>IF(K41="","",1)</f>
        <v/>
      </c>
      <c r="M41" s="11">
        <f>IF(OR(City_Inputs!$Q41="",Norm_Stats!$F$5="",Norm_Stats!$G$5="",Norm_Stats!$G$5=Norm_Stats!$F$5),"",MAX(0,MIN(100,100*(Norm_Stats!$G$5-MIN(MAX(City_Inputs!$Q41,Norm_Stats!$F$5),Norm_Stats!$G$5))/(Norm_Stats!$G$5-Norm_Stats!$F$5))))</f>
        <v/>
      </c>
      <c r="N41" s="14">
        <f>IF(M41="","",1)</f>
        <v/>
      </c>
      <c r="O41" s="11">
        <f>IF(OR(City_Inputs!$R41="",Norm_Stats!$F$6="",Norm_Stats!$G$6="",Norm_Stats!$G$6=Norm_Stats!$F$6),"",MAX(0,MIN(100,100*(Norm_Stats!$G$6-MIN(MAX(City_Inputs!$R41,Norm_Stats!$F$6),Norm_Stats!$G$6))/(Norm_Stats!$G$6-Norm_Stats!$F$6))))</f>
        <v/>
      </c>
      <c r="P41" s="14">
        <f>IF(O41="","",1)</f>
        <v/>
      </c>
      <c r="Q41" s="15">
        <f>IF((IF(G41="",0,9)+IF(I41="",0,5)+IF(K41="",0,4)+IF(M41="",0,4)+IF(O41="",0,3))=0,"",(IF(G41="",0,G41*9)+IF(I41="",0,I41*5)+IF(K41="",0,K41*4)+IF(M41="",0,M41*4)+IF(O41="",0,O41*3))/(IF(G41="",0,9)+IF(I41="",0,5)+IF(K41="",0,4)+IF(M41="",0,4)+IF(O41="",0,3)))</f>
        <v/>
      </c>
      <c r="R41" s="14">
        <f>IF((IF(H41="",0,9)+IF(J41="",0,5)+IF(L41="",0,4)+IF(N41="",0,4)+IF(P41="",0,3))=0,"",(IF(H41="",0,H41*9)+IF(J41="",0,J41*5)+IF(L41="",0,L41*4)+IF(N41="",0,N41*4)+IF(P41="",0,P41*3))/25)</f>
        <v/>
      </c>
      <c r="S41" s="11">
        <f>IF(OR(City_Inputs!$S41="",Norm_Stats!$F$7="",Norm_Stats!$G$7="",Norm_Stats!$G$7=Norm_Stats!$F$7),"",MAX(0,MIN(100,100*(Norm_Stats!$G$7-MIN(MAX(City_Inputs!$S41,Norm_Stats!$F$7),Norm_Stats!$G$7))/(Norm_Stats!$G$7-Norm_Stats!$F$7))))</f>
        <v/>
      </c>
      <c r="T41" s="14">
        <f>IF(S41="","",1)</f>
        <v/>
      </c>
      <c r="U41" s="11">
        <f>IF(OR(City_Inputs!$T41="",Norm_Stats!$F$8="",Norm_Stats!$G$8="",Norm_Stats!$G$8=Norm_Stats!$F$8),"",MAX(0,MIN(100,100*(MIN(MAX(City_Inputs!$T41,Norm_Stats!$F$8),Norm_Stats!$G$8)-Norm_Stats!$F$8)/(Norm_Stats!$G$8-Norm_Stats!$F$8))))</f>
        <v/>
      </c>
      <c r="V41" s="14">
        <f>IF(U41="","",1)</f>
        <v/>
      </c>
      <c r="W41" s="11">
        <f>IF(OR(City_Inputs!$U41="",Norm_Stats!$F$9="",Norm_Stats!$G$9="",Norm_Stats!$G$9=Norm_Stats!$F$9),"",MAX(0,MIN(100,100*(Norm_Stats!$G$9-MIN(MAX(City_Inputs!$U41,Norm_Stats!$F$9),Norm_Stats!$G$9))/(Norm_Stats!$G$9-Norm_Stats!$F$9))))</f>
        <v/>
      </c>
      <c r="X41" s="14">
        <f>IF(W41="","",1)</f>
        <v/>
      </c>
      <c r="Y41" s="11">
        <f>IF(OR(City_Inputs!$V41="",Norm_Stats!$F$10="",Norm_Stats!$G$10="",Norm_Stats!$G$10=Norm_Stats!$F$10),"",MAX(0,MIN(100,100*(MIN(MAX(City_Inputs!$V41,Norm_Stats!$F$10),Norm_Stats!$G$10)-Norm_Stats!$F$10)/(Norm_Stats!$G$10-Norm_Stats!$F$10))))</f>
        <v/>
      </c>
      <c r="Z41" s="14">
        <f>IF(Y41="","",1)</f>
        <v/>
      </c>
      <c r="AA41" s="11">
        <f>IF(OR(City_Inputs!$W41="",Norm_Stats!$F$11="",Norm_Stats!$G$11="",Norm_Stats!$G$11=Norm_Stats!$F$11),"",MAX(0,MIN(100,100*(MIN(MAX(City_Inputs!$W41,Norm_Stats!$F$11),Norm_Stats!$G$11)-Norm_Stats!$F$11)/(Norm_Stats!$G$11-Norm_Stats!$F$11))))</f>
        <v/>
      </c>
      <c r="AB41" s="14">
        <f>IF(AA41="","",1)</f>
        <v/>
      </c>
      <c r="AC41" s="15">
        <f>IF((IF(S41="",0,5)+IF(U41="",0,5)+IF(W41="",0,4)+IF(Y41="",0,4)+IF(AA41="",0,4))=0,"",(IF(S41="",0,S41*5)+IF(U41="",0,U41*5)+IF(W41="",0,W41*4)+IF(Y41="",0,Y41*4)+IF(AA41="",0,AA41*4))/(IF(S41="",0,5)+IF(U41="",0,5)+IF(W41="",0,4)+IF(Y41="",0,4)+IF(AA41="",0,4)))</f>
        <v/>
      </c>
      <c r="AD41" s="14">
        <f>IF((IF(T41="",0,5)+IF(V41="",0,5)+IF(X41="",0,4)+IF(Z41="",0,4)+IF(AB41="",0,4))=0,"",(IF(T41="",0,T41*5)+IF(V41="",0,V41*5)+IF(X41="",0,X41*4)+IF(Z41="",0,Z41*4)+IF(AB41="",0,AB41*4))/22)</f>
        <v/>
      </c>
      <c r="AE41" s="11">
        <f>IF(OR(City_Inputs!$X41="",Norm_Stats!$F$12="",Norm_Stats!$G$12="",Norm_Stats!$G$12=Norm_Stats!$F$12),"",MAX(0,MIN(100,100*(MIN(MAX(City_Inputs!$X41,Norm_Stats!$F$12),Norm_Stats!$G$12)-Norm_Stats!$F$12)/(Norm_Stats!$G$12-Norm_Stats!$F$12))))</f>
        <v/>
      </c>
      <c r="AF41" s="14">
        <f>IF(AE41="","",1)</f>
        <v/>
      </c>
      <c r="AG41" s="11">
        <f>IF(OR(City_Inputs!$Y41="",Norm_Stats!$F$13="",Norm_Stats!$G$13="",Norm_Stats!$G$13=Norm_Stats!$F$13),"",MAX(0,MIN(100,100*(MIN(MAX(City_Inputs!$Y41,Norm_Stats!$F$13),Norm_Stats!$G$13)-Norm_Stats!$F$13)/(Norm_Stats!$G$13-Norm_Stats!$F$13))))</f>
        <v/>
      </c>
      <c r="AH41" s="14">
        <f>IF(AG41="","",1)</f>
        <v/>
      </c>
      <c r="AI41" s="11">
        <f>IF((IF((IF(OR(City_Inputs!$Z41="",Norm_Stats!$F$14="",Norm_Stats!$G$14="",Norm_Stats!$G$14=Norm_Stats!$F$14),"",MAX(0,MIN(100,100*(MIN(MAX(City_Inputs!$Z41,Norm_Stats!$F$14),Norm_Stats!$G$14)-Norm_Stats!$F$14)/(Norm_Stats!$G$14-Norm_Stats!$F$14)))))="",0,0.7)+IF((IF(OR(City_Inputs!$AK41="",Norm_Stats!$F$15="",Norm_Stats!$G$15="",Norm_Stats!$G$15=Norm_Stats!$F$15),"",MAX(0,MIN(100,100*(Norm_Stats!$G$15-MIN(MAX(City_Inputs!$AK41,Norm_Stats!$F$15),Norm_Stats!$G$15))/(Norm_Stats!$G$15-Norm_Stats!$F$15)))))="",0,0.3))=0,"",(IF((IF(OR(City_Inputs!$Z41="",Norm_Stats!$F$14="",Norm_Stats!$G$14="",Norm_Stats!$G$14=Norm_Stats!$F$14),"",MAX(0,MIN(100,100*(MIN(MAX(City_Inputs!$Z41,Norm_Stats!$F$14),Norm_Stats!$G$14)-Norm_Stats!$F$14)/(Norm_Stats!$G$14-Norm_Stats!$F$14)))))="",0,(IF(OR(City_Inputs!$Z41="",Norm_Stats!$F$14="",Norm_Stats!$G$14="",Norm_Stats!$G$14=Norm_Stats!$F$14),"",MAX(0,MIN(100,100*(MIN(MAX(City_Inputs!$Z41,Norm_Stats!$F$14),Norm_Stats!$G$14)-Norm_Stats!$F$14)/(Norm_Stats!$G$14-Norm_Stats!$F$14)))))*0.7)+IF((IF(OR(City_Inputs!$AK41="",Norm_Stats!$F$15="",Norm_Stats!$G$15="",Norm_Stats!$G$15=Norm_Stats!$F$15),"",MAX(0,MIN(100,100*(Norm_Stats!$G$15-MIN(MAX(City_Inputs!$AK41,Norm_Stats!$F$15),Norm_Stats!$G$15))/(Norm_Stats!$G$15-Norm_Stats!$F$15)))))="",0,(IF(OR(City_Inputs!$AK41="",Norm_Stats!$F$15="",Norm_Stats!$G$15="",Norm_Stats!$G$15=Norm_Stats!$F$15),"",MAX(0,MIN(100,100*(Norm_Stats!$G$15-MIN(MAX(City_Inputs!$AK41,Norm_Stats!$F$15),Norm_Stats!$G$15))/(Norm_Stats!$G$15-Norm_Stats!$F$15)))))*0.3))/(IF((IF(OR(City_Inputs!$Z41="",Norm_Stats!$F$14="",Norm_Stats!$G$14="",Norm_Stats!$G$14=Norm_Stats!$F$14),"",MAX(0,MIN(100,100*(MIN(MAX(City_Inputs!$Z41,Norm_Stats!$F$14),Norm_Stats!$G$14)-Norm_Stats!$F$14)/(Norm_Stats!$G$14-Norm_Stats!$F$14)))))="",0,0.7)+IF((IF(OR(City_Inputs!$AK41="",Norm_Stats!$F$15="",Norm_Stats!$G$15="",Norm_Stats!$G$15=Norm_Stats!$F$15),"",MAX(0,MIN(100,100*(Norm_Stats!$G$15-MIN(MAX(City_Inputs!$AK41,Norm_Stats!$F$15),Norm_Stats!$G$15))/(Norm_Stats!$G$15-Norm_Stats!$F$15)))))="",0,0.3)))</f>
        <v/>
      </c>
      <c r="AJ41" s="14">
        <f>IF((IF((IF(OR(City_Inputs!$Z41="",Norm_Stats!$F$14="",Norm_Stats!$G$14="",Norm_Stats!$G$14=Norm_Stats!$F$14),"",MAX(0,MIN(100,100*(MIN(MAX(City_Inputs!$Z41,Norm_Stats!$F$14),Norm_Stats!$G$14)-Norm_Stats!$F$14)/(Norm_Stats!$G$14-Norm_Stats!$F$14)))))="",0,0.7)+IF((IF(OR(City_Inputs!$AK41="",Norm_Stats!$F$15="",Norm_Stats!$G$15="",Norm_Stats!$G$15=Norm_Stats!$F$15),"",MAX(0,MIN(100,100*(Norm_Stats!$G$15-MIN(MAX(City_Inputs!$AK41,Norm_Stats!$F$15),Norm_Stats!$G$15))/(Norm_Stats!$G$15-Norm_Stats!$F$15)))))="",0,0.3))=0,"",(IF((IF(OR(City_Inputs!$Z41="",Norm_Stats!$F$14="",Norm_Stats!$G$14="",Norm_Stats!$G$14=Norm_Stats!$F$14),"",MAX(0,MIN(100,100*(MIN(MAX(City_Inputs!$Z41,Norm_Stats!$F$14),Norm_Stats!$G$14)-Norm_Stats!$F$14)/(Norm_Stats!$G$14-Norm_Stats!$F$14)))))="",0,0.7)+IF((IF(OR(City_Inputs!$AK41="",Norm_Stats!$F$15="",Norm_Stats!$G$15="",Norm_Stats!$G$15=Norm_Stats!$F$15),"",MAX(0,MIN(100,100*(Norm_Stats!$G$15-MIN(MAX(City_Inputs!$AK41,Norm_Stats!$F$15),Norm_Stats!$G$15))/(Norm_Stats!$G$15-Norm_Stats!$F$15)))))="",0,0.3)))</f>
        <v/>
      </c>
      <c r="AK41" s="15">
        <f>IF((IF(AE41="",0,8)+IF(AG41="",0,6)+IF(AI41="",0,4))=0,"",(IF(AE41="",0,AE41*8)+IF(AG41="",0,AG41*6)+IF(AI41="",0,AI41*4))/(IF(AE41="",0,8)+IF(AG41="",0,6)+IF(AI41="",0,4)))</f>
        <v/>
      </c>
      <c r="AL41" s="14">
        <f>IF((IF(AF41="",0,8)+IF(AH41="",0,6)+IF(AJ41="",0,4))=0,"",(IF(AF41="",0,AF41*8)+IF(AH41="",0,AH41*6)+IF(AJ41="",0,AJ41*4))/18)</f>
        <v/>
      </c>
      <c r="AM41" s="11">
        <f>IF(OR(City_Inputs!$AA41="",Norm_Stats!$F$16="",Norm_Stats!$G$16="",Norm_Stats!$G$16=Norm_Stats!$F$16),"",MAX(0,MIN(100,100*(MIN(MAX(City_Inputs!$AA41,Norm_Stats!$F$16),Norm_Stats!$G$16)-Norm_Stats!$F$16)/(Norm_Stats!$G$16-Norm_Stats!$F$16))))</f>
        <v/>
      </c>
      <c r="AN41" s="14">
        <f>IF(AM41="","",1)</f>
        <v/>
      </c>
      <c r="AO41" s="11">
        <f>IF(OR(City_Inputs!$AB41="",Norm_Stats!$F$17="",Norm_Stats!$G$17="",Norm_Stats!$G$17=Norm_Stats!$F$17),"",MAX(0,MIN(100,100*(MIN(MAX(City_Inputs!$AB41,Norm_Stats!$F$17),Norm_Stats!$G$17)-Norm_Stats!$F$17)/(Norm_Stats!$G$17-Norm_Stats!$F$17))))</f>
        <v/>
      </c>
      <c r="AP41" s="14">
        <f>IF(AO41="","",1)</f>
        <v/>
      </c>
      <c r="AQ41" s="11">
        <f>IF(OR(City_Inputs!$AC41="",Norm_Stats!$F$18="",Norm_Stats!$G$18="",Norm_Stats!$G$18=Norm_Stats!$F$18),"",MAX(0,MIN(100,100*(MIN(MAX(City_Inputs!$AC41,Norm_Stats!$F$18),Norm_Stats!$G$18)-Norm_Stats!$F$18)/(Norm_Stats!$G$18-Norm_Stats!$F$18))))</f>
        <v/>
      </c>
      <c r="AR41" s="14">
        <f>IF(AQ41="","",1)</f>
        <v/>
      </c>
      <c r="AS41" s="15">
        <f>IF((IF(AM41="",0,5)+IF(AO41="",0,5)+IF(AQ41="",0,5))=0,"",(IF(AM41="",0,AM41*5)+IF(AO41="",0,AO41*5)+IF(AQ41="",0,AQ41*5))/(IF(AM41="",0,5)+IF(AO41="",0,5)+IF(AQ41="",0,5)))</f>
        <v/>
      </c>
      <c r="AT41" s="14">
        <f>IF((IF(AN41="",0,5)+IF(AP41="",0,5)+IF(AR41="",0,5))=0,"",(IF(AN41="",0,AN41*5)+IF(AP41="",0,AP41*5)+IF(AR41="",0,AR41*5))/15)</f>
        <v/>
      </c>
      <c r="AU41" s="11">
        <f>IF(OR(City_Inputs!$AD41="",Norm_Stats!$F$19="",Norm_Stats!$G$19="",Norm_Stats!$G$19=Norm_Stats!$F$19),"",MAX(0,MIN(100,100*(MIN(MAX(City_Inputs!$AD41,Norm_Stats!$F$19),Norm_Stats!$G$19)-Norm_Stats!$F$19)/(Norm_Stats!$G$19-Norm_Stats!$F$19))))</f>
        <v/>
      </c>
      <c r="AV41" s="14">
        <f>IF(AU41="","",1)</f>
        <v/>
      </c>
      <c r="AW41" s="11">
        <f>IF(OR(City_Inputs!$AE41="",Norm_Stats!$F$20="",Norm_Stats!$G$20="",Norm_Stats!$G$20=Norm_Stats!$F$20),"",MAX(0,MIN(100,100*(MIN(MAX(City_Inputs!$AE41,Norm_Stats!$F$20),Norm_Stats!$G$20)-Norm_Stats!$F$20)/(Norm_Stats!$G$20-Norm_Stats!$F$20))))</f>
        <v/>
      </c>
      <c r="AX41" s="14">
        <f>IF(AW41="","",1)</f>
        <v/>
      </c>
      <c r="AY41" s="11">
        <f>IF((IF((IF(OR(City_Inputs!$AF41="",Norm_Stats!$F$21="",Norm_Stats!$G$21="",Norm_Stats!$G$21=Norm_Stats!$F$21),"",MAX(0,MIN(100,100*(MIN(MAX(City_Inputs!$AF41,Norm_Stats!$F$21),Norm_Stats!$G$21)-Norm_Stats!$F$21)/(Norm_Stats!$G$21-Norm_Stats!$F$21)))))="",0,0.5)+IF((IF(OR(City_Inputs!$AI41="",Norm_Stats!$F$22="",Norm_Stats!$G$22="",Norm_Stats!$G$22=Norm_Stats!$F$22),"",MAX(0,MIN(100,100*(MIN(MAX(City_Inputs!$AI41,Norm_Stats!$F$22),Norm_Stats!$G$22)-Norm_Stats!$F$22)/(Norm_Stats!$G$22-Norm_Stats!$F$22)))))="",0,0.3)+IF((IF(OR(City_Inputs!$AJ41="",Norm_Stats!$F$23="",Norm_Stats!$G$23="",Norm_Stats!$G$23=Norm_Stats!$F$23),"",MAX(0,MIN(100,100*(MIN(MAX(City_Inputs!$AJ41,Norm_Stats!$F$23),Norm_Stats!$G$23)-Norm_Stats!$F$23)/(Norm_Stats!$G$23-Norm_Stats!$F$23)))))="",0,0.2))=0,"",(IF((IF(OR(City_Inputs!$AF41="",Norm_Stats!$F$21="",Norm_Stats!$G$21="",Norm_Stats!$G$21=Norm_Stats!$F$21),"",MAX(0,MIN(100,100*(MIN(MAX(City_Inputs!$AF41,Norm_Stats!$F$21),Norm_Stats!$G$21)-Norm_Stats!$F$21)/(Norm_Stats!$G$21-Norm_Stats!$F$21)))))="",0,(IF(OR(City_Inputs!$AF41="",Norm_Stats!$F$21="",Norm_Stats!$G$21="",Norm_Stats!$G$21=Norm_Stats!$F$21),"",MAX(0,MIN(100,100*(MIN(MAX(City_Inputs!$AF41,Norm_Stats!$F$21),Norm_Stats!$G$21)-Norm_Stats!$F$21)/(Norm_Stats!$G$21-Norm_Stats!$F$21)))))*0.5)+IF((IF(OR(City_Inputs!$AI41="",Norm_Stats!$F$22="",Norm_Stats!$G$22="",Norm_Stats!$G$22=Norm_Stats!$F$22),"",MAX(0,MIN(100,100*(MIN(MAX(City_Inputs!$AI41,Norm_Stats!$F$22),Norm_Stats!$G$22)-Norm_Stats!$F$22)/(Norm_Stats!$G$22-Norm_Stats!$F$22)))))="",0,(IF(OR(City_Inputs!$AI41="",Norm_Stats!$F$22="",Norm_Stats!$G$22="",Norm_Stats!$G$22=Norm_Stats!$F$22),"",MAX(0,MIN(100,100*(MIN(MAX(City_Inputs!$AI41,Norm_Stats!$F$22),Norm_Stats!$G$22)-Norm_Stats!$F$22)/(Norm_Stats!$G$22-Norm_Stats!$F$22)))))*0.3)+IF((IF(OR(City_Inputs!$AJ41="",Norm_Stats!$F$23="",Norm_Stats!$G$23="",Norm_Stats!$G$23=Norm_Stats!$F$23),"",MAX(0,MIN(100,100*(MIN(MAX(City_Inputs!$AJ41,Norm_Stats!$F$23),Norm_Stats!$G$23)-Norm_Stats!$F$23)/(Norm_Stats!$G$23-Norm_Stats!$F$23)))))="",0,(IF(OR(City_Inputs!$AJ41="",Norm_Stats!$F$23="",Norm_Stats!$G$23="",Norm_Stats!$G$23=Norm_Stats!$F$23),"",MAX(0,MIN(100,100*(MIN(MAX(City_Inputs!$AJ41,Norm_Stats!$F$23),Norm_Stats!$G$23)-Norm_Stats!$F$23)/(Norm_Stats!$G$23-Norm_Stats!$F$23)))))*0.2))/(IF((IF(OR(City_Inputs!$AF41="",Norm_Stats!$F$21="",Norm_Stats!$G$21="",Norm_Stats!$G$21=Norm_Stats!$F$21),"",MAX(0,MIN(100,100*(MIN(MAX(City_Inputs!$AF41,Norm_Stats!$F$21),Norm_Stats!$G$21)-Norm_Stats!$F$21)/(Norm_Stats!$G$21-Norm_Stats!$F$21)))))="",0,0.5)+IF((IF(OR(City_Inputs!$AI41="",Norm_Stats!$F$22="",Norm_Stats!$G$22="",Norm_Stats!$G$22=Norm_Stats!$F$22),"",MAX(0,MIN(100,100*(MIN(MAX(City_Inputs!$AI41,Norm_Stats!$F$22),Norm_Stats!$G$22)-Norm_Stats!$F$22)/(Norm_Stats!$G$22-Norm_Stats!$F$22)))))="",0,0.3)+IF((IF(OR(City_Inputs!$AJ41="",Norm_Stats!$F$23="",Norm_Stats!$G$23="",Norm_Stats!$G$23=Norm_Stats!$F$23),"",MAX(0,MIN(100,100*(MIN(MAX(City_Inputs!$AJ41,Norm_Stats!$F$23),Norm_Stats!$G$23)-Norm_Stats!$F$23)/(Norm_Stats!$G$23-Norm_Stats!$F$23)))))="",0,0.2)))</f>
        <v/>
      </c>
      <c r="AZ41" s="14">
        <f>IF((IF((IF(OR(City_Inputs!$AF41="",Norm_Stats!$F$21="",Norm_Stats!$G$21="",Norm_Stats!$G$21=Norm_Stats!$F$21),"",MAX(0,MIN(100,100*(MIN(MAX(City_Inputs!$AF41,Norm_Stats!$F$21),Norm_Stats!$G$21)-Norm_Stats!$F$21)/(Norm_Stats!$G$21-Norm_Stats!$F$21)))))="",0,0.5)+IF((IF(OR(City_Inputs!$AI41="",Norm_Stats!$F$22="",Norm_Stats!$G$22="",Norm_Stats!$G$22=Norm_Stats!$F$22),"",MAX(0,MIN(100,100*(MIN(MAX(City_Inputs!$AI41,Norm_Stats!$F$22),Norm_Stats!$G$22)-Norm_Stats!$F$22)/(Norm_Stats!$G$22-Norm_Stats!$F$22)))))="",0,0.3)+IF((IF(OR(City_Inputs!$AJ41="",Norm_Stats!$F$23="",Norm_Stats!$G$23="",Norm_Stats!$G$23=Norm_Stats!$F$23),"",MAX(0,MIN(100,100*(MIN(MAX(City_Inputs!$AJ41,Norm_Stats!$F$23),Norm_Stats!$G$23)-Norm_Stats!$F$23)/(Norm_Stats!$G$23-Norm_Stats!$F$23)))))="",0,0.2))=0,"",(IF((IF(OR(City_Inputs!$AF41="",Norm_Stats!$F$21="",Norm_Stats!$G$21="",Norm_Stats!$G$21=Norm_Stats!$F$21),"",MAX(0,MIN(100,100*(MIN(MAX(City_Inputs!$AF41,Norm_Stats!$F$21),Norm_Stats!$G$21)-Norm_Stats!$F$21)/(Norm_Stats!$G$21-Norm_Stats!$F$21)))))="",0,0.5)+IF((IF(OR(City_Inputs!$AI41="",Norm_Stats!$F$22="",Norm_Stats!$G$22="",Norm_Stats!$G$22=Norm_Stats!$F$22),"",MAX(0,MIN(100,100*(MIN(MAX(City_Inputs!$AI41,Norm_Stats!$F$22),Norm_Stats!$G$22)-Norm_Stats!$F$22)/(Norm_Stats!$G$22-Norm_Stats!$F$22)))))="",0,0.3)+IF((IF(OR(City_Inputs!$AJ41="",Norm_Stats!$F$23="",Norm_Stats!$G$23="",Norm_Stats!$G$23=Norm_Stats!$F$23),"",MAX(0,MIN(100,100*(MIN(MAX(City_Inputs!$AJ41,Norm_Stats!$F$23),Norm_Stats!$G$23)-Norm_Stats!$F$23)/(Norm_Stats!$G$23-Norm_Stats!$F$23)))))="",0,0.2)))</f>
        <v/>
      </c>
      <c r="BA41" s="11">
        <f>IF(OR(City_Inputs!$AG41="",Norm_Stats!$F$24="",Norm_Stats!$G$24="",Norm_Stats!$G$24=Norm_Stats!$F$24),"",MAX(0,MIN(100,100*(Norm_Stats!$G$24-MIN(MAX(City_Inputs!$AG41,Norm_Stats!$F$24),Norm_Stats!$G$24))/(Norm_Stats!$G$24-Norm_Stats!$F$24))))</f>
        <v/>
      </c>
      <c r="BB41" s="14">
        <f>IF(BA41="","",1)</f>
        <v/>
      </c>
      <c r="BC41" s="15">
        <f>IF((IF(AU41="",0,6)+IF(AW41="",0,5)+IF(AY41="",0,5)+IF(BA41="",0,4))=0,"",(IF(AU41="",0,AU41*6)+IF(AW41="",0,AW41*5)+IF(AY41="",0,AY41*5)+IF(BA41="",0,BA41*4))/(IF(AU41="",0,6)+IF(AW41="",0,5)+IF(AY41="",0,5)+IF(BA41="",0,4)))</f>
        <v/>
      </c>
      <c r="BD41" s="14">
        <f>IF((IF(AV41="",0,6)+IF(AX41="",0,5)+IF(AZ41="",0,5)+IF(BB41="",0,4))=0,"",(IF(AV41="",0,AV41*6)+IF(AX41="",0,AX41*5)+IF(AZ41="",0,AZ41*5)+IF(BB41="",0,BB41*4))/20)</f>
        <v/>
      </c>
      <c r="BE41" s="14">
        <f>IF(AND(R41="",AD41="",AL41="",AT41="",BD41=""),"",((R41*25)+(AD41*22)+(AL41*18)+(AT41*15)+(BD41*20))/100)</f>
        <v/>
      </c>
      <c r="BF41" s="11">
        <f>IF(BE41="","",IF(BE41&gt;=0.75,"A",IF(BE41&gt;=0.5,"B",IF(BE41&gt;=0.35,"C","Watchlist"))))</f>
        <v/>
      </c>
      <c r="BG41" s="11">
        <f>IF(OR(BE41="",BE41&lt;0.5,R41="",R41&lt;0.35,AD41="",AD41&lt;0.35,AL41="",AL41&lt;0.35,AT41="",AT41&lt;0.35,BD41="",BD41&lt;0.35),"Watchlist","Ranked")</f>
        <v/>
      </c>
      <c r="BH41" s="15">
        <f>IF(AND(Q41="",AC41="",AK41="",AS41="",BC41=""),"",(IF(Q41="",0,Q41*25)+IF(AC41="",0,AC41*22)+IF(AK41="",0,AK41*18)+IF(AS41="",0,AS41*15)+IF(BC41="",0,BC41*20))/(IF(Q41="",0,25)+IF(AC41="",0,22)+IF(AK41="",0,18)+IF(AS41="",0,15)+IF(BC41="",0,20)))</f>
        <v/>
      </c>
      <c r="BI41" s="11">
        <f>IF(BG41="Ranked",1+COUNTIFS($BG$2:$BG$103,"Ranked",$BH$2:$BH$103,"&gt;"&amp;BH41),"")</f>
        <v/>
      </c>
      <c r="BJ41" s="11">
        <f>City_Inputs!$AH41</f>
        <v/>
      </c>
    </row>
    <row r="42">
      <c r="A42" t="inlineStr">
        <is>
          <t>fi-helsinki</t>
        </is>
      </c>
      <c r="B42" t="inlineStr">
        <is>
          <t>Helsinki</t>
        </is>
      </c>
      <c r="C42" t="inlineStr">
        <is>
          <t>Finland</t>
        </is>
      </c>
      <c r="D42" t="inlineStr">
        <is>
          <t>Western, Northern, and Southern Europe</t>
        </is>
      </c>
      <c r="E42" t="inlineStr">
        <is>
          <t>provisional</t>
        </is>
      </c>
      <c r="F42" t="inlineStr">
        <is>
          <t>secondary</t>
        </is>
      </c>
      <c r="G42" s="11">
        <f>IF(OR(City_Inputs!$M42="",Norm_Stats!$F$2="",Norm_Stats!$G$2="",Norm_Stats!$G$2=Norm_Stats!$F$2),"",MAX(0,MIN(100,100*(MIN(MAX(City_Inputs!$M42,Norm_Stats!$F$2),Norm_Stats!$G$2)-Norm_Stats!$F$2)/(Norm_Stats!$G$2-Norm_Stats!$F$2))))</f>
        <v/>
      </c>
      <c r="H42" s="14">
        <f>IF(G42="","",1)</f>
        <v/>
      </c>
      <c r="I42" s="11">
        <f>IF(OR(City_Inputs!$N42="",Norm_Stats!$F$3="",Norm_Stats!$G$3="",Norm_Stats!$G$3=Norm_Stats!$F$3),"",MAX(0,MIN(100,100*(Norm_Stats!$G$3-MIN(MAX(City_Inputs!$N42,Norm_Stats!$F$3),Norm_Stats!$G$3))/(Norm_Stats!$G$3-Norm_Stats!$F$3))))</f>
        <v/>
      </c>
      <c r="J42" s="14">
        <f>IF(I42="","",1)</f>
        <v/>
      </c>
      <c r="K42" s="11">
        <f>IF(OR(City_Inputs!$P42="",Norm_Stats!$F$4="",Norm_Stats!$G$4="",Norm_Stats!$G$4=Norm_Stats!$F$4),"",MAX(0,MIN(100,100*(Norm_Stats!$G$4-MIN(MAX(City_Inputs!$P42,Norm_Stats!$F$4),Norm_Stats!$G$4))/(Norm_Stats!$G$4-Norm_Stats!$F$4))))</f>
        <v/>
      </c>
      <c r="L42" s="14">
        <f>IF(K42="","",1)</f>
        <v/>
      </c>
      <c r="M42" s="11">
        <f>IF(OR(City_Inputs!$Q42="",Norm_Stats!$F$5="",Norm_Stats!$G$5="",Norm_Stats!$G$5=Norm_Stats!$F$5),"",MAX(0,MIN(100,100*(Norm_Stats!$G$5-MIN(MAX(City_Inputs!$Q42,Norm_Stats!$F$5),Norm_Stats!$G$5))/(Norm_Stats!$G$5-Norm_Stats!$F$5))))</f>
        <v/>
      </c>
      <c r="N42" s="14">
        <f>IF(M42="","",1)</f>
        <v/>
      </c>
      <c r="O42" s="11">
        <f>IF(OR(City_Inputs!$R42="",Norm_Stats!$F$6="",Norm_Stats!$G$6="",Norm_Stats!$G$6=Norm_Stats!$F$6),"",MAX(0,MIN(100,100*(Norm_Stats!$G$6-MIN(MAX(City_Inputs!$R42,Norm_Stats!$F$6),Norm_Stats!$G$6))/(Norm_Stats!$G$6-Norm_Stats!$F$6))))</f>
        <v/>
      </c>
      <c r="P42" s="14">
        <f>IF(O42="","",1)</f>
        <v/>
      </c>
      <c r="Q42" s="15">
        <f>IF((IF(G42="",0,9)+IF(I42="",0,5)+IF(K42="",0,4)+IF(M42="",0,4)+IF(O42="",0,3))=0,"",(IF(G42="",0,G42*9)+IF(I42="",0,I42*5)+IF(K42="",0,K42*4)+IF(M42="",0,M42*4)+IF(O42="",0,O42*3))/(IF(G42="",0,9)+IF(I42="",0,5)+IF(K42="",0,4)+IF(M42="",0,4)+IF(O42="",0,3)))</f>
        <v/>
      </c>
      <c r="R42" s="14">
        <f>IF((IF(H42="",0,9)+IF(J42="",0,5)+IF(L42="",0,4)+IF(N42="",0,4)+IF(P42="",0,3))=0,"",(IF(H42="",0,H42*9)+IF(J42="",0,J42*5)+IF(L42="",0,L42*4)+IF(N42="",0,N42*4)+IF(P42="",0,P42*3))/25)</f>
        <v/>
      </c>
      <c r="S42" s="11">
        <f>IF(OR(City_Inputs!$S42="",Norm_Stats!$F$7="",Norm_Stats!$G$7="",Norm_Stats!$G$7=Norm_Stats!$F$7),"",MAX(0,MIN(100,100*(Norm_Stats!$G$7-MIN(MAX(City_Inputs!$S42,Norm_Stats!$F$7),Norm_Stats!$G$7))/(Norm_Stats!$G$7-Norm_Stats!$F$7))))</f>
        <v/>
      </c>
      <c r="T42" s="14">
        <f>IF(S42="","",1)</f>
        <v/>
      </c>
      <c r="U42" s="11">
        <f>IF(OR(City_Inputs!$T42="",Norm_Stats!$F$8="",Norm_Stats!$G$8="",Norm_Stats!$G$8=Norm_Stats!$F$8),"",MAX(0,MIN(100,100*(MIN(MAX(City_Inputs!$T42,Norm_Stats!$F$8),Norm_Stats!$G$8)-Norm_Stats!$F$8)/(Norm_Stats!$G$8-Norm_Stats!$F$8))))</f>
        <v/>
      </c>
      <c r="V42" s="14">
        <f>IF(U42="","",1)</f>
        <v/>
      </c>
      <c r="W42" s="11">
        <f>IF(OR(City_Inputs!$U42="",Norm_Stats!$F$9="",Norm_Stats!$G$9="",Norm_Stats!$G$9=Norm_Stats!$F$9),"",MAX(0,MIN(100,100*(Norm_Stats!$G$9-MIN(MAX(City_Inputs!$U42,Norm_Stats!$F$9),Norm_Stats!$G$9))/(Norm_Stats!$G$9-Norm_Stats!$F$9))))</f>
        <v/>
      </c>
      <c r="X42" s="14">
        <f>IF(W42="","",1)</f>
        <v/>
      </c>
      <c r="Y42" s="11">
        <f>IF(OR(City_Inputs!$V42="",Norm_Stats!$F$10="",Norm_Stats!$G$10="",Norm_Stats!$G$10=Norm_Stats!$F$10),"",MAX(0,MIN(100,100*(MIN(MAX(City_Inputs!$V42,Norm_Stats!$F$10),Norm_Stats!$G$10)-Norm_Stats!$F$10)/(Norm_Stats!$G$10-Norm_Stats!$F$10))))</f>
        <v/>
      </c>
      <c r="Z42" s="14">
        <f>IF(Y42="","",1)</f>
        <v/>
      </c>
      <c r="AA42" s="11">
        <f>IF(OR(City_Inputs!$W42="",Norm_Stats!$F$11="",Norm_Stats!$G$11="",Norm_Stats!$G$11=Norm_Stats!$F$11),"",MAX(0,MIN(100,100*(MIN(MAX(City_Inputs!$W42,Norm_Stats!$F$11),Norm_Stats!$G$11)-Norm_Stats!$F$11)/(Norm_Stats!$G$11-Norm_Stats!$F$11))))</f>
        <v/>
      </c>
      <c r="AB42" s="14">
        <f>IF(AA42="","",1)</f>
        <v/>
      </c>
      <c r="AC42" s="15">
        <f>IF((IF(S42="",0,5)+IF(U42="",0,5)+IF(W42="",0,4)+IF(Y42="",0,4)+IF(AA42="",0,4))=0,"",(IF(S42="",0,S42*5)+IF(U42="",0,U42*5)+IF(W42="",0,W42*4)+IF(Y42="",0,Y42*4)+IF(AA42="",0,AA42*4))/(IF(S42="",0,5)+IF(U42="",0,5)+IF(W42="",0,4)+IF(Y42="",0,4)+IF(AA42="",0,4)))</f>
        <v/>
      </c>
      <c r="AD42" s="14">
        <f>IF((IF(T42="",0,5)+IF(V42="",0,5)+IF(X42="",0,4)+IF(Z42="",0,4)+IF(AB42="",0,4))=0,"",(IF(T42="",0,T42*5)+IF(V42="",0,V42*5)+IF(X42="",0,X42*4)+IF(Z42="",0,Z42*4)+IF(AB42="",0,AB42*4))/22)</f>
        <v/>
      </c>
      <c r="AE42" s="11">
        <f>IF(OR(City_Inputs!$X42="",Norm_Stats!$F$12="",Norm_Stats!$G$12="",Norm_Stats!$G$12=Norm_Stats!$F$12),"",MAX(0,MIN(100,100*(MIN(MAX(City_Inputs!$X42,Norm_Stats!$F$12),Norm_Stats!$G$12)-Norm_Stats!$F$12)/(Norm_Stats!$G$12-Norm_Stats!$F$12))))</f>
        <v/>
      </c>
      <c r="AF42" s="14">
        <f>IF(AE42="","",1)</f>
        <v/>
      </c>
      <c r="AG42" s="11">
        <f>IF(OR(City_Inputs!$Y42="",Norm_Stats!$F$13="",Norm_Stats!$G$13="",Norm_Stats!$G$13=Norm_Stats!$F$13),"",MAX(0,MIN(100,100*(MIN(MAX(City_Inputs!$Y42,Norm_Stats!$F$13),Norm_Stats!$G$13)-Norm_Stats!$F$13)/(Norm_Stats!$G$13-Norm_Stats!$F$13))))</f>
        <v/>
      </c>
      <c r="AH42" s="14">
        <f>IF(AG42="","",1)</f>
        <v/>
      </c>
      <c r="AI42" s="11">
        <f>IF((IF((IF(OR(City_Inputs!$Z42="",Norm_Stats!$F$14="",Norm_Stats!$G$14="",Norm_Stats!$G$14=Norm_Stats!$F$14),"",MAX(0,MIN(100,100*(MIN(MAX(City_Inputs!$Z42,Norm_Stats!$F$14),Norm_Stats!$G$14)-Norm_Stats!$F$14)/(Norm_Stats!$G$14-Norm_Stats!$F$14)))))="",0,0.7)+IF((IF(OR(City_Inputs!$AK42="",Norm_Stats!$F$15="",Norm_Stats!$G$15="",Norm_Stats!$G$15=Norm_Stats!$F$15),"",MAX(0,MIN(100,100*(Norm_Stats!$G$15-MIN(MAX(City_Inputs!$AK42,Norm_Stats!$F$15),Norm_Stats!$G$15))/(Norm_Stats!$G$15-Norm_Stats!$F$15)))))="",0,0.3))=0,"",(IF((IF(OR(City_Inputs!$Z42="",Norm_Stats!$F$14="",Norm_Stats!$G$14="",Norm_Stats!$G$14=Norm_Stats!$F$14),"",MAX(0,MIN(100,100*(MIN(MAX(City_Inputs!$Z42,Norm_Stats!$F$14),Norm_Stats!$G$14)-Norm_Stats!$F$14)/(Norm_Stats!$G$14-Norm_Stats!$F$14)))))="",0,(IF(OR(City_Inputs!$Z42="",Norm_Stats!$F$14="",Norm_Stats!$G$14="",Norm_Stats!$G$14=Norm_Stats!$F$14),"",MAX(0,MIN(100,100*(MIN(MAX(City_Inputs!$Z42,Norm_Stats!$F$14),Norm_Stats!$G$14)-Norm_Stats!$F$14)/(Norm_Stats!$G$14-Norm_Stats!$F$14)))))*0.7)+IF((IF(OR(City_Inputs!$AK42="",Norm_Stats!$F$15="",Norm_Stats!$G$15="",Norm_Stats!$G$15=Norm_Stats!$F$15),"",MAX(0,MIN(100,100*(Norm_Stats!$G$15-MIN(MAX(City_Inputs!$AK42,Norm_Stats!$F$15),Norm_Stats!$G$15))/(Norm_Stats!$G$15-Norm_Stats!$F$15)))))="",0,(IF(OR(City_Inputs!$AK42="",Norm_Stats!$F$15="",Norm_Stats!$G$15="",Norm_Stats!$G$15=Norm_Stats!$F$15),"",MAX(0,MIN(100,100*(Norm_Stats!$G$15-MIN(MAX(City_Inputs!$AK42,Norm_Stats!$F$15),Norm_Stats!$G$15))/(Norm_Stats!$G$15-Norm_Stats!$F$15)))))*0.3))/(IF((IF(OR(City_Inputs!$Z42="",Norm_Stats!$F$14="",Norm_Stats!$G$14="",Norm_Stats!$G$14=Norm_Stats!$F$14),"",MAX(0,MIN(100,100*(MIN(MAX(City_Inputs!$Z42,Norm_Stats!$F$14),Norm_Stats!$G$14)-Norm_Stats!$F$14)/(Norm_Stats!$G$14-Norm_Stats!$F$14)))))="",0,0.7)+IF((IF(OR(City_Inputs!$AK42="",Norm_Stats!$F$15="",Norm_Stats!$G$15="",Norm_Stats!$G$15=Norm_Stats!$F$15),"",MAX(0,MIN(100,100*(Norm_Stats!$G$15-MIN(MAX(City_Inputs!$AK42,Norm_Stats!$F$15),Norm_Stats!$G$15))/(Norm_Stats!$G$15-Norm_Stats!$F$15)))))="",0,0.3)))</f>
        <v/>
      </c>
      <c r="AJ42" s="14">
        <f>IF((IF((IF(OR(City_Inputs!$Z42="",Norm_Stats!$F$14="",Norm_Stats!$G$14="",Norm_Stats!$G$14=Norm_Stats!$F$14),"",MAX(0,MIN(100,100*(MIN(MAX(City_Inputs!$Z42,Norm_Stats!$F$14),Norm_Stats!$G$14)-Norm_Stats!$F$14)/(Norm_Stats!$G$14-Norm_Stats!$F$14)))))="",0,0.7)+IF((IF(OR(City_Inputs!$AK42="",Norm_Stats!$F$15="",Norm_Stats!$G$15="",Norm_Stats!$G$15=Norm_Stats!$F$15),"",MAX(0,MIN(100,100*(Norm_Stats!$G$15-MIN(MAX(City_Inputs!$AK42,Norm_Stats!$F$15),Norm_Stats!$G$15))/(Norm_Stats!$G$15-Norm_Stats!$F$15)))))="",0,0.3))=0,"",(IF((IF(OR(City_Inputs!$Z42="",Norm_Stats!$F$14="",Norm_Stats!$G$14="",Norm_Stats!$G$14=Norm_Stats!$F$14),"",MAX(0,MIN(100,100*(MIN(MAX(City_Inputs!$Z42,Norm_Stats!$F$14),Norm_Stats!$G$14)-Norm_Stats!$F$14)/(Norm_Stats!$G$14-Norm_Stats!$F$14)))))="",0,0.7)+IF((IF(OR(City_Inputs!$AK42="",Norm_Stats!$F$15="",Norm_Stats!$G$15="",Norm_Stats!$G$15=Norm_Stats!$F$15),"",MAX(0,MIN(100,100*(Norm_Stats!$G$15-MIN(MAX(City_Inputs!$AK42,Norm_Stats!$F$15),Norm_Stats!$G$15))/(Norm_Stats!$G$15-Norm_Stats!$F$15)))))="",0,0.3)))</f>
        <v/>
      </c>
      <c r="AK42" s="15">
        <f>IF((IF(AE42="",0,8)+IF(AG42="",0,6)+IF(AI42="",0,4))=0,"",(IF(AE42="",0,AE42*8)+IF(AG42="",0,AG42*6)+IF(AI42="",0,AI42*4))/(IF(AE42="",0,8)+IF(AG42="",0,6)+IF(AI42="",0,4)))</f>
        <v/>
      </c>
      <c r="AL42" s="14">
        <f>IF((IF(AF42="",0,8)+IF(AH42="",0,6)+IF(AJ42="",0,4))=0,"",(IF(AF42="",0,AF42*8)+IF(AH42="",0,AH42*6)+IF(AJ42="",0,AJ42*4))/18)</f>
        <v/>
      </c>
      <c r="AM42" s="11">
        <f>IF(OR(City_Inputs!$AA42="",Norm_Stats!$F$16="",Norm_Stats!$G$16="",Norm_Stats!$G$16=Norm_Stats!$F$16),"",MAX(0,MIN(100,100*(MIN(MAX(City_Inputs!$AA42,Norm_Stats!$F$16),Norm_Stats!$G$16)-Norm_Stats!$F$16)/(Norm_Stats!$G$16-Norm_Stats!$F$16))))</f>
        <v/>
      </c>
      <c r="AN42" s="14">
        <f>IF(AM42="","",1)</f>
        <v/>
      </c>
      <c r="AO42" s="11">
        <f>IF(OR(City_Inputs!$AB42="",Norm_Stats!$F$17="",Norm_Stats!$G$17="",Norm_Stats!$G$17=Norm_Stats!$F$17),"",MAX(0,MIN(100,100*(MIN(MAX(City_Inputs!$AB42,Norm_Stats!$F$17),Norm_Stats!$G$17)-Norm_Stats!$F$17)/(Norm_Stats!$G$17-Norm_Stats!$F$17))))</f>
        <v/>
      </c>
      <c r="AP42" s="14">
        <f>IF(AO42="","",1)</f>
        <v/>
      </c>
      <c r="AQ42" s="11">
        <f>IF(OR(City_Inputs!$AC42="",Norm_Stats!$F$18="",Norm_Stats!$G$18="",Norm_Stats!$G$18=Norm_Stats!$F$18),"",MAX(0,MIN(100,100*(MIN(MAX(City_Inputs!$AC42,Norm_Stats!$F$18),Norm_Stats!$G$18)-Norm_Stats!$F$18)/(Norm_Stats!$G$18-Norm_Stats!$F$18))))</f>
        <v/>
      </c>
      <c r="AR42" s="14">
        <f>IF(AQ42="","",1)</f>
        <v/>
      </c>
      <c r="AS42" s="15">
        <f>IF((IF(AM42="",0,5)+IF(AO42="",0,5)+IF(AQ42="",0,5))=0,"",(IF(AM42="",0,AM42*5)+IF(AO42="",0,AO42*5)+IF(AQ42="",0,AQ42*5))/(IF(AM42="",0,5)+IF(AO42="",0,5)+IF(AQ42="",0,5)))</f>
        <v/>
      </c>
      <c r="AT42" s="14">
        <f>IF((IF(AN42="",0,5)+IF(AP42="",0,5)+IF(AR42="",0,5))=0,"",(IF(AN42="",0,AN42*5)+IF(AP42="",0,AP42*5)+IF(AR42="",0,AR42*5))/15)</f>
        <v/>
      </c>
      <c r="AU42" s="11">
        <f>IF(OR(City_Inputs!$AD42="",Norm_Stats!$F$19="",Norm_Stats!$G$19="",Norm_Stats!$G$19=Norm_Stats!$F$19),"",MAX(0,MIN(100,100*(MIN(MAX(City_Inputs!$AD42,Norm_Stats!$F$19),Norm_Stats!$G$19)-Norm_Stats!$F$19)/(Norm_Stats!$G$19-Norm_Stats!$F$19))))</f>
        <v/>
      </c>
      <c r="AV42" s="14">
        <f>IF(AU42="","",1)</f>
        <v/>
      </c>
      <c r="AW42" s="11">
        <f>IF(OR(City_Inputs!$AE42="",Norm_Stats!$F$20="",Norm_Stats!$G$20="",Norm_Stats!$G$20=Norm_Stats!$F$20),"",MAX(0,MIN(100,100*(MIN(MAX(City_Inputs!$AE42,Norm_Stats!$F$20),Norm_Stats!$G$20)-Norm_Stats!$F$20)/(Norm_Stats!$G$20-Norm_Stats!$F$20))))</f>
        <v/>
      </c>
      <c r="AX42" s="14">
        <f>IF(AW42="","",1)</f>
        <v/>
      </c>
      <c r="AY42" s="11">
        <f>IF((IF((IF(OR(City_Inputs!$AF42="",Norm_Stats!$F$21="",Norm_Stats!$G$21="",Norm_Stats!$G$21=Norm_Stats!$F$21),"",MAX(0,MIN(100,100*(MIN(MAX(City_Inputs!$AF42,Norm_Stats!$F$21),Norm_Stats!$G$21)-Norm_Stats!$F$21)/(Norm_Stats!$G$21-Norm_Stats!$F$21)))))="",0,0.5)+IF((IF(OR(City_Inputs!$AI42="",Norm_Stats!$F$22="",Norm_Stats!$G$22="",Norm_Stats!$G$22=Norm_Stats!$F$22),"",MAX(0,MIN(100,100*(MIN(MAX(City_Inputs!$AI42,Norm_Stats!$F$22),Norm_Stats!$G$22)-Norm_Stats!$F$22)/(Norm_Stats!$G$22-Norm_Stats!$F$22)))))="",0,0.3)+IF((IF(OR(City_Inputs!$AJ42="",Norm_Stats!$F$23="",Norm_Stats!$G$23="",Norm_Stats!$G$23=Norm_Stats!$F$23),"",MAX(0,MIN(100,100*(MIN(MAX(City_Inputs!$AJ42,Norm_Stats!$F$23),Norm_Stats!$G$23)-Norm_Stats!$F$23)/(Norm_Stats!$G$23-Norm_Stats!$F$23)))))="",0,0.2))=0,"",(IF((IF(OR(City_Inputs!$AF42="",Norm_Stats!$F$21="",Norm_Stats!$G$21="",Norm_Stats!$G$21=Norm_Stats!$F$21),"",MAX(0,MIN(100,100*(MIN(MAX(City_Inputs!$AF42,Norm_Stats!$F$21),Norm_Stats!$G$21)-Norm_Stats!$F$21)/(Norm_Stats!$G$21-Norm_Stats!$F$21)))))="",0,(IF(OR(City_Inputs!$AF42="",Norm_Stats!$F$21="",Norm_Stats!$G$21="",Norm_Stats!$G$21=Norm_Stats!$F$21),"",MAX(0,MIN(100,100*(MIN(MAX(City_Inputs!$AF42,Norm_Stats!$F$21),Norm_Stats!$G$21)-Norm_Stats!$F$21)/(Norm_Stats!$G$21-Norm_Stats!$F$21)))))*0.5)+IF((IF(OR(City_Inputs!$AI42="",Norm_Stats!$F$22="",Norm_Stats!$G$22="",Norm_Stats!$G$22=Norm_Stats!$F$22),"",MAX(0,MIN(100,100*(MIN(MAX(City_Inputs!$AI42,Norm_Stats!$F$22),Norm_Stats!$G$22)-Norm_Stats!$F$22)/(Norm_Stats!$G$22-Norm_Stats!$F$22)))))="",0,(IF(OR(City_Inputs!$AI42="",Norm_Stats!$F$22="",Norm_Stats!$G$22="",Norm_Stats!$G$22=Norm_Stats!$F$22),"",MAX(0,MIN(100,100*(MIN(MAX(City_Inputs!$AI42,Norm_Stats!$F$22),Norm_Stats!$G$22)-Norm_Stats!$F$22)/(Norm_Stats!$G$22-Norm_Stats!$F$22)))))*0.3)+IF((IF(OR(City_Inputs!$AJ42="",Norm_Stats!$F$23="",Norm_Stats!$G$23="",Norm_Stats!$G$23=Norm_Stats!$F$23),"",MAX(0,MIN(100,100*(MIN(MAX(City_Inputs!$AJ42,Norm_Stats!$F$23),Norm_Stats!$G$23)-Norm_Stats!$F$23)/(Norm_Stats!$G$23-Norm_Stats!$F$23)))))="",0,(IF(OR(City_Inputs!$AJ42="",Norm_Stats!$F$23="",Norm_Stats!$G$23="",Norm_Stats!$G$23=Norm_Stats!$F$23),"",MAX(0,MIN(100,100*(MIN(MAX(City_Inputs!$AJ42,Norm_Stats!$F$23),Norm_Stats!$G$23)-Norm_Stats!$F$23)/(Norm_Stats!$G$23-Norm_Stats!$F$23)))))*0.2))/(IF((IF(OR(City_Inputs!$AF42="",Norm_Stats!$F$21="",Norm_Stats!$G$21="",Norm_Stats!$G$21=Norm_Stats!$F$21),"",MAX(0,MIN(100,100*(MIN(MAX(City_Inputs!$AF42,Norm_Stats!$F$21),Norm_Stats!$G$21)-Norm_Stats!$F$21)/(Norm_Stats!$G$21-Norm_Stats!$F$21)))))="",0,0.5)+IF((IF(OR(City_Inputs!$AI42="",Norm_Stats!$F$22="",Norm_Stats!$G$22="",Norm_Stats!$G$22=Norm_Stats!$F$22),"",MAX(0,MIN(100,100*(MIN(MAX(City_Inputs!$AI42,Norm_Stats!$F$22),Norm_Stats!$G$22)-Norm_Stats!$F$22)/(Norm_Stats!$G$22-Norm_Stats!$F$22)))))="",0,0.3)+IF((IF(OR(City_Inputs!$AJ42="",Norm_Stats!$F$23="",Norm_Stats!$G$23="",Norm_Stats!$G$23=Norm_Stats!$F$23),"",MAX(0,MIN(100,100*(MIN(MAX(City_Inputs!$AJ42,Norm_Stats!$F$23),Norm_Stats!$G$23)-Norm_Stats!$F$23)/(Norm_Stats!$G$23-Norm_Stats!$F$23)))))="",0,0.2)))</f>
        <v/>
      </c>
      <c r="AZ42" s="14">
        <f>IF((IF((IF(OR(City_Inputs!$AF42="",Norm_Stats!$F$21="",Norm_Stats!$G$21="",Norm_Stats!$G$21=Norm_Stats!$F$21),"",MAX(0,MIN(100,100*(MIN(MAX(City_Inputs!$AF42,Norm_Stats!$F$21),Norm_Stats!$G$21)-Norm_Stats!$F$21)/(Norm_Stats!$G$21-Norm_Stats!$F$21)))))="",0,0.5)+IF((IF(OR(City_Inputs!$AI42="",Norm_Stats!$F$22="",Norm_Stats!$G$22="",Norm_Stats!$G$22=Norm_Stats!$F$22),"",MAX(0,MIN(100,100*(MIN(MAX(City_Inputs!$AI42,Norm_Stats!$F$22),Norm_Stats!$G$22)-Norm_Stats!$F$22)/(Norm_Stats!$G$22-Norm_Stats!$F$22)))))="",0,0.3)+IF((IF(OR(City_Inputs!$AJ42="",Norm_Stats!$F$23="",Norm_Stats!$G$23="",Norm_Stats!$G$23=Norm_Stats!$F$23),"",MAX(0,MIN(100,100*(MIN(MAX(City_Inputs!$AJ42,Norm_Stats!$F$23),Norm_Stats!$G$23)-Norm_Stats!$F$23)/(Norm_Stats!$G$23-Norm_Stats!$F$23)))))="",0,0.2))=0,"",(IF((IF(OR(City_Inputs!$AF42="",Norm_Stats!$F$21="",Norm_Stats!$G$21="",Norm_Stats!$G$21=Norm_Stats!$F$21),"",MAX(0,MIN(100,100*(MIN(MAX(City_Inputs!$AF42,Norm_Stats!$F$21),Norm_Stats!$G$21)-Norm_Stats!$F$21)/(Norm_Stats!$G$21-Norm_Stats!$F$21)))))="",0,0.5)+IF((IF(OR(City_Inputs!$AI42="",Norm_Stats!$F$22="",Norm_Stats!$G$22="",Norm_Stats!$G$22=Norm_Stats!$F$22),"",MAX(0,MIN(100,100*(MIN(MAX(City_Inputs!$AI42,Norm_Stats!$F$22),Norm_Stats!$G$22)-Norm_Stats!$F$22)/(Norm_Stats!$G$22-Norm_Stats!$F$22)))))="",0,0.3)+IF((IF(OR(City_Inputs!$AJ42="",Norm_Stats!$F$23="",Norm_Stats!$G$23="",Norm_Stats!$G$23=Norm_Stats!$F$23),"",MAX(0,MIN(100,100*(MIN(MAX(City_Inputs!$AJ42,Norm_Stats!$F$23),Norm_Stats!$G$23)-Norm_Stats!$F$23)/(Norm_Stats!$G$23-Norm_Stats!$F$23)))))="",0,0.2)))</f>
        <v/>
      </c>
      <c r="BA42" s="11">
        <f>IF(OR(City_Inputs!$AG42="",Norm_Stats!$F$24="",Norm_Stats!$G$24="",Norm_Stats!$G$24=Norm_Stats!$F$24),"",MAX(0,MIN(100,100*(Norm_Stats!$G$24-MIN(MAX(City_Inputs!$AG42,Norm_Stats!$F$24),Norm_Stats!$G$24))/(Norm_Stats!$G$24-Norm_Stats!$F$24))))</f>
        <v/>
      </c>
      <c r="BB42" s="14">
        <f>IF(BA42="","",1)</f>
        <v/>
      </c>
      <c r="BC42" s="15">
        <f>IF((IF(AU42="",0,6)+IF(AW42="",0,5)+IF(AY42="",0,5)+IF(BA42="",0,4))=0,"",(IF(AU42="",0,AU42*6)+IF(AW42="",0,AW42*5)+IF(AY42="",0,AY42*5)+IF(BA42="",0,BA42*4))/(IF(AU42="",0,6)+IF(AW42="",0,5)+IF(AY42="",0,5)+IF(BA42="",0,4)))</f>
        <v/>
      </c>
      <c r="BD42" s="14">
        <f>IF((IF(AV42="",0,6)+IF(AX42="",0,5)+IF(AZ42="",0,5)+IF(BB42="",0,4))=0,"",(IF(AV42="",0,AV42*6)+IF(AX42="",0,AX42*5)+IF(AZ42="",0,AZ42*5)+IF(BB42="",0,BB42*4))/20)</f>
        <v/>
      </c>
      <c r="BE42" s="14">
        <f>IF(AND(R42="",AD42="",AL42="",AT42="",BD42=""),"",((R42*25)+(AD42*22)+(AL42*18)+(AT42*15)+(BD42*20))/100)</f>
        <v/>
      </c>
      <c r="BF42" s="11">
        <f>IF(BE42="","",IF(BE42&gt;=0.75,"A",IF(BE42&gt;=0.5,"B",IF(BE42&gt;=0.35,"C","Watchlist"))))</f>
        <v/>
      </c>
      <c r="BG42" s="11">
        <f>IF(OR(BE42="",BE42&lt;0.5,R42="",R42&lt;0.35,AD42="",AD42&lt;0.35,AL42="",AL42&lt;0.35,AT42="",AT42&lt;0.35,BD42="",BD42&lt;0.35),"Watchlist","Ranked")</f>
        <v/>
      </c>
      <c r="BH42" s="15">
        <f>IF(AND(Q42="",AC42="",AK42="",AS42="",BC42=""),"",(IF(Q42="",0,Q42*25)+IF(AC42="",0,AC42*22)+IF(AK42="",0,AK42*18)+IF(AS42="",0,AS42*15)+IF(BC42="",0,BC42*20))/(IF(Q42="",0,25)+IF(AC42="",0,22)+IF(AK42="",0,18)+IF(AS42="",0,15)+IF(BC42="",0,20)))</f>
        <v/>
      </c>
      <c r="BI42" s="11">
        <f>IF(BG42="Ranked",1+COUNTIFS($BG$2:$BG$103,"Ranked",$BH$2:$BH$103,"&gt;"&amp;BH42),"")</f>
        <v/>
      </c>
      <c r="BJ42" s="11">
        <f>City_Inputs!$AH42</f>
        <v/>
      </c>
    </row>
    <row r="43">
      <c r="A43" t="inlineStr">
        <is>
          <t>it-bologna</t>
        </is>
      </c>
      <c r="B43" t="inlineStr">
        <is>
          <t>Bologna</t>
        </is>
      </c>
      <c r="C43" t="inlineStr">
        <is>
          <t>Italy</t>
        </is>
      </c>
      <c r="D43" t="inlineStr">
        <is>
          <t>Western, Northern, and Southern Europe</t>
        </is>
      </c>
      <c r="E43" t="inlineStr">
        <is>
          <t>provisional</t>
        </is>
      </c>
      <c r="F43" t="inlineStr">
        <is>
          <t>secondary</t>
        </is>
      </c>
      <c r="G43" s="11">
        <f>IF(OR(City_Inputs!$M43="",Norm_Stats!$F$2="",Norm_Stats!$G$2="",Norm_Stats!$G$2=Norm_Stats!$F$2),"",MAX(0,MIN(100,100*(MIN(MAX(City_Inputs!$M43,Norm_Stats!$F$2),Norm_Stats!$G$2)-Norm_Stats!$F$2)/(Norm_Stats!$G$2-Norm_Stats!$F$2))))</f>
        <v/>
      </c>
      <c r="H43" s="14">
        <f>IF(G43="","",1)</f>
        <v/>
      </c>
      <c r="I43" s="11">
        <f>IF(OR(City_Inputs!$N43="",Norm_Stats!$F$3="",Norm_Stats!$G$3="",Norm_Stats!$G$3=Norm_Stats!$F$3),"",MAX(0,MIN(100,100*(Norm_Stats!$G$3-MIN(MAX(City_Inputs!$N43,Norm_Stats!$F$3),Norm_Stats!$G$3))/(Norm_Stats!$G$3-Norm_Stats!$F$3))))</f>
        <v/>
      </c>
      <c r="J43" s="14">
        <f>IF(I43="","",1)</f>
        <v/>
      </c>
      <c r="K43" s="11">
        <f>IF(OR(City_Inputs!$P43="",Norm_Stats!$F$4="",Norm_Stats!$G$4="",Norm_Stats!$G$4=Norm_Stats!$F$4),"",MAX(0,MIN(100,100*(Norm_Stats!$G$4-MIN(MAX(City_Inputs!$P43,Norm_Stats!$F$4),Norm_Stats!$G$4))/(Norm_Stats!$G$4-Norm_Stats!$F$4))))</f>
        <v/>
      </c>
      <c r="L43" s="14">
        <f>IF(K43="","",1)</f>
        <v/>
      </c>
      <c r="M43" s="11">
        <f>IF(OR(City_Inputs!$Q43="",Norm_Stats!$F$5="",Norm_Stats!$G$5="",Norm_Stats!$G$5=Norm_Stats!$F$5),"",MAX(0,MIN(100,100*(Norm_Stats!$G$5-MIN(MAX(City_Inputs!$Q43,Norm_Stats!$F$5),Norm_Stats!$G$5))/(Norm_Stats!$G$5-Norm_Stats!$F$5))))</f>
        <v/>
      </c>
      <c r="N43" s="14">
        <f>IF(M43="","",1)</f>
        <v/>
      </c>
      <c r="O43" s="11">
        <f>IF(OR(City_Inputs!$R43="",Norm_Stats!$F$6="",Norm_Stats!$G$6="",Norm_Stats!$G$6=Norm_Stats!$F$6),"",MAX(0,MIN(100,100*(Norm_Stats!$G$6-MIN(MAX(City_Inputs!$R43,Norm_Stats!$F$6),Norm_Stats!$G$6))/(Norm_Stats!$G$6-Norm_Stats!$F$6))))</f>
        <v/>
      </c>
      <c r="P43" s="14">
        <f>IF(O43="","",1)</f>
        <v/>
      </c>
      <c r="Q43" s="15">
        <f>IF((IF(G43="",0,9)+IF(I43="",0,5)+IF(K43="",0,4)+IF(M43="",0,4)+IF(O43="",0,3))=0,"",(IF(G43="",0,G43*9)+IF(I43="",0,I43*5)+IF(K43="",0,K43*4)+IF(M43="",0,M43*4)+IF(O43="",0,O43*3))/(IF(G43="",0,9)+IF(I43="",0,5)+IF(K43="",0,4)+IF(M43="",0,4)+IF(O43="",0,3)))</f>
        <v/>
      </c>
      <c r="R43" s="14">
        <f>IF((IF(H43="",0,9)+IF(J43="",0,5)+IF(L43="",0,4)+IF(N43="",0,4)+IF(P43="",0,3))=0,"",(IF(H43="",0,H43*9)+IF(J43="",0,J43*5)+IF(L43="",0,L43*4)+IF(N43="",0,N43*4)+IF(P43="",0,P43*3))/25)</f>
        <v/>
      </c>
      <c r="S43" s="11">
        <f>IF(OR(City_Inputs!$S43="",Norm_Stats!$F$7="",Norm_Stats!$G$7="",Norm_Stats!$G$7=Norm_Stats!$F$7),"",MAX(0,MIN(100,100*(Norm_Stats!$G$7-MIN(MAX(City_Inputs!$S43,Norm_Stats!$F$7),Norm_Stats!$G$7))/(Norm_Stats!$G$7-Norm_Stats!$F$7))))</f>
        <v/>
      </c>
      <c r="T43" s="14">
        <f>IF(S43="","",1)</f>
        <v/>
      </c>
      <c r="U43" s="11">
        <f>IF(OR(City_Inputs!$T43="",Norm_Stats!$F$8="",Norm_Stats!$G$8="",Norm_Stats!$G$8=Norm_Stats!$F$8),"",MAX(0,MIN(100,100*(MIN(MAX(City_Inputs!$T43,Norm_Stats!$F$8),Norm_Stats!$G$8)-Norm_Stats!$F$8)/(Norm_Stats!$G$8-Norm_Stats!$F$8))))</f>
        <v/>
      </c>
      <c r="V43" s="14">
        <f>IF(U43="","",1)</f>
        <v/>
      </c>
      <c r="W43" s="11">
        <f>IF(OR(City_Inputs!$U43="",Norm_Stats!$F$9="",Norm_Stats!$G$9="",Norm_Stats!$G$9=Norm_Stats!$F$9),"",MAX(0,MIN(100,100*(Norm_Stats!$G$9-MIN(MAX(City_Inputs!$U43,Norm_Stats!$F$9),Norm_Stats!$G$9))/(Norm_Stats!$G$9-Norm_Stats!$F$9))))</f>
        <v/>
      </c>
      <c r="X43" s="14">
        <f>IF(W43="","",1)</f>
        <v/>
      </c>
      <c r="Y43" s="11">
        <f>IF(OR(City_Inputs!$V43="",Norm_Stats!$F$10="",Norm_Stats!$G$10="",Norm_Stats!$G$10=Norm_Stats!$F$10),"",MAX(0,MIN(100,100*(MIN(MAX(City_Inputs!$V43,Norm_Stats!$F$10),Norm_Stats!$G$10)-Norm_Stats!$F$10)/(Norm_Stats!$G$10-Norm_Stats!$F$10))))</f>
        <v/>
      </c>
      <c r="Z43" s="14">
        <f>IF(Y43="","",1)</f>
        <v/>
      </c>
      <c r="AA43" s="11">
        <f>IF(OR(City_Inputs!$W43="",Norm_Stats!$F$11="",Norm_Stats!$G$11="",Norm_Stats!$G$11=Norm_Stats!$F$11),"",MAX(0,MIN(100,100*(MIN(MAX(City_Inputs!$W43,Norm_Stats!$F$11),Norm_Stats!$G$11)-Norm_Stats!$F$11)/(Norm_Stats!$G$11-Norm_Stats!$F$11))))</f>
        <v/>
      </c>
      <c r="AB43" s="14">
        <f>IF(AA43="","",1)</f>
        <v/>
      </c>
      <c r="AC43" s="15">
        <f>IF((IF(S43="",0,5)+IF(U43="",0,5)+IF(W43="",0,4)+IF(Y43="",0,4)+IF(AA43="",0,4))=0,"",(IF(S43="",0,S43*5)+IF(U43="",0,U43*5)+IF(W43="",0,W43*4)+IF(Y43="",0,Y43*4)+IF(AA43="",0,AA43*4))/(IF(S43="",0,5)+IF(U43="",0,5)+IF(W43="",0,4)+IF(Y43="",0,4)+IF(AA43="",0,4)))</f>
        <v/>
      </c>
      <c r="AD43" s="14">
        <f>IF((IF(T43="",0,5)+IF(V43="",0,5)+IF(X43="",0,4)+IF(Z43="",0,4)+IF(AB43="",0,4))=0,"",(IF(T43="",0,T43*5)+IF(V43="",0,V43*5)+IF(X43="",0,X43*4)+IF(Z43="",0,Z43*4)+IF(AB43="",0,AB43*4))/22)</f>
        <v/>
      </c>
      <c r="AE43" s="11">
        <f>IF(OR(City_Inputs!$X43="",Norm_Stats!$F$12="",Norm_Stats!$G$12="",Norm_Stats!$G$12=Norm_Stats!$F$12),"",MAX(0,MIN(100,100*(MIN(MAX(City_Inputs!$X43,Norm_Stats!$F$12),Norm_Stats!$G$12)-Norm_Stats!$F$12)/(Norm_Stats!$G$12-Norm_Stats!$F$12))))</f>
        <v/>
      </c>
      <c r="AF43" s="14">
        <f>IF(AE43="","",1)</f>
        <v/>
      </c>
      <c r="AG43" s="11">
        <f>IF(OR(City_Inputs!$Y43="",Norm_Stats!$F$13="",Norm_Stats!$G$13="",Norm_Stats!$G$13=Norm_Stats!$F$13),"",MAX(0,MIN(100,100*(MIN(MAX(City_Inputs!$Y43,Norm_Stats!$F$13),Norm_Stats!$G$13)-Norm_Stats!$F$13)/(Norm_Stats!$G$13-Norm_Stats!$F$13))))</f>
        <v/>
      </c>
      <c r="AH43" s="14">
        <f>IF(AG43="","",1)</f>
        <v/>
      </c>
      <c r="AI43" s="11">
        <f>IF((IF((IF(OR(City_Inputs!$Z43="",Norm_Stats!$F$14="",Norm_Stats!$G$14="",Norm_Stats!$G$14=Norm_Stats!$F$14),"",MAX(0,MIN(100,100*(MIN(MAX(City_Inputs!$Z43,Norm_Stats!$F$14),Norm_Stats!$G$14)-Norm_Stats!$F$14)/(Norm_Stats!$G$14-Norm_Stats!$F$14)))))="",0,0.7)+IF((IF(OR(City_Inputs!$AK43="",Norm_Stats!$F$15="",Norm_Stats!$G$15="",Norm_Stats!$G$15=Norm_Stats!$F$15),"",MAX(0,MIN(100,100*(Norm_Stats!$G$15-MIN(MAX(City_Inputs!$AK43,Norm_Stats!$F$15),Norm_Stats!$G$15))/(Norm_Stats!$G$15-Norm_Stats!$F$15)))))="",0,0.3))=0,"",(IF((IF(OR(City_Inputs!$Z43="",Norm_Stats!$F$14="",Norm_Stats!$G$14="",Norm_Stats!$G$14=Norm_Stats!$F$14),"",MAX(0,MIN(100,100*(MIN(MAX(City_Inputs!$Z43,Norm_Stats!$F$14),Norm_Stats!$G$14)-Norm_Stats!$F$14)/(Norm_Stats!$G$14-Norm_Stats!$F$14)))))="",0,(IF(OR(City_Inputs!$Z43="",Norm_Stats!$F$14="",Norm_Stats!$G$14="",Norm_Stats!$G$14=Norm_Stats!$F$14),"",MAX(0,MIN(100,100*(MIN(MAX(City_Inputs!$Z43,Norm_Stats!$F$14),Norm_Stats!$G$14)-Norm_Stats!$F$14)/(Norm_Stats!$G$14-Norm_Stats!$F$14)))))*0.7)+IF((IF(OR(City_Inputs!$AK43="",Norm_Stats!$F$15="",Norm_Stats!$G$15="",Norm_Stats!$G$15=Norm_Stats!$F$15),"",MAX(0,MIN(100,100*(Norm_Stats!$G$15-MIN(MAX(City_Inputs!$AK43,Norm_Stats!$F$15),Norm_Stats!$G$15))/(Norm_Stats!$G$15-Norm_Stats!$F$15)))))="",0,(IF(OR(City_Inputs!$AK43="",Norm_Stats!$F$15="",Norm_Stats!$G$15="",Norm_Stats!$G$15=Norm_Stats!$F$15),"",MAX(0,MIN(100,100*(Norm_Stats!$G$15-MIN(MAX(City_Inputs!$AK43,Norm_Stats!$F$15),Norm_Stats!$G$15))/(Norm_Stats!$G$15-Norm_Stats!$F$15)))))*0.3))/(IF((IF(OR(City_Inputs!$Z43="",Norm_Stats!$F$14="",Norm_Stats!$G$14="",Norm_Stats!$G$14=Norm_Stats!$F$14),"",MAX(0,MIN(100,100*(MIN(MAX(City_Inputs!$Z43,Norm_Stats!$F$14),Norm_Stats!$G$14)-Norm_Stats!$F$14)/(Norm_Stats!$G$14-Norm_Stats!$F$14)))))="",0,0.7)+IF((IF(OR(City_Inputs!$AK43="",Norm_Stats!$F$15="",Norm_Stats!$G$15="",Norm_Stats!$G$15=Norm_Stats!$F$15),"",MAX(0,MIN(100,100*(Norm_Stats!$G$15-MIN(MAX(City_Inputs!$AK43,Norm_Stats!$F$15),Norm_Stats!$G$15))/(Norm_Stats!$G$15-Norm_Stats!$F$15)))))="",0,0.3)))</f>
        <v/>
      </c>
      <c r="AJ43" s="14">
        <f>IF((IF((IF(OR(City_Inputs!$Z43="",Norm_Stats!$F$14="",Norm_Stats!$G$14="",Norm_Stats!$G$14=Norm_Stats!$F$14),"",MAX(0,MIN(100,100*(MIN(MAX(City_Inputs!$Z43,Norm_Stats!$F$14),Norm_Stats!$G$14)-Norm_Stats!$F$14)/(Norm_Stats!$G$14-Norm_Stats!$F$14)))))="",0,0.7)+IF((IF(OR(City_Inputs!$AK43="",Norm_Stats!$F$15="",Norm_Stats!$G$15="",Norm_Stats!$G$15=Norm_Stats!$F$15),"",MAX(0,MIN(100,100*(Norm_Stats!$G$15-MIN(MAX(City_Inputs!$AK43,Norm_Stats!$F$15),Norm_Stats!$G$15))/(Norm_Stats!$G$15-Norm_Stats!$F$15)))))="",0,0.3))=0,"",(IF((IF(OR(City_Inputs!$Z43="",Norm_Stats!$F$14="",Norm_Stats!$G$14="",Norm_Stats!$G$14=Norm_Stats!$F$14),"",MAX(0,MIN(100,100*(MIN(MAX(City_Inputs!$Z43,Norm_Stats!$F$14),Norm_Stats!$G$14)-Norm_Stats!$F$14)/(Norm_Stats!$G$14-Norm_Stats!$F$14)))))="",0,0.7)+IF((IF(OR(City_Inputs!$AK43="",Norm_Stats!$F$15="",Norm_Stats!$G$15="",Norm_Stats!$G$15=Norm_Stats!$F$15),"",MAX(0,MIN(100,100*(Norm_Stats!$G$15-MIN(MAX(City_Inputs!$AK43,Norm_Stats!$F$15),Norm_Stats!$G$15))/(Norm_Stats!$G$15-Norm_Stats!$F$15)))))="",0,0.3)))</f>
        <v/>
      </c>
      <c r="AK43" s="15">
        <f>IF((IF(AE43="",0,8)+IF(AG43="",0,6)+IF(AI43="",0,4))=0,"",(IF(AE43="",0,AE43*8)+IF(AG43="",0,AG43*6)+IF(AI43="",0,AI43*4))/(IF(AE43="",0,8)+IF(AG43="",0,6)+IF(AI43="",0,4)))</f>
        <v/>
      </c>
      <c r="AL43" s="14">
        <f>IF((IF(AF43="",0,8)+IF(AH43="",0,6)+IF(AJ43="",0,4))=0,"",(IF(AF43="",0,AF43*8)+IF(AH43="",0,AH43*6)+IF(AJ43="",0,AJ43*4))/18)</f>
        <v/>
      </c>
      <c r="AM43" s="11">
        <f>IF(OR(City_Inputs!$AA43="",Norm_Stats!$F$16="",Norm_Stats!$G$16="",Norm_Stats!$G$16=Norm_Stats!$F$16),"",MAX(0,MIN(100,100*(MIN(MAX(City_Inputs!$AA43,Norm_Stats!$F$16),Norm_Stats!$G$16)-Norm_Stats!$F$16)/(Norm_Stats!$G$16-Norm_Stats!$F$16))))</f>
        <v/>
      </c>
      <c r="AN43" s="14">
        <f>IF(AM43="","",1)</f>
        <v/>
      </c>
      <c r="AO43" s="11">
        <f>IF(OR(City_Inputs!$AB43="",Norm_Stats!$F$17="",Norm_Stats!$G$17="",Norm_Stats!$G$17=Norm_Stats!$F$17),"",MAX(0,MIN(100,100*(MIN(MAX(City_Inputs!$AB43,Norm_Stats!$F$17),Norm_Stats!$G$17)-Norm_Stats!$F$17)/(Norm_Stats!$G$17-Norm_Stats!$F$17))))</f>
        <v/>
      </c>
      <c r="AP43" s="14">
        <f>IF(AO43="","",1)</f>
        <v/>
      </c>
      <c r="AQ43" s="11">
        <f>IF(OR(City_Inputs!$AC43="",Norm_Stats!$F$18="",Norm_Stats!$G$18="",Norm_Stats!$G$18=Norm_Stats!$F$18),"",MAX(0,MIN(100,100*(MIN(MAX(City_Inputs!$AC43,Norm_Stats!$F$18),Norm_Stats!$G$18)-Norm_Stats!$F$18)/(Norm_Stats!$G$18-Norm_Stats!$F$18))))</f>
        <v/>
      </c>
      <c r="AR43" s="14">
        <f>IF(AQ43="","",1)</f>
        <v/>
      </c>
      <c r="AS43" s="15">
        <f>IF((IF(AM43="",0,5)+IF(AO43="",0,5)+IF(AQ43="",0,5))=0,"",(IF(AM43="",0,AM43*5)+IF(AO43="",0,AO43*5)+IF(AQ43="",0,AQ43*5))/(IF(AM43="",0,5)+IF(AO43="",0,5)+IF(AQ43="",0,5)))</f>
        <v/>
      </c>
      <c r="AT43" s="14">
        <f>IF((IF(AN43="",0,5)+IF(AP43="",0,5)+IF(AR43="",0,5))=0,"",(IF(AN43="",0,AN43*5)+IF(AP43="",0,AP43*5)+IF(AR43="",0,AR43*5))/15)</f>
        <v/>
      </c>
      <c r="AU43" s="11">
        <f>IF(OR(City_Inputs!$AD43="",Norm_Stats!$F$19="",Norm_Stats!$G$19="",Norm_Stats!$G$19=Norm_Stats!$F$19),"",MAX(0,MIN(100,100*(MIN(MAX(City_Inputs!$AD43,Norm_Stats!$F$19),Norm_Stats!$G$19)-Norm_Stats!$F$19)/(Norm_Stats!$G$19-Norm_Stats!$F$19))))</f>
        <v/>
      </c>
      <c r="AV43" s="14">
        <f>IF(AU43="","",1)</f>
        <v/>
      </c>
      <c r="AW43" s="11">
        <f>IF(OR(City_Inputs!$AE43="",Norm_Stats!$F$20="",Norm_Stats!$G$20="",Norm_Stats!$G$20=Norm_Stats!$F$20),"",MAX(0,MIN(100,100*(MIN(MAX(City_Inputs!$AE43,Norm_Stats!$F$20),Norm_Stats!$G$20)-Norm_Stats!$F$20)/(Norm_Stats!$G$20-Norm_Stats!$F$20))))</f>
        <v/>
      </c>
      <c r="AX43" s="14">
        <f>IF(AW43="","",1)</f>
        <v/>
      </c>
      <c r="AY43" s="11">
        <f>IF((IF((IF(OR(City_Inputs!$AF43="",Norm_Stats!$F$21="",Norm_Stats!$G$21="",Norm_Stats!$G$21=Norm_Stats!$F$21),"",MAX(0,MIN(100,100*(MIN(MAX(City_Inputs!$AF43,Norm_Stats!$F$21),Norm_Stats!$G$21)-Norm_Stats!$F$21)/(Norm_Stats!$G$21-Norm_Stats!$F$21)))))="",0,0.5)+IF((IF(OR(City_Inputs!$AI43="",Norm_Stats!$F$22="",Norm_Stats!$G$22="",Norm_Stats!$G$22=Norm_Stats!$F$22),"",MAX(0,MIN(100,100*(MIN(MAX(City_Inputs!$AI43,Norm_Stats!$F$22),Norm_Stats!$G$22)-Norm_Stats!$F$22)/(Norm_Stats!$G$22-Norm_Stats!$F$22)))))="",0,0.3)+IF((IF(OR(City_Inputs!$AJ43="",Norm_Stats!$F$23="",Norm_Stats!$G$23="",Norm_Stats!$G$23=Norm_Stats!$F$23),"",MAX(0,MIN(100,100*(MIN(MAX(City_Inputs!$AJ43,Norm_Stats!$F$23),Norm_Stats!$G$23)-Norm_Stats!$F$23)/(Norm_Stats!$G$23-Norm_Stats!$F$23)))))="",0,0.2))=0,"",(IF((IF(OR(City_Inputs!$AF43="",Norm_Stats!$F$21="",Norm_Stats!$G$21="",Norm_Stats!$G$21=Norm_Stats!$F$21),"",MAX(0,MIN(100,100*(MIN(MAX(City_Inputs!$AF43,Norm_Stats!$F$21),Norm_Stats!$G$21)-Norm_Stats!$F$21)/(Norm_Stats!$G$21-Norm_Stats!$F$21)))))="",0,(IF(OR(City_Inputs!$AF43="",Norm_Stats!$F$21="",Norm_Stats!$G$21="",Norm_Stats!$G$21=Norm_Stats!$F$21),"",MAX(0,MIN(100,100*(MIN(MAX(City_Inputs!$AF43,Norm_Stats!$F$21),Norm_Stats!$G$21)-Norm_Stats!$F$21)/(Norm_Stats!$G$21-Norm_Stats!$F$21)))))*0.5)+IF((IF(OR(City_Inputs!$AI43="",Norm_Stats!$F$22="",Norm_Stats!$G$22="",Norm_Stats!$G$22=Norm_Stats!$F$22),"",MAX(0,MIN(100,100*(MIN(MAX(City_Inputs!$AI43,Norm_Stats!$F$22),Norm_Stats!$G$22)-Norm_Stats!$F$22)/(Norm_Stats!$G$22-Norm_Stats!$F$22)))))="",0,(IF(OR(City_Inputs!$AI43="",Norm_Stats!$F$22="",Norm_Stats!$G$22="",Norm_Stats!$G$22=Norm_Stats!$F$22),"",MAX(0,MIN(100,100*(MIN(MAX(City_Inputs!$AI43,Norm_Stats!$F$22),Norm_Stats!$G$22)-Norm_Stats!$F$22)/(Norm_Stats!$G$22-Norm_Stats!$F$22)))))*0.3)+IF((IF(OR(City_Inputs!$AJ43="",Norm_Stats!$F$23="",Norm_Stats!$G$23="",Norm_Stats!$G$23=Norm_Stats!$F$23),"",MAX(0,MIN(100,100*(MIN(MAX(City_Inputs!$AJ43,Norm_Stats!$F$23),Norm_Stats!$G$23)-Norm_Stats!$F$23)/(Norm_Stats!$G$23-Norm_Stats!$F$23)))))="",0,(IF(OR(City_Inputs!$AJ43="",Norm_Stats!$F$23="",Norm_Stats!$G$23="",Norm_Stats!$G$23=Norm_Stats!$F$23),"",MAX(0,MIN(100,100*(MIN(MAX(City_Inputs!$AJ43,Norm_Stats!$F$23),Norm_Stats!$G$23)-Norm_Stats!$F$23)/(Norm_Stats!$G$23-Norm_Stats!$F$23)))))*0.2))/(IF((IF(OR(City_Inputs!$AF43="",Norm_Stats!$F$21="",Norm_Stats!$G$21="",Norm_Stats!$G$21=Norm_Stats!$F$21),"",MAX(0,MIN(100,100*(MIN(MAX(City_Inputs!$AF43,Norm_Stats!$F$21),Norm_Stats!$G$21)-Norm_Stats!$F$21)/(Norm_Stats!$G$21-Norm_Stats!$F$21)))))="",0,0.5)+IF((IF(OR(City_Inputs!$AI43="",Norm_Stats!$F$22="",Norm_Stats!$G$22="",Norm_Stats!$G$22=Norm_Stats!$F$22),"",MAX(0,MIN(100,100*(MIN(MAX(City_Inputs!$AI43,Norm_Stats!$F$22),Norm_Stats!$G$22)-Norm_Stats!$F$22)/(Norm_Stats!$G$22-Norm_Stats!$F$22)))))="",0,0.3)+IF((IF(OR(City_Inputs!$AJ43="",Norm_Stats!$F$23="",Norm_Stats!$G$23="",Norm_Stats!$G$23=Norm_Stats!$F$23),"",MAX(0,MIN(100,100*(MIN(MAX(City_Inputs!$AJ43,Norm_Stats!$F$23),Norm_Stats!$G$23)-Norm_Stats!$F$23)/(Norm_Stats!$G$23-Norm_Stats!$F$23)))))="",0,0.2)))</f>
        <v/>
      </c>
      <c r="AZ43" s="14">
        <f>IF((IF((IF(OR(City_Inputs!$AF43="",Norm_Stats!$F$21="",Norm_Stats!$G$21="",Norm_Stats!$G$21=Norm_Stats!$F$21),"",MAX(0,MIN(100,100*(MIN(MAX(City_Inputs!$AF43,Norm_Stats!$F$21),Norm_Stats!$G$21)-Norm_Stats!$F$21)/(Norm_Stats!$G$21-Norm_Stats!$F$21)))))="",0,0.5)+IF((IF(OR(City_Inputs!$AI43="",Norm_Stats!$F$22="",Norm_Stats!$G$22="",Norm_Stats!$G$22=Norm_Stats!$F$22),"",MAX(0,MIN(100,100*(MIN(MAX(City_Inputs!$AI43,Norm_Stats!$F$22),Norm_Stats!$G$22)-Norm_Stats!$F$22)/(Norm_Stats!$G$22-Norm_Stats!$F$22)))))="",0,0.3)+IF((IF(OR(City_Inputs!$AJ43="",Norm_Stats!$F$23="",Norm_Stats!$G$23="",Norm_Stats!$G$23=Norm_Stats!$F$23),"",MAX(0,MIN(100,100*(MIN(MAX(City_Inputs!$AJ43,Norm_Stats!$F$23),Norm_Stats!$G$23)-Norm_Stats!$F$23)/(Norm_Stats!$G$23-Norm_Stats!$F$23)))))="",0,0.2))=0,"",(IF((IF(OR(City_Inputs!$AF43="",Norm_Stats!$F$21="",Norm_Stats!$G$21="",Norm_Stats!$G$21=Norm_Stats!$F$21),"",MAX(0,MIN(100,100*(MIN(MAX(City_Inputs!$AF43,Norm_Stats!$F$21),Norm_Stats!$G$21)-Norm_Stats!$F$21)/(Norm_Stats!$G$21-Norm_Stats!$F$21)))))="",0,0.5)+IF((IF(OR(City_Inputs!$AI43="",Norm_Stats!$F$22="",Norm_Stats!$G$22="",Norm_Stats!$G$22=Norm_Stats!$F$22),"",MAX(0,MIN(100,100*(MIN(MAX(City_Inputs!$AI43,Norm_Stats!$F$22),Norm_Stats!$G$22)-Norm_Stats!$F$22)/(Norm_Stats!$G$22-Norm_Stats!$F$22)))))="",0,0.3)+IF((IF(OR(City_Inputs!$AJ43="",Norm_Stats!$F$23="",Norm_Stats!$G$23="",Norm_Stats!$G$23=Norm_Stats!$F$23),"",MAX(0,MIN(100,100*(MIN(MAX(City_Inputs!$AJ43,Norm_Stats!$F$23),Norm_Stats!$G$23)-Norm_Stats!$F$23)/(Norm_Stats!$G$23-Norm_Stats!$F$23)))))="",0,0.2)))</f>
        <v/>
      </c>
      <c r="BA43" s="11">
        <f>IF(OR(City_Inputs!$AG43="",Norm_Stats!$F$24="",Norm_Stats!$G$24="",Norm_Stats!$G$24=Norm_Stats!$F$24),"",MAX(0,MIN(100,100*(Norm_Stats!$G$24-MIN(MAX(City_Inputs!$AG43,Norm_Stats!$F$24),Norm_Stats!$G$24))/(Norm_Stats!$G$24-Norm_Stats!$F$24))))</f>
        <v/>
      </c>
      <c r="BB43" s="14">
        <f>IF(BA43="","",1)</f>
        <v/>
      </c>
      <c r="BC43" s="15">
        <f>IF((IF(AU43="",0,6)+IF(AW43="",0,5)+IF(AY43="",0,5)+IF(BA43="",0,4))=0,"",(IF(AU43="",0,AU43*6)+IF(AW43="",0,AW43*5)+IF(AY43="",0,AY43*5)+IF(BA43="",0,BA43*4))/(IF(AU43="",0,6)+IF(AW43="",0,5)+IF(AY43="",0,5)+IF(BA43="",0,4)))</f>
        <v/>
      </c>
      <c r="BD43" s="14">
        <f>IF((IF(AV43="",0,6)+IF(AX43="",0,5)+IF(AZ43="",0,5)+IF(BB43="",0,4))=0,"",(IF(AV43="",0,AV43*6)+IF(AX43="",0,AX43*5)+IF(AZ43="",0,AZ43*5)+IF(BB43="",0,BB43*4))/20)</f>
        <v/>
      </c>
      <c r="BE43" s="14">
        <f>IF(AND(R43="",AD43="",AL43="",AT43="",BD43=""),"",((R43*25)+(AD43*22)+(AL43*18)+(AT43*15)+(BD43*20))/100)</f>
        <v/>
      </c>
      <c r="BF43" s="11">
        <f>IF(BE43="","",IF(BE43&gt;=0.75,"A",IF(BE43&gt;=0.5,"B",IF(BE43&gt;=0.35,"C","Watchlist"))))</f>
        <v/>
      </c>
      <c r="BG43" s="11">
        <f>IF(OR(BE43="",BE43&lt;0.5,R43="",R43&lt;0.35,AD43="",AD43&lt;0.35,AL43="",AL43&lt;0.35,AT43="",AT43&lt;0.35,BD43="",BD43&lt;0.35),"Watchlist","Ranked")</f>
        <v/>
      </c>
      <c r="BH43" s="15">
        <f>IF(AND(Q43="",AC43="",AK43="",AS43="",BC43=""),"",(IF(Q43="",0,Q43*25)+IF(AC43="",0,AC43*22)+IF(AK43="",0,AK43*18)+IF(AS43="",0,AS43*15)+IF(BC43="",0,BC43*20))/(IF(Q43="",0,25)+IF(AC43="",0,22)+IF(AK43="",0,18)+IF(AS43="",0,15)+IF(BC43="",0,20)))</f>
        <v/>
      </c>
      <c r="BI43" s="11">
        <f>IF(BG43="Ranked",1+COUNTIFS($BG$2:$BG$103,"Ranked",$BH$2:$BH$103,"&gt;"&amp;BH43),"")</f>
        <v/>
      </c>
      <c r="BJ43" s="11">
        <f>City_Inputs!$AH43</f>
        <v/>
      </c>
    </row>
    <row r="44">
      <c r="A44" t="inlineStr">
        <is>
          <t>ru-moscow</t>
        </is>
      </c>
      <c r="B44" t="inlineStr">
        <is>
          <t>Moscow</t>
        </is>
      </c>
      <c r="C44" t="inlineStr">
        <is>
          <t>Russia</t>
        </is>
      </c>
      <c r="D44" t="inlineStr">
        <is>
          <t>Southern/Eastern Europe and Eurasia</t>
        </is>
      </c>
      <c r="E44" t="inlineStr">
        <is>
          <t>locked</t>
        </is>
      </c>
      <c r="F44" t="inlineStr">
        <is>
          <t>primary</t>
        </is>
      </c>
      <c r="G44" s="11">
        <f>IF(OR(City_Inputs!$M44="",Norm_Stats!$F$2="",Norm_Stats!$G$2="",Norm_Stats!$G$2=Norm_Stats!$F$2),"",MAX(0,MIN(100,100*(MIN(MAX(City_Inputs!$M44,Norm_Stats!$F$2),Norm_Stats!$G$2)-Norm_Stats!$F$2)/(Norm_Stats!$G$2-Norm_Stats!$F$2))))</f>
        <v/>
      </c>
      <c r="H44" s="14">
        <f>IF(G44="","",1)</f>
        <v/>
      </c>
      <c r="I44" s="11">
        <f>IF(OR(City_Inputs!$N44="",Norm_Stats!$F$3="",Norm_Stats!$G$3="",Norm_Stats!$G$3=Norm_Stats!$F$3),"",MAX(0,MIN(100,100*(Norm_Stats!$G$3-MIN(MAX(City_Inputs!$N44,Norm_Stats!$F$3),Norm_Stats!$G$3))/(Norm_Stats!$G$3-Norm_Stats!$F$3))))</f>
        <v/>
      </c>
      <c r="J44" s="14">
        <f>IF(I44="","",1)</f>
        <v/>
      </c>
      <c r="K44" s="11">
        <f>IF(OR(City_Inputs!$P44="",Norm_Stats!$F$4="",Norm_Stats!$G$4="",Norm_Stats!$G$4=Norm_Stats!$F$4),"",MAX(0,MIN(100,100*(Norm_Stats!$G$4-MIN(MAX(City_Inputs!$P44,Norm_Stats!$F$4),Norm_Stats!$G$4))/(Norm_Stats!$G$4-Norm_Stats!$F$4))))</f>
        <v/>
      </c>
      <c r="L44" s="14">
        <f>IF(K44="","",1)</f>
        <v/>
      </c>
      <c r="M44" s="11">
        <f>IF(OR(City_Inputs!$Q44="",Norm_Stats!$F$5="",Norm_Stats!$G$5="",Norm_Stats!$G$5=Norm_Stats!$F$5),"",MAX(0,MIN(100,100*(Norm_Stats!$G$5-MIN(MAX(City_Inputs!$Q44,Norm_Stats!$F$5),Norm_Stats!$G$5))/(Norm_Stats!$G$5-Norm_Stats!$F$5))))</f>
        <v/>
      </c>
      <c r="N44" s="14">
        <f>IF(M44="","",1)</f>
        <v/>
      </c>
      <c r="O44" s="11">
        <f>IF(OR(City_Inputs!$R44="",Norm_Stats!$F$6="",Norm_Stats!$G$6="",Norm_Stats!$G$6=Norm_Stats!$F$6),"",MAX(0,MIN(100,100*(Norm_Stats!$G$6-MIN(MAX(City_Inputs!$R44,Norm_Stats!$F$6),Norm_Stats!$G$6))/(Norm_Stats!$G$6-Norm_Stats!$F$6))))</f>
        <v/>
      </c>
      <c r="P44" s="14">
        <f>IF(O44="","",1)</f>
        <v/>
      </c>
      <c r="Q44" s="15">
        <f>IF((IF(G44="",0,9)+IF(I44="",0,5)+IF(K44="",0,4)+IF(M44="",0,4)+IF(O44="",0,3))=0,"",(IF(G44="",0,G44*9)+IF(I44="",0,I44*5)+IF(K44="",0,K44*4)+IF(M44="",0,M44*4)+IF(O44="",0,O44*3))/(IF(G44="",0,9)+IF(I44="",0,5)+IF(K44="",0,4)+IF(M44="",0,4)+IF(O44="",0,3)))</f>
        <v/>
      </c>
      <c r="R44" s="14">
        <f>IF((IF(H44="",0,9)+IF(J44="",0,5)+IF(L44="",0,4)+IF(N44="",0,4)+IF(P44="",0,3))=0,"",(IF(H44="",0,H44*9)+IF(J44="",0,J44*5)+IF(L44="",0,L44*4)+IF(N44="",0,N44*4)+IF(P44="",0,P44*3))/25)</f>
        <v/>
      </c>
      <c r="S44" s="11">
        <f>IF(OR(City_Inputs!$S44="",Norm_Stats!$F$7="",Norm_Stats!$G$7="",Norm_Stats!$G$7=Norm_Stats!$F$7),"",MAX(0,MIN(100,100*(Norm_Stats!$G$7-MIN(MAX(City_Inputs!$S44,Norm_Stats!$F$7),Norm_Stats!$G$7))/(Norm_Stats!$G$7-Norm_Stats!$F$7))))</f>
        <v/>
      </c>
      <c r="T44" s="14">
        <f>IF(S44="","",1)</f>
        <v/>
      </c>
      <c r="U44" s="11">
        <f>IF(OR(City_Inputs!$T44="",Norm_Stats!$F$8="",Norm_Stats!$G$8="",Norm_Stats!$G$8=Norm_Stats!$F$8),"",MAX(0,MIN(100,100*(MIN(MAX(City_Inputs!$T44,Norm_Stats!$F$8),Norm_Stats!$G$8)-Norm_Stats!$F$8)/(Norm_Stats!$G$8-Norm_Stats!$F$8))))</f>
        <v/>
      </c>
      <c r="V44" s="14">
        <f>IF(U44="","",1)</f>
        <v/>
      </c>
      <c r="W44" s="11">
        <f>IF(OR(City_Inputs!$U44="",Norm_Stats!$F$9="",Norm_Stats!$G$9="",Norm_Stats!$G$9=Norm_Stats!$F$9),"",MAX(0,MIN(100,100*(Norm_Stats!$G$9-MIN(MAX(City_Inputs!$U44,Norm_Stats!$F$9),Norm_Stats!$G$9))/(Norm_Stats!$G$9-Norm_Stats!$F$9))))</f>
        <v/>
      </c>
      <c r="X44" s="14">
        <f>IF(W44="","",1)</f>
        <v/>
      </c>
      <c r="Y44" s="11">
        <f>IF(OR(City_Inputs!$V44="",Norm_Stats!$F$10="",Norm_Stats!$G$10="",Norm_Stats!$G$10=Norm_Stats!$F$10),"",MAX(0,MIN(100,100*(MIN(MAX(City_Inputs!$V44,Norm_Stats!$F$10),Norm_Stats!$G$10)-Norm_Stats!$F$10)/(Norm_Stats!$G$10-Norm_Stats!$F$10))))</f>
        <v/>
      </c>
      <c r="Z44" s="14">
        <f>IF(Y44="","",1)</f>
        <v/>
      </c>
      <c r="AA44" s="11">
        <f>IF(OR(City_Inputs!$W44="",Norm_Stats!$F$11="",Norm_Stats!$G$11="",Norm_Stats!$G$11=Norm_Stats!$F$11),"",MAX(0,MIN(100,100*(MIN(MAX(City_Inputs!$W44,Norm_Stats!$F$11),Norm_Stats!$G$11)-Norm_Stats!$F$11)/(Norm_Stats!$G$11-Norm_Stats!$F$11))))</f>
        <v/>
      </c>
      <c r="AB44" s="14">
        <f>IF(AA44="","",1)</f>
        <v/>
      </c>
      <c r="AC44" s="15">
        <f>IF((IF(S44="",0,5)+IF(U44="",0,5)+IF(W44="",0,4)+IF(Y44="",0,4)+IF(AA44="",0,4))=0,"",(IF(S44="",0,S44*5)+IF(U44="",0,U44*5)+IF(W44="",0,W44*4)+IF(Y44="",0,Y44*4)+IF(AA44="",0,AA44*4))/(IF(S44="",0,5)+IF(U44="",0,5)+IF(W44="",0,4)+IF(Y44="",0,4)+IF(AA44="",0,4)))</f>
        <v/>
      </c>
      <c r="AD44" s="14">
        <f>IF((IF(T44="",0,5)+IF(V44="",0,5)+IF(X44="",0,4)+IF(Z44="",0,4)+IF(AB44="",0,4))=0,"",(IF(T44="",0,T44*5)+IF(V44="",0,V44*5)+IF(X44="",0,X44*4)+IF(Z44="",0,Z44*4)+IF(AB44="",0,AB44*4))/22)</f>
        <v/>
      </c>
      <c r="AE44" s="11">
        <f>IF(OR(City_Inputs!$X44="",Norm_Stats!$F$12="",Norm_Stats!$G$12="",Norm_Stats!$G$12=Norm_Stats!$F$12),"",MAX(0,MIN(100,100*(MIN(MAX(City_Inputs!$X44,Norm_Stats!$F$12),Norm_Stats!$G$12)-Norm_Stats!$F$12)/(Norm_Stats!$G$12-Norm_Stats!$F$12))))</f>
        <v/>
      </c>
      <c r="AF44" s="14">
        <f>IF(AE44="","",1)</f>
        <v/>
      </c>
      <c r="AG44" s="11">
        <f>IF(OR(City_Inputs!$Y44="",Norm_Stats!$F$13="",Norm_Stats!$G$13="",Norm_Stats!$G$13=Norm_Stats!$F$13),"",MAX(0,MIN(100,100*(MIN(MAX(City_Inputs!$Y44,Norm_Stats!$F$13),Norm_Stats!$G$13)-Norm_Stats!$F$13)/(Norm_Stats!$G$13-Norm_Stats!$F$13))))</f>
        <v/>
      </c>
      <c r="AH44" s="14">
        <f>IF(AG44="","",1)</f>
        <v/>
      </c>
      <c r="AI44" s="11">
        <f>IF((IF((IF(OR(City_Inputs!$Z44="",Norm_Stats!$F$14="",Norm_Stats!$G$14="",Norm_Stats!$G$14=Norm_Stats!$F$14),"",MAX(0,MIN(100,100*(MIN(MAX(City_Inputs!$Z44,Norm_Stats!$F$14),Norm_Stats!$G$14)-Norm_Stats!$F$14)/(Norm_Stats!$G$14-Norm_Stats!$F$14)))))="",0,0.7)+IF((IF(OR(City_Inputs!$AK44="",Norm_Stats!$F$15="",Norm_Stats!$G$15="",Norm_Stats!$G$15=Norm_Stats!$F$15),"",MAX(0,MIN(100,100*(Norm_Stats!$G$15-MIN(MAX(City_Inputs!$AK44,Norm_Stats!$F$15),Norm_Stats!$G$15))/(Norm_Stats!$G$15-Norm_Stats!$F$15)))))="",0,0.3))=0,"",(IF((IF(OR(City_Inputs!$Z44="",Norm_Stats!$F$14="",Norm_Stats!$G$14="",Norm_Stats!$G$14=Norm_Stats!$F$14),"",MAX(0,MIN(100,100*(MIN(MAX(City_Inputs!$Z44,Norm_Stats!$F$14),Norm_Stats!$G$14)-Norm_Stats!$F$14)/(Norm_Stats!$G$14-Norm_Stats!$F$14)))))="",0,(IF(OR(City_Inputs!$Z44="",Norm_Stats!$F$14="",Norm_Stats!$G$14="",Norm_Stats!$G$14=Norm_Stats!$F$14),"",MAX(0,MIN(100,100*(MIN(MAX(City_Inputs!$Z44,Norm_Stats!$F$14),Norm_Stats!$G$14)-Norm_Stats!$F$14)/(Norm_Stats!$G$14-Norm_Stats!$F$14)))))*0.7)+IF((IF(OR(City_Inputs!$AK44="",Norm_Stats!$F$15="",Norm_Stats!$G$15="",Norm_Stats!$G$15=Norm_Stats!$F$15),"",MAX(0,MIN(100,100*(Norm_Stats!$G$15-MIN(MAX(City_Inputs!$AK44,Norm_Stats!$F$15),Norm_Stats!$G$15))/(Norm_Stats!$G$15-Norm_Stats!$F$15)))))="",0,(IF(OR(City_Inputs!$AK44="",Norm_Stats!$F$15="",Norm_Stats!$G$15="",Norm_Stats!$G$15=Norm_Stats!$F$15),"",MAX(0,MIN(100,100*(Norm_Stats!$G$15-MIN(MAX(City_Inputs!$AK44,Norm_Stats!$F$15),Norm_Stats!$G$15))/(Norm_Stats!$G$15-Norm_Stats!$F$15)))))*0.3))/(IF((IF(OR(City_Inputs!$Z44="",Norm_Stats!$F$14="",Norm_Stats!$G$14="",Norm_Stats!$G$14=Norm_Stats!$F$14),"",MAX(0,MIN(100,100*(MIN(MAX(City_Inputs!$Z44,Norm_Stats!$F$14),Norm_Stats!$G$14)-Norm_Stats!$F$14)/(Norm_Stats!$G$14-Norm_Stats!$F$14)))))="",0,0.7)+IF((IF(OR(City_Inputs!$AK44="",Norm_Stats!$F$15="",Norm_Stats!$G$15="",Norm_Stats!$G$15=Norm_Stats!$F$15),"",MAX(0,MIN(100,100*(Norm_Stats!$G$15-MIN(MAX(City_Inputs!$AK44,Norm_Stats!$F$15),Norm_Stats!$G$15))/(Norm_Stats!$G$15-Norm_Stats!$F$15)))))="",0,0.3)))</f>
        <v/>
      </c>
      <c r="AJ44" s="14">
        <f>IF((IF((IF(OR(City_Inputs!$Z44="",Norm_Stats!$F$14="",Norm_Stats!$G$14="",Norm_Stats!$G$14=Norm_Stats!$F$14),"",MAX(0,MIN(100,100*(MIN(MAX(City_Inputs!$Z44,Norm_Stats!$F$14),Norm_Stats!$G$14)-Norm_Stats!$F$14)/(Norm_Stats!$G$14-Norm_Stats!$F$14)))))="",0,0.7)+IF((IF(OR(City_Inputs!$AK44="",Norm_Stats!$F$15="",Norm_Stats!$G$15="",Norm_Stats!$G$15=Norm_Stats!$F$15),"",MAX(0,MIN(100,100*(Norm_Stats!$G$15-MIN(MAX(City_Inputs!$AK44,Norm_Stats!$F$15),Norm_Stats!$G$15))/(Norm_Stats!$G$15-Norm_Stats!$F$15)))))="",0,0.3))=0,"",(IF((IF(OR(City_Inputs!$Z44="",Norm_Stats!$F$14="",Norm_Stats!$G$14="",Norm_Stats!$G$14=Norm_Stats!$F$14),"",MAX(0,MIN(100,100*(MIN(MAX(City_Inputs!$Z44,Norm_Stats!$F$14),Norm_Stats!$G$14)-Norm_Stats!$F$14)/(Norm_Stats!$G$14-Norm_Stats!$F$14)))))="",0,0.7)+IF((IF(OR(City_Inputs!$AK44="",Norm_Stats!$F$15="",Norm_Stats!$G$15="",Norm_Stats!$G$15=Norm_Stats!$F$15),"",MAX(0,MIN(100,100*(Norm_Stats!$G$15-MIN(MAX(City_Inputs!$AK44,Norm_Stats!$F$15),Norm_Stats!$G$15))/(Norm_Stats!$G$15-Norm_Stats!$F$15)))))="",0,0.3)))</f>
        <v/>
      </c>
      <c r="AK44" s="15">
        <f>IF((IF(AE44="",0,8)+IF(AG44="",0,6)+IF(AI44="",0,4))=0,"",(IF(AE44="",0,AE44*8)+IF(AG44="",0,AG44*6)+IF(AI44="",0,AI44*4))/(IF(AE44="",0,8)+IF(AG44="",0,6)+IF(AI44="",0,4)))</f>
        <v/>
      </c>
      <c r="AL44" s="14">
        <f>IF((IF(AF44="",0,8)+IF(AH44="",0,6)+IF(AJ44="",0,4))=0,"",(IF(AF44="",0,AF44*8)+IF(AH44="",0,AH44*6)+IF(AJ44="",0,AJ44*4))/18)</f>
        <v/>
      </c>
      <c r="AM44" s="11">
        <f>IF(OR(City_Inputs!$AA44="",Norm_Stats!$F$16="",Norm_Stats!$G$16="",Norm_Stats!$G$16=Norm_Stats!$F$16),"",MAX(0,MIN(100,100*(MIN(MAX(City_Inputs!$AA44,Norm_Stats!$F$16),Norm_Stats!$G$16)-Norm_Stats!$F$16)/(Norm_Stats!$G$16-Norm_Stats!$F$16))))</f>
        <v/>
      </c>
      <c r="AN44" s="14">
        <f>IF(AM44="","",1)</f>
        <v/>
      </c>
      <c r="AO44" s="11">
        <f>IF(OR(City_Inputs!$AB44="",Norm_Stats!$F$17="",Norm_Stats!$G$17="",Norm_Stats!$G$17=Norm_Stats!$F$17),"",MAX(0,MIN(100,100*(MIN(MAX(City_Inputs!$AB44,Norm_Stats!$F$17),Norm_Stats!$G$17)-Norm_Stats!$F$17)/(Norm_Stats!$G$17-Norm_Stats!$F$17))))</f>
        <v/>
      </c>
      <c r="AP44" s="14">
        <f>IF(AO44="","",1)</f>
        <v/>
      </c>
      <c r="AQ44" s="11">
        <f>IF(OR(City_Inputs!$AC44="",Norm_Stats!$F$18="",Norm_Stats!$G$18="",Norm_Stats!$G$18=Norm_Stats!$F$18),"",MAX(0,MIN(100,100*(MIN(MAX(City_Inputs!$AC44,Norm_Stats!$F$18),Norm_Stats!$G$18)-Norm_Stats!$F$18)/(Norm_Stats!$G$18-Norm_Stats!$F$18))))</f>
        <v/>
      </c>
      <c r="AR44" s="14">
        <f>IF(AQ44="","",1)</f>
        <v/>
      </c>
      <c r="AS44" s="15">
        <f>IF((IF(AM44="",0,5)+IF(AO44="",0,5)+IF(AQ44="",0,5))=0,"",(IF(AM44="",0,AM44*5)+IF(AO44="",0,AO44*5)+IF(AQ44="",0,AQ44*5))/(IF(AM44="",0,5)+IF(AO44="",0,5)+IF(AQ44="",0,5)))</f>
        <v/>
      </c>
      <c r="AT44" s="14">
        <f>IF((IF(AN44="",0,5)+IF(AP44="",0,5)+IF(AR44="",0,5))=0,"",(IF(AN44="",0,AN44*5)+IF(AP44="",0,AP44*5)+IF(AR44="",0,AR44*5))/15)</f>
        <v/>
      </c>
      <c r="AU44" s="11">
        <f>IF(OR(City_Inputs!$AD44="",Norm_Stats!$F$19="",Norm_Stats!$G$19="",Norm_Stats!$G$19=Norm_Stats!$F$19),"",MAX(0,MIN(100,100*(MIN(MAX(City_Inputs!$AD44,Norm_Stats!$F$19),Norm_Stats!$G$19)-Norm_Stats!$F$19)/(Norm_Stats!$G$19-Norm_Stats!$F$19))))</f>
        <v/>
      </c>
      <c r="AV44" s="14">
        <f>IF(AU44="","",1)</f>
        <v/>
      </c>
      <c r="AW44" s="11">
        <f>IF(OR(City_Inputs!$AE44="",Norm_Stats!$F$20="",Norm_Stats!$G$20="",Norm_Stats!$G$20=Norm_Stats!$F$20),"",MAX(0,MIN(100,100*(MIN(MAX(City_Inputs!$AE44,Norm_Stats!$F$20),Norm_Stats!$G$20)-Norm_Stats!$F$20)/(Norm_Stats!$G$20-Norm_Stats!$F$20))))</f>
        <v/>
      </c>
      <c r="AX44" s="14">
        <f>IF(AW44="","",1)</f>
        <v/>
      </c>
      <c r="AY44" s="11">
        <f>IF((IF((IF(OR(City_Inputs!$AF44="",Norm_Stats!$F$21="",Norm_Stats!$G$21="",Norm_Stats!$G$21=Norm_Stats!$F$21),"",MAX(0,MIN(100,100*(MIN(MAX(City_Inputs!$AF44,Norm_Stats!$F$21),Norm_Stats!$G$21)-Norm_Stats!$F$21)/(Norm_Stats!$G$21-Norm_Stats!$F$21)))))="",0,0.5)+IF((IF(OR(City_Inputs!$AI44="",Norm_Stats!$F$22="",Norm_Stats!$G$22="",Norm_Stats!$G$22=Norm_Stats!$F$22),"",MAX(0,MIN(100,100*(MIN(MAX(City_Inputs!$AI44,Norm_Stats!$F$22),Norm_Stats!$G$22)-Norm_Stats!$F$22)/(Norm_Stats!$G$22-Norm_Stats!$F$22)))))="",0,0.3)+IF((IF(OR(City_Inputs!$AJ44="",Norm_Stats!$F$23="",Norm_Stats!$G$23="",Norm_Stats!$G$23=Norm_Stats!$F$23),"",MAX(0,MIN(100,100*(MIN(MAX(City_Inputs!$AJ44,Norm_Stats!$F$23),Norm_Stats!$G$23)-Norm_Stats!$F$23)/(Norm_Stats!$G$23-Norm_Stats!$F$23)))))="",0,0.2))=0,"",(IF((IF(OR(City_Inputs!$AF44="",Norm_Stats!$F$21="",Norm_Stats!$G$21="",Norm_Stats!$G$21=Norm_Stats!$F$21),"",MAX(0,MIN(100,100*(MIN(MAX(City_Inputs!$AF44,Norm_Stats!$F$21),Norm_Stats!$G$21)-Norm_Stats!$F$21)/(Norm_Stats!$G$21-Norm_Stats!$F$21)))))="",0,(IF(OR(City_Inputs!$AF44="",Norm_Stats!$F$21="",Norm_Stats!$G$21="",Norm_Stats!$G$21=Norm_Stats!$F$21),"",MAX(0,MIN(100,100*(MIN(MAX(City_Inputs!$AF44,Norm_Stats!$F$21),Norm_Stats!$G$21)-Norm_Stats!$F$21)/(Norm_Stats!$G$21-Norm_Stats!$F$21)))))*0.5)+IF((IF(OR(City_Inputs!$AI44="",Norm_Stats!$F$22="",Norm_Stats!$G$22="",Norm_Stats!$G$22=Norm_Stats!$F$22),"",MAX(0,MIN(100,100*(MIN(MAX(City_Inputs!$AI44,Norm_Stats!$F$22),Norm_Stats!$G$22)-Norm_Stats!$F$22)/(Norm_Stats!$G$22-Norm_Stats!$F$22)))))="",0,(IF(OR(City_Inputs!$AI44="",Norm_Stats!$F$22="",Norm_Stats!$G$22="",Norm_Stats!$G$22=Norm_Stats!$F$22),"",MAX(0,MIN(100,100*(MIN(MAX(City_Inputs!$AI44,Norm_Stats!$F$22),Norm_Stats!$G$22)-Norm_Stats!$F$22)/(Norm_Stats!$G$22-Norm_Stats!$F$22)))))*0.3)+IF((IF(OR(City_Inputs!$AJ44="",Norm_Stats!$F$23="",Norm_Stats!$G$23="",Norm_Stats!$G$23=Norm_Stats!$F$23),"",MAX(0,MIN(100,100*(MIN(MAX(City_Inputs!$AJ44,Norm_Stats!$F$23),Norm_Stats!$G$23)-Norm_Stats!$F$23)/(Norm_Stats!$G$23-Norm_Stats!$F$23)))))="",0,(IF(OR(City_Inputs!$AJ44="",Norm_Stats!$F$23="",Norm_Stats!$G$23="",Norm_Stats!$G$23=Norm_Stats!$F$23),"",MAX(0,MIN(100,100*(MIN(MAX(City_Inputs!$AJ44,Norm_Stats!$F$23),Norm_Stats!$G$23)-Norm_Stats!$F$23)/(Norm_Stats!$G$23-Norm_Stats!$F$23)))))*0.2))/(IF((IF(OR(City_Inputs!$AF44="",Norm_Stats!$F$21="",Norm_Stats!$G$21="",Norm_Stats!$G$21=Norm_Stats!$F$21),"",MAX(0,MIN(100,100*(MIN(MAX(City_Inputs!$AF44,Norm_Stats!$F$21),Norm_Stats!$G$21)-Norm_Stats!$F$21)/(Norm_Stats!$G$21-Norm_Stats!$F$21)))))="",0,0.5)+IF((IF(OR(City_Inputs!$AI44="",Norm_Stats!$F$22="",Norm_Stats!$G$22="",Norm_Stats!$G$22=Norm_Stats!$F$22),"",MAX(0,MIN(100,100*(MIN(MAX(City_Inputs!$AI44,Norm_Stats!$F$22),Norm_Stats!$G$22)-Norm_Stats!$F$22)/(Norm_Stats!$G$22-Norm_Stats!$F$22)))))="",0,0.3)+IF((IF(OR(City_Inputs!$AJ44="",Norm_Stats!$F$23="",Norm_Stats!$G$23="",Norm_Stats!$G$23=Norm_Stats!$F$23),"",MAX(0,MIN(100,100*(MIN(MAX(City_Inputs!$AJ44,Norm_Stats!$F$23),Norm_Stats!$G$23)-Norm_Stats!$F$23)/(Norm_Stats!$G$23-Norm_Stats!$F$23)))))="",0,0.2)))</f>
        <v/>
      </c>
      <c r="AZ44" s="14">
        <f>IF((IF((IF(OR(City_Inputs!$AF44="",Norm_Stats!$F$21="",Norm_Stats!$G$21="",Norm_Stats!$G$21=Norm_Stats!$F$21),"",MAX(0,MIN(100,100*(MIN(MAX(City_Inputs!$AF44,Norm_Stats!$F$21),Norm_Stats!$G$21)-Norm_Stats!$F$21)/(Norm_Stats!$G$21-Norm_Stats!$F$21)))))="",0,0.5)+IF((IF(OR(City_Inputs!$AI44="",Norm_Stats!$F$22="",Norm_Stats!$G$22="",Norm_Stats!$G$22=Norm_Stats!$F$22),"",MAX(0,MIN(100,100*(MIN(MAX(City_Inputs!$AI44,Norm_Stats!$F$22),Norm_Stats!$G$22)-Norm_Stats!$F$22)/(Norm_Stats!$G$22-Norm_Stats!$F$22)))))="",0,0.3)+IF((IF(OR(City_Inputs!$AJ44="",Norm_Stats!$F$23="",Norm_Stats!$G$23="",Norm_Stats!$G$23=Norm_Stats!$F$23),"",MAX(0,MIN(100,100*(MIN(MAX(City_Inputs!$AJ44,Norm_Stats!$F$23),Norm_Stats!$G$23)-Norm_Stats!$F$23)/(Norm_Stats!$G$23-Norm_Stats!$F$23)))))="",0,0.2))=0,"",(IF((IF(OR(City_Inputs!$AF44="",Norm_Stats!$F$21="",Norm_Stats!$G$21="",Norm_Stats!$G$21=Norm_Stats!$F$21),"",MAX(0,MIN(100,100*(MIN(MAX(City_Inputs!$AF44,Norm_Stats!$F$21),Norm_Stats!$G$21)-Norm_Stats!$F$21)/(Norm_Stats!$G$21-Norm_Stats!$F$21)))))="",0,0.5)+IF((IF(OR(City_Inputs!$AI44="",Norm_Stats!$F$22="",Norm_Stats!$G$22="",Norm_Stats!$G$22=Norm_Stats!$F$22),"",MAX(0,MIN(100,100*(MIN(MAX(City_Inputs!$AI44,Norm_Stats!$F$22),Norm_Stats!$G$22)-Norm_Stats!$F$22)/(Norm_Stats!$G$22-Norm_Stats!$F$22)))))="",0,0.3)+IF((IF(OR(City_Inputs!$AJ44="",Norm_Stats!$F$23="",Norm_Stats!$G$23="",Norm_Stats!$G$23=Norm_Stats!$F$23),"",MAX(0,MIN(100,100*(MIN(MAX(City_Inputs!$AJ44,Norm_Stats!$F$23),Norm_Stats!$G$23)-Norm_Stats!$F$23)/(Norm_Stats!$G$23-Norm_Stats!$F$23)))))="",0,0.2)))</f>
        <v/>
      </c>
      <c r="BA44" s="11">
        <f>IF(OR(City_Inputs!$AG44="",Norm_Stats!$F$24="",Norm_Stats!$G$24="",Norm_Stats!$G$24=Norm_Stats!$F$24),"",MAX(0,MIN(100,100*(Norm_Stats!$G$24-MIN(MAX(City_Inputs!$AG44,Norm_Stats!$F$24),Norm_Stats!$G$24))/(Norm_Stats!$G$24-Norm_Stats!$F$24))))</f>
        <v/>
      </c>
      <c r="BB44" s="14">
        <f>IF(BA44="","",1)</f>
        <v/>
      </c>
      <c r="BC44" s="15">
        <f>IF((IF(AU44="",0,6)+IF(AW44="",0,5)+IF(AY44="",0,5)+IF(BA44="",0,4))=0,"",(IF(AU44="",0,AU44*6)+IF(AW44="",0,AW44*5)+IF(AY44="",0,AY44*5)+IF(BA44="",0,BA44*4))/(IF(AU44="",0,6)+IF(AW44="",0,5)+IF(AY44="",0,5)+IF(BA44="",0,4)))</f>
        <v/>
      </c>
      <c r="BD44" s="14">
        <f>IF((IF(AV44="",0,6)+IF(AX44="",0,5)+IF(AZ44="",0,5)+IF(BB44="",0,4))=0,"",(IF(AV44="",0,AV44*6)+IF(AX44="",0,AX44*5)+IF(AZ44="",0,AZ44*5)+IF(BB44="",0,BB44*4))/20)</f>
        <v/>
      </c>
      <c r="BE44" s="14">
        <f>IF(AND(R44="",AD44="",AL44="",AT44="",BD44=""),"",((R44*25)+(AD44*22)+(AL44*18)+(AT44*15)+(BD44*20))/100)</f>
        <v/>
      </c>
      <c r="BF44" s="11">
        <f>IF(BE44="","",IF(BE44&gt;=0.75,"A",IF(BE44&gt;=0.5,"B",IF(BE44&gt;=0.35,"C","Watchlist"))))</f>
        <v/>
      </c>
      <c r="BG44" s="11">
        <f>IF(OR(BE44="",BE44&lt;0.5,R44="",R44&lt;0.35,AD44="",AD44&lt;0.35,AL44="",AL44&lt;0.35,AT44="",AT44&lt;0.35,BD44="",BD44&lt;0.35),"Watchlist","Ranked")</f>
        <v/>
      </c>
      <c r="BH44" s="15">
        <f>IF(AND(Q44="",AC44="",AK44="",AS44="",BC44=""),"",(IF(Q44="",0,Q44*25)+IF(AC44="",0,AC44*22)+IF(AK44="",0,AK44*18)+IF(AS44="",0,AS44*15)+IF(BC44="",0,BC44*20))/(IF(Q44="",0,25)+IF(AC44="",0,22)+IF(AK44="",0,18)+IF(AS44="",0,15)+IF(BC44="",0,20)))</f>
        <v/>
      </c>
      <c r="BI44" s="11">
        <f>IF(BG44="Ranked",1+COUNTIFS($BG$2:$BG$103,"Ranked",$BH$2:$BH$103,"&gt;"&amp;BH44),"")</f>
        <v/>
      </c>
      <c r="BJ44" s="11">
        <f>City_Inputs!$AH44</f>
        <v/>
      </c>
    </row>
    <row r="45">
      <c r="A45" t="inlineStr">
        <is>
          <t>hu-budapest</t>
        </is>
      </c>
      <c r="B45" t="inlineStr">
        <is>
          <t>Budapest</t>
        </is>
      </c>
      <c r="C45" t="inlineStr">
        <is>
          <t>Hungary</t>
        </is>
      </c>
      <c r="D45" t="inlineStr">
        <is>
          <t>Southern/Eastern Europe and Eurasia</t>
        </is>
      </c>
      <c r="E45" t="inlineStr">
        <is>
          <t>locked</t>
        </is>
      </c>
      <c r="F45" t="inlineStr">
        <is>
          <t>primary</t>
        </is>
      </c>
      <c r="G45" s="11">
        <f>IF(OR(City_Inputs!$M45="",Norm_Stats!$F$2="",Norm_Stats!$G$2="",Norm_Stats!$G$2=Norm_Stats!$F$2),"",MAX(0,MIN(100,100*(MIN(MAX(City_Inputs!$M45,Norm_Stats!$F$2),Norm_Stats!$G$2)-Norm_Stats!$F$2)/(Norm_Stats!$G$2-Norm_Stats!$F$2))))</f>
        <v/>
      </c>
      <c r="H45" s="14">
        <f>IF(G45="","",1)</f>
        <v/>
      </c>
      <c r="I45" s="11">
        <f>IF(OR(City_Inputs!$N45="",Norm_Stats!$F$3="",Norm_Stats!$G$3="",Norm_Stats!$G$3=Norm_Stats!$F$3),"",MAX(0,MIN(100,100*(Norm_Stats!$G$3-MIN(MAX(City_Inputs!$N45,Norm_Stats!$F$3),Norm_Stats!$G$3))/(Norm_Stats!$G$3-Norm_Stats!$F$3))))</f>
        <v/>
      </c>
      <c r="J45" s="14">
        <f>IF(I45="","",1)</f>
        <v/>
      </c>
      <c r="K45" s="11">
        <f>IF(OR(City_Inputs!$P45="",Norm_Stats!$F$4="",Norm_Stats!$G$4="",Norm_Stats!$G$4=Norm_Stats!$F$4),"",MAX(0,MIN(100,100*(Norm_Stats!$G$4-MIN(MAX(City_Inputs!$P45,Norm_Stats!$F$4),Norm_Stats!$G$4))/(Norm_Stats!$G$4-Norm_Stats!$F$4))))</f>
        <v/>
      </c>
      <c r="L45" s="14">
        <f>IF(K45="","",1)</f>
        <v/>
      </c>
      <c r="M45" s="11">
        <f>IF(OR(City_Inputs!$Q45="",Norm_Stats!$F$5="",Norm_Stats!$G$5="",Norm_Stats!$G$5=Norm_Stats!$F$5),"",MAX(0,MIN(100,100*(Norm_Stats!$G$5-MIN(MAX(City_Inputs!$Q45,Norm_Stats!$F$5),Norm_Stats!$G$5))/(Norm_Stats!$G$5-Norm_Stats!$F$5))))</f>
        <v/>
      </c>
      <c r="N45" s="14">
        <f>IF(M45="","",1)</f>
        <v/>
      </c>
      <c r="O45" s="11">
        <f>IF(OR(City_Inputs!$R45="",Norm_Stats!$F$6="",Norm_Stats!$G$6="",Norm_Stats!$G$6=Norm_Stats!$F$6),"",MAX(0,MIN(100,100*(Norm_Stats!$G$6-MIN(MAX(City_Inputs!$R45,Norm_Stats!$F$6),Norm_Stats!$G$6))/(Norm_Stats!$G$6-Norm_Stats!$F$6))))</f>
        <v/>
      </c>
      <c r="P45" s="14">
        <f>IF(O45="","",1)</f>
        <v/>
      </c>
      <c r="Q45" s="15">
        <f>IF((IF(G45="",0,9)+IF(I45="",0,5)+IF(K45="",0,4)+IF(M45="",0,4)+IF(O45="",0,3))=0,"",(IF(G45="",0,G45*9)+IF(I45="",0,I45*5)+IF(K45="",0,K45*4)+IF(M45="",0,M45*4)+IF(O45="",0,O45*3))/(IF(G45="",0,9)+IF(I45="",0,5)+IF(K45="",0,4)+IF(M45="",0,4)+IF(O45="",0,3)))</f>
        <v/>
      </c>
      <c r="R45" s="14">
        <f>IF((IF(H45="",0,9)+IF(J45="",0,5)+IF(L45="",0,4)+IF(N45="",0,4)+IF(P45="",0,3))=0,"",(IF(H45="",0,H45*9)+IF(J45="",0,J45*5)+IF(L45="",0,L45*4)+IF(N45="",0,N45*4)+IF(P45="",0,P45*3))/25)</f>
        <v/>
      </c>
      <c r="S45" s="11">
        <f>IF(OR(City_Inputs!$S45="",Norm_Stats!$F$7="",Norm_Stats!$G$7="",Norm_Stats!$G$7=Norm_Stats!$F$7),"",MAX(0,MIN(100,100*(Norm_Stats!$G$7-MIN(MAX(City_Inputs!$S45,Norm_Stats!$F$7),Norm_Stats!$G$7))/(Norm_Stats!$G$7-Norm_Stats!$F$7))))</f>
        <v/>
      </c>
      <c r="T45" s="14">
        <f>IF(S45="","",1)</f>
        <v/>
      </c>
      <c r="U45" s="11">
        <f>IF(OR(City_Inputs!$T45="",Norm_Stats!$F$8="",Norm_Stats!$G$8="",Norm_Stats!$G$8=Norm_Stats!$F$8),"",MAX(0,MIN(100,100*(MIN(MAX(City_Inputs!$T45,Norm_Stats!$F$8),Norm_Stats!$G$8)-Norm_Stats!$F$8)/(Norm_Stats!$G$8-Norm_Stats!$F$8))))</f>
        <v/>
      </c>
      <c r="V45" s="14">
        <f>IF(U45="","",1)</f>
        <v/>
      </c>
      <c r="W45" s="11">
        <f>IF(OR(City_Inputs!$U45="",Norm_Stats!$F$9="",Norm_Stats!$G$9="",Norm_Stats!$G$9=Norm_Stats!$F$9),"",MAX(0,MIN(100,100*(Norm_Stats!$G$9-MIN(MAX(City_Inputs!$U45,Norm_Stats!$F$9),Norm_Stats!$G$9))/(Norm_Stats!$G$9-Norm_Stats!$F$9))))</f>
        <v/>
      </c>
      <c r="X45" s="14">
        <f>IF(W45="","",1)</f>
        <v/>
      </c>
      <c r="Y45" s="11">
        <f>IF(OR(City_Inputs!$V45="",Norm_Stats!$F$10="",Norm_Stats!$G$10="",Norm_Stats!$G$10=Norm_Stats!$F$10),"",MAX(0,MIN(100,100*(MIN(MAX(City_Inputs!$V45,Norm_Stats!$F$10),Norm_Stats!$G$10)-Norm_Stats!$F$10)/(Norm_Stats!$G$10-Norm_Stats!$F$10))))</f>
        <v/>
      </c>
      <c r="Z45" s="14">
        <f>IF(Y45="","",1)</f>
        <v/>
      </c>
      <c r="AA45" s="11">
        <f>IF(OR(City_Inputs!$W45="",Norm_Stats!$F$11="",Norm_Stats!$G$11="",Norm_Stats!$G$11=Norm_Stats!$F$11),"",MAX(0,MIN(100,100*(MIN(MAX(City_Inputs!$W45,Norm_Stats!$F$11),Norm_Stats!$G$11)-Norm_Stats!$F$11)/(Norm_Stats!$G$11-Norm_Stats!$F$11))))</f>
        <v/>
      </c>
      <c r="AB45" s="14">
        <f>IF(AA45="","",1)</f>
        <v/>
      </c>
      <c r="AC45" s="15">
        <f>IF((IF(S45="",0,5)+IF(U45="",0,5)+IF(W45="",0,4)+IF(Y45="",0,4)+IF(AA45="",0,4))=0,"",(IF(S45="",0,S45*5)+IF(U45="",0,U45*5)+IF(W45="",0,W45*4)+IF(Y45="",0,Y45*4)+IF(AA45="",0,AA45*4))/(IF(S45="",0,5)+IF(U45="",0,5)+IF(W45="",0,4)+IF(Y45="",0,4)+IF(AA45="",0,4)))</f>
        <v/>
      </c>
      <c r="AD45" s="14">
        <f>IF((IF(T45="",0,5)+IF(V45="",0,5)+IF(X45="",0,4)+IF(Z45="",0,4)+IF(AB45="",0,4))=0,"",(IF(T45="",0,T45*5)+IF(V45="",0,V45*5)+IF(X45="",0,X45*4)+IF(Z45="",0,Z45*4)+IF(AB45="",0,AB45*4))/22)</f>
        <v/>
      </c>
      <c r="AE45" s="11">
        <f>IF(OR(City_Inputs!$X45="",Norm_Stats!$F$12="",Norm_Stats!$G$12="",Norm_Stats!$G$12=Norm_Stats!$F$12),"",MAX(0,MIN(100,100*(MIN(MAX(City_Inputs!$X45,Norm_Stats!$F$12),Norm_Stats!$G$12)-Norm_Stats!$F$12)/(Norm_Stats!$G$12-Norm_Stats!$F$12))))</f>
        <v/>
      </c>
      <c r="AF45" s="14">
        <f>IF(AE45="","",1)</f>
        <v/>
      </c>
      <c r="AG45" s="11">
        <f>IF(OR(City_Inputs!$Y45="",Norm_Stats!$F$13="",Norm_Stats!$G$13="",Norm_Stats!$G$13=Norm_Stats!$F$13),"",MAX(0,MIN(100,100*(MIN(MAX(City_Inputs!$Y45,Norm_Stats!$F$13),Norm_Stats!$G$13)-Norm_Stats!$F$13)/(Norm_Stats!$G$13-Norm_Stats!$F$13))))</f>
        <v/>
      </c>
      <c r="AH45" s="14">
        <f>IF(AG45="","",1)</f>
        <v/>
      </c>
      <c r="AI45" s="11">
        <f>IF((IF((IF(OR(City_Inputs!$Z45="",Norm_Stats!$F$14="",Norm_Stats!$G$14="",Norm_Stats!$G$14=Norm_Stats!$F$14),"",MAX(0,MIN(100,100*(MIN(MAX(City_Inputs!$Z45,Norm_Stats!$F$14),Norm_Stats!$G$14)-Norm_Stats!$F$14)/(Norm_Stats!$G$14-Norm_Stats!$F$14)))))="",0,0.7)+IF((IF(OR(City_Inputs!$AK45="",Norm_Stats!$F$15="",Norm_Stats!$G$15="",Norm_Stats!$G$15=Norm_Stats!$F$15),"",MAX(0,MIN(100,100*(Norm_Stats!$G$15-MIN(MAX(City_Inputs!$AK45,Norm_Stats!$F$15),Norm_Stats!$G$15))/(Norm_Stats!$G$15-Norm_Stats!$F$15)))))="",0,0.3))=0,"",(IF((IF(OR(City_Inputs!$Z45="",Norm_Stats!$F$14="",Norm_Stats!$G$14="",Norm_Stats!$G$14=Norm_Stats!$F$14),"",MAX(0,MIN(100,100*(MIN(MAX(City_Inputs!$Z45,Norm_Stats!$F$14),Norm_Stats!$G$14)-Norm_Stats!$F$14)/(Norm_Stats!$G$14-Norm_Stats!$F$14)))))="",0,(IF(OR(City_Inputs!$Z45="",Norm_Stats!$F$14="",Norm_Stats!$G$14="",Norm_Stats!$G$14=Norm_Stats!$F$14),"",MAX(0,MIN(100,100*(MIN(MAX(City_Inputs!$Z45,Norm_Stats!$F$14),Norm_Stats!$G$14)-Norm_Stats!$F$14)/(Norm_Stats!$G$14-Norm_Stats!$F$14)))))*0.7)+IF((IF(OR(City_Inputs!$AK45="",Norm_Stats!$F$15="",Norm_Stats!$G$15="",Norm_Stats!$G$15=Norm_Stats!$F$15),"",MAX(0,MIN(100,100*(Norm_Stats!$G$15-MIN(MAX(City_Inputs!$AK45,Norm_Stats!$F$15),Norm_Stats!$G$15))/(Norm_Stats!$G$15-Norm_Stats!$F$15)))))="",0,(IF(OR(City_Inputs!$AK45="",Norm_Stats!$F$15="",Norm_Stats!$G$15="",Norm_Stats!$G$15=Norm_Stats!$F$15),"",MAX(0,MIN(100,100*(Norm_Stats!$G$15-MIN(MAX(City_Inputs!$AK45,Norm_Stats!$F$15),Norm_Stats!$G$15))/(Norm_Stats!$G$15-Norm_Stats!$F$15)))))*0.3))/(IF((IF(OR(City_Inputs!$Z45="",Norm_Stats!$F$14="",Norm_Stats!$G$14="",Norm_Stats!$G$14=Norm_Stats!$F$14),"",MAX(0,MIN(100,100*(MIN(MAX(City_Inputs!$Z45,Norm_Stats!$F$14),Norm_Stats!$G$14)-Norm_Stats!$F$14)/(Norm_Stats!$G$14-Norm_Stats!$F$14)))))="",0,0.7)+IF((IF(OR(City_Inputs!$AK45="",Norm_Stats!$F$15="",Norm_Stats!$G$15="",Norm_Stats!$G$15=Norm_Stats!$F$15),"",MAX(0,MIN(100,100*(Norm_Stats!$G$15-MIN(MAX(City_Inputs!$AK45,Norm_Stats!$F$15),Norm_Stats!$G$15))/(Norm_Stats!$G$15-Norm_Stats!$F$15)))))="",0,0.3)))</f>
        <v/>
      </c>
      <c r="AJ45" s="14">
        <f>IF((IF((IF(OR(City_Inputs!$Z45="",Norm_Stats!$F$14="",Norm_Stats!$G$14="",Norm_Stats!$G$14=Norm_Stats!$F$14),"",MAX(0,MIN(100,100*(MIN(MAX(City_Inputs!$Z45,Norm_Stats!$F$14),Norm_Stats!$G$14)-Norm_Stats!$F$14)/(Norm_Stats!$G$14-Norm_Stats!$F$14)))))="",0,0.7)+IF((IF(OR(City_Inputs!$AK45="",Norm_Stats!$F$15="",Norm_Stats!$G$15="",Norm_Stats!$G$15=Norm_Stats!$F$15),"",MAX(0,MIN(100,100*(Norm_Stats!$G$15-MIN(MAX(City_Inputs!$AK45,Norm_Stats!$F$15),Norm_Stats!$G$15))/(Norm_Stats!$G$15-Norm_Stats!$F$15)))))="",0,0.3))=0,"",(IF((IF(OR(City_Inputs!$Z45="",Norm_Stats!$F$14="",Norm_Stats!$G$14="",Norm_Stats!$G$14=Norm_Stats!$F$14),"",MAX(0,MIN(100,100*(MIN(MAX(City_Inputs!$Z45,Norm_Stats!$F$14),Norm_Stats!$G$14)-Norm_Stats!$F$14)/(Norm_Stats!$G$14-Norm_Stats!$F$14)))))="",0,0.7)+IF((IF(OR(City_Inputs!$AK45="",Norm_Stats!$F$15="",Norm_Stats!$G$15="",Norm_Stats!$G$15=Norm_Stats!$F$15),"",MAX(0,MIN(100,100*(Norm_Stats!$G$15-MIN(MAX(City_Inputs!$AK45,Norm_Stats!$F$15),Norm_Stats!$G$15))/(Norm_Stats!$G$15-Norm_Stats!$F$15)))))="",0,0.3)))</f>
        <v/>
      </c>
      <c r="AK45" s="15">
        <f>IF((IF(AE45="",0,8)+IF(AG45="",0,6)+IF(AI45="",0,4))=0,"",(IF(AE45="",0,AE45*8)+IF(AG45="",0,AG45*6)+IF(AI45="",0,AI45*4))/(IF(AE45="",0,8)+IF(AG45="",0,6)+IF(AI45="",0,4)))</f>
        <v/>
      </c>
      <c r="AL45" s="14">
        <f>IF((IF(AF45="",0,8)+IF(AH45="",0,6)+IF(AJ45="",0,4))=0,"",(IF(AF45="",0,AF45*8)+IF(AH45="",0,AH45*6)+IF(AJ45="",0,AJ45*4))/18)</f>
        <v/>
      </c>
      <c r="AM45" s="11">
        <f>IF(OR(City_Inputs!$AA45="",Norm_Stats!$F$16="",Norm_Stats!$G$16="",Norm_Stats!$G$16=Norm_Stats!$F$16),"",MAX(0,MIN(100,100*(MIN(MAX(City_Inputs!$AA45,Norm_Stats!$F$16),Norm_Stats!$G$16)-Norm_Stats!$F$16)/(Norm_Stats!$G$16-Norm_Stats!$F$16))))</f>
        <v/>
      </c>
      <c r="AN45" s="14">
        <f>IF(AM45="","",1)</f>
        <v/>
      </c>
      <c r="AO45" s="11">
        <f>IF(OR(City_Inputs!$AB45="",Norm_Stats!$F$17="",Norm_Stats!$G$17="",Norm_Stats!$G$17=Norm_Stats!$F$17),"",MAX(0,MIN(100,100*(MIN(MAX(City_Inputs!$AB45,Norm_Stats!$F$17),Norm_Stats!$G$17)-Norm_Stats!$F$17)/(Norm_Stats!$G$17-Norm_Stats!$F$17))))</f>
        <v/>
      </c>
      <c r="AP45" s="14">
        <f>IF(AO45="","",1)</f>
        <v/>
      </c>
      <c r="AQ45" s="11">
        <f>IF(OR(City_Inputs!$AC45="",Norm_Stats!$F$18="",Norm_Stats!$G$18="",Norm_Stats!$G$18=Norm_Stats!$F$18),"",MAX(0,MIN(100,100*(MIN(MAX(City_Inputs!$AC45,Norm_Stats!$F$18),Norm_Stats!$G$18)-Norm_Stats!$F$18)/(Norm_Stats!$G$18-Norm_Stats!$F$18))))</f>
        <v/>
      </c>
      <c r="AR45" s="14">
        <f>IF(AQ45="","",1)</f>
        <v/>
      </c>
      <c r="AS45" s="15">
        <f>IF((IF(AM45="",0,5)+IF(AO45="",0,5)+IF(AQ45="",0,5))=0,"",(IF(AM45="",0,AM45*5)+IF(AO45="",0,AO45*5)+IF(AQ45="",0,AQ45*5))/(IF(AM45="",0,5)+IF(AO45="",0,5)+IF(AQ45="",0,5)))</f>
        <v/>
      </c>
      <c r="AT45" s="14">
        <f>IF((IF(AN45="",0,5)+IF(AP45="",0,5)+IF(AR45="",0,5))=0,"",(IF(AN45="",0,AN45*5)+IF(AP45="",0,AP45*5)+IF(AR45="",0,AR45*5))/15)</f>
        <v/>
      </c>
      <c r="AU45" s="11">
        <f>IF(OR(City_Inputs!$AD45="",Norm_Stats!$F$19="",Norm_Stats!$G$19="",Norm_Stats!$G$19=Norm_Stats!$F$19),"",MAX(0,MIN(100,100*(MIN(MAX(City_Inputs!$AD45,Norm_Stats!$F$19),Norm_Stats!$G$19)-Norm_Stats!$F$19)/(Norm_Stats!$G$19-Norm_Stats!$F$19))))</f>
        <v/>
      </c>
      <c r="AV45" s="14">
        <f>IF(AU45="","",1)</f>
        <v/>
      </c>
      <c r="AW45" s="11">
        <f>IF(OR(City_Inputs!$AE45="",Norm_Stats!$F$20="",Norm_Stats!$G$20="",Norm_Stats!$G$20=Norm_Stats!$F$20),"",MAX(0,MIN(100,100*(MIN(MAX(City_Inputs!$AE45,Norm_Stats!$F$20),Norm_Stats!$G$20)-Norm_Stats!$F$20)/(Norm_Stats!$G$20-Norm_Stats!$F$20))))</f>
        <v/>
      </c>
      <c r="AX45" s="14">
        <f>IF(AW45="","",1)</f>
        <v/>
      </c>
      <c r="AY45" s="11">
        <f>IF((IF((IF(OR(City_Inputs!$AF45="",Norm_Stats!$F$21="",Norm_Stats!$G$21="",Norm_Stats!$G$21=Norm_Stats!$F$21),"",MAX(0,MIN(100,100*(MIN(MAX(City_Inputs!$AF45,Norm_Stats!$F$21),Norm_Stats!$G$21)-Norm_Stats!$F$21)/(Norm_Stats!$G$21-Norm_Stats!$F$21)))))="",0,0.5)+IF((IF(OR(City_Inputs!$AI45="",Norm_Stats!$F$22="",Norm_Stats!$G$22="",Norm_Stats!$G$22=Norm_Stats!$F$22),"",MAX(0,MIN(100,100*(MIN(MAX(City_Inputs!$AI45,Norm_Stats!$F$22),Norm_Stats!$G$22)-Norm_Stats!$F$22)/(Norm_Stats!$G$22-Norm_Stats!$F$22)))))="",0,0.3)+IF((IF(OR(City_Inputs!$AJ45="",Norm_Stats!$F$23="",Norm_Stats!$G$23="",Norm_Stats!$G$23=Norm_Stats!$F$23),"",MAX(0,MIN(100,100*(MIN(MAX(City_Inputs!$AJ45,Norm_Stats!$F$23),Norm_Stats!$G$23)-Norm_Stats!$F$23)/(Norm_Stats!$G$23-Norm_Stats!$F$23)))))="",0,0.2))=0,"",(IF((IF(OR(City_Inputs!$AF45="",Norm_Stats!$F$21="",Norm_Stats!$G$21="",Norm_Stats!$G$21=Norm_Stats!$F$21),"",MAX(0,MIN(100,100*(MIN(MAX(City_Inputs!$AF45,Norm_Stats!$F$21),Norm_Stats!$G$21)-Norm_Stats!$F$21)/(Norm_Stats!$G$21-Norm_Stats!$F$21)))))="",0,(IF(OR(City_Inputs!$AF45="",Norm_Stats!$F$21="",Norm_Stats!$G$21="",Norm_Stats!$G$21=Norm_Stats!$F$21),"",MAX(0,MIN(100,100*(MIN(MAX(City_Inputs!$AF45,Norm_Stats!$F$21),Norm_Stats!$G$21)-Norm_Stats!$F$21)/(Norm_Stats!$G$21-Norm_Stats!$F$21)))))*0.5)+IF((IF(OR(City_Inputs!$AI45="",Norm_Stats!$F$22="",Norm_Stats!$G$22="",Norm_Stats!$G$22=Norm_Stats!$F$22),"",MAX(0,MIN(100,100*(MIN(MAX(City_Inputs!$AI45,Norm_Stats!$F$22),Norm_Stats!$G$22)-Norm_Stats!$F$22)/(Norm_Stats!$G$22-Norm_Stats!$F$22)))))="",0,(IF(OR(City_Inputs!$AI45="",Norm_Stats!$F$22="",Norm_Stats!$G$22="",Norm_Stats!$G$22=Norm_Stats!$F$22),"",MAX(0,MIN(100,100*(MIN(MAX(City_Inputs!$AI45,Norm_Stats!$F$22),Norm_Stats!$G$22)-Norm_Stats!$F$22)/(Norm_Stats!$G$22-Norm_Stats!$F$22)))))*0.3)+IF((IF(OR(City_Inputs!$AJ45="",Norm_Stats!$F$23="",Norm_Stats!$G$23="",Norm_Stats!$G$23=Norm_Stats!$F$23),"",MAX(0,MIN(100,100*(MIN(MAX(City_Inputs!$AJ45,Norm_Stats!$F$23),Norm_Stats!$G$23)-Norm_Stats!$F$23)/(Norm_Stats!$G$23-Norm_Stats!$F$23)))))="",0,(IF(OR(City_Inputs!$AJ45="",Norm_Stats!$F$23="",Norm_Stats!$G$23="",Norm_Stats!$G$23=Norm_Stats!$F$23),"",MAX(0,MIN(100,100*(MIN(MAX(City_Inputs!$AJ45,Norm_Stats!$F$23),Norm_Stats!$G$23)-Norm_Stats!$F$23)/(Norm_Stats!$G$23-Norm_Stats!$F$23)))))*0.2))/(IF((IF(OR(City_Inputs!$AF45="",Norm_Stats!$F$21="",Norm_Stats!$G$21="",Norm_Stats!$G$21=Norm_Stats!$F$21),"",MAX(0,MIN(100,100*(MIN(MAX(City_Inputs!$AF45,Norm_Stats!$F$21),Norm_Stats!$G$21)-Norm_Stats!$F$21)/(Norm_Stats!$G$21-Norm_Stats!$F$21)))))="",0,0.5)+IF((IF(OR(City_Inputs!$AI45="",Norm_Stats!$F$22="",Norm_Stats!$G$22="",Norm_Stats!$G$22=Norm_Stats!$F$22),"",MAX(0,MIN(100,100*(MIN(MAX(City_Inputs!$AI45,Norm_Stats!$F$22),Norm_Stats!$G$22)-Norm_Stats!$F$22)/(Norm_Stats!$G$22-Norm_Stats!$F$22)))))="",0,0.3)+IF((IF(OR(City_Inputs!$AJ45="",Norm_Stats!$F$23="",Norm_Stats!$G$23="",Norm_Stats!$G$23=Norm_Stats!$F$23),"",MAX(0,MIN(100,100*(MIN(MAX(City_Inputs!$AJ45,Norm_Stats!$F$23),Norm_Stats!$G$23)-Norm_Stats!$F$23)/(Norm_Stats!$G$23-Norm_Stats!$F$23)))))="",0,0.2)))</f>
        <v/>
      </c>
      <c r="AZ45" s="14">
        <f>IF((IF((IF(OR(City_Inputs!$AF45="",Norm_Stats!$F$21="",Norm_Stats!$G$21="",Norm_Stats!$G$21=Norm_Stats!$F$21),"",MAX(0,MIN(100,100*(MIN(MAX(City_Inputs!$AF45,Norm_Stats!$F$21),Norm_Stats!$G$21)-Norm_Stats!$F$21)/(Norm_Stats!$G$21-Norm_Stats!$F$21)))))="",0,0.5)+IF((IF(OR(City_Inputs!$AI45="",Norm_Stats!$F$22="",Norm_Stats!$G$22="",Norm_Stats!$G$22=Norm_Stats!$F$22),"",MAX(0,MIN(100,100*(MIN(MAX(City_Inputs!$AI45,Norm_Stats!$F$22),Norm_Stats!$G$22)-Norm_Stats!$F$22)/(Norm_Stats!$G$22-Norm_Stats!$F$22)))))="",0,0.3)+IF((IF(OR(City_Inputs!$AJ45="",Norm_Stats!$F$23="",Norm_Stats!$G$23="",Norm_Stats!$G$23=Norm_Stats!$F$23),"",MAX(0,MIN(100,100*(MIN(MAX(City_Inputs!$AJ45,Norm_Stats!$F$23),Norm_Stats!$G$23)-Norm_Stats!$F$23)/(Norm_Stats!$G$23-Norm_Stats!$F$23)))))="",0,0.2))=0,"",(IF((IF(OR(City_Inputs!$AF45="",Norm_Stats!$F$21="",Norm_Stats!$G$21="",Norm_Stats!$G$21=Norm_Stats!$F$21),"",MAX(0,MIN(100,100*(MIN(MAX(City_Inputs!$AF45,Norm_Stats!$F$21),Norm_Stats!$G$21)-Norm_Stats!$F$21)/(Norm_Stats!$G$21-Norm_Stats!$F$21)))))="",0,0.5)+IF((IF(OR(City_Inputs!$AI45="",Norm_Stats!$F$22="",Norm_Stats!$G$22="",Norm_Stats!$G$22=Norm_Stats!$F$22),"",MAX(0,MIN(100,100*(MIN(MAX(City_Inputs!$AI45,Norm_Stats!$F$22),Norm_Stats!$G$22)-Norm_Stats!$F$22)/(Norm_Stats!$G$22-Norm_Stats!$F$22)))))="",0,0.3)+IF((IF(OR(City_Inputs!$AJ45="",Norm_Stats!$F$23="",Norm_Stats!$G$23="",Norm_Stats!$G$23=Norm_Stats!$F$23),"",MAX(0,MIN(100,100*(MIN(MAX(City_Inputs!$AJ45,Norm_Stats!$F$23),Norm_Stats!$G$23)-Norm_Stats!$F$23)/(Norm_Stats!$G$23-Norm_Stats!$F$23)))))="",0,0.2)))</f>
        <v/>
      </c>
      <c r="BA45" s="11">
        <f>IF(OR(City_Inputs!$AG45="",Norm_Stats!$F$24="",Norm_Stats!$G$24="",Norm_Stats!$G$24=Norm_Stats!$F$24),"",MAX(0,MIN(100,100*(Norm_Stats!$G$24-MIN(MAX(City_Inputs!$AG45,Norm_Stats!$F$24),Norm_Stats!$G$24))/(Norm_Stats!$G$24-Norm_Stats!$F$24))))</f>
        <v/>
      </c>
      <c r="BB45" s="14">
        <f>IF(BA45="","",1)</f>
        <v/>
      </c>
      <c r="BC45" s="15">
        <f>IF((IF(AU45="",0,6)+IF(AW45="",0,5)+IF(AY45="",0,5)+IF(BA45="",0,4))=0,"",(IF(AU45="",0,AU45*6)+IF(AW45="",0,AW45*5)+IF(AY45="",0,AY45*5)+IF(BA45="",0,BA45*4))/(IF(AU45="",0,6)+IF(AW45="",0,5)+IF(AY45="",0,5)+IF(BA45="",0,4)))</f>
        <v/>
      </c>
      <c r="BD45" s="14">
        <f>IF((IF(AV45="",0,6)+IF(AX45="",0,5)+IF(AZ45="",0,5)+IF(BB45="",0,4))=0,"",(IF(AV45="",0,AV45*6)+IF(AX45="",0,AX45*5)+IF(AZ45="",0,AZ45*5)+IF(BB45="",0,BB45*4))/20)</f>
        <v/>
      </c>
      <c r="BE45" s="14">
        <f>IF(AND(R45="",AD45="",AL45="",AT45="",BD45=""),"",((R45*25)+(AD45*22)+(AL45*18)+(AT45*15)+(BD45*20))/100)</f>
        <v/>
      </c>
      <c r="BF45" s="11">
        <f>IF(BE45="","",IF(BE45&gt;=0.75,"A",IF(BE45&gt;=0.5,"B",IF(BE45&gt;=0.35,"C","Watchlist"))))</f>
        <v/>
      </c>
      <c r="BG45" s="11">
        <f>IF(OR(BE45="",BE45&lt;0.5,R45="",R45&lt;0.35,AD45="",AD45&lt;0.35,AL45="",AL45&lt;0.35,AT45="",AT45&lt;0.35,BD45="",BD45&lt;0.35),"Watchlist","Ranked")</f>
        <v/>
      </c>
      <c r="BH45" s="15">
        <f>IF(AND(Q45="",AC45="",AK45="",AS45="",BC45=""),"",(IF(Q45="",0,Q45*25)+IF(AC45="",0,AC45*22)+IF(AK45="",0,AK45*18)+IF(AS45="",0,AS45*15)+IF(BC45="",0,BC45*20))/(IF(Q45="",0,25)+IF(AC45="",0,22)+IF(AK45="",0,18)+IF(AS45="",0,15)+IF(BC45="",0,20)))</f>
        <v/>
      </c>
      <c r="BI45" s="11">
        <f>IF(BG45="Ranked",1+COUNTIFS($BG$2:$BG$103,"Ranked",$BH$2:$BH$103,"&gt;"&amp;BH45),"")</f>
        <v/>
      </c>
      <c r="BJ45" s="11">
        <f>City_Inputs!$AH45</f>
        <v/>
      </c>
    </row>
    <row r="46">
      <c r="A46" t="inlineStr">
        <is>
          <t>pl-krakow</t>
        </is>
      </c>
      <c r="B46" t="inlineStr">
        <is>
          <t>Krakow</t>
        </is>
      </c>
      <c r="C46" t="inlineStr">
        <is>
          <t>Poland</t>
        </is>
      </c>
      <c r="D46" t="inlineStr">
        <is>
          <t>Southern/Eastern Europe and Eurasia</t>
        </is>
      </c>
      <c r="E46" t="inlineStr">
        <is>
          <t>locked</t>
        </is>
      </c>
      <c r="F46" t="inlineStr">
        <is>
          <t>primary</t>
        </is>
      </c>
      <c r="G46" s="11">
        <f>IF(OR(City_Inputs!$M46="",Norm_Stats!$F$2="",Norm_Stats!$G$2="",Norm_Stats!$G$2=Norm_Stats!$F$2),"",MAX(0,MIN(100,100*(MIN(MAX(City_Inputs!$M46,Norm_Stats!$F$2),Norm_Stats!$G$2)-Norm_Stats!$F$2)/(Norm_Stats!$G$2-Norm_Stats!$F$2))))</f>
        <v/>
      </c>
      <c r="H46" s="14">
        <f>IF(G46="","",1)</f>
        <v/>
      </c>
      <c r="I46" s="11">
        <f>IF(OR(City_Inputs!$N46="",Norm_Stats!$F$3="",Norm_Stats!$G$3="",Norm_Stats!$G$3=Norm_Stats!$F$3),"",MAX(0,MIN(100,100*(Norm_Stats!$G$3-MIN(MAX(City_Inputs!$N46,Norm_Stats!$F$3),Norm_Stats!$G$3))/(Norm_Stats!$G$3-Norm_Stats!$F$3))))</f>
        <v/>
      </c>
      <c r="J46" s="14">
        <f>IF(I46="","",1)</f>
        <v/>
      </c>
      <c r="K46" s="11">
        <f>IF(OR(City_Inputs!$P46="",Norm_Stats!$F$4="",Norm_Stats!$G$4="",Norm_Stats!$G$4=Norm_Stats!$F$4),"",MAX(0,MIN(100,100*(Norm_Stats!$G$4-MIN(MAX(City_Inputs!$P46,Norm_Stats!$F$4),Norm_Stats!$G$4))/(Norm_Stats!$G$4-Norm_Stats!$F$4))))</f>
        <v/>
      </c>
      <c r="L46" s="14">
        <f>IF(K46="","",1)</f>
        <v/>
      </c>
      <c r="M46" s="11">
        <f>IF(OR(City_Inputs!$Q46="",Norm_Stats!$F$5="",Norm_Stats!$G$5="",Norm_Stats!$G$5=Norm_Stats!$F$5),"",MAX(0,MIN(100,100*(Norm_Stats!$G$5-MIN(MAX(City_Inputs!$Q46,Norm_Stats!$F$5),Norm_Stats!$G$5))/(Norm_Stats!$G$5-Norm_Stats!$F$5))))</f>
        <v/>
      </c>
      <c r="N46" s="14">
        <f>IF(M46="","",1)</f>
        <v/>
      </c>
      <c r="O46" s="11">
        <f>IF(OR(City_Inputs!$R46="",Norm_Stats!$F$6="",Norm_Stats!$G$6="",Norm_Stats!$G$6=Norm_Stats!$F$6),"",MAX(0,MIN(100,100*(Norm_Stats!$G$6-MIN(MAX(City_Inputs!$R46,Norm_Stats!$F$6),Norm_Stats!$G$6))/(Norm_Stats!$G$6-Norm_Stats!$F$6))))</f>
        <v/>
      </c>
      <c r="P46" s="14">
        <f>IF(O46="","",1)</f>
        <v/>
      </c>
      <c r="Q46" s="15">
        <f>IF((IF(G46="",0,9)+IF(I46="",0,5)+IF(K46="",0,4)+IF(M46="",0,4)+IF(O46="",0,3))=0,"",(IF(G46="",0,G46*9)+IF(I46="",0,I46*5)+IF(K46="",0,K46*4)+IF(M46="",0,M46*4)+IF(O46="",0,O46*3))/(IF(G46="",0,9)+IF(I46="",0,5)+IF(K46="",0,4)+IF(M46="",0,4)+IF(O46="",0,3)))</f>
        <v/>
      </c>
      <c r="R46" s="14">
        <f>IF((IF(H46="",0,9)+IF(J46="",0,5)+IF(L46="",0,4)+IF(N46="",0,4)+IF(P46="",0,3))=0,"",(IF(H46="",0,H46*9)+IF(J46="",0,J46*5)+IF(L46="",0,L46*4)+IF(N46="",0,N46*4)+IF(P46="",0,P46*3))/25)</f>
        <v/>
      </c>
      <c r="S46" s="11">
        <f>IF(OR(City_Inputs!$S46="",Norm_Stats!$F$7="",Norm_Stats!$G$7="",Norm_Stats!$G$7=Norm_Stats!$F$7),"",MAX(0,MIN(100,100*(Norm_Stats!$G$7-MIN(MAX(City_Inputs!$S46,Norm_Stats!$F$7),Norm_Stats!$G$7))/(Norm_Stats!$G$7-Norm_Stats!$F$7))))</f>
        <v/>
      </c>
      <c r="T46" s="14">
        <f>IF(S46="","",1)</f>
        <v/>
      </c>
      <c r="U46" s="11">
        <f>IF(OR(City_Inputs!$T46="",Norm_Stats!$F$8="",Norm_Stats!$G$8="",Norm_Stats!$G$8=Norm_Stats!$F$8),"",MAX(0,MIN(100,100*(MIN(MAX(City_Inputs!$T46,Norm_Stats!$F$8),Norm_Stats!$G$8)-Norm_Stats!$F$8)/(Norm_Stats!$G$8-Norm_Stats!$F$8))))</f>
        <v/>
      </c>
      <c r="V46" s="14">
        <f>IF(U46="","",1)</f>
        <v/>
      </c>
      <c r="W46" s="11">
        <f>IF(OR(City_Inputs!$U46="",Norm_Stats!$F$9="",Norm_Stats!$G$9="",Norm_Stats!$G$9=Norm_Stats!$F$9),"",MAX(0,MIN(100,100*(Norm_Stats!$G$9-MIN(MAX(City_Inputs!$U46,Norm_Stats!$F$9),Norm_Stats!$G$9))/(Norm_Stats!$G$9-Norm_Stats!$F$9))))</f>
        <v/>
      </c>
      <c r="X46" s="14">
        <f>IF(W46="","",1)</f>
        <v/>
      </c>
      <c r="Y46" s="11">
        <f>IF(OR(City_Inputs!$V46="",Norm_Stats!$F$10="",Norm_Stats!$G$10="",Norm_Stats!$G$10=Norm_Stats!$F$10),"",MAX(0,MIN(100,100*(MIN(MAX(City_Inputs!$V46,Norm_Stats!$F$10),Norm_Stats!$G$10)-Norm_Stats!$F$10)/(Norm_Stats!$G$10-Norm_Stats!$F$10))))</f>
        <v/>
      </c>
      <c r="Z46" s="14">
        <f>IF(Y46="","",1)</f>
        <v/>
      </c>
      <c r="AA46" s="11">
        <f>IF(OR(City_Inputs!$W46="",Norm_Stats!$F$11="",Norm_Stats!$G$11="",Norm_Stats!$G$11=Norm_Stats!$F$11),"",MAX(0,MIN(100,100*(MIN(MAX(City_Inputs!$W46,Norm_Stats!$F$11),Norm_Stats!$G$11)-Norm_Stats!$F$11)/(Norm_Stats!$G$11-Norm_Stats!$F$11))))</f>
        <v/>
      </c>
      <c r="AB46" s="14">
        <f>IF(AA46="","",1)</f>
        <v/>
      </c>
      <c r="AC46" s="15">
        <f>IF((IF(S46="",0,5)+IF(U46="",0,5)+IF(W46="",0,4)+IF(Y46="",0,4)+IF(AA46="",0,4))=0,"",(IF(S46="",0,S46*5)+IF(U46="",0,U46*5)+IF(W46="",0,W46*4)+IF(Y46="",0,Y46*4)+IF(AA46="",0,AA46*4))/(IF(S46="",0,5)+IF(U46="",0,5)+IF(W46="",0,4)+IF(Y46="",0,4)+IF(AA46="",0,4)))</f>
        <v/>
      </c>
      <c r="AD46" s="14">
        <f>IF((IF(T46="",0,5)+IF(V46="",0,5)+IF(X46="",0,4)+IF(Z46="",0,4)+IF(AB46="",0,4))=0,"",(IF(T46="",0,T46*5)+IF(V46="",0,V46*5)+IF(X46="",0,X46*4)+IF(Z46="",0,Z46*4)+IF(AB46="",0,AB46*4))/22)</f>
        <v/>
      </c>
      <c r="AE46" s="11">
        <f>IF(OR(City_Inputs!$X46="",Norm_Stats!$F$12="",Norm_Stats!$G$12="",Norm_Stats!$G$12=Norm_Stats!$F$12),"",MAX(0,MIN(100,100*(MIN(MAX(City_Inputs!$X46,Norm_Stats!$F$12),Norm_Stats!$G$12)-Norm_Stats!$F$12)/(Norm_Stats!$G$12-Norm_Stats!$F$12))))</f>
        <v/>
      </c>
      <c r="AF46" s="14">
        <f>IF(AE46="","",1)</f>
        <v/>
      </c>
      <c r="AG46" s="11">
        <f>IF(OR(City_Inputs!$Y46="",Norm_Stats!$F$13="",Norm_Stats!$G$13="",Norm_Stats!$G$13=Norm_Stats!$F$13),"",MAX(0,MIN(100,100*(MIN(MAX(City_Inputs!$Y46,Norm_Stats!$F$13),Norm_Stats!$G$13)-Norm_Stats!$F$13)/(Norm_Stats!$G$13-Norm_Stats!$F$13))))</f>
        <v/>
      </c>
      <c r="AH46" s="14">
        <f>IF(AG46="","",1)</f>
        <v/>
      </c>
      <c r="AI46" s="11">
        <f>IF((IF((IF(OR(City_Inputs!$Z46="",Norm_Stats!$F$14="",Norm_Stats!$G$14="",Norm_Stats!$G$14=Norm_Stats!$F$14),"",MAX(0,MIN(100,100*(MIN(MAX(City_Inputs!$Z46,Norm_Stats!$F$14),Norm_Stats!$G$14)-Norm_Stats!$F$14)/(Norm_Stats!$G$14-Norm_Stats!$F$14)))))="",0,0.7)+IF((IF(OR(City_Inputs!$AK46="",Norm_Stats!$F$15="",Norm_Stats!$G$15="",Norm_Stats!$G$15=Norm_Stats!$F$15),"",MAX(0,MIN(100,100*(Norm_Stats!$G$15-MIN(MAX(City_Inputs!$AK46,Norm_Stats!$F$15),Norm_Stats!$G$15))/(Norm_Stats!$G$15-Norm_Stats!$F$15)))))="",0,0.3))=0,"",(IF((IF(OR(City_Inputs!$Z46="",Norm_Stats!$F$14="",Norm_Stats!$G$14="",Norm_Stats!$G$14=Norm_Stats!$F$14),"",MAX(0,MIN(100,100*(MIN(MAX(City_Inputs!$Z46,Norm_Stats!$F$14),Norm_Stats!$G$14)-Norm_Stats!$F$14)/(Norm_Stats!$G$14-Norm_Stats!$F$14)))))="",0,(IF(OR(City_Inputs!$Z46="",Norm_Stats!$F$14="",Norm_Stats!$G$14="",Norm_Stats!$G$14=Norm_Stats!$F$14),"",MAX(0,MIN(100,100*(MIN(MAX(City_Inputs!$Z46,Norm_Stats!$F$14),Norm_Stats!$G$14)-Norm_Stats!$F$14)/(Norm_Stats!$G$14-Norm_Stats!$F$14)))))*0.7)+IF((IF(OR(City_Inputs!$AK46="",Norm_Stats!$F$15="",Norm_Stats!$G$15="",Norm_Stats!$G$15=Norm_Stats!$F$15),"",MAX(0,MIN(100,100*(Norm_Stats!$G$15-MIN(MAX(City_Inputs!$AK46,Norm_Stats!$F$15),Norm_Stats!$G$15))/(Norm_Stats!$G$15-Norm_Stats!$F$15)))))="",0,(IF(OR(City_Inputs!$AK46="",Norm_Stats!$F$15="",Norm_Stats!$G$15="",Norm_Stats!$G$15=Norm_Stats!$F$15),"",MAX(0,MIN(100,100*(Norm_Stats!$G$15-MIN(MAX(City_Inputs!$AK46,Norm_Stats!$F$15),Norm_Stats!$G$15))/(Norm_Stats!$G$15-Norm_Stats!$F$15)))))*0.3))/(IF((IF(OR(City_Inputs!$Z46="",Norm_Stats!$F$14="",Norm_Stats!$G$14="",Norm_Stats!$G$14=Norm_Stats!$F$14),"",MAX(0,MIN(100,100*(MIN(MAX(City_Inputs!$Z46,Norm_Stats!$F$14),Norm_Stats!$G$14)-Norm_Stats!$F$14)/(Norm_Stats!$G$14-Norm_Stats!$F$14)))))="",0,0.7)+IF((IF(OR(City_Inputs!$AK46="",Norm_Stats!$F$15="",Norm_Stats!$G$15="",Norm_Stats!$G$15=Norm_Stats!$F$15),"",MAX(0,MIN(100,100*(Norm_Stats!$G$15-MIN(MAX(City_Inputs!$AK46,Norm_Stats!$F$15),Norm_Stats!$G$15))/(Norm_Stats!$G$15-Norm_Stats!$F$15)))))="",0,0.3)))</f>
        <v/>
      </c>
      <c r="AJ46" s="14">
        <f>IF((IF((IF(OR(City_Inputs!$Z46="",Norm_Stats!$F$14="",Norm_Stats!$G$14="",Norm_Stats!$G$14=Norm_Stats!$F$14),"",MAX(0,MIN(100,100*(MIN(MAX(City_Inputs!$Z46,Norm_Stats!$F$14),Norm_Stats!$G$14)-Norm_Stats!$F$14)/(Norm_Stats!$G$14-Norm_Stats!$F$14)))))="",0,0.7)+IF((IF(OR(City_Inputs!$AK46="",Norm_Stats!$F$15="",Norm_Stats!$G$15="",Norm_Stats!$G$15=Norm_Stats!$F$15),"",MAX(0,MIN(100,100*(Norm_Stats!$G$15-MIN(MAX(City_Inputs!$AK46,Norm_Stats!$F$15),Norm_Stats!$G$15))/(Norm_Stats!$G$15-Norm_Stats!$F$15)))))="",0,0.3))=0,"",(IF((IF(OR(City_Inputs!$Z46="",Norm_Stats!$F$14="",Norm_Stats!$G$14="",Norm_Stats!$G$14=Norm_Stats!$F$14),"",MAX(0,MIN(100,100*(MIN(MAX(City_Inputs!$Z46,Norm_Stats!$F$14),Norm_Stats!$G$14)-Norm_Stats!$F$14)/(Norm_Stats!$G$14-Norm_Stats!$F$14)))))="",0,0.7)+IF((IF(OR(City_Inputs!$AK46="",Norm_Stats!$F$15="",Norm_Stats!$G$15="",Norm_Stats!$G$15=Norm_Stats!$F$15),"",MAX(0,MIN(100,100*(Norm_Stats!$G$15-MIN(MAX(City_Inputs!$AK46,Norm_Stats!$F$15),Norm_Stats!$G$15))/(Norm_Stats!$G$15-Norm_Stats!$F$15)))))="",0,0.3)))</f>
        <v/>
      </c>
      <c r="AK46" s="15">
        <f>IF((IF(AE46="",0,8)+IF(AG46="",0,6)+IF(AI46="",0,4))=0,"",(IF(AE46="",0,AE46*8)+IF(AG46="",0,AG46*6)+IF(AI46="",0,AI46*4))/(IF(AE46="",0,8)+IF(AG46="",0,6)+IF(AI46="",0,4)))</f>
        <v/>
      </c>
      <c r="AL46" s="14">
        <f>IF((IF(AF46="",0,8)+IF(AH46="",0,6)+IF(AJ46="",0,4))=0,"",(IF(AF46="",0,AF46*8)+IF(AH46="",0,AH46*6)+IF(AJ46="",0,AJ46*4))/18)</f>
        <v/>
      </c>
      <c r="AM46" s="11">
        <f>IF(OR(City_Inputs!$AA46="",Norm_Stats!$F$16="",Norm_Stats!$G$16="",Norm_Stats!$G$16=Norm_Stats!$F$16),"",MAX(0,MIN(100,100*(MIN(MAX(City_Inputs!$AA46,Norm_Stats!$F$16),Norm_Stats!$G$16)-Norm_Stats!$F$16)/(Norm_Stats!$G$16-Norm_Stats!$F$16))))</f>
        <v/>
      </c>
      <c r="AN46" s="14">
        <f>IF(AM46="","",1)</f>
        <v/>
      </c>
      <c r="AO46" s="11">
        <f>IF(OR(City_Inputs!$AB46="",Norm_Stats!$F$17="",Norm_Stats!$G$17="",Norm_Stats!$G$17=Norm_Stats!$F$17),"",MAX(0,MIN(100,100*(MIN(MAX(City_Inputs!$AB46,Norm_Stats!$F$17),Norm_Stats!$G$17)-Norm_Stats!$F$17)/(Norm_Stats!$G$17-Norm_Stats!$F$17))))</f>
        <v/>
      </c>
      <c r="AP46" s="14">
        <f>IF(AO46="","",1)</f>
        <v/>
      </c>
      <c r="AQ46" s="11">
        <f>IF(OR(City_Inputs!$AC46="",Norm_Stats!$F$18="",Norm_Stats!$G$18="",Norm_Stats!$G$18=Norm_Stats!$F$18),"",MAX(0,MIN(100,100*(MIN(MAX(City_Inputs!$AC46,Norm_Stats!$F$18),Norm_Stats!$G$18)-Norm_Stats!$F$18)/(Norm_Stats!$G$18-Norm_Stats!$F$18))))</f>
        <v/>
      </c>
      <c r="AR46" s="14">
        <f>IF(AQ46="","",1)</f>
        <v/>
      </c>
      <c r="AS46" s="15">
        <f>IF((IF(AM46="",0,5)+IF(AO46="",0,5)+IF(AQ46="",0,5))=0,"",(IF(AM46="",0,AM46*5)+IF(AO46="",0,AO46*5)+IF(AQ46="",0,AQ46*5))/(IF(AM46="",0,5)+IF(AO46="",0,5)+IF(AQ46="",0,5)))</f>
        <v/>
      </c>
      <c r="AT46" s="14">
        <f>IF((IF(AN46="",0,5)+IF(AP46="",0,5)+IF(AR46="",0,5))=0,"",(IF(AN46="",0,AN46*5)+IF(AP46="",0,AP46*5)+IF(AR46="",0,AR46*5))/15)</f>
        <v/>
      </c>
      <c r="AU46" s="11">
        <f>IF(OR(City_Inputs!$AD46="",Norm_Stats!$F$19="",Norm_Stats!$G$19="",Norm_Stats!$G$19=Norm_Stats!$F$19),"",MAX(0,MIN(100,100*(MIN(MAX(City_Inputs!$AD46,Norm_Stats!$F$19),Norm_Stats!$G$19)-Norm_Stats!$F$19)/(Norm_Stats!$G$19-Norm_Stats!$F$19))))</f>
        <v/>
      </c>
      <c r="AV46" s="14">
        <f>IF(AU46="","",1)</f>
        <v/>
      </c>
      <c r="AW46" s="11">
        <f>IF(OR(City_Inputs!$AE46="",Norm_Stats!$F$20="",Norm_Stats!$G$20="",Norm_Stats!$G$20=Norm_Stats!$F$20),"",MAX(0,MIN(100,100*(MIN(MAX(City_Inputs!$AE46,Norm_Stats!$F$20),Norm_Stats!$G$20)-Norm_Stats!$F$20)/(Norm_Stats!$G$20-Norm_Stats!$F$20))))</f>
        <v/>
      </c>
      <c r="AX46" s="14">
        <f>IF(AW46="","",1)</f>
        <v/>
      </c>
      <c r="AY46" s="11">
        <f>IF((IF((IF(OR(City_Inputs!$AF46="",Norm_Stats!$F$21="",Norm_Stats!$G$21="",Norm_Stats!$G$21=Norm_Stats!$F$21),"",MAX(0,MIN(100,100*(MIN(MAX(City_Inputs!$AF46,Norm_Stats!$F$21),Norm_Stats!$G$21)-Norm_Stats!$F$21)/(Norm_Stats!$G$21-Norm_Stats!$F$21)))))="",0,0.5)+IF((IF(OR(City_Inputs!$AI46="",Norm_Stats!$F$22="",Norm_Stats!$G$22="",Norm_Stats!$G$22=Norm_Stats!$F$22),"",MAX(0,MIN(100,100*(MIN(MAX(City_Inputs!$AI46,Norm_Stats!$F$22),Norm_Stats!$G$22)-Norm_Stats!$F$22)/(Norm_Stats!$G$22-Norm_Stats!$F$22)))))="",0,0.3)+IF((IF(OR(City_Inputs!$AJ46="",Norm_Stats!$F$23="",Norm_Stats!$G$23="",Norm_Stats!$G$23=Norm_Stats!$F$23),"",MAX(0,MIN(100,100*(MIN(MAX(City_Inputs!$AJ46,Norm_Stats!$F$23),Norm_Stats!$G$23)-Norm_Stats!$F$23)/(Norm_Stats!$G$23-Norm_Stats!$F$23)))))="",0,0.2))=0,"",(IF((IF(OR(City_Inputs!$AF46="",Norm_Stats!$F$21="",Norm_Stats!$G$21="",Norm_Stats!$G$21=Norm_Stats!$F$21),"",MAX(0,MIN(100,100*(MIN(MAX(City_Inputs!$AF46,Norm_Stats!$F$21),Norm_Stats!$G$21)-Norm_Stats!$F$21)/(Norm_Stats!$G$21-Norm_Stats!$F$21)))))="",0,(IF(OR(City_Inputs!$AF46="",Norm_Stats!$F$21="",Norm_Stats!$G$21="",Norm_Stats!$G$21=Norm_Stats!$F$21),"",MAX(0,MIN(100,100*(MIN(MAX(City_Inputs!$AF46,Norm_Stats!$F$21),Norm_Stats!$G$21)-Norm_Stats!$F$21)/(Norm_Stats!$G$21-Norm_Stats!$F$21)))))*0.5)+IF((IF(OR(City_Inputs!$AI46="",Norm_Stats!$F$22="",Norm_Stats!$G$22="",Norm_Stats!$G$22=Norm_Stats!$F$22),"",MAX(0,MIN(100,100*(MIN(MAX(City_Inputs!$AI46,Norm_Stats!$F$22),Norm_Stats!$G$22)-Norm_Stats!$F$22)/(Norm_Stats!$G$22-Norm_Stats!$F$22)))))="",0,(IF(OR(City_Inputs!$AI46="",Norm_Stats!$F$22="",Norm_Stats!$G$22="",Norm_Stats!$G$22=Norm_Stats!$F$22),"",MAX(0,MIN(100,100*(MIN(MAX(City_Inputs!$AI46,Norm_Stats!$F$22),Norm_Stats!$G$22)-Norm_Stats!$F$22)/(Norm_Stats!$G$22-Norm_Stats!$F$22)))))*0.3)+IF((IF(OR(City_Inputs!$AJ46="",Norm_Stats!$F$23="",Norm_Stats!$G$23="",Norm_Stats!$G$23=Norm_Stats!$F$23),"",MAX(0,MIN(100,100*(MIN(MAX(City_Inputs!$AJ46,Norm_Stats!$F$23),Norm_Stats!$G$23)-Norm_Stats!$F$23)/(Norm_Stats!$G$23-Norm_Stats!$F$23)))))="",0,(IF(OR(City_Inputs!$AJ46="",Norm_Stats!$F$23="",Norm_Stats!$G$23="",Norm_Stats!$G$23=Norm_Stats!$F$23),"",MAX(0,MIN(100,100*(MIN(MAX(City_Inputs!$AJ46,Norm_Stats!$F$23),Norm_Stats!$G$23)-Norm_Stats!$F$23)/(Norm_Stats!$G$23-Norm_Stats!$F$23)))))*0.2))/(IF((IF(OR(City_Inputs!$AF46="",Norm_Stats!$F$21="",Norm_Stats!$G$21="",Norm_Stats!$G$21=Norm_Stats!$F$21),"",MAX(0,MIN(100,100*(MIN(MAX(City_Inputs!$AF46,Norm_Stats!$F$21),Norm_Stats!$G$21)-Norm_Stats!$F$21)/(Norm_Stats!$G$21-Norm_Stats!$F$21)))))="",0,0.5)+IF((IF(OR(City_Inputs!$AI46="",Norm_Stats!$F$22="",Norm_Stats!$G$22="",Norm_Stats!$G$22=Norm_Stats!$F$22),"",MAX(0,MIN(100,100*(MIN(MAX(City_Inputs!$AI46,Norm_Stats!$F$22),Norm_Stats!$G$22)-Norm_Stats!$F$22)/(Norm_Stats!$G$22-Norm_Stats!$F$22)))))="",0,0.3)+IF((IF(OR(City_Inputs!$AJ46="",Norm_Stats!$F$23="",Norm_Stats!$G$23="",Norm_Stats!$G$23=Norm_Stats!$F$23),"",MAX(0,MIN(100,100*(MIN(MAX(City_Inputs!$AJ46,Norm_Stats!$F$23),Norm_Stats!$G$23)-Norm_Stats!$F$23)/(Norm_Stats!$G$23-Norm_Stats!$F$23)))))="",0,0.2)))</f>
        <v/>
      </c>
      <c r="AZ46" s="14">
        <f>IF((IF((IF(OR(City_Inputs!$AF46="",Norm_Stats!$F$21="",Norm_Stats!$G$21="",Norm_Stats!$G$21=Norm_Stats!$F$21),"",MAX(0,MIN(100,100*(MIN(MAX(City_Inputs!$AF46,Norm_Stats!$F$21),Norm_Stats!$G$21)-Norm_Stats!$F$21)/(Norm_Stats!$G$21-Norm_Stats!$F$21)))))="",0,0.5)+IF((IF(OR(City_Inputs!$AI46="",Norm_Stats!$F$22="",Norm_Stats!$G$22="",Norm_Stats!$G$22=Norm_Stats!$F$22),"",MAX(0,MIN(100,100*(MIN(MAX(City_Inputs!$AI46,Norm_Stats!$F$22),Norm_Stats!$G$22)-Norm_Stats!$F$22)/(Norm_Stats!$G$22-Norm_Stats!$F$22)))))="",0,0.3)+IF((IF(OR(City_Inputs!$AJ46="",Norm_Stats!$F$23="",Norm_Stats!$G$23="",Norm_Stats!$G$23=Norm_Stats!$F$23),"",MAX(0,MIN(100,100*(MIN(MAX(City_Inputs!$AJ46,Norm_Stats!$F$23),Norm_Stats!$G$23)-Norm_Stats!$F$23)/(Norm_Stats!$G$23-Norm_Stats!$F$23)))))="",0,0.2))=0,"",(IF((IF(OR(City_Inputs!$AF46="",Norm_Stats!$F$21="",Norm_Stats!$G$21="",Norm_Stats!$G$21=Norm_Stats!$F$21),"",MAX(0,MIN(100,100*(MIN(MAX(City_Inputs!$AF46,Norm_Stats!$F$21),Norm_Stats!$G$21)-Norm_Stats!$F$21)/(Norm_Stats!$G$21-Norm_Stats!$F$21)))))="",0,0.5)+IF((IF(OR(City_Inputs!$AI46="",Norm_Stats!$F$22="",Norm_Stats!$G$22="",Norm_Stats!$G$22=Norm_Stats!$F$22),"",MAX(0,MIN(100,100*(MIN(MAX(City_Inputs!$AI46,Norm_Stats!$F$22),Norm_Stats!$G$22)-Norm_Stats!$F$22)/(Norm_Stats!$G$22-Norm_Stats!$F$22)))))="",0,0.3)+IF((IF(OR(City_Inputs!$AJ46="",Norm_Stats!$F$23="",Norm_Stats!$G$23="",Norm_Stats!$G$23=Norm_Stats!$F$23),"",MAX(0,MIN(100,100*(MIN(MAX(City_Inputs!$AJ46,Norm_Stats!$F$23),Norm_Stats!$G$23)-Norm_Stats!$F$23)/(Norm_Stats!$G$23-Norm_Stats!$F$23)))))="",0,0.2)))</f>
        <v/>
      </c>
      <c r="BA46" s="11">
        <f>IF(OR(City_Inputs!$AG46="",Norm_Stats!$F$24="",Norm_Stats!$G$24="",Norm_Stats!$G$24=Norm_Stats!$F$24),"",MAX(0,MIN(100,100*(Norm_Stats!$G$24-MIN(MAX(City_Inputs!$AG46,Norm_Stats!$F$24),Norm_Stats!$G$24))/(Norm_Stats!$G$24-Norm_Stats!$F$24))))</f>
        <v/>
      </c>
      <c r="BB46" s="14">
        <f>IF(BA46="","",1)</f>
        <v/>
      </c>
      <c r="BC46" s="15">
        <f>IF((IF(AU46="",0,6)+IF(AW46="",0,5)+IF(AY46="",0,5)+IF(BA46="",0,4))=0,"",(IF(AU46="",0,AU46*6)+IF(AW46="",0,AW46*5)+IF(AY46="",0,AY46*5)+IF(BA46="",0,BA46*4))/(IF(AU46="",0,6)+IF(AW46="",0,5)+IF(AY46="",0,5)+IF(BA46="",0,4)))</f>
        <v/>
      </c>
      <c r="BD46" s="14">
        <f>IF((IF(AV46="",0,6)+IF(AX46="",0,5)+IF(AZ46="",0,5)+IF(BB46="",0,4))=0,"",(IF(AV46="",0,AV46*6)+IF(AX46="",0,AX46*5)+IF(AZ46="",0,AZ46*5)+IF(BB46="",0,BB46*4))/20)</f>
        <v/>
      </c>
      <c r="BE46" s="14">
        <f>IF(AND(R46="",AD46="",AL46="",AT46="",BD46=""),"",((R46*25)+(AD46*22)+(AL46*18)+(AT46*15)+(BD46*20))/100)</f>
        <v/>
      </c>
      <c r="BF46" s="11">
        <f>IF(BE46="","",IF(BE46&gt;=0.75,"A",IF(BE46&gt;=0.5,"B",IF(BE46&gt;=0.35,"C","Watchlist"))))</f>
        <v/>
      </c>
      <c r="BG46" s="11">
        <f>IF(OR(BE46="",BE46&lt;0.5,R46="",R46&lt;0.35,AD46="",AD46&lt;0.35,AL46="",AL46&lt;0.35,AT46="",AT46&lt;0.35,BD46="",BD46&lt;0.35),"Watchlist","Ranked")</f>
        <v/>
      </c>
      <c r="BH46" s="15">
        <f>IF(AND(Q46="",AC46="",AK46="",AS46="",BC46=""),"",(IF(Q46="",0,Q46*25)+IF(AC46="",0,AC46*22)+IF(AK46="",0,AK46*18)+IF(AS46="",0,AS46*15)+IF(BC46="",0,BC46*20))/(IF(Q46="",0,25)+IF(AC46="",0,22)+IF(AK46="",0,18)+IF(AS46="",0,15)+IF(BC46="",0,20)))</f>
        <v/>
      </c>
      <c r="BI46" s="11">
        <f>IF(BG46="Ranked",1+COUNTIFS($BG$2:$BG$103,"Ranked",$BH$2:$BH$103,"&gt;"&amp;BH46),"")</f>
        <v/>
      </c>
      <c r="BJ46" s="11">
        <f>City_Inputs!$AH46</f>
        <v/>
      </c>
    </row>
    <row r="47">
      <c r="A47" t="inlineStr">
        <is>
          <t>ro-bucharest</t>
        </is>
      </c>
      <c r="B47" t="inlineStr">
        <is>
          <t>Bucharest</t>
        </is>
      </c>
      <c r="C47" t="inlineStr">
        <is>
          <t>Romania</t>
        </is>
      </c>
      <c r="D47" t="inlineStr">
        <is>
          <t>Southern/Eastern Europe and Eurasia</t>
        </is>
      </c>
      <c r="E47" t="inlineStr">
        <is>
          <t>locked</t>
        </is>
      </c>
      <c r="F47" t="inlineStr">
        <is>
          <t>primary</t>
        </is>
      </c>
      <c r="G47" s="11">
        <f>IF(OR(City_Inputs!$M47="",Norm_Stats!$F$2="",Norm_Stats!$G$2="",Norm_Stats!$G$2=Norm_Stats!$F$2),"",MAX(0,MIN(100,100*(MIN(MAX(City_Inputs!$M47,Norm_Stats!$F$2),Norm_Stats!$G$2)-Norm_Stats!$F$2)/(Norm_Stats!$G$2-Norm_Stats!$F$2))))</f>
        <v/>
      </c>
      <c r="H47" s="14">
        <f>IF(G47="","",1)</f>
        <v/>
      </c>
      <c r="I47" s="11">
        <f>IF(OR(City_Inputs!$N47="",Norm_Stats!$F$3="",Norm_Stats!$G$3="",Norm_Stats!$G$3=Norm_Stats!$F$3),"",MAX(0,MIN(100,100*(Norm_Stats!$G$3-MIN(MAX(City_Inputs!$N47,Norm_Stats!$F$3),Norm_Stats!$G$3))/(Norm_Stats!$G$3-Norm_Stats!$F$3))))</f>
        <v/>
      </c>
      <c r="J47" s="14">
        <f>IF(I47="","",1)</f>
        <v/>
      </c>
      <c r="K47" s="11">
        <f>IF(OR(City_Inputs!$P47="",Norm_Stats!$F$4="",Norm_Stats!$G$4="",Norm_Stats!$G$4=Norm_Stats!$F$4),"",MAX(0,MIN(100,100*(Norm_Stats!$G$4-MIN(MAX(City_Inputs!$P47,Norm_Stats!$F$4),Norm_Stats!$G$4))/(Norm_Stats!$G$4-Norm_Stats!$F$4))))</f>
        <v/>
      </c>
      <c r="L47" s="14">
        <f>IF(K47="","",1)</f>
        <v/>
      </c>
      <c r="M47" s="11">
        <f>IF(OR(City_Inputs!$Q47="",Norm_Stats!$F$5="",Norm_Stats!$G$5="",Norm_Stats!$G$5=Norm_Stats!$F$5),"",MAX(0,MIN(100,100*(Norm_Stats!$G$5-MIN(MAX(City_Inputs!$Q47,Norm_Stats!$F$5),Norm_Stats!$G$5))/(Norm_Stats!$G$5-Norm_Stats!$F$5))))</f>
        <v/>
      </c>
      <c r="N47" s="14">
        <f>IF(M47="","",1)</f>
        <v/>
      </c>
      <c r="O47" s="11">
        <f>IF(OR(City_Inputs!$R47="",Norm_Stats!$F$6="",Norm_Stats!$G$6="",Norm_Stats!$G$6=Norm_Stats!$F$6),"",MAX(0,MIN(100,100*(Norm_Stats!$G$6-MIN(MAX(City_Inputs!$R47,Norm_Stats!$F$6),Norm_Stats!$G$6))/(Norm_Stats!$G$6-Norm_Stats!$F$6))))</f>
        <v/>
      </c>
      <c r="P47" s="14">
        <f>IF(O47="","",1)</f>
        <v/>
      </c>
      <c r="Q47" s="15">
        <f>IF((IF(G47="",0,9)+IF(I47="",0,5)+IF(K47="",0,4)+IF(M47="",0,4)+IF(O47="",0,3))=0,"",(IF(G47="",0,G47*9)+IF(I47="",0,I47*5)+IF(K47="",0,K47*4)+IF(M47="",0,M47*4)+IF(O47="",0,O47*3))/(IF(G47="",0,9)+IF(I47="",0,5)+IF(K47="",0,4)+IF(M47="",0,4)+IF(O47="",0,3)))</f>
        <v/>
      </c>
      <c r="R47" s="14">
        <f>IF((IF(H47="",0,9)+IF(J47="",0,5)+IF(L47="",0,4)+IF(N47="",0,4)+IF(P47="",0,3))=0,"",(IF(H47="",0,H47*9)+IF(J47="",0,J47*5)+IF(L47="",0,L47*4)+IF(N47="",0,N47*4)+IF(P47="",0,P47*3))/25)</f>
        <v/>
      </c>
      <c r="S47" s="11">
        <f>IF(OR(City_Inputs!$S47="",Norm_Stats!$F$7="",Norm_Stats!$G$7="",Norm_Stats!$G$7=Norm_Stats!$F$7),"",MAX(0,MIN(100,100*(Norm_Stats!$G$7-MIN(MAX(City_Inputs!$S47,Norm_Stats!$F$7),Norm_Stats!$G$7))/(Norm_Stats!$G$7-Norm_Stats!$F$7))))</f>
        <v/>
      </c>
      <c r="T47" s="14">
        <f>IF(S47="","",1)</f>
        <v/>
      </c>
      <c r="U47" s="11">
        <f>IF(OR(City_Inputs!$T47="",Norm_Stats!$F$8="",Norm_Stats!$G$8="",Norm_Stats!$G$8=Norm_Stats!$F$8),"",MAX(0,MIN(100,100*(MIN(MAX(City_Inputs!$T47,Norm_Stats!$F$8),Norm_Stats!$G$8)-Norm_Stats!$F$8)/(Norm_Stats!$G$8-Norm_Stats!$F$8))))</f>
        <v/>
      </c>
      <c r="V47" s="14">
        <f>IF(U47="","",1)</f>
        <v/>
      </c>
      <c r="W47" s="11">
        <f>IF(OR(City_Inputs!$U47="",Norm_Stats!$F$9="",Norm_Stats!$G$9="",Norm_Stats!$G$9=Norm_Stats!$F$9),"",MAX(0,MIN(100,100*(Norm_Stats!$G$9-MIN(MAX(City_Inputs!$U47,Norm_Stats!$F$9),Norm_Stats!$G$9))/(Norm_Stats!$G$9-Norm_Stats!$F$9))))</f>
        <v/>
      </c>
      <c r="X47" s="14">
        <f>IF(W47="","",1)</f>
        <v/>
      </c>
      <c r="Y47" s="11">
        <f>IF(OR(City_Inputs!$V47="",Norm_Stats!$F$10="",Norm_Stats!$G$10="",Norm_Stats!$G$10=Norm_Stats!$F$10),"",MAX(0,MIN(100,100*(MIN(MAX(City_Inputs!$V47,Norm_Stats!$F$10),Norm_Stats!$G$10)-Norm_Stats!$F$10)/(Norm_Stats!$G$10-Norm_Stats!$F$10))))</f>
        <v/>
      </c>
      <c r="Z47" s="14">
        <f>IF(Y47="","",1)</f>
        <v/>
      </c>
      <c r="AA47" s="11">
        <f>IF(OR(City_Inputs!$W47="",Norm_Stats!$F$11="",Norm_Stats!$G$11="",Norm_Stats!$G$11=Norm_Stats!$F$11),"",MAX(0,MIN(100,100*(MIN(MAX(City_Inputs!$W47,Norm_Stats!$F$11),Norm_Stats!$G$11)-Norm_Stats!$F$11)/(Norm_Stats!$G$11-Norm_Stats!$F$11))))</f>
        <v/>
      </c>
      <c r="AB47" s="14">
        <f>IF(AA47="","",1)</f>
        <v/>
      </c>
      <c r="AC47" s="15">
        <f>IF((IF(S47="",0,5)+IF(U47="",0,5)+IF(W47="",0,4)+IF(Y47="",0,4)+IF(AA47="",0,4))=0,"",(IF(S47="",0,S47*5)+IF(U47="",0,U47*5)+IF(W47="",0,W47*4)+IF(Y47="",0,Y47*4)+IF(AA47="",0,AA47*4))/(IF(S47="",0,5)+IF(U47="",0,5)+IF(W47="",0,4)+IF(Y47="",0,4)+IF(AA47="",0,4)))</f>
        <v/>
      </c>
      <c r="AD47" s="14">
        <f>IF((IF(T47="",0,5)+IF(V47="",0,5)+IF(X47="",0,4)+IF(Z47="",0,4)+IF(AB47="",0,4))=0,"",(IF(T47="",0,T47*5)+IF(V47="",0,V47*5)+IF(X47="",0,X47*4)+IF(Z47="",0,Z47*4)+IF(AB47="",0,AB47*4))/22)</f>
        <v/>
      </c>
      <c r="AE47" s="11">
        <f>IF(OR(City_Inputs!$X47="",Norm_Stats!$F$12="",Norm_Stats!$G$12="",Norm_Stats!$G$12=Norm_Stats!$F$12),"",MAX(0,MIN(100,100*(MIN(MAX(City_Inputs!$X47,Norm_Stats!$F$12),Norm_Stats!$G$12)-Norm_Stats!$F$12)/(Norm_Stats!$G$12-Norm_Stats!$F$12))))</f>
        <v/>
      </c>
      <c r="AF47" s="14">
        <f>IF(AE47="","",1)</f>
        <v/>
      </c>
      <c r="AG47" s="11">
        <f>IF(OR(City_Inputs!$Y47="",Norm_Stats!$F$13="",Norm_Stats!$G$13="",Norm_Stats!$G$13=Norm_Stats!$F$13),"",MAX(0,MIN(100,100*(MIN(MAX(City_Inputs!$Y47,Norm_Stats!$F$13),Norm_Stats!$G$13)-Norm_Stats!$F$13)/(Norm_Stats!$G$13-Norm_Stats!$F$13))))</f>
        <v/>
      </c>
      <c r="AH47" s="14">
        <f>IF(AG47="","",1)</f>
        <v/>
      </c>
      <c r="AI47" s="11">
        <f>IF((IF((IF(OR(City_Inputs!$Z47="",Norm_Stats!$F$14="",Norm_Stats!$G$14="",Norm_Stats!$G$14=Norm_Stats!$F$14),"",MAX(0,MIN(100,100*(MIN(MAX(City_Inputs!$Z47,Norm_Stats!$F$14),Norm_Stats!$G$14)-Norm_Stats!$F$14)/(Norm_Stats!$G$14-Norm_Stats!$F$14)))))="",0,0.7)+IF((IF(OR(City_Inputs!$AK47="",Norm_Stats!$F$15="",Norm_Stats!$G$15="",Norm_Stats!$G$15=Norm_Stats!$F$15),"",MAX(0,MIN(100,100*(Norm_Stats!$G$15-MIN(MAX(City_Inputs!$AK47,Norm_Stats!$F$15),Norm_Stats!$G$15))/(Norm_Stats!$G$15-Norm_Stats!$F$15)))))="",0,0.3))=0,"",(IF((IF(OR(City_Inputs!$Z47="",Norm_Stats!$F$14="",Norm_Stats!$G$14="",Norm_Stats!$G$14=Norm_Stats!$F$14),"",MAX(0,MIN(100,100*(MIN(MAX(City_Inputs!$Z47,Norm_Stats!$F$14),Norm_Stats!$G$14)-Norm_Stats!$F$14)/(Norm_Stats!$G$14-Norm_Stats!$F$14)))))="",0,(IF(OR(City_Inputs!$Z47="",Norm_Stats!$F$14="",Norm_Stats!$G$14="",Norm_Stats!$G$14=Norm_Stats!$F$14),"",MAX(0,MIN(100,100*(MIN(MAX(City_Inputs!$Z47,Norm_Stats!$F$14),Norm_Stats!$G$14)-Norm_Stats!$F$14)/(Norm_Stats!$G$14-Norm_Stats!$F$14)))))*0.7)+IF((IF(OR(City_Inputs!$AK47="",Norm_Stats!$F$15="",Norm_Stats!$G$15="",Norm_Stats!$G$15=Norm_Stats!$F$15),"",MAX(0,MIN(100,100*(Norm_Stats!$G$15-MIN(MAX(City_Inputs!$AK47,Norm_Stats!$F$15),Norm_Stats!$G$15))/(Norm_Stats!$G$15-Norm_Stats!$F$15)))))="",0,(IF(OR(City_Inputs!$AK47="",Norm_Stats!$F$15="",Norm_Stats!$G$15="",Norm_Stats!$G$15=Norm_Stats!$F$15),"",MAX(0,MIN(100,100*(Norm_Stats!$G$15-MIN(MAX(City_Inputs!$AK47,Norm_Stats!$F$15),Norm_Stats!$G$15))/(Norm_Stats!$G$15-Norm_Stats!$F$15)))))*0.3))/(IF((IF(OR(City_Inputs!$Z47="",Norm_Stats!$F$14="",Norm_Stats!$G$14="",Norm_Stats!$G$14=Norm_Stats!$F$14),"",MAX(0,MIN(100,100*(MIN(MAX(City_Inputs!$Z47,Norm_Stats!$F$14),Norm_Stats!$G$14)-Norm_Stats!$F$14)/(Norm_Stats!$G$14-Norm_Stats!$F$14)))))="",0,0.7)+IF((IF(OR(City_Inputs!$AK47="",Norm_Stats!$F$15="",Norm_Stats!$G$15="",Norm_Stats!$G$15=Norm_Stats!$F$15),"",MAX(0,MIN(100,100*(Norm_Stats!$G$15-MIN(MAX(City_Inputs!$AK47,Norm_Stats!$F$15),Norm_Stats!$G$15))/(Norm_Stats!$G$15-Norm_Stats!$F$15)))))="",0,0.3)))</f>
        <v/>
      </c>
      <c r="AJ47" s="14">
        <f>IF((IF((IF(OR(City_Inputs!$Z47="",Norm_Stats!$F$14="",Norm_Stats!$G$14="",Norm_Stats!$G$14=Norm_Stats!$F$14),"",MAX(0,MIN(100,100*(MIN(MAX(City_Inputs!$Z47,Norm_Stats!$F$14),Norm_Stats!$G$14)-Norm_Stats!$F$14)/(Norm_Stats!$G$14-Norm_Stats!$F$14)))))="",0,0.7)+IF((IF(OR(City_Inputs!$AK47="",Norm_Stats!$F$15="",Norm_Stats!$G$15="",Norm_Stats!$G$15=Norm_Stats!$F$15),"",MAX(0,MIN(100,100*(Norm_Stats!$G$15-MIN(MAX(City_Inputs!$AK47,Norm_Stats!$F$15),Norm_Stats!$G$15))/(Norm_Stats!$G$15-Norm_Stats!$F$15)))))="",0,0.3))=0,"",(IF((IF(OR(City_Inputs!$Z47="",Norm_Stats!$F$14="",Norm_Stats!$G$14="",Norm_Stats!$G$14=Norm_Stats!$F$14),"",MAX(0,MIN(100,100*(MIN(MAX(City_Inputs!$Z47,Norm_Stats!$F$14),Norm_Stats!$G$14)-Norm_Stats!$F$14)/(Norm_Stats!$G$14-Norm_Stats!$F$14)))))="",0,0.7)+IF((IF(OR(City_Inputs!$AK47="",Norm_Stats!$F$15="",Norm_Stats!$G$15="",Norm_Stats!$G$15=Norm_Stats!$F$15),"",MAX(0,MIN(100,100*(Norm_Stats!$G$15-MIN(MAX(City_Inputs!$AK47,Norm_Stats!$F$15),Norm_Stats!$G$15))/(Norm_Stats!$G$15-Norm_Stats!$F$15)))))="",0,0.3)))</f>
        <v/>
      </c>
      <c r="AK47" s="15">
        <f>IF((IF(AE47="",0,8)+IF(AG47="",0,6)+IF(AI47="",0,4))=0,"",(IF(AE47="",0,AE47*8)+IF(AG47="",0,AG47*6)+IF(AI47="",0,AI47*4))/(IF(AE47="",0,8)+IF(AG47="",0,6)+IF(AI47="",0,4)))</f>
        <v/>
      </c>
      <c r="AL47" s="14">
        <f>IF((IF(AF47="",0,8)+IF(AH47="",0,6)+IF(AJ47="",0,4))=0,"",(IF(AF47="",0,AF47*8)+IF(AH47="",0,AH47*6)+IF(AJ47="",0,AJ47*4))/18)</f>
        <v/>
      </c>
      <c r="AM47" s="11">
        <f>IF(OR(City_Inputs!$AA47="",Norm_Stats!$F$16="",Norm_Stats!$G$16="",Norm_Stats!$G$16=Norm_Stats!$F$16),"",MAX(0,MIN(100,100*(MIN(MAX(City_Inputs!$AA47,Norm_Stats!$F$16),Norm_Stats!$G$16)-Norm_Stats!$F$16)/(Norm_Stats!$G$16-Norm_Stats!$F$16))))</f>
        <v/>
      </c>
      <c r="AN47" s="14">
        <f>IF(AM47="","",1)</f>
        <v/>
      </c>
      <c r="AO47" s="11">
        <f>IF(OR(City_Inputs!$AB47="",Norm_Stats!$F$17="",Norm_Stats!$G$17="",Norm_Stats!$G$17=Norm_Stats!$F$17),"",MAX(0,MIN(100,100*(MIN(MAX(City_Inputs!$AB47,Norm_Stats!$F$17),Norm_Stats!$G$17)-Norm_Stats!$F$17)/(Norm_Stats!$G$17-Norm_Stats!$F$17))))</f>
        <v/>
      </c>
      <c r="AP47" s="14">
        <f>IF(AO47="","",1)</f>
        <v/>
      </c>
      <c r="AQ47" s="11">
        <f>IF(OR(City_Inputs!$AC47="",Norm_Stats!$F$18="",Norm_Stats!$G$18="",Norm_Stats!$G$18=Norm_Stats!$F$18),"",MAX(0,MIN(100,100*(MIN(MAX(City_Inputs!$AC47,Norm_Stats!$F$18),Norm_Stats!$G$18)-Norm_Stats!$F$18)/(Norm_Stats!$G$18-Norm_Stats!$F$18))))</f>
        <v/>
      </c>
      <c r="AR47" s="14">
        <f>IF(AQ47="","",1)</f>
        <v/>
      </c>
      <c r="AS47" s="15">
        <f>IF((IF(AM47="",0,5)+IF(AO47="",0,5)+IF(AQ47="",0,5))=0,"",(IF(AM47="",0,AM47*5)+IF(AO47="",0,AO47*5)+IF(AQ47="",0,AQ47*5))/(IF(AM47="",0,5)+IF(AO47="",0,5)+IF(AQ47="",0,5)))</f>
        <v/>
      </c>
      <c r="AT47" s="14">
        <f>IF((IF(AN47="",0,5)+IF(AP47="",0,5)+IF(AR47="",0,5))=0,"",(IF(AN47="",0,AN47*5)+IF(AP47="",0,AP47*5)+IF(AR47="",0,AR47*5))/15)</f>
        <v/>
      </c>
      <c r="AU47" s="11">
        <f>IF(OR(City_Inputs!$AD47="",Norm_Stats!$F$19="",Norm_Stats!$G$19="",Norm_Stats!$G$19=Norm_Stats!$F$19),"",MAX(0,MIN(100,100*(MIN(MAX(City_Inputs!$AD47,Norm_Stats!$F$19),Norm_Stats!$G$19)-Norm_Stats!$F$19)/(Norm_Stats!$G$19-Norm_Stats!$F$19))))</f>
        <v/>
      </c>
      <c r="AV47" s="14">
        <f>IF(AU47="","",1)</f>
        <v/>
      </c>
      <c r="AW47" s="11">
        <f>IF(OR(City_Inputs!$AE47="",Norm_Stats!$F$20="",Norm_Stats!$G$20="",Norm_Stats!$G$20=Norm_Stats!$F$20),"",MAX(0,MIN(100,100*(MIN(MAX(City_Inputs!$AE47,Norm_Stats!$F$20),Norm_Stats!$G$20)-Norm_Stats!$F$20)/(Norm_Stats!$G$20-Norm_Stats!$F$20))))</f>
        <v/>
      </c>
      <c r="AX47" s="14">
        <f>IF(AW47="","",1)</f>
        <v/>
      </c>
      <c r="AY47" s="11">
        <f>IF((IF((IF(OR(City_Inputs!$AF47="",Norm_Stats!$F$21="",Norm_Stats!$G$21="",Norm_Stats!$G$21=Norm_Stats!$F$21),"",MAX(0,MIN(100,100*(MIN(MAX(City_Inputs!$AF47,Norm_Stats!$F$21),Norm_Stats!$G$21)-Norm_Stats!$F$21)/(Norm_Stats!$G$21-Norm_Stats!$F$21)))))="",0,0.5)+IF((IF(OR(City_Inputs!$AI47="",Norm_Stats!$F$22="",Norm_Stats!$G$22="",Norm_Stats!$G$22=Norm_Stats!$F$22),"",MAX(0,MIN(100,100*(MIN(MAX(City_Inputs!$AI47,Norm_Stats!$F$22),Norm_Stats!$G$22)-Norm_Stats!$F$22)/(Norm_Stats!$G$22-Norm_Stats!$F$22)))))="",0,0.3)+IF((IF(OR(City_Inputs!$AJ47="",Norm_Stats!$F$23="",Norm_Stats!$G$23="",Norm_Stats!$G$23=Norm_Stats!$F$23),"",MAX(0,MIN(100,100*(MIN(MAX(City_Inputs!$AJ47,Norm_Stats!$F$23),Norm_Stats!$G$23)-Norm_Stats!$F$23)/(Norm_Stats!$G$23-Norm_Stats!$F$23)))))="",0,0.2))=0,"",(IF((IF(OR(City_Inputs!$AF47="",Norm_Stats!$F$21="",Norm_Stats!$G$21="",Norm_Stats!$G$21=Norm_Stats!$F$21),"",MAX(0,MIN(100,100*(MIN(MAX(City_Inputs!$AF47,Norm_Stats!$F$21),Norm_Stats!$G$21)-Norm_Stats!$F$21)/(Norm_Stats!$G$21-Norm_Stats!$F$21)))))="",0,(IF(OR(City_Inputs!$AF47="",Norm_Stats!$F$21="",Norm_Stats!$G$21="",Norm_Stats!$G$21=Norm_Stats!$F$21),"",MAX(0,MIN(100,100*(MIN(MAX(City_Inputs!$AF47,Norm_Stats!$F$21),Norm_Stats!$G$21)-Norm_Stats!$F$21)/(Norm_Stats!$G$21-Norm_Stats!$F$21)))))*0.5)+IF((IF(OR(City_Inputs!$AI47="",Norm_Stats!$F$22="",Norm_Stats!$G$22="",Norm_Stats!$G$22=Norm_Stats!$F$22),"",MAX(0,MIN(100,100*(MIN(MAX(City_Inputs!$AI47,Norm_Stats!$F$22),Norm_Stats!$G$22)-Norm_Stats!$F$22)/(Norm_Stats!$G$22-Norm_Stats!$F$22)))))="",0,(IF(OR(City_Inputs!$AI47="",Norm_Stats!$F$22="",Norm_Stats!$G$22="",Norm_Stats!$G$22=Norm_Stats!$F$22),"",MAX(0,MIN(100,100*(MIN(MAX(City_Inputs!$AI47,Norm_Stats!$F$22),Norm_Stats!$G$22)-Norm_Stats!$F$22)/(Norm_Stats!$G$22-Norm_Stats!$F$22)))))*0.3)+IF((IF(OR(City_Inputs!$AJ47="",Norm_Stats!$F$23="",Norm_Stats!$G$23="",Norm_Stats!$G$23=Norm_Stats!$F$23),"",MAX(0,MIN(100,100*(MIN(MAX(City_Inputs!$AJ47,Norm_Stats!$F$23),Norm_Stats!$G$23)-Norm_Stats!$F$23)/(Norm_Stats!$G$23-Norm_Stats!$F$23)))))="",0,(IF(OR(City_Inputs!$AJ47="",Norm_Stats!$F$23="",Norm_Stats!$G$23="",Norm_Stats!$G$23=Norm_Stats!$F$23),"",MAX(0,MIN(100,100*(MIN(MAX(City_Inputs!$AJ47,Norm_Stats!$F$23),Norm_Stats!$G$23)-Norm_Stats!$F$23)/(Norm_Stats!$G$23-Norm_Stats!$F$23)))))*0.2))/(IF((IF(OR(City_Inputs!$AF47="",Norm_Stats!$F$21="",Norm_Stats!$G$21="",Norm_Stats!$G$21=Norm_Stats!$F$21),"",MAX(0,MIN(100,100*(MIN(MAX(City_Inputs!$AF47,Norm_Stats!$F$21),Norm_Stats!$G$21)-Norm_Stats!$F$21)/(Norm_Stats!$G$21-Norm_Stats!$F$21)))))="",0,0.5)+IF((IF(OR(City_Inputs!$AI47="",Norm_Stats!$F$22="",Norm_Stats!$G$22="",Norm_Stats!$G$22=Norm_Stats!$F$22),"",MAX(0,MIN(100,100*(MIN(MAX(City_Inputs!$AI47,Norm_Stats!$F$22),Norm_Stats!$G$22)-Norm_Stats!$F$22)/(Norm_Stats!$G$22-Norm_Stats!$F$22)))))="",0,0.3)+IF((IF(OR(City_Inputs!$AJ47="",Norm_Stats!$F$23="",Norm_Stats!$G$23="",Norm_Stats!$G$23=Norm_Stats!$F$23),"",MAX(0,MIN(100,100*(MIN(MAX(City_Inputs!$AJ47,Norm_Stats!$F$23),Norm_Stats!$G$23)-Norm_Stats!$F$23)/(Norm_Stats!$G$23-Norm_Stats!$F$23)))))="",0,0.2)))</f>
        <v/>
      </c>
      <c r="AZ47" s="14">
        <f>IF((IF((IF(OR(City_Inputs!$AF47="",Norm_Stats!$F$21="",Norm_Stats!$G$21="",Norm_Stats!$G$21=Norm_Stats!$F$21),"",MAX(0,MIN(100,100*(MIN(MAX(City_Inputs!$AF47,Norm_Stats!$F$21),Norm_Stats!$G$21)-Norm_Stats!$F$21)/(Norm_Stats!$G$21-Norm_Stats!$F$21)))))="",0,0.5)+IF((IF(OR(City_Inputs!$AI47="",Norm_Stats!$F$22="",Norm_Stats!$G$22="",Norm_Stats!$G$22=Norm_Stats!$F$22),"",MAX(0,MIN(100,100*(MIN(MAX(City_Inputs!$AI47,Norm_Stats!$F$22),Norm_Stats!$G$22)-Norm_Stats!$F$22)/(Norm_Stats!$G$22-Norm_Stats!$F$22)))))="",0,0.3)+IF((IF(OR(City_Inputs!$AJ47="",Norm_Stats!$F$23="",Norm_Stats!$G$23="",Norm_Stats!$G$23=Norm_Stats!$F$23),"",MAX(0,MIN(100,100*(MIN(MAX(City_Inputs!$AJ47,Norm_Stats!$F$23),Norm_Stats!$G$23)-Norm_Stats!$F$23)/(Norm_Stats!$G$23-Norm_Stats!$F$23)))))="",0,0.2))=0,"",(IF((IF(OR(City_Inputs!$AF47="",Norm_Stats!$F$21="",Norm_Stats!$G$21="",Norm_Stats!$G$21=Norm_Stats!$F$21),"",MAX(0,MIN(100,100*(MIN(MAX(City_Inputs!$AF47,Norm_Stats!$F$21),Norm_Stats!$G$21)-Norm_Stats!$F$21)/(Norm_Stats!$G$21-Norm_Stats!$F$21)))))="",0,0.5)+IF((IF(OR(City_Inputs!$AI47="",Norm_Stats!$F$22="",Norm_Stats!$G$22="",Norm_Stats!$G$22=Norm_Stats!$F$22),"",MAX(0,MIN(100,100*(MIN(MAX(City_Inputs!$AI47,Norm_Stats!$F$22),Norm_Stats!$G$22)-Norm_Stats!$F$22)/(Norm_Stats!$G$22-Norm_Stats!$F$22)))))="",0,0.3)+IF((IF(OR(City_Inputs!$AJ47="",Norm_Stats!$F$23="",Norm_Stats!$G$23="",Norm_Stats!$G$23=Norm_Stats!$F$23),"",MAX(0,MIN(100,100*(MIN(MAX(City_Inputs!$AJ47,Norm_Stats!$F$23),Norm_Stats!$G$23)-Norm_Stats!$F$23)/(Norm_Stats!$G$23-Norm_Stats!$F$23)))))="",0,0.2)))</f>
        <v/>
      </c>
      <c r="BA47" s="11">
        <f>IF(OR(City_Inputs!$AG47="",Norm_Stats!$F$24="",Norm_Stats!$G$24="",Norm_Stats!$G$24=Norm_Stats!$F$24),"",MAX(0,MIN(100,100*(Norm_Stats!$G$24-MIN(MAX(City_Inputs!$AG47,Norm_Stats!$F$24),Norm_Stats!$G$24))/(Norm_Stats!$G$24-Norm_Stats!$F$24))))</f>
        <v/>
      </c>
      <c r="BB47" s="14">
        <f>IF(BA47="","",1)</f>
        <v/>
      </c>
      <c r="BC47" s="15">
        <f>IF((IF(AU47="",0,6)+IF(AW47="",0,5)+IF(AY47="",0,5)+IF(BA47="",0,4))=0,"",(IF(AU47="",0,AU47*6)+IF(AW47="",0,AW47*5)+IF(AY47="",0,AY47*5)+IF(BA47="",0,BA47*4))/(IF(AU47="",0,6)+IF(AW47="",0,5)+IF(AY47="",0,5)+IF(BA47="",0,4)))</f>
        <v/>
      </c>
      <c r="BD47" s="14">
        <f>IF((IF(AV47="",0,6)+IF(AX47="",0,5)+IF(AZ47="",0,5)+IF(BB47="",0,4))=0,"",(IF(AV47="",0,AV47*6)+IF(AX47="",0,AX47*5)+IF(AZ47="",0,AZ47*5)+IF(BB47="",0,BB47*4))/20)</f>
        <v/>
      </c>
      <c r="BE47" s="14">
        <f>IF(AND(R47="",AD47="",AL47="",AT47="",BD47=""),"",((R47*25)+(AD47*22)+(AL47*18)+(AT47*15)+(BD47*20))/100)</f>
        <v/>
      </c>
      <c r="BF47" s="11">
        <f>IF(BE47="","",IF(BE47&gt;=0.75,"A",IF(BE47&gt;=0.5,"B",IF(BE47&gt;=0.35,"C","Watchlist"))))</f>
        <v/>
      </c>
      <c r="BG47" s="11">
        <f>IF(OR(BE47="",BE47&lt;0.5,R47="",R47&lt;0.35,AD47="",AD47&lt;0.35,AL47="",AL47&lt;0.35,AT47="",AT47&lt;0.35,BD47="",BD47&lt;0.35),"Watchlist","Ranked")</f>
        <v/>
      </c>
      <c r="BH47" s="15">
        <f>IF(AND(Q47="",AC47="",AK47="",AS47="",BC47=""),"",(IF(Q47="",0,Q47*25)+IF(AC47="",0,AC47*22)+IF(AK47="",0,AK47*18)+IF(AS47="",0,AS47*15)+IF(BC47="",0,BC47*20))/(IF(Q47="",0,25)+IF(AC47="",0,22)+IF(AK47="",0,18)+IF(AS47="",0,15)+IF(BC47="",0,20)))</f>
        <v/>
      </c>
      <c r="BI47" s="11">
        <f>IF(BG47="Ranked",1+COUNTIFS($BG$2:$BG$103,"Ranked",$BH$2:$BH$103,"&gt;"&amp;BH47),"")</f>
        <v/>
      </c>
      <c r="BJ47" s="11">
        <f>City_Inputs!$AH47</f>
        <v/>
      </c>
    </row>
    <row r="48">
      <c r="A48" t="inlineStr">
        <is>
          <t>rs-belgrade</t>
        </is>
      </c>
      <c r="B48" t="inlineStr">
        <is>
          <t>Belgrade</t>
        </is>
      </c>
      <c r="C48" t="inlineStr">
        <is>
          <t>Serbia</t>
        </is>
      </c>
      <c r="D48" t="inlineStr">
        <is>
          <t>Southern/Eastern Europe and Eurasia</t>
        </is>
      </c>
      <c r="E48" t="inlineStr">
        <is>
          <t>locked</t>
        </is>
      </c>
      <c r="F48" t="inlineStr">
        <is>
          <t>primary</t>
        </is>
      </c>
      <c r="G48" s="11">
        <f>IF(OR(City_Inputs!$M48="",Norm_Stats!$F$2="",Norm_Stats!$G$2="",Norm_Stats!$G$2=Norm_Stats!$F$2),"",MAX(0,MIN(100,100*(MIN(MAX(City_Inputs!$M48,Norm_Stats!$F$2),Norm_Stats!$G$2)-Norm_Stats!$F$2)/(Norm_Stats!$G$2-Norm_Stats!$F$2))))</f>
        <v/>
      </c>
      <c r="H48" s="14">
        <f>IF(G48="","",1)</f>
        <v/>
      </c>
      <c r="I48" s="11">
        <f>IF(OR(City_Inputs!$N48="",Norm_Stats!$F$3="",Norm_Stats!$G$3="",Norm_Stats!$G$3=Norm_Stats!$F$3),"",MAX(0,MIN(100,100*(Norm_Stats!$G$3-MIN(MAX(City_Inputs!$N48,Norm_Stats!$F$3),Norm_Stats!$G$3))/(Norm_Stats!$G$3-Norm_Stats!$F$3))))</f>
        <v/>
      </c>
      <c r="J48" s="14">
        <f>IF(I48="","",1)</f>
        <v/>
      </c>
      <c r="K48" s="11">
        <f>IF(OR(City_Inputs!$P48="",Norm_Stats!$F$4="",Norm_Stats!$G$4="",Norm_Stats!$G$4=Norm_Stats!$F$4),"",MAX(0,MIN(100,100*(Norm_Stats!$G$4-MIN(MAX(City_Inputs!$P48,Norm_Stats!$F$4),Norm_Stats!$G$4))/(Norm_Stats!$G$4-Norm_Stats!$F$4))))</f>
        <v/>
      </c>
      <c r="L48" s="14">
        <f>IF(K48="","",1)</f>
        <v/>
      </c>
      <c r="M48" s="11">
        <f>IF(OR(City_Inputs!$Q48="",Norm_Stats!$F$5="",Norm_Stats!$G$5="",Norm_Stats!$G$5=Norm_Stats!$F$5),"",MAX(0,MIN(100,100*(Norm_Stats!$G$5-MIN(MAX(City_Inputs!$Q48,Norm_Stats!$F$5),Norm_Stats!$G$5))/(Norm_Stats!$G$5-Norm_Stats!$F$5))))</f>
        <v/>
      </c>
      <c r="N48" s="14">
        <f>IF(M48="","",1)</f>
        <v/>
      </c>
      <c r="O48" s="11">
        <f>IF(OR(City_Inputs!$R48="",Norm_Stats!$F$6="",Norm_Stats!$G$6="",Norm_Stats!$G$6=Norm_Stats!$F$6),"",MAX(0,MIN(100,100*(Norm_Stats!$G$6-MIN(MAX(City_Inputs!$R48,Norm_Stats!$F$6),Norm_Stats!$G$6))/(Norm_Stats!$G$6-Norm_Stats!$F$6))))</f>
        <v/>
      </c>
      <c r="P48" s="14">
        <f>IF(O48="","",1)</f>
        <v/>
      </c>
      <c r="Q48" s="15">
        <f>IF((IF(G48="",0,9)+IF(I48="",0,5)+IF(K48="",0,4)+IF(M48="",0,4)+IF(O48="",0,3))=0,"",(IF(G48="",0,G48*9)+IF(I48="",0,I48*5)+IF(K48="",0,K48*4)+IF(M48="",0,M48*4)+IF(O48="",0,O48*3))/(IF(G48="",0,9)+IF(I48="",0,5)+IF(K48="",0,4)+IF(M48="",0,4)+IF(O48="",0,3)))</f>
        <v/>
      </c>
      <c r="R48" s="14">
        <f>IF((IF(H48="",0,9)+IF(J48="",0,5)+IF(L48="",0,4)+IF(N48="",0,4)+IF(P48="",0,3))=0,"",(IF(H48="",0,H48*9)+IF(J48="",0,J48*5)+IF(L48="",0,L48*4)+IF(N48="",0,N48*4)+IF(P48="",0,P48*3))/25)</f>
        <v/>
      </c>
      <c r="S48" s="11">
        <f>IF(OR(City_Inputs!$S48="",Norm_Stats!$F$7="",Norm_Stats!$G$7="",Norm_Stats!$G$7=Norm_Stats!$F$7),"",MAX(0,MIN(100,100*(Norm_Stats!$G$7-MIN(MAX(City_Inputs!$S48,Norm_Stats!$F$7),Norm_Stats!$G$7))/(Norm_Stats!$G$7-Norm_Stats!$F$7))))</f>
        <v/>
      </c>
      <c r="T48" s="14">
        <f>IF(S48="","",1)</f>
        <v/>
      </c>
      <c r="U48" s="11">
        <f>IF(OR(City_Inputs!$T48="",Norm_Stats!$F$8="",Norm_Stats!$G$8="",Norm_Stats!$G$8=Norm_Stats!$F$8),"",MAX(0,MIN(100,100*(MIN(MAX(City_Inputs!$T48,Norm_Stats!$F$8),Norm_Stats!$G$8)-Norm_Stats!$F$8)/(Norm_Stats!$G$8-Norm_Stats!$F$8))))</f>
        <v/>
      </c>
      <c r="V48" s="14">
        <f>IF(U48="","",1)</f>
        <v/>
      </c>
      <c r="W48" s="11">
        <f>IF(OR(City_Inputs!$U48="",Norm_Stats!$F$9="",Norm_Stats!$G$9="",Norm_Stats!$G$9=Norm_Stats!$F$9),"",MAX(0,MIN(100,100*(Norm_Stats!$G$9-MIN(MAX(City_Inputs!$U48,Norm_Stats!$F$9),Norm_Stats!$G$9))/(Norm_Stats!$G$9-Norm_Stats!$F$9))))</f>
        <v/>
      </c>
      <c r="X48" s="14">
        <f>IF(W48="","",1)</f>
        <v/>
      </c>
      <c r="Y48" s="11">
        <f>IF(OR(City_Inputs!$V48="",Norm_Stats!$F$10="",Norm_Stats!$G$10="",Norm_Stats!$G$10=Norm_Stats!$F$10),"",MAX(0,MIN(100,100*(MIN(MAX(City_Inputs!$V48,Norm_Stats!$F$10),Norm_Stats!$G$10)-Norm_Stats!$F$10)/(Norm_Stats!$G$10-Norm_Stats!$F$10))))</f>
        <v/>
      </c>
      <c r="Z48" s="14">
        <f>IF(Y48="","",1)</f>
        <v/>
      </c>
      <c r="AA48" s="11">
        <f>IF(OR(City_Inputs!$W48="",Norm_Stats!$F$11="",Norm_Stats!$G$11="",Norm_Stats!$G$11=Norm_Stats!$F$11),"",MAX(0,MIN(100,100*(MIN(MAX(City_Inputs!$W48,Norm_Stats!$F$11),Norm_Stats!$G$11)-Norm_Stats!$F$11)/(Norm_Stats!$G$11-Norm_Stats!$F$11))))</f>
        <v/>
      </c>
      <c r="AB48" s="14">
        <f>IF(AA48="","",1)</f>
        <v/>
      </c>
      <c r="AC48" s="15">
        <f>IF((IF(S48="",0,5)+IF(U48="",0,5)+IF(W48="",0,4)+IF(Y48="",0,4)+IF(AA48="",0,4))=0,"",(IF(S48="",0,S48*5)+IF(U48="",0,U48*5)+IF(W48="",0,W48*4)+IF(Y48="",0,Y48*4)+IF(AA48="",0,AA48*4))/(IF(S48="",0,5)+IF(U48="",0,5)+IF(W48="",0,4)+IF(Y48="",0,4)+IF(AA48="",0,4)))</f>
        <v/>
      </c>
      <c r="AD48" s="14">
        <f>IF((IF(T48="",0,5)+IF(V48="",0,5)+IF(X48="",0,4)+IF(Z48="",0,4)+IF(AB48="",0,4))=0,"",(IF(T48="",0,T48*5)+IF(V48="",0,V48*5)+IF(X48="",0,X48*4)+IF(Z48="",0,Z48*4)+IF(AB48="",0,AB48*4))/22)</f>
        <v/>
      </c>
      <c r="AE48" s="11">
        <f>IF(OR(City_Inputs!$X48="",Norm_Stats!$F$12="",Norm_Stats!$G$12="",Norm_Stats!$G$12=Norm_Stats!$F$12),"",MAX(0,MIN(100,100*(MIN(MAX(City_Inputs!$X48,Norm_Stats!$F$12),Norm_Stats!$G$12)-Norm_Stats!$F$12)/(Norm_Stats!$G$12-Norm_Stats!$F$12))))</f>
        <v/>
      </c>
      <c r="AF48" s="14">
        <f>IF(AE48="","",1)</f>
        <v/>
      </c>
      <c r="AG48" s="11">
        <f>IF(OR(City_Inputs!$Y48="",Norm_Stats!$F$13="",Norm_Stats!$G$13="",Norm_Stats!$G$13=Norm_Stats!$F$13),"",MAX(0,MIN(100,100*(MIN(MAX(City_Inputs!$Y48,Norm_Stats!$F$13),Norm_Stats!$G$13)-Norm_Stats!$F$13)/(Norm_Stats!$G$13-Norm_Stats!$F$13))))</f>
        <v/>
      </c>
      <c r="AH48" s="14">
        <f>IF(AG48="","",1)</f>
        <v/>
      </c>
      <c r="AI48" s="11">
        <f>IF((IF((IF(OR(City_Inputs!$Z48="",Norm_Stats!$F$14="",Norm_Stats!$G$14="",Norm_Stats!$G$14=Norm_Stats!$F$14),"",MAX(0,MIN(100,100*(MIN(MAX(City_Inputs!$Z48,Norm_Stats!$F$14),Norm_Stats!$G$14)-Norm_Stats!$F$14)/(Norm_Stats!$G$14-Norm_Stats!$F$14)))))="",0,0.7)+IF((IF(OR(City_Inputs!$AK48="",Norm_Stats!$F$15="",Norm_Stats!$G$15="",Norm_Stats!$G$15=Norm_Stats!$F$15),"",MAX(0,MIN(100,100*(Norm_Stats!$G$15-MIN(MAX(City_Inputs!$AK48,Norm_Stats!$F$15),Norm_Stats!$G$15))/(Norm_Stats!$G$15-Norm_Stats!$F$15)))))="",0,0.3))=0,"",(IF((IF(OR(City_Inputs!$Z48="",Norm_Stats!$F$14="",Norm_Stats!$G$14="",Norm_Stats!$G$14=Norm_Stats!$F$14),"",MAX(0,MIN(100,100*(MIN(MAX(City_Inputs!$Z48,Norm_Stats!$F$14),Norm_Stats!$G$14)-Norm_Stats!$F$14)/(Norm_Stats!$G$14-Norm_Stats!$F$14)))))="",0,(IF(OR(City_Inputs!$Z48="",Norm_Stats!$F$14="",Norm_Stats!$G$14="",Norm_Stats!$G$14=Norm_Stats!$F$14),"",MAX(0,MIN(100,100*(MIN(MAX(City_Inputs!$Z48,Norm_Stats!$F$14),Norm_Stats!$G$14)-Norm_Stats!$F$14)/(Norm_Stats!$G$14-Norm_Stats!$F$14)))))*0.7)+IF((IF(OR(City_Inputs!$AK48="",Norm_Stats!$F$15="",Norm_Stats!$G$15="",Norm_Stats!$G$15=Norm_Stats!$F$15),"",MAX(0,MIN(100,100*(Norm_Stats!$G$15-MIN(MAX(City_Inputs!$AK48,Norm_Stats!$F$15),Norm_Stats!$G$15))/(Norm_Stats!$G$15-Norm_Stats!$F$15)))))="",0,(IF(OR(City_Inputs!$AK48="",Norm_Stats!$F$15="",Norm_Stats!$G$15="",Norm_Stats!$G$15=Norm_Stats!$F$15),"",MAX(0,MIN(100,100*(Norm_Stats!$G$15-MIN(MAX(City_Inputs!$AK48,Norm_Stats!$F$15),Norm_Stats!$G$15))/(Norm_Stats!$G$15-Norm_Stats!$F$15)))))*0.3))/(IF((IF(OR(City_Inputs!$Z48="",Norm_Stats!$F$14="",Norm_Stats!$G$14="",Norm_Stats!$G$14=Norm_Stats!$F$14),"",MAX(0,MIN(100,100*(MIN(MAX(City_Inputs!$Z48,Norm_Stats!$F$14),Norm_Stats!$G$14)-Norm_Stats!$F$14)/(Norm_Stats!$G$14-Norm_Stats!$F$14)))))="",0,0.7)+IF((IF(OR(City_Inputs!$AK48="",Norm_Stats!$F$15="",Norm_Stats!$G$15="",Norm_Stats!$G$15=Norm_Stats!$F$15),"",MAX(0,MIN(100,100*(Norm_Stats!$G$15-MIN(MAX(City_Inputs!$AK48,Norm_Stats!$F$15),Norm_Stats!$G$15))/(Norm_Stats!$G$15-Norm_Stats!$F$15)))))="",0,0.3)))</f>
        <v/>
      </c>
      <c r="AJ48" s="14">
        <f>IF((IF((IF(OR(City_Inputs!$Z48="",Norm_Stats!$F$14="",Norm_Stats!$G$14="",Norm_Stats!$G$14=Norm_Stats!$F$14),"",MAX(0,MIN(100,100*(MIN(MAX(City_Inputs!$Z48,Norm_Stats!$F$14),Norm_Stats!$G$14)-Norm_Stats!$F$14)/(Norm_Stats!$G$14-Norm_Stats!$F$14)))))="",0,0.7)+IF((IF(OR(City_Inputs!$AK48="",Norm_Stats!$F$15="",Norm_Stats!$G$15="",Norm_Stats!$G$15=Norm_Stats!$F$15),"",MAX(0,MIN(100,100*(Norm_Stats!$G$15-MIN(MAX(City_Inputs!$AK48,Norm_Stats!$F$15),Norm_Stats!$G$15))/(Norm_Stats!$G$15-Norm_Stats!$F$15)))))="",0,0.3))=0,"",(IF((IF(OR(City_Inputs!$Z48="",Norm_Stats!$F$14="",Norm_Stats!$G$14="",Norm_Stats!$G$14=Norm_Stats!$F$14),"",MAX(0,MIN(100,100*(MIN(MAX(City_Inputs!$Z48,Norm_Stats!$F$14),Norm_Stats!$G$14)-Norm_Stats!$F$14)/(Norm_Stats!$G$14-Norm_Stats!$F$14)))))="",0,0.7)+IF((IF(OR(City_Inputs!$AK48="",Norm_Stats!$F$15="",Norm_Stats!$G$15="",Norm_Stats!$G$15=Norm_Stats!$F$15),"",MAX(0,MIN(100,100*(Norm_Stats!$G$15-MIN(MAX(City_Inputs!$AK48,Norm_Stats!$F$15),Norm_Stats!$G$15))/(Norm_Stats!$G$15-Norm_Stats!$F$15)))))="",0,0.3)))</f>
        <v/>
      </c>
      <c r="AK48" s="15">
        <f>IF((IF(AE48="",0,8)+IF(AG48="",0,6)+IF(AI48="",0,4))=0,"",(IF(AE48="",0,AE48*8)+IF(AG48="",0,AG48*6)+IF(AI48="",0,AI48*4))/(IF(AE48="",0,8)+IF(AG48="",0,6)+IF(AI48="",0,4)))</f>
        <v/>
      </c>
      <c r="AL48" s="14">
        <f>IF((IF(AF48="",0,8)+IF(AH48="",0,6)+IF(AJ48="",0,4))=0,"",(IF(AF48="",0,AF48*8)+IF(AH48="",0,AH48*6)+IF(AJ48="",0,AJ48*4))/18)</f>
        <v/>
      </c>
      <c r="AM48" s="11">
        <f>IF(OR(City_Inputs!$AA48="",Norm_Stats!$F$16="",Norm_Stats!$G$16="",Norm_Stats!$G$16=Norm_Stats!$F$16),"",MAX(0,MIN(100,100*(MIN(MAX(City_Inputs!$AA48,Norm_Stats!$F$16),Norm_Stats!$G$16)-Norm_Stats!$F$16)/(Norm_Stats!$G$16-Norm_Stats!$F$16))))</f>
        <v/>
      </c>
      <c r="AN48" s="14">
        <f>IF(AM48="","",1)</f>
        <v/>
      </c>
      <c r="AO48" s="11">
        <f>IF(OR(City_Inputs!$AB48="",Norm_Stats!$F$17="",Norm_Stats!$G$17="",Norm_Stats!$G$17=Norm_Stats!$F$17),"",MAX(0,MIN(100,100*(MIN(MAX(City_Inputs!$AB48,Norm_Stats!$F$17),Norm_Stats!$G$17)-Norm_Stats!$F$17)/(Norm_Stats!$G$17-Norm_Stats!$F$17))))</f>
        <v/>
      </c>
      <c r="AP48" s="14">
        <f>IF(AO48="","",1)</f>
        <v/>
      </c>
      <c r="AQ48" s="11">
        <f>IF(OR(City_Inputs!$AC48="",Norm_Stats!$F$18="",Norm_Stats!$G$18="",Norm_Stats!$G$18=Norm_Stats!$F$18),"",MAX(0,MIN(100,100*(MIN(MAX(City_Inputs!$AC48,Norm_Stats!$F$18),Norm_Stats!$G$18)-Norm_Stats!$F$18)/(Norm_Stats!$G$18-Norm_Stats!$F$18))))</f>
        <v/>
      </c>
      <c r="AR48" s="14">
        <f>IF(AQ48="","",1)</f>
        <v/>
      </c>
      <c r="AS48" s="15">
        <f>IF((IF(AM48="",0,5)+IF(AO48="",0,5)+IF(AQ48="",0,5))=0,"",(IF(AM48="",0,AM48*5)+IF(AO48="",0,AO48*5)+IF(AQ48="",0,AQ48*5))/(IF(AM48="",0,5)+IF(AO48="",0,5)+IF(AQ48="",0,5)))</f>
        <v/>
      </c>
      <c r="AT48" s="14">
        <f>IF((IF(AN48="",0,5)+IF(AP48="",0,5)+IF(AR48="",0,5))=0,"",(IF(AN48="",0,AN48*5)+IF(AP48="",0,AP48*5)+IF(AR48="",0,AR48*5))/15)</f>
        <v/>
      </c>
      <c r="AU48" s="11">
        <f>IF(OR(City_Inputs!$AD48="",Norm_Stats!$F$19="",Norm_Stats!$G$19="",Norm_Stats!$G$19=Norm_Stats!$F$19),"",MAX(0,MIN(100,100*(MIN(MAX(City_Inputs!$AD48,Norm_Stats!$F$19),Norm_Stats!$G$19)-Norm_Stats!$F$19)/(Norm_Stats!$G$19-Norm_Stats!$F$19))))</f>
        <v/>
      </c>
      <c r="AV48" s="14">
        <f>IF(AU48="","",1)</f>
        <v/>
      </c>
      <c r="AW48" s="11">
        <f>IF(OR(City_Inputs!$AE48="",Norm_Stats!$F$20="",Norm_Stats!$G$20="",Norm_Stats!$G$20=Norm_Stats!$F$20),"",MAX(0,MIN(100,100*(MIN(MAX(City_Inputs!$AE48,Norm_Stats!$F$20),Norm_Stats!$G$20)-Norm_Stats!$F$20)/(Norm_Stats!$G$20-Norm_Stats!$F$20))))</f>
        <v/>
      </c>
      <c r="AX48" s="14">
        <f>IF(AW48="","",1)</f>
        <v/>
      </c>
      <c r="AY48" s="11">
        <f>IF((IF((IF(OR(City_Inputs!$AF48="",Norm_Stats!$F$21="",Norm_Stats!$G$21="",Norm_Stats!$G$21=Norm_Stats!$F$21),"",MAX(0,MIN(100,100*(MIN(MAX(City_Inputs!$AF48,Norm_Stats!$F$21),Norm_Stats!$G$21)-Norm_Stats!$F$21)/(Norm_Stats!$G$21-Norm_Stats!$F$21)))))="",0,0.5)+IF((IF(OR(City_Inputs!$AI48="",Norm_Stats!$F$22="",Norm_Stats!$G$22="",Norm_Stats!$G$22=Norm_Stats!$F$22),"",MAX(0,MIN(100,100*(MIN(MAX(City_Inputs!$AI48,Norm_Stats!$F$22),Norm_Stats!$G$22)-Norm_Stats!$F$22)/(Norm_Stats!$G$22-Norm_Stats!$F$22)))))="",0,0.3)+IF((IF(OR(City_Inputs!$AJ48="",Norm_Stats!$F$23="",Norm_Stats!$G$23="",Norm_Stats!$G$23=Norm_Stats!$F$23),"",MAX(0,MIN(100,100*(MIN(MAX(City_Inputs!$AJ48,Norm_Stats!$F$23),Norm_Stats!$G$23)-Norm_Stats!$F$23)/(Norm_Stats!$G$23-Norm_Stats!$F$23)))))="",0,0.2))=0,"",(IF((IF(OR(City_Inputs!$AF48="",Norm_Stats!$F$21="",Norm_Stats!$G$21="",Norm_Stats!$G$21=Norm_Stats!$F$21),"",MAX(0,MIN(100,100*(MIN(MAX(City_Inputs!$AF48,Norm_Stats!$F$21),Norm_Stats!$G$21)-Norm_Stats!$F$21)/(Norm_Stats!$G$21-Norm_Stats!$F$21)))))="",0,(IF(OR(City_Inputs!$AF48="",Norm_Stats!$F$21="",Norm_Stats!$G$21="",Norm_Stats!$G$21=Norm_Stats!$F$21),"",MAX(0,MIN(100,100*(MIN(MAX(City_Inputs!$AF48,Norm_Stats!$F$21),Norm_Stats!$G$21)-Norm_Stats!$F$21)/(Norm_Stats!$G$21-Norm_Stats!$F$21)))))*0.5)+IF((IF(OR(City_Inputs!$AI48="",Norm_Stats!$F$22="",Norm_Stats!$G$22="",Norm_Stats!$G$22=Norm_Stats!$F$22),"",MAX(0,MIN(100,100*(MIN(MAX(City_Inputs!$AI48,Norm_Stats!$F$22),Norm_Stats!$G$22)-Norm_Stats!$F$22)/(Norm_Stats!$G$22-Norm_Stats!$F$22)))))="",0,(IF(OR(City_Inputs!$AI48="",Norm_Stats!$F$22="",Norm_Stats!$G$22="",Norm_Stats!$G$22=Norm_Stats!$F$22),"",MAX(0,MIN(100,100*(MIN(MAX(City_Inputs!$AI48,Norm_Stats!$F$22),Norm_Stats!$G$22)-Norm_Stats!$F$22)/(Norm_Stats!$G$22-Norm_Stats!$F$22)))))*0.3)+IF((IF(OR(City_Inputs!$AJ48="",Norm_Stats!$F$23="",Norm_Stats!$G$23="",Norm_Stats!$G$23=Norm_Stats!$F$23),"",MAX(0,MIN(100,100*(MIN(MAX(City_Inputs!$AJ48,Norm_Stats!$F$23),Norm_Stats!$G$23)-Norm_Stats!$F$23)/(Norm_Stats!$G$23-Norm_Stats!$F$23)))))="",0,(IF(OR(City_Inputs!$AJ48="",Norm_Stats!$F$23="",Norm_Stats!$G$23="",Norm_Stats!$G$23=Norm_Stats!$F$23),"",MAX(0,MIN(100,100*(MIN(MAX(City_Inputs!$AJ48,Norm_Stats!$F$23),Norm_Stats!$G$23)-Norm_Stats!$F$23)/(Norm_Stats!$G$23-Norm_Stats!$F$23)))))*0.2))/(IF((IF(OR(City_Inputs!$AF48="",Norm_Stats!$F$21="",Norm_Stats!$G$21="",Norm_Stats!$G$21=Norm_Stats!$F$21),"",MAX(0,MIN(100,100*(MIN(MAX(City_Inputs!$AF48,Norm_Stats!$F$21),Norm_Stats!$G$21)-Norm_Stats!$F$21)/(Norm_Stats!$G$21-Norm_Stats!$F$21)))))="",0,0.5)+IF((IF(OR(City_Inputs!$AI48="",Norm_Stats!$F$22="",Norm_Stats!$G$22="",Norm_Stats!$G$22=Norm_Stats!$F$22),"",MAX(0,MIN(100,100*(MIN(MAX(City_Inputs!$AI48,Norm_Stats!$F$22),Norm_Stats!$G$22)-Norm_Stats!$F$22)/(Norm_Stats!$G$22-Norm_Stats!$F$22)))))="",0,0.3)+IF((IF(OR(City_Inputs!$AJ48="",Norm_Stats!$F$23="",Norm_Stats!$G$23="",Norm_Stats!$G$23=Norm_Stats!$F$23),"",MAX(0,MIN(100,100*(MIN(MAX(City_Inputs!$AJ48,Norm_Stats!$F$23),Norm_Stats!$G$23)-Norm_Stats!$F$23)/(Norm_Stats!$G$23-Norm_Stats!$F$23)))))="",0,0.2)))</f>
        <v/>
      </c>
      <c r="AZ48" s="14">
        <f>IF((IF((IF(OR(City_Inputs!$AF48="",Norm_Stats!$F$21="",Norm_Stats!$G$21="",Norm_Stats!$G$21=Norm_Stats!$F$21),"",MAX(0,MIN(100,100*(MIN(MAX(City_Inputs!$AF48,Norm_Stats!$F$21),Norm_Stats!$G$21)-Norm_Stats!$F$21)/(Norm_Stats!$G$21-Norm_Stats!$F$21)))))="",0,0.5)+IF((IF(OR(City_Inputs!$AI48="",Norm_Stats!$F$22="",Norm_Stats!$G$22="",Norm_Stats!$G$22=Norm_Stats!$F$22),"",MAX(0,MIN(100,100*(MIN(MAX(City_Inputs!$AI48,Norm_Stats!$F$22),Norm_Stats!$G$22)-Norm_Stats!$F$22)/(Norm_Stats!$G$22-Norm_Stats!$F$22)))))="",0,0.3)+IF((IF(OR(City_Inputs!$AJ48="",Norm_Stats!$F$23="",Norm_Stats!$G$23="",Norm_Stats!$G$23=Norm_Stats!$F$23),"",MAX(0,MIN(100,100*(MIN(MAX(City_Inputs!$AJ48,Norm_Stats!$F$23),Norm_Stats!$G$23)-Norm_Stats!$F$23)/(Norm_Stats!$G$23-Norm_Stats!$F$23)))))="",0,0.2))=0,"",(IF((IF(OR(City_Inputs!$AF48="",Norm_Stats!$F$21="",Norm_Stats!$G$21="",Norm_Stats!$G$21=Norm_Stats!$F$21),"",MAX(0,MIN(100,100*(MIN(MAX(City_Inputs!$AF48,Norm_Stats!$F$21),Norm_Stats!$G$21)-Norm_Stats!$F$21)/(Norm_Stats!$G$21-Norm_Stats!$F$21)))))="",0,0.5)+IF((IF(OR(City_Inputs!$AI48="",Norm_Stats!$F$22="",Norm_Stats!$G$22="",Norm_Stats!$G$22=Norm_Stats!$F$22),"",MAX(0,MIN(100,100*(MIN(MAX(City_Inputs!$AI48,Norm_Stats!$F$22),Norm_Stats!$G$22)-Norm_Stats!$F$22)/(Norm_Stats!$G$22-Norm_Stats!$F$22)))))="",0,0.3)+IF((IF(OR(City_Inputs!$AJ48="",Norm_Stats!$F$23="",Norm_Stats!$G$23="",Norm_Stats!$G$23=Norm_Stats!$F$23),"",MAX(0,MIN(100,100*(MIN(MAX(City_Inputs!$AJ48,Norm_Stats!$F$23),Norm_Stats!$G$23)-Norm_Stats!$F$23)/(Norm_Stats!$G$23-Norm_Stats!$F$23)))))="",0,0.2)))</f>
        <v/>
      </c>
      <c r="BA48" s="11">
        <f>IF(OR(City_Inputs!$AG48="",Norm_Stats!$F$24="",Norm_Stats!$G$24="",Norm_Stats!$G$24=Norm_Stats!$F$24),"",MAX(0,MIN(100,100*(Norm_Stats!$G$24-MIN(MAX(City_Inputs!$AG48,Norm_Stats!$F$24),Norm_Stats!$G$24))/(Norm_Stats!$G$24-Norm_Stats!$F$24))))</f>
        <v/>
      </c>
      <c r="BB48" s="14">
        <f>IF(BA48="","",1)</f>
        <v/>
      </c>
      <c r="BC48" s="15">
        <f>IF((IF(AU48="",0,6)+IF(AW48="",0,5)+IF(AY48="",0,5)+IF(BA48="",0,4))=0,"",(IF(AU48="",0,AU48*6)+IF(AW48="",0,AW48*5)+IF(AY48="",0,AY48*5)+IF(BA48="",0,BA48*4))/(IF(AU48="",0,6)+IF(AW48="",0,5)+IF(AY48="",0,5)+IF(BA48="",0,4)))</f>
        <v/>
      </c>
      <c r="BD48" s="14">
        <f>IF((IF(AV48="",0,6)+IF(AX48="",0,5)+IF(AZ48="",0,5)+IF(BB48="",0,4))=0,"",(IF(AV48="",0,AV48*6)+IF(AX48="",0,AX48*5)+IF(AZ48="",0,AZ48*5)+IF(BB48="",0,BB48*4))/20)</f>
        <v/>
      </c>
      <c r="BE48" s="14">
        <f>IF(AND(R48="",AD48="",AL48="",AT48="",BD48=""),"",((R48*25)+(AD48*22)+(AL48*18)+(AT48*15)+(BD48*20))/100)</f>
        <v/>
      </c>
      <c r="BF48" s="11">
        <f>IF(BE48="","",IF(BE48&gt;=0.75,"A",IF(BE48&gt;=0.5,"B",IF(BE48&gt;=0.35,"C","Watchlist"))))</f>
        <v/>
      </c>
      <c r="BG48" s="11">
        <f>IF(OR(BE48="",BE48&lt;0.5,R48="",R48&lt;0.35,AD48="",AD48&lt;0.35,AL48="",AL48&lt;0.35,AT48="",AT48&lt;0.35,BD48="",BD48&lt;0.35),"Watchlist","Ranked")</f>
        <v/>
      </c>
      <c r="BH48" s="15">
        <f>IF(AND(Q48="",AC48="",AK48="",AS48="",BC48=""),"",(IF(Q48="",0,Q48*25)+IF(AC48="",0,AC48*22)+IF(AK48="",0,AK48*18)+IF(AS48="",0,AS48*15)+IF(BC48="",0,BC48*20))/(IF(Q48="",0,25)+IF(AC48="",0,22)+IF(AK48="",0,18)+IF(AS48="",0,15)+IF(BC48="",0,20)))</f>
        <v/>
      </c>
      <c r="BI48" s="11">
        <f>IF(BG48="Ranked",1+COUNTIFS($BG$2:$BG$103,"Ranked",$BH$2:$BH$103,"&gt;"&amp;BH48),"")</f>
        <v/>
      </c>
      <c r="BJ48" s="11">
        <f>City_Inputs!$AH48</f>
        <v/>
      </c>
    </row>
    <row r="49">
      <c r="A49" t="inlineStr">
        <is>
          <t>ru-nizhny-novgorod</t>
        </is>
      </c>
      <c r="B49" t="inlineStr">
        <is>
          <t>Nizhny Novgorod</t>
        </is>
      </c>
      <c r="C49" t="inlineStr">
        <is>
          <t>Russia</t>
        </is>
      </c>
      <c r="D49" t="inlineStr">
        <is>
          <t>Southern/Eastern Europe and Eurasia</t>
        </is>
      </c>
      <c r="E49" t="inlineStr">
        <is>
          <t>provisional</t>
        </is>
      </c>
      <c r="F49" t="inlineStr">
        <is>
          <t>secondary</t>
        </is>
      </c>
      <c r="G49" s="11">
        <f>IF(OR(City_Inputs!$M49="",Norm_Stats!$F$2="",Norm_Stats!$G$2="",Norm_Stats!$G$2=Norm_Stats!$F$2),"",MAX(0,MIN(100,100*(MIN(MAX(City_Inputs!$M49,Norm_Stats!$F$2),Norm_Stats!$G$2)-Norm_Stats!$F$2)/(Norm_Stats!$G$2-Norm_Stats!$F$2))))</f>
        <v/>
      </c>
      <c r="H49" s="14">
        <f>IF(G49="","",1)</f>
        <v/>
      </c>
      <c r="I49" s="11">
        <f>IF(OR(City_Inputs!$N49="",Norm_Stats!$F$3="",Norm_Stats!$G$3="",Norm_Stats!$G$3=Norm_Stats!$F$3),"",MAX(0,MIN(100,100*(Norm_Stats!$G$3-MIN(MAX(City_Inputs!$N49,Norm_Stats!$F$3),Norm_Stats!$G$3))/(Norm_Stats!$G$3-Norm_Stats!$F$3))))</f>
        <v/>
      </c>
      <c r="J49" s="14">
        <f>IF(I49="","",1)</f>
        <v/>
      </c>
      <c r="K49" s="11">
        <f>IF(OR(City_Inputs!$P49="",Norm_Stats!$F$4="",Norm_Stats!$G$4="",Norm_Stats!$G$4=Norm_Stats!$F$4),"",MAX(0,MIN(100,100*(Norm_Stats!$G$4-MIN(MAX(City_Inputs!$P49,Norm_Stats!$F$4),Norm_Stats!$G$4))/(Norm_Stats!$G$4-Norm_Stats!$F$4))))</f>
        <v/>
      </c>
      <c r="L49" s="14">
        <f>IF(K49="","",1)</f>
        <v/>
      </c>
      <c r="M49" s="11">
        <f>IF(OR(City_Inputs!$Q49="",Norm_Stats!$F$5="",Norm_Stats!$G$5="",Norm_Stats!$G$5=Norm_Stats!$F$5),"",MAX(0,MIN(100,100*(Norm_Stats!$G$5-MIN(MAX(City_Inputs!$Q49,Norm_Stats!$F$5),Norm_Stats!$G$5))/(Norm_Stats!$G$5-Norm_Stats!$F$5))))</f>
        <v/>
      </c>
      <c r="N49" s="14">
        <f>IF(M49="","",1)</f>
        <v/>
      </c>
      <c r="O49" s="11">
        <f>IF(OR(City_Inputs!$R49="",Norm_Stats!$F$6="",Norm_Stats!$G$6="",Norm_Stats!$G$6=Norm_Stats!$F$6),"",MAX(0,MIN(100,100*(Norm_Stats!$G$6-MIN(MAX(City_Inputs!$R49,Norm_Stats!$F$6),Norm_Stats!$G$6))/(Norm_Stats!$G$6-Norm_Stats!$F$6))))</f>
        <v/>
      </c>
      <c r="P49" s="14">
        <f>IF(O49="","",1)</f>
        <v/>
      </c>
      <c r="Q49" s="15">
        <f>IF((IF(G49="",0,9)+IF(I49="",0,5)+IF(K49="",0,4)+IF(M49="",0,4)+IF(O49="",0,3))=0,"",(IF(G49="",0,G49*9)+IF(I49="",0,I49*5)+IF(K49="",0,K49*4)+IF(M49="",0,M49*4)+IF(O49="",0,O49*3))/(IF(G49="",0,9)+IF(I49="",0,5)+IF(K49="",0,4)+IF(M49="",0,4)+IF(O49="",0,3)))</f>
        <v/>
      </c>
      <c r="R49" s="14">
        <f>IF((IF(H49="",0,9)+IF(J49="",0,5)+IF(L49="",0,4)+IF(N49="",0,4)+IF(P49="",0,3))=0,"",(IF(H49="",0,H49*9)+IF(J49="",0,J49*5)+IF(L49="",0,L49*4)+IF(N49="",0,N49*4)+IF(P49="",0,P49*3))/25)</f>
        <v/>
      </c>
      <c r="S49" s="11">
        <f>IF(OR(City_Inputs!$S49="",Norm_Stats!$F$7="",Norm_Stats!$G$7="",Norm_Stats!$G$7=Norm_Stats!$F$7),"",MAX(0,MIN(100,100*(Norm_Stats!$G$7-MIN(MAX(City_Inputs!$S49,Norm_Stats!$F$7),Norm_Stats!$G$7))/(Norm_Stats!$G$7-Norm_Stats!$F$7))))</f>
        <v/>
      </c>
      <c r="T49" s="14">
        <f>IF(S49="","",1)</f>
        <v/>
      </c>
      <c r="U49" s="11">
        <f>IF(OR(City_Inputs!$T49="",Norm_Stats!$F$8="",Norm_Stats!$G$8="",Norm_Stats!$G$8=Norm_Stats!$F$8),"",MAX(0,MIN(100,100*(MIN(MAX(City_Inputs!$T49,Norm_Stats!$F$8),Norm_Stats!$G$8)-Norm_Stats!$F$8)/(Norm_Stats!$G$8-Norm_Stats!$F$8))))</f>
        <v/>
      </c>
      <c r="V49" s="14">
        <f>IF(U49="","",1)</f>
        <v/>
      </c>
      <c r="W49" s="11">
        <f>IF(OR(City_Inputs!$U49="",Norm_Stats!$F$9="",Norm_Stats!$G$9="",Norm_Stats!$G$9=Norm_Stats!$F$9),"",MAX(0,MIN(100,100*(Norm_Stats!$G$9-MIN(MAX(City_Inputs!$U49,Norm_Stats!$F$9),Norm_Stats!$G$9))/(Norm_Stats!$G$9-Norm_Stats!$F$9))))</f>
        <v/>
      </c>
      <c r="X49" s="14">
        <f>IF(W49="","",1)</f>
        <v/>
      </c>
      <c r="Y49" s="11">
        <f>IF(OR(City_Inputs!$V49="",Norm_Stats!$F$10="",Norm_Stats!$G$10="",Norm_Stats!$G$10=Norm_Stats!$F$10),"",MAX(0,MIN(100,100*(MIN(MAX(City_Inputs!$V49,Norm_Stats!$F$10),Norm_Stats!$G$10)-Norm_Stats!$F$10)/(Norm_Stats!$G$10-Norm_Stats!$F$10))))</f>
        <v/>
      </c>
      <c r="Z49" s="14">
        <f>IF(Y49="","",1)</f>
        <v/>
      </c>
      <c r="AA49" s="11">
        <f>IF(OR(City_Inputs!$W49="",Norm_Stats!$F$11="",Norm_Stats!$G$11="",Norm_Stats!$G$11=Norm_Stats!$F$11),"",MAX(0,MIN(100,100*(MIN(MAX(City_Inputs!$W49,Norm_Stats!$F$11),Norm_Stats!$G$11)-Norm_Stats!$F$11)/(Norm_Stats!$G$11-Norm_Stats!$F$11))))</f>
        <v/>
      </c>
      <c r="AB49" s="14">
        <f>IF(AA49="","",1)</f>
        <v/>
      </c>
      <c r="AC49" s="15">
        <f>IF((IF(S49="",0,5)+IF(U49="",0,5)+IF(W49="",0,4)+IF(Y49="",0,4)+IF(AA49="",0,4))=0,"",(IF(S49="",0,S49*5)+IF(U49="",0,U49*5)+IF(W49="",0,W49*4)+IF(Y49="",0,Y49*4)+IF(AA49="",0,AA49*4))/(IF(S49="",0,5)+IF(U49="",0,5)+IF(W49="",0,4)+IF(Y49="",0,4)+IF(AA49="",0,4)))</f>
        <v/>
      </c>
      <c r="AD49" s="14">
        <f>IF((IF(T49="",0,5)+IF(V49="",0,5)+IF(X49="",0,4)+IF(Z49="",0,4)+IF(AB49="",0,4))=0,"",(IF(T49="",0,T49*5)+IF(V49="",0,V49*5)+IF(X49="",0,X49*4)+IF(Z49="",0,Z49*4)+IF(AB49="",0,AB49*4))/22)</f>
        <v/>
      </c>
      <c r="AE49" s="11">
        <f>IF(OR(City_Inputs!$X49="",Norm_Stats!$F$12="",Norm_Stats!$G$12="",Norm_Stats!$G$12=Norm_Stats!$F$12),"",MAX(0,MIN(100,100*(MIN(MAX(City_Inputs!$X49,Norm_Stats!$F$12),Norm_Stats!$G$12)-Norm_Stats!$F$12)/(Norm_Stats!$G$12-Norm_Stats!$F$12))))</f>
        <v/>
      </c>
      <c r="AF49" s="14">
        <f>IF(AE49="","",1)</f>
        <v/>
      </c>
      <c r="AG49" s="11">
        <f>IF(OR(City_Inputs!$Y49="",Norm_Stats!$F$13="",Norm_Stats!$G$13="",Norm_Stats!$G$13=Norm_Stats!$F$13),"",MAX(0,MIN(100,100*(MIN(MAX(City_Inputs!$Y49,Norm_Stats!$F$13),Norm_Stats!$G$13)-Norm_Stats!$F$13)/(Norm_Stats!$G$13-Norm_Stats!$F$13))))</f>
        <v/>
      </c>
      <c r="AH49" s="14">
        <f>IF(AG49="","",1)</f>
        <v/>
      </c>
      <c r="AI49" s="11">
        <f>IF((IF((IF(OR(City_Inputs!$Z49="",Norm_Stats!$F$14="",Norm_Stats!$G$14="",Norm_Stats!$G$14=Norm_Stats!$F$14),"",MAX(0,MIN(100,100*(MIN(MAX(City_Inputs!$Z49,Norm_Stats!$F$14),Norm_Stats!$G$14)-Norm_Stats!$F$14)/(Norm_Stats!$G$14-Norm_Stats!$F$14)))))="",0,0.7)+IF((IF(OR(City_Inputs!$AK49="",Norm_Stats!$F$15="",Norm_Stats!$G$15="",Norm_Stats!$G$15=Norm_Stats!$F$15),"",MAX(0,MIN(100,100*(Norm_Stats!$G$15-MIN(MAX(City_Inputs!$AK49,Norm_Stats!$F$15),Norm_Stats!$G$15))/(Norm_Stats!$G$15-Norm_Stats!$F$15)))))="",0,0.3))=0,"",(IF((IF(OR(City_Inputs!$Z49="",Norm_Stats!$F$14="",Norm_Stats!$G$14="",Norm_Stats!$G$14=Norm_Stats!$F$14),"",MAX(0,MIN(100,100*(MIN(MAX(City_Inputs!$Z49,Norm_Stats!$F$14),Norm_Stats!$G$14)-Norm_Stats!$F$14)/(Norm_Stats!$G$14-Norm_Stats!$F$14)))))="",0,(IF(OR(City_Inputs!$Z49="",Norm_Stats!$F$14="",Norm_Stats!$G$14="",Norm_Stats!$G$14=Norm_Stats!$F$14),"",MAX(0,MIN(100,100*(MIN(MAX(City_Inputs!$Z49,Norm_Stats!$F$14),Norm_Stats!$G$14)-Norm_Stats!$F$14)/(Norm_Stats!$G$14-Norm_Stats!$F$14)))))*0.7)+IF((IF(OR(City_Inputs!$AK49="",Norm_Stats!$F$15="",Norm_Stats!$G$15="",Norm_Stats!$G$15=Norm_Stats!$F$15),"",MAX(0,MIN(100,100*(Norm_Stats!$G$15-MIN(MAX(City_Inputs!$AK49,Norm_Stats!$F$15),Norm_Stats!$G$15))/(Norm_Stats!$G$15-Norm_Stats!$F$15)))))="",0,(IF(OR(City_Inputs!$AK49="",Norm_Stats!$F$15="",Norm_Stats!$G$15="",Norm_Stats!$G$15=Norm_Stats!$F$15),"",MAX(0,MIN(100,100*(Norm_Stats!$G$15-MIN(MAX(City_Inputs!$AK49,Norm_Stats!$F$15),Norm_Stats!$G$15))/(Norm_Stats!$G$15-Norm_Stats!$F$15)))))*0.3))/(IF((IF(OR(City_Inputs!$Z49="",Norm_Stats!$F$14="",Norm_Stats!$G$14="",Norm_Stats!$G$14=Norm_Stats!$F$14),"",MAX(0,MIN(100,100*(MIN(MAX(City_Inputs!$Z49,Norm_Stats!$F$14),Norm_Stats!$G$14)-Norm_Stats!$F$14)/(Norm_Stats!$G$14-Norm_Stats!$F$14)))))="",0,0.7)+IF((IF(OR(City_Inputs!$AK49="",Norm_Stats!$F$15="",Norm_Stats!$G$15="",Norm_Stats!$G$15=Norm_Stats!$F$15),"",MAX(0,MIN(100,100*(Norm_Stats!$G$15-MIN(MAX(City_Inputs!$AK49,Norm_Stats!$F$15),Norm_Stats!$G$15))/(Norm_Stats!$G$15-Norm_Stats!$F$15)))))="",0,0.3)))</f>
        <v/>
      </c>
      <c r="AJ49" s="14">
        <f>IF((IF((IF(OR(City_Inputs!$Z49="",Norm_Stats!$F$14="",Norm_Stats!$G$14="",Norm_Stats!$G$14=Norm_Stats!$F$14),"",MAX(0,MIN(100,100*(MIN(MAX(City_Inputs!$Z49,Norm_Stats!$F$14),Norm_Stats!$G$14)-Norm_Stats!$F$14)/(Norm_Stats!$G$14-Norm_Stats!$F$14)))))="",0,0.7)+IF((IF(OR(City_Inputs!$AK49="",Norm_Stats!$F$15="",Norm_Stats!$G$15="",Norm_Stats!$G$15=Norm_Stats!$F$15),"",MAX(0,MIN(100,100*(Norm_Stats!$G$15-MIN(MAX(City_Inputs!$AK49,Norm_Stats!$F$15),Norm_Stats!$G$15))/(Norm_Stats!$G$15-Norm_Stats!$F$15)))))="",0,0.3))=0,"",(IF((IF(OR(City_Inputs!$Z49="",Norm_Stats!$F$14="",Norm_Stats!$G$14="",Norm_Stats!$G$14=Norm_Stats!$F$14),"",MAX(0,MIN(100,100*(MIN(MAX(City_Inputs!$Z49,Norm_Stats!$F$14),Norm_Stats!$G$14)-Norm_Stats!$F$14)/(Norm_Stats!$G$14-Norm_Stats!$F$14)))))="",0,0.7)+IF((IF(OR(City_Inputs!$AK49="",Norm_Stats!$F$15="",Norm_Stats!$G$15="",Norm_Stats!$G$15=Norm_Stats!$F$15),"",MAX(0,MIN(100,100*(Norm_Stats!$G$15-MIN(MAX(City_Inputs!$AK49,Norm_Stats!$F$15),Norm_Stats!$G$15))/(Norm_Stats!$G$15-Norm_Stats!$F$15)))))="",0,0.3)))</f>
        <v/>
      </c>
      <c r="AK49" s="15">
        <f>IF((IF(AE49="",0,8)+IF(AG49="",0,6)+IF(AI49="",0,4))=0,"",(IF(AE49="",0,AE49*8)+IF(AG49="",0,AG49*6)+IF(AI49="",0,AI49*4))/(IF(AE49="",0,8)+IF(AG49="",0,6)+IF(AI49="",0,4)))</f>
        <v/>
      </c>
      <c r="AL49" s="14">
        <f>IF((IF(AF49="",0,8)+IF(AH49="",0,6)+IF(AJ49="",0,4))=0,"",(IF(AF49="",0,AF49*8)+IF(AH49="",0,AH49*6)+IF(AJ49="",0,AJ49*4))/18)</f>
        <v/>
      </c>
      <c r="AM49" s="11">
        <f>IF(OR(City_Inputs!$AA49="",Norm_Stats!$F$16="",Norm_Stats!$G$16="",Norm_Stats!$G$16=Norm_Stats!$F$16),"",MAX(0,MIN(100,100*(MIN(MAX(City_Inputs!$AA49,Norm_Stats!$F$16),Norm_Stats!$G$16)-Norm_Stats!$F$16)/(Norm_Stats!$G$16-Norm_Stats!$F$16))))</f>
        <v/>
      </c>
      <c r="AN49" s="14">
        <f>IF(AM49="","",1)</f>
        <v/>
      </c>
      <c r="AO49" s="11">
        <f>IF(OR(City_Inputs!$AB49="",Norm_Stats!$F$17="",Norm_Stats!$G$17="",Norm_Stats!$G$17=Norm_Stats!$F$17),"",MAX(0,MIN(100,100*(MIN(MAX(City_Inputs!$AB49,Norm_Stats!$F$17),Norm_Stats!$G$17)-Norm_Stats!$F$17)/(Norm_Stats!$G$17-Norm_Stats!$F$17))))</f>
        <v/>
      </c>
      <c r="AP49" s="14">
        <f>IF(AO49="","",1)</f>
        <v/>
      </c>
      <c r="AQ49" s="11">
        <f>IF(OR(City_Inputs!$AC49="",Norm_Stats!$F$18="",Norm_Stats!$G$18="",Norm_Stats!$G$18=Norm_Stats!$F$18),"",MAX(0,MIN(100,100*(MIN(MAX(City_Inputs!$AC49,Norm_Stats!$F$18),Norm_Stats!$G$18)-Norm_Stats!$F$18)/(Norm_Stats!$G$18-Norm_Stats!$F$18))))</f>
        <v/>
      </c>
      <c r="AR49" s="14">
        <f>IF(AQ49="","",1)</f>
        <v/>
      </c>
      <c r="AS49" s="15">
        <f>IF((IF(AM49="",0,5)+IF(AO49="",0,5)+IF(AQ49="",0,5))=0,"",(IF(AM49="",0,AM49*5)+IF(AO49="",0,AO49*5)+IF(AQ49="",0,AQ49*5))/(IF(AM49="",0,5)+IF(AO49="",0,5)+IF(AQ49="",0,5)))</f>
        <v/>
      </c>
      <c r="AT49" s="14">
        <f>IF((IF(AN49="",0,5)+IF(AP49="",0,5)+IF(AR49="",0,5))=0,"",(IF(AN49="",0,AN49*5)+IF(AP49="",0,AP49*5)+IF(AR49="",0,AR49*5))/15)</f>
        <v/>
      </c>
      <c r="AU49" s="11">
        <f>IF(OR(City_Inputs!$AD49="",Norm_Stats!$F$19="",Norm_Stats!$G$19="",Norm_Stats!$G$19=Norm_Stats!$F$19),"",MAX(0,MIN(100,100*(MIN(MAX(City_Inputs!$AD49,Norm_Stats!$F$19),Norm_Stats!$G$19)-Norm_Stats!$F$19)/(Norm_Stats!$G$19-Norm_Stats!$F$19))))</f>
        <v/>
      </c>
      <c r="AV49" s="14">
        <f>IF(AU49="","",1)</f>
        <v/>
      </c>
      <c r="AW49" s="11">
        <f>IF(OR(City_Inputs!$AE49="",Norm_Stats!$F$20="",Norm_Stats!$G$20="",Norm_Stats!$G$20=Norm_Stats!$F$20),"",MAX(0,MIN(100,100*(MIN(MAX(City_Inputs!$AE49,Norm_Stats!$F$20),Norm_Stats!$G$20)-Norm_Stats!$F$20)/(Norm_Stats!$G$20-Norm_Stats!$F$20))))</f>
        <v/>
      </c>
      <c r="AX49" s="14">
        <f>IF(AW49="","",1)</f>
        <v/>
      </c>
      <c r="AY49" s="11">
        <f>IF((IF((IF(OR(City_Inputs!$AF49="",Norm_Stats!$F$21="",Norm_Stats!$G$21="",Norm_Stats!$G$21=Norm_Stats!$F$21),"",MAX(0,MIN(100,100*(MIN(MAX(City_Inputs!$AF49,Norm_Stats!$F$21),Norm_Stats!$G$21)-Norm_Stats!$F$21)/(Norm_Stats!$G$21-Norm_Stats!$F$21)))))="",0,0.5)+IF((IF(OR(City_Inputs!$AI49="",Norm_Stats!$F$22="",Norm_Stats!$G$22="",Norm_Stats!$G$22=Norm_Stats!$F$22),"",MAX(0,MIN(100,100*(MIN(MAX(City_Inputs!$AI49,Norm_Stats!$F$22),Norm_Stats!$G$22)-Norm_Stats!$F$22)/(Norm_Stats!$G$22-Norm_Stats!$F$22)))))="",0,0.3)+IF((IF(OR(City_Inputs!$AJ49="",Norm_Stats!$F$23="",Norm_Stats!$G$23="",Norm_Stats!$G$23=Norm_Stats!$F$23),"",MAX(0,MIN(100,100*(MIN(MAX(City_Inputs!$AJ49,Norm_Stats!$F$23),Norm_Stats!$G$23)-Norm_Stats!$F$23)/(Norm_Stats!$G$23-Norm_Stats!$F$23)))))="",0,0.2))=0,"",(IF((IF(OR(City_Inputs!$AF49="",Norm_Stats!$F$21="",Norm_Stats!$G$21="",Norm_Stats!$G$21=Norm_Stats!$F$21),"",MAX(0,MIN(100,100*(MIN(MAX(City_Inputs!$AF49,Norm_Stats!$F$21),Norm_Stats!$G$21)-Norm_Stats!$F$21)/(Norm_Stats!$G$21-Norm_Stats!$F$21)))))="",0,(IF(OR(City_Inputs!$AF49="",Norm_Stats!$F$21="",Norm_Stats!$G$21="",Norm_Stats!$G$21=Norm_Stats!$F$21),"",MAX(0,MIN(100,100*(MIN(MAX(City_Inputs!$AF49,Norm_Stats!$F$21),Norm_Stats!$G$21)-Norm_Stats!$F$21)/(Norm_Stats!$G$21-Norm_Stats!$F$21)))))*0.5)+IF((IF(OR(City_Inputs!$AI49="",Norm_Stats!$F$22="",Norm_Stats!$G$22="",Norm_Stats!$G$22=Norm_Stats!$F$22),"",MAX(0,MIN(100,100*(MIN(MAX(City_Inputs!$AI49,Norm_Stats!$F$22),Norm_Stats!$G$22)-Norm_Stats!$F$22)/(Norm_Stats!$G$22-Norm_Stats!$F$22)))))="",0,(IF(OR(City_Inputs!$AI49="",Norm_Stats!$F$22="",Norm_Stats!$G$22="",Norm_Stats!$G$22=Norm_Stats!$F$22),"",MAX(0,MIN(100,100*(MIN(MAX(City_Inputs!$AI49,Norm_Stats!$F$22),Norm_Stats!$G$22)-Norm_Stats!$F$22)/(Norm_Stats!$G$22-Norm_Stats!$F$22)))))*0.3)+IF((IF(OR(City_Inputs!$AJ49="",Norm_Stats!$F$23="",Norm_Stats!$G$23="",Norm_Stats!$G$23=Norm_Stats!$F$23),"",MAX(0,MIN(100,100*(MIN(MAX(City_Inputs!$AJ49,Norm_Stats!$F$23),Norm_Stats!$G$23)-Norm_Stats!$F$23)/(Norm_Stats!$G$23-Norm_Stats!$F$23)))))="",0,(IF(OR(City_Inputs!$AJ49="",Norm_Stats!$F$23="",Norm_Stats!$G$23="",Norm_Stats!$G$23=Norm_Stats!$F$23),"",MAX(0,MIN(100,100*(MIN(MAX(City_Inputs!$AJ49,Norm_Stats!$F$23),Norm_Stats!$G$23)-Norm_Stats!$F$23)/(Norm_Stats!$G$23-Norm_Stats!$F$23)))))*0.2))/(IF((IF(OR(City_Inputs!$AF49="",Norm_Stats!$F$21="",Norm_Stats!$G$21="",Norm_Stats!$G$21=Norm_Stats!$F$21),"",MAX(0,MIN(100,100*(MIN(MAX(City_Inputs!$AF49,Norm_Stats!$F$21),Norm_Stats!$G$21)-Norm_Stats!$F$21)/(Norm_Stats!$G$21-Norm_Stats!$F$21)))))="",0,0.5)+IF((IF(OR(City_Inputs!$AI49="",Norm_Stats!$F$22="",Norm_Stats!$G$22="",Norm_Stats!$G$22=Norm_Stats!$F$22),"",MAX(0,MIN(100,100*(MIN(MAX(City_Inputs!$AI49,Norm_Stats!$F$22),Norm_Stats!$G$22)-Norm_Stats!$F$22)/(Norm_Stats!$G$22-Norm_Stats!$F$22)))))="",0,0.3)+IF((IF(OR(City_Inputs!$AJ49="",Norm_Stats!$F$23="",Norm_Stats!$G$23="",Norm_Stats!$G$23=Norm_Stats!$F$23),"",MAX(0,MIN(100,100*(MIN(MAX(City_Inputs!$AJ49,Norm_Stats!$F$23),Norm_Stats!$G$23)-Norm_Stats!$F$23)/(Norm_Stats!$G$23-Norm_Stats!$F$23)))))="",0,0.2)))</f>
        <v/>
      </c>
      <c r="AZ49" s="14">
        <f>IF((IF((IF(OR(City_Inputs!$AF49="",Norm_Stats!$F$21="",Norm_Stats!$G$21="",Norm_Stats!$G$21=Norm_Stats!$F$21),"",MAX(0,MIN(100,100*(MIN(MAX(City_Inputs!$AF49,Norm_Stats!$F$21),Norm_Stats!$G$21)-Norm_Stats!$F$21)/(Norm_Stats!$G$21-Norm_Stats!$F$21)))))="",0,0.5)+IF((IF(OR(City_Inputs!$AI49="",Norm_Stats!$F$22="",Norm_Stats!$G$22="",Norm_Stats!$G$22=Norm_Stats!$F$22),"",MAX(0,MIN(100,100*(MIN(MAX(City_Inputs!$AI49,Norm_Stats!$F$22),Norm_Stats!$G$22)-Norm_Stats!$F$22)/(Norm_Stats!$G$22-Norm_Stats!$F$22)))))="",0,0.3)+IF((IF(OR(City_Inputs!$AJ49="",Norm_Stats!$F$23="",Norm_Stats!$G$23="",Norm_Stats!$G$23=Norm_Stats!$F$23),"",MAX(0,MIN(100,100*(MIN(MAX(City_Inputs!$AJ49,Norm_Stats!$F$23),Norm_Stats!$G$23)-Norm_Stats!$F$23)/(Norm_Stats!$G$23-Norm_Stats!$F$23)))))="",0,0.2))=0,"",(IF((IF(OR(City_Inputs!$AF49="",Norm_Stats!$F$21="",Norm_Stats!$G$21="",Norm_Stats!$G$21=Norm_Stats!$F$21),"",MAX(0,MIN(100,100*(MIN(MAX(City_Inputs!$AF49,Norm_Stats!$F$21),Norm_Stats!$G$21)-Norm_Stats!$F$21)/(Norm_Stats!$G$21-Norm_Stats!$F$21)))))="",0,0.5)+IF((IF(OR(City_Inputs!$AI49="",Norm_Stats!$F$22="",Norm_Stats!$G$22="",Norm_Stats!$G$22=Norm_Stats!$F$22),"",MAX(0,MIN(100,100*(MIN(MAX(City_Inputs!$AI49,Norm_Stats!$F$22),Norm_Stats!$G$22)-Norm_Stats!$F$22)/(Norm_Stats!$G$22-Norm_Stats!$F$22)))))="",0,0.3)+IF((IF(OR(City_Inputs!$AJ49="",Norm_Stats!$F$23="",Norm_Stats!$G$23="",Norm_Stats!$G$23=Norm_Stats!$F$23),"",MAX(0,MIN(100,100*(MIN(MAX(City_Inputs!$AJ49,Norm_Stats!$F$23),Norm_Stats!$G$23)-Norm_Stats!$F$23)/(Norm_Stats!$G$23-Norm_Stats!$F$23)))))="",0,0.2)))</f>
        <v/>
      </c>
      <c r="BA49" s="11">
        <f>IF(OR(City_Inputs!$AG49="",Norm_Stats!$F$24="",Norm_Stats!$G$24="",Norm_Stats!$G$24=Norm_Stats!$F$24),"",MAX(0,MIN(100,100*(Norm_Stats!$G$24-MIN(MAX(City_Inputs!$AG49,Norm_Stats!$F$24),Norm_Stats!$G$24))/(Norm_Stats!$G$24-Norm_Stats!$F$24))))</f>
        <v/>
      </c>
      <c r="BB49" s="14">
        <f>IF(BA49="","",1)</f>
        <v/>
      </c>
      <c r="BC49" s="15">
        <f>IF((IF(AU49="",0,6)+IF(AW49="",0,5)+IF(AY49="",0,5)+IF(BA49="",0,4))=0,"",(IF(AU49="",0,AU49*6)+IF(AW49="",0,AW49*5)+IF(AY49="",0,AY49*5)+IF(BA49="",0,BA49*4))/(IF(AU49="",0,6)+IF(AW49="",0,5)+IF(AY49="",0,5)+IF(BA49="",0,4)))</f>
        <v/>
      </c>
      <c r="BD49" s="14">
        <f>IF((IF(AV49="",0,6)+IF(AX49="",0,5)+IF(AZ49="",0,5)+IF(BB49="",0,4))=0,"",(IF(AV49="",0,AV49*6)+IF(AX49="",0,AX49*5)+IF(AZ49="",0,AZ49*5)+IF(BB49="",0,BB49*4))/20)</f>
        <v/>
      </c>
      <c r="BE49" s="14">
        <f>IF(AND(R49="",AD49="",AL49="",AT49="",BD49=""),"",((R49*25)+(AD49*22)+(AL49*18)+(AT49*15)+(BD49*20))/100)</f>
        <v/>
      </c>
      <c r="BF49" s="11">
        <f>IF(BE49="","",IF(BE49&gt;=0.75,"A",IF(BE49&gt;=0.5,"B",IF(BE49&gt;=0.35,"C","Watchlist"))))</f>
        <v/>
      </c>
      <c r="BG49" s="11">
        <f>IF(OR(BE49="",BE49&lt;0.5,R49="",R49&lt;0.35,AD49="",AD49&lt;0.35,AL49="",AL49&lt;0.35,AT49="",AT49&lt;0.35,BD49="",BD49&lt;0.35),"Watchlist","Ranked")</f>
        <v/>
      </c>
      <c r="BH49" s="15">
        <f>IF(AND(Q49="",AC49="",AK49="",AS49="",BC49=""),"",(IF(Q49="",0,Q49*25)+IF(AC49="",0,AC49*22)+IF(AK49="",0,AK49*18)+IF(AS49="",0,AS49*15)+IF(BC49="",0,BC49*20))/(IF(Q49="",0,25)+IF(AC49="",0,22)+IF(AK49="",0,18)+IF(AS49="",0,15)+IF(BC49="",0,20)))</f>
        <v/>
      </c>
      <c r="BI49" s="11">
        <f>IF(BG49="Ranked",1+COUNTIFS($BG$2:$BG$103,"Ranked",$BH$2:$BH$103,"&gt;"&amp;BH49),"")</f>
        <v/>
      </c>
      <c r="BJ49" s="11">
        <f>City_Inputs!$AH49</f>
        <v/>
      </c>
    </row>
    <row r="50">
      <c r="A50" t="inlineStr">
        <is>
          <t>pl-katowice</t>
        </is>
      </c>
      <c r="B50" t="inlineStr">
        <is>
          <t>Katowice</t>
        </is>
      </c>
      <c r="C50" t="inlineStr">
        <is>
          <t>Poland</t>
        </is>
      </c>
      <c r="D50" t="inlineStr">
        <is>
          <t>Southern/Eastern Europe and Eurasia</t>
        </is>
      </c>
      <c r="E50" t="inlineStr">
        <is>
          <t>locked</t>
        </is>
      </c>
      <c r="F50" t="inlineStr">
        <is>
          <t>secondary</t>
        </is>
      </c>
      <c r="G50" s="11">
        <f>IF(OR(City_Inputs!$M50="",Norm_Stats!$F$2="",Norm_Stats!$G$2="",Norm_Stats!$G$2=Norm_Stats!$F$2),"",MAX(0,MIN(100,100*(MIN(MAX(City_Inputs!$M50,Norm_Stats!$F$2),Norm_Stats!$G$2)-Norm_Stats!$F$2)/(Norm_Stats!$G$2-Norm_Stats!$F$2))))</f>
        <v/>
      </c>
      <c r="H50" s="14">
        <f>IF(G50="","",1)</f>
        <v/>
      </c>
      <c r="I50" s="11">
        <f>IF(OR(City_Inputs!$N50="",Norm_Stats!$F$3="",Norm_Stats!$G$3="",Norm_Stats!$G$3=Norm_Stats!$F$3),"",MAX(0,MIN(100,100*(Norm_Stats!$G$3-MIN(MAX(City_Inputs!$N50,Norm_Stats!$F$3),Norm_Stats!$G$3))/(Norm_Stats!$G$3-Norm_Stats!$F$3))))</f>
        <v/>
      </c>
      <c r="J50" s="14">
        <f>IF(I50="","",1)</f>
        <v/>
      </c>
      <c r="K50" s="11">
        <f>IF(OR(City_Inputs!$P50="",Norm_Stats!$F$4="",Norm_Stats!$G$4="",Norm_Stats!$G$4=Norm_Stats!$F$4),"",MAX(0,MIN(100,100*(Norm_Stats!$G$4-MIN(MAX(City_Inputs!$P50,Norm_Stats!$F$4),Norm_Stats!$G$4))/(Norm_Stats!$G$4-Norm_Stats!$F$4))))</f>
        <v/>
      </c>
      <c r="L50" s="14">
        <f>IF(K50="","",1)</f>
        <v/>
      </c>
      <c r="M50" s="11">
        <f>IF(OR(City_Inputs!$Q50="",Norm_Stats!$F$5="",Norm_Stats!$G$5="",Norm_Stats!$G$5=Norm_Stats!$F$5),"",MAX(0,MIN(100,100*(Norm_Stats!$G$5-MIN(MAX(City_Inputs!$Q50,Norm_Stats!$F$5),Norm_Stats!$G$5))/(Norm_Stats!$G$5-Norm_Stats!$F$5))))</f>
        <v/>
      </c>
      <c r="N50" s="14">
        <f>IF(M50="","",1)</f>
        <v/>
      </c>
      <c r="O50" s="11">
        <f>IF(OR(City_Inputs!$R50="",Norm_Stats!$F$6="",Norm_Stats!$G$6="",Norm_Stats!$G$6=Norm_Stats!$F$6),"",MAX(0,MIN(100,100*(Norm_Stats!$G$6-MIN(MAX(City_Inputs!$R50,Norm_Stats!$F$6),Norm_Stats!$G$6))/(Norm_Stats!$G$6-Norm_Stats!$F$6))))</f>
        <v/>
      </c>
      <c r="P50" s="14">
        <f>IF(O50="","",1)</f>
        <v/>
      </c>
      <c r="Q50" s="15">
        <f>IF((IF(G50="",0,9)+IF(I50="",0,5)+IF(K50="",0,4)+IF(M50="",0,4)+IF(O50="",0,3))=0,"",(IF(G50="",0,G50*9)+IF(I50="",0,I50*5)+IF(K50="",0,K50*4)+IF(M50="",0,M50*4)+IF(O50="",0,O50*3))/(IF(G50="",0,9)+IF(I50="",0,5)+IF(K50="",0,4)+IF(M50="",0,4)+IF(O50="",0,3)))</f>
        <v/>
      </c>
      <c r="R50" s="14">
        <f>IF((IF(H50="",0,9)+IF(J50="",0,5)+IF(L50="",0,4)+IF(N50="",0,4)+IF(P50="",0,3))=0,"",(IF(H50="",0,H50*9)+IF(J50="",0,J50*5)+IF(L50="",0,L50*4)+IF(N50="",0,N50*4)+IF(P50="",0,P50*3))/25)</f>
        <v/>
      </c>
      <c r="S50" s="11">
        <f>IF(OR(City_Inputs!$S50="",Norm_Stats!$F$7="",Norm_Stats!$G$7="",Norm_Stats!$G$7=Norm_Stats!$F$7),"",MAX(0,MIN(100,100*(Norm_Stats!$G$7-MIN(MAX(City_Inputs!$S50,Norm_Stats!$F$7),Norm_Stats!$G$7))/(Norm_Stats!$G$7-Norm_Stats!$F$7))))</f>
        <v/>
      </c>
      <c r="T50" s="14">
        <f>IF(S50="","",1)</f>
        <v/>
      </c>
      <c r="U50" s="11">
        <f>IF(OR(City_Inputs!$T50="",Norm_Stats!$F$8="",Norm_Stats!$G$8="",Norm_Stats!$G$8=Norm_Stats!$F$8),"",MAX(0,MIN(100,100*(MIN(MAX(City_Inputs!$T50,Norm_Stats!$F$8),Norm_Stats!$G$8)-Norm_Stats!$F$8)/(Norm_Stats!$G$8-Norm_Stats!$F$8))))</f>
        <v/>
      </c>
      <c r="V50" s="14">
        <f>IF(U50="","",1)</f>
        <v/>
      </c>
      <c r="W50" s="11">
        <f>IF(OR(City_Inputs!$U50="",Norm_Stats!$F$9="",Norm_Stats!$G$9="",Norm_Stats!$G$9=Norm_Stats!$F$9),"",MAX(0,MIN(100,100*(Norm_Stats!$G$9-MIN(MAX(City_Inputs!$U50,Norm_Stats!$F$9),Norm_Stats!$G$9))/(Norm_Stats!$G$9-Norm_Stats!$F$9))))</f>
        <v/>
      </c>
      <c r="X50" s="14">
        <f>IF(W50="","",1)</f>
        <v/>
      </c>
      <c r="Y50" s="11">
        <f>IF(OR(City_Inputs!$V50="",Norm_Stats!$F$10="",Norm_Stats!$G$10="",Norm_Stats!$G$10=Norm_Stats!$F$10),"",MAX(0,MIN(100,100*(MIN(MAX(City_Inputs!$V50,Norm_Stats!$F$10),Norm_Stats!$G$10)-Norm_Stats!$F$10)/(Norm_Stats!$G$10-Norm_Stats!$F$10))))</f>
        <v/>
      </c>
      <c r="Z50" s="14">
        <f>IF(Y50="","",1)</f>
        <v/>
      </c>
      <c r="AA50" s="11">
        <f>IF(OR(City_Inputs!$W50="",Norm_Stats!$F$11="",Norm_Stats!$G$11="",Norm_Stats!$G$11=Norm_Stats!$F$11),"",MAX(0,MIN(100,100*(MIN(MAX(City_Inputs!$W50,Norm_Stats!$F$11),Norm_Stats!$G$11)-Norm_Stats!$F$11)/(Norm_Stats!$G$11-Norm_Stats!$F$11))))</f>
        <v/>
      </c>
      <c r="AB50" s="14">
        <f>IF(AA50="","",1)</f>
        <v/>
      </c>
      <c r="AC50" s="15">
        <f>IF((IF(S50="",0,5)+IF(U50="",0,5)+IF(W50="",0,4)+IF(Y50="",0,4)+IF(AA50="",0,4))=0,"",(IF(S50="",0,S50*5)+IF(U50="",0,U50*5)+IF(W50="",0,W50*4)+IF(Y50="",0,Y50*4)+IF(AA50="",0,AA50*4))/(IF(S50="",0,5)+IF(U50="",0,5)+IF(W50="",0,4)+IF(Y50="",0,4)+IF(AA50="",0,4)))</f>
        <v/>
      </c>
      <c r="AD50" s="14">
        <f>IF((IF(T50="",0,5)+IF(V50="",0,5)+IF(X50="",0,4)+IF(Z50="",0,4)+IF(AB50="",0,4))=0,"",(IF(T50="",0,T50*5)+IF(V50="",0,V50*5)+IF(X50="",0,X50*4)+IF(Z50="",0,Z50*4)+IF(AB50="",0,AB50*4))/22)</f>
        <v/>
      </c>
      <c r="AE50" s="11">
        <f>IF(OR(City_Inputs!$X50="",Norm_Stats!$F$12="",Norm_Stats!$G$12="",Norm_Stats!$G$12=Norm_Stats!$F$12),"",MAX(0,MIN(100,100*(MIN(MAX(City_Inputs!$X50,Norm_Stats!$F$12),Norm_Stats!$G$12)-Norm_Stats!$F$12)/(Norm_Stats!$G$12-Norm_Stats!$F$12))))</f>
        <v/>
      </c>
      <c r="AF50" s="14">
        <f>IF(AE50="","",1)</f>
        <v/>
      </c>
      <c r="AG50" s="11">
        <f>IF(OR(City_Inputs!$Y50="",Norm_Stats!$F$13="",Norm_Stats!$G$13="",Norm_Stats!$G$13=Norm_Stats!$F$13),"",MAX(0,MIN(100,100*(MIN(MAX(City_Inputs!$Y50,Norm_Stats!$F$13),Norm_Stats!$G$13)-Norm_Stats!$F$13)/(Norm_Stats!$G$13-Norm_Stats!$F$13))))</f>
        <v/>
      </c>
      <c r="AH50" s="14">
        <f>IF(AG50="","",1)</f>
        <v/>
      </c>
      <c r="AI50" s="11">
        <f>IF((IF((IF(OR(City_Inputs!$Z50="",Norm_Stats!$F$14="",Norm_Stats!$G$14="",Norm_Stats!$G$14=Norm_Stats!$F$14),"",MAX(0,MIN(100,100*(MIN(MAX(City_Inputs!$Z50,Norm_Stats!$F$14),Norm_Stats!$G$14)-Norm_Stats!$F$14)/(Norm_Stats!$G$14-Norm_Stats!$F$14)))))="",0,0.7)+IF((IF(OR(City_Inputs!$AK50="",Norm_Stats!$F$15="",Norm_Stats!$G$15="",Norm_Stats!$G$15=Norm_Stats!$F$15),"",MAX(0,MIN(100,100*(Norm_Stats!$G$15-MIN(MAX(City_Inputs!$AK50,Norm_Stats!$F$15),Norm_Stats!$G$15))/(Norm_Stats!$G$15-Norm_Stats!$F$15)))))="",0,0.3))=0,"",(IF((IF(OR(City_Inputs!$Z50="",Norm_Stats!$F$14="",Norm_Stats!$G$14="",Norm_Stats!$G$14=Norm_Stats!$F$14),"",MAX(0,MIN(100,100*(MIN(MAX(City_Inputs!$Z50,Norm_Stats!$F$14),Norm_Stats!$G$14)-Norm_Stats!$F$14)/(Norm_Stats!$G$14-Norm_Stats!$F$14)))))="",0,(IF(OR(City_Inputs!$Z50="",Norm_Stats!$F$14="",Norm_Stats!$G$14="",Norm_Stats!$G$14=Norm_Stats!$F$14),"",MAX(0,MIN(100,100*(MIN(MAX(City_Inputs!$Z50,Norm_Stats!$F$14),Norm_Stats!$G$14)-Norm_Stats!$F$14)/(Norm_Stats!$G$14-Norm_Stats!$F$14)))))*0.7)+IF((IF(OR(City_Inputs!$AK50="",Norm_Stats!$F$15="",Norm_Stats!$G$15="",Norm_Stats!$G$15=Norm_Stats!$F$15),"",MAX(0,MIN(100,100*(Norm_Stats!$G$15-MIN(MAX(City_Inputs!$AK50,Norm_Stats!$F$15),Norm_Stats!$G$15))/(Norm_Stats!$G$15-Norm_Stats!$F$15)))))="",0,(IF(OR(City_Inputs!$AK50="",Norm_Stats!$F$15="",Norm_Stats!$G$15="",Norm_Stats!$G$15=Norm_Stats!$F$15),"",MAX(0,MIN(100,100*(Norm_Stats!$G$15-MIN(MAX(City_Inputs!$AK50,Norm_Stats!$F$15),Norm_Stats!$G$15))/(Norm_Stats!$G$15-Norm_Stats!$F$15)))))*0.3))/(IF((IF(OR(City_Inputs!$Z50="",Norm_Stats!$F$14="",Norm_Stats!$G$14="",Norm_Stats!$G$14=Norm_Stats!$F$14),"",MAX(0,MIN(100,100*(MIN(MAX(City_Inputs!$Z50,Norm_Stats!$F$14),Norm_Stats!$G$14)-Norm_Stats!$F$14)/(Norm_Stats!$G$14-Norm_Stats!$F$14)))))="",0,0.7)+IF((IF(OR(City_Inputs!$AK50="",Norm_Stats!$F$15="",Norm_Stats!$G$15="",Norm_Stats!$G$15=Norm_Stats!$F$15),"",MAX(0,MIN(100,100*(Norm_Stats!$G$15-MIN(MAX(City_Inputs!$AK50,Norm_Stats!$F$15),Norm_Stats!$G$15))/(Norm_Stats!$G$15-Norm_Stats!$F$15)))))="",0,0.3)))</f>
        <v/>
      </c>
      <c r="AJ50" s="14">
        <f>IF((IF((IF(OR(City_Inputs!$Z50="",Norm_Stats!$F$14="",Norm_Stats!$G$14="",Norm_Stats!$G$14=Norm_Stats!$F$14),"",MAX(0,MIN(100,100*(MIN(MAX(City_Inputs!$Z50,Norm_Stats!$F$14),Norm_Stats!$G$14)-Norm_Stats!$F$14)/(Norm_Stats!$G$14-Norm_Stats!$F$14)))))="",0,0.7)+IF((IF(OR(City_Inputs!$AK50="",Norm_Stats!$F$15="",Norm_Stats!$G$15="",Norm_Stats!$G$15=Norm_Stats!$F$15),"",MAX(0,MIN(100,100*(Norm_Stats!$G$15-MIN(MAX(City_Inputs!$AK50,Norm_Stats!$F$15),Norm_Stats!$G$15))/(Norm_Stats!$G$15-Norm_Stats!$F$15)))))="",0,0.3))=0,"",(IF((IF(OR(City_Inputs!$Z50="",Norm_Stats!$F$14="",Norm_Stats!$G$14="",Norm_Stats!$G$14=Norm_Stats!$F$14),"",MAX(0,MIN(100,100*(MIN(MAX(City_Inputs!$Z50,Norm_Stats!$F$14),Norm_Stats!$G$14)-Norm_Stats!$F$14)/(Norm_Stats!$G$14-Norm_Stats!$F$14)))))="",0,0.7)+IF((IF(OR(City_Inputs!$AK50="",Norm_Stats!$F$15="",Norm_Stats!$G$15="",Norm_Stats!$G$15=Norm_Stats!$F$15),"",MAX(0,MIN(100,100*(Norm_Stats!$G$15-MIN(MAX(City_Inputs!$AK50,Norm_Stats!$F$15),Norm_Stats!$G$15))/(Norm_Stats!$G$15-Norm_Stats!$F$15)))))="",0,0.3)))</f>
        <v/>
      </c>
      <c r="AK50" s="15">
        <f>IF((IF(AE50="",0,8)+IF(AG50="",0,6)+IF(AI50="",0,4))=0,"",(IF(AE50="",0,AE50*8)+IF(AG50="",0,AG50*6)+IF(AI50="",0,AI50*4))/(IF(AE50="",0,8)+IF(AG50="",0,6)+IF(AI50="",0,4)))</f>
        <v/>
      </c>
      <c r="AL50" s="14">
        <f>IF((IF(AF50="",0,8)+IF(AH50="",0,6)+IF(AJ50="",0,4))=0,"",(IF(AF50="",0,AF50*8)+IF(AH50="",0,AH50*6)+IF(AJ50="",0,AJ50*4))/18)</f>
        <v/>
      </c>
      <c r="AM50" s="11">
        <f>IF(OR(City_Inputs!$AA50="",Norm_Stats!$F$16="",Norm_Stats!$G$16="",Norm_Stats!$G$16=Norm_Stats!$F$16),"",MAX(0,MIN(100,100*(MIN(MAX(City_Inputs!$AA50,Norm_Stats!$F$16),Norm_Stats!$G$16)-Norm_Stats!$F$16)/(Norm_Stats!$G$16-Norm_Stats!$F$16))))</f>
        <v/>
      </c>
      <c r="AN50" s="14">
        <f>IF(AM50="","",1)</f>
        <v/>
      </c>
      <c r="AO50" s="11">
        <f>IF(OR(City_Inputs!$AB50="",Norm_Stats!$F$17="",Norm_Stats!$G$17="",Norm_Stats!$G$17=Norm_Stats!$F$17),"",MAX(0,MIN(100,100*(MIN(MAX(City_Inputs!$AB50,Norm_Stats!$F$17),Norm_Stats!$G$17)-Norm_Stats!$F$17)/(Norm_Stats!$G$17-Norm_Stats!$F$17))))</f>
        <v/>
      </c>
      <c r="AP50" s="14">
        <f>IF(AO50="","",1)</f>
        <v/>
      </c>
      <c r="AQ50" s="11">
        <f>IF(OR(City_Inputs!$AC50="",Norm_Stats!$F$18="",Norm_Stats!$G$18="",Norm_Stats!$G$18=Norm_Stats!$F$18),"",MAX(0,MIN(100,100*(MIN(MAX(City_Inputs!$AC50,Norm_Stats!$F$18),Norm_Stats!$G$18)-Norm_Stats!$F$18)/(Norm_Stats!$G$18-Norm_Stats!$F$18))))</f>
        <v/>
      </c>
      <c r="AR50" s="14">
        <f>IF(AQ50="","",1)</f>
        <v/>
      </c>
      <c r="AS50" s="15">
        <f>IF((IF(AM50="",0,5)+IF(AO50="",0,5)+IF(AQ50="",0,5))=0,"",(IF(AM50="",0,AM50*5)+IF(AO50="",0,AO50*5)+IF(AQ50="",0,AQ50*5))/(IF(AM50="",0,5)+IF(AO50="",0,5)+IF(AQ50="",0,5)))</f>
        <v/>
      </c>
      <c r="AT50" s="14">
        <f>IF((IF(AN50="",0,5)+IF(AP50="",0,5)+IF(AR50="",0,5))=0,"",(IF(AN50="",0,AN50*5)+IF(AP50="",0,AP50*5)+IF(AR50="",0,AR50*5))/15)</f>
        <v/>
      </c>
      <c r="AU50" s="11">
        <f>IF(OR(City_Inputs!$AD50="",Norm_Stats!$F$19="",Norm_Stats!$G$19="",Norm_Stats!$G$19=Norm_Stats!$F$19),"",MAX(0,MIN(100,100*(MIN(MAX(City_Inputs!$AD50,Norm_Stats!$F$19),Norm_Stats!$G$19)-Norm_Stats!$F$19)/(Norm_Stats!$G$19-Norm_Stats!$F$19))))</f>
        <v/>
      </c>
      <c r="AV50" s="14">
        <f>IF(AU50="","",1)</f>
        <v/>
      </c>
      <c r="AW50" s="11">
        <f>IF(OR(City_Inputs!$AE50="",Norm_Stats!$F$20="",Norm_Stats!$G$20="",Norm_Stats!$G$20=Norm_Stats!$F$20),"",MAX(0,MIN(100,100*(MIN(MAX(City_Inputs!$AE50,Norm_Stats!$F$20),Norm_Stats!$G$20)-Norm_Stats!$F$20)/(Norm_Stats!$G$20-Norm_Stats!$F$20))))</f>
        <v/>
      </c>
      <c r="AX50" s="14">
        <f>IF(AW50="","",1)</f>
        <v/>
      </c>
      <c r="AY50" s="11">
        <f>IF((IF((IF(OR(City_Inputs!$AF50="",Norm_Stats!$F$21="",Norm_Stats!$G$21="",Norm_Stats!$G$21=Norm_Stats!$F$21),"",MAX(0,MIN(100,100*(MIN(MAX(City_Inputs!$AF50,Norm_Stats!$F$21),Norm_Stats!$G$21)-Norm_Stats!$F$21)/(Norm_Stats!$G$21-Norm_Stats!$F$21)))))="",0,0.5)+IF((IF(OR(City_Inputs!$AI50="",Norm_Stats!$F$22="",Norm_Stats!$G$22="",Norm_Stats!$G$22=Norm_Stats!$F$22),"",MAX(0,MIN(100,100*(MIN(MAX(City_Inputs!$AI50,Norm_Stats!$F$22),Norm_Stats!$G$22)-Norm_Stats!$F$22)/(Norm_Stats!$G$22-Norm_Stats!$F$22)))))="",0,0.3)+IF((IF(OR(City_Inputs!$AJ50="",Norm_Stats!$F$23="",Norm_Stats!$G$23="",Norm_Stats!$G$23=Norm_Stats!$F$23),"",MAX(0,MIN(100,100*(MIN(MAX(City_Inputs!$AJ50,Norm_Stats!$F$23),Norm_Stats!$G$23)-Norm_Stats!$F$23)/(Norm_Stats!$G$23-Norm_Stats!$F$23)))))="",0,0.2))=0,"",(IF((IF(OR(City_Inputs!$AF50="",Norm_Stats!$F$21="",Norm_Stats!$G$21="",Norm_Stats!$G$21=Norm_Stats!$F$21),"",MAX(0,MIN(100,100*(MIN(MAX(City_Inputs!$AF50,Norm_Stats!$F$21),Norm_Stats!$G$21)-Norm_Stats!$F$21)/(Norm_Stats!$G$21-Norm_Stats!$F$21)))))="",0,(IF(OR(City_Inputs!$AF50="",Norm_Stats!$F$21="",Norm_Stats!$G$21="",Norm_Stats!$G$21=Norm_Stats!$F$21),"",MAX(0,MIN(100,100*(MIN(MAX(City_Inputs!$AF50,Norm_Stats!$F$21),Norm_Stats!$G$21)-Norm_Stats!$F$21)/(Norm_Stats!$G$21-Norm_Stats!$F$21)))))*0.5)+IF((IF(OR(City_Inputs!$AI50="",Norm_Stats!$F$22="",Norm_Stats!$G$22="",Norm_Stats!$G$22=Norm_Stats!$F$22),"",MAX(0,MIN(100,100*(MIN(MAX(City_Inputs!$AI50,Norm_Stats!$F$22),Norm_Stats!$G$22)-Norm_Stats!$F$22)/(Norm_Stats!$G$22-Norm_Stats!$F$22)))))="",0,(IF(OR(City_Inputs!$AI50="",Norm_Stats!$F$22="",Norm_Stats!$G$22="",Norm_Stats!$G$22=Norm_Stats!$F$22),"",MAX(0,MIN(100,100*(MIN(MAX(City_Inputs!$AI50,Norm_Stats!$F$22),Norm_Stats!$G$22)-Norm_Stats!$F$22)/(Norm_Stats!$G$22-Norm_Stats!$F$22)))))*0.3)+IF((IF(OR(City_Inputs!$AJ50="",Norm_Stats!$F$23="",Norm_Stats!$G$23="",Norm_Stats!$G$23=Norm_Stats!$F$23),"",MAX(0,MIN(100,100*(MIN(MAX(City_Inputs!$AJ50,Norm_Stats!$F$23),Norm_Stats!$G$23)-Norm_Stats!$F$23)/(Norm_Stats!$G$23-Norm_Stats!$F$23)))))="",0,(IF(OR(City_Inputs!$AJ50="",Norm_Stats!$F$23="",Norm_Stats!$G$23="",Norm_Stats!$G$23=Norm_Stats!$F$23),"",MAX(0,MIN(100,100*(MIN(MAX(City_Inputs!$AJ50,Norm_Stats!$F$23),Norm_Stats!$G$23)-Norm_Stats!$F$23)/(Norm_Stats!$G$23-Norm_Stats!$F$23)))))*0.2))/(IF((IF(OR(City_Inputs!$AF50="",Norm_Stats!$F$21="",Norm_Stats!$G$21="",Norm_Stats!$G$21=Norm_Stats!$F$21),"",MAX(0,MIN(100,100*(MIN(MAX(City_Inputs!$AF50,Norm_Stats!$F$21),Norm_Stats!$G$21)-Norm_Stats!$F$21)/(Norm_Stats!$G$21-Norm_Stats!$F$21)))))="",0,0.5)+IF((IF(OR(City_Inputs!$AI50="",Norm_Stats!$F$22="",Norm_Stats!$G$22="",Norm_Stats!$G$22=Norm_Stats!$F$22),"",MAX(0,MIN(100,100*(MIN(MAX(City_Inputs!$AI50,Norm_Stats!$F$22),Norm_Stats!$G$22)-Norm_Stats!$F$22)/(Norm_Stats!$G$22-Norm_Stats!$F$22)))))="",0,0.3)+IF((IF(OR(City_Inputs!$AJ50="",Norm_Stats!$F$23="",Norm_Stats!$G$23="",Norm_Stats!$G$23=Norm_Stats!$F$23),"",MAX(0,MIN(100,100*(MIN(MAX(City_Inputs!$AJ50,Norm_Stats!$F$23),Norm_Stats!$G$23)-Norm_Stats!$F$23)/(Norm_Stats!$G$23-Norm_Stats!$F$23)))))="",0,0.2)))</f>
        <v/>
      </c>
      <c r="AZ50" s="14">
        <f>IF((IF((IF(OR(City_Inputs!$AF50="",Norm_Stats!$F$21="",Norm_Stats!$G$21="",Norm_Stats!$G$21=Norm_Stats!$F$21),"",MAX(0,MIN(100,100*(MIN(MAX(City_Inputs!$AF50,Norm_Stats!$F$21),Norm_Stats!$G$21)-Norm_Stats!$F$21)/(Norm_Stats!$G$21-Norm_Stats!$F$21)))))="",0,0.5)+IF((IF(OR(City_Inputs!$AI50="",Norm_Stats!$F$22="",Norm_Stats!$G$22="",Norm_Stats!$G$22=Norm_Stats!$F$22),"",MAX(0,MIN(100,100*(MIN(MAX(City_Inputs!$AI50,Norm_Stats!$F$22),Norm_Stats!$G$22)-Norm_Stats!$F$22)/(Norm_Stats!$G$22-Norm_Stats!$F$22)))))="",0,0.3)+IF((IF(OR(City_Inputs!$AJ50="",Norm_Stats!$F$23="",Norm_Stats!$G$23="",Norm_Stats!$G$23=Norm_Stats!$F$23),"",MAX(0,MIN(100,100*(MIN(MAX(City_Inputs!$AJ50,Norm_Stats!$F$23),Norm_Stats!$G$23)-Norm_Stats!$F$23)/(Norm_Stats!$G$23-Norm_Stats!$F$23)))))="",0,0.2))=0,"",(IF((IF(OR(City_Inputs!$AF50="",Norm_Stats!$F$21="",Norm_Stats!$G$21="",Norm_Stats!$G$21=Norm_Stats!$F$21),"",MAX(0,MIN(100,100*(MIN(MAX(City_Inputs!$AF50,Norm_Stats!$F$21),Norm_Stats!$G$21)-Norm_Stats!$F$21)/(Norm_Stats!$G$21-Norm_Stats!$F$21)))))="",0,0.5)+IF((IF(OR(City_Inputs!$AI50="",Norm_Stats!$F$22="",Norm_Stats!$G$22="",Norm_Stats!$G$22=Norm_Stats!$F$22),"",MAX(0,MIN(100,100*(MIN(MAX(City_Inputs!$AI50,Norm_Stats!$F$22),Norm_Stats!$G$22)-Norm_Stats!$F$22)/(Norm_Stats!$G$22-Norm_Stats!$F$22)))))="",0,0.3)+IF((IF(OR(City_Inputs!$AJ50="",Norm_Stats!$F$23="",Norm_Stats!$G$23="",Norm_Stats!$G$23=Norm_Stats!$F$23),"",MAX(0,MIN(100,100*(MIN(MAX(City_Inputs!$AJ50,Norm_Stats!$F$23),Norm_Stats!$G$23)-Norm_Stats!$F$23)/(Norm_Stats!$G$23-Norm_Stats!$F$23)))))="",0,0.2)))</f>
        <v/>
      </c>
      <c r="BA50" s="11">
        <f>IF(OR(City_Inputs!$AG50="",Norm_Stats!$F$24="",Norm_Stats!$G$24="",Norm_Stats!$G$24=Norm_Stats!$F$24),"",MAX(0,MIN(100,100*(Norm_Stats!$G$24-MIN(MAX(City_Inputs!$AG50,Norm_Stats!$F$24),Norm_Stats!$G$24))/(Norm_Stats!$G$24-Norm_Stats!$F$24))))</f>
        <v/>
      </c>
      <c r="BB50" s="14">
        <f>IF(BA50="","",1)</f>
        <v/>
      </c>
      <c r="BC50" s="15">
        <f>IF((IF(AU50="",0,6)+IF(AW50="",0,5)+IF(AY50="",0,5)+IF(BA50="",0,4))=0,"",(IF(AU50="",0,AU50*6)+IF(AW50="",0,AW50*5)+IF(AY50="",0,AY50*5)+IF(BA50="",0,BA50*4))/(IF(AU50="",0,6)+IF(AW50="",0,5)+IF(AY50="",0,5)+IF(BA50="",0,4)))</f>
        <v/>
      </c>
      <c r="BD50" s="14">
        <f>IF((IF(AV50="",0,6)+IF(AX50="",0,5)+IF(AZ50="",0,5)+IF(BB50="",0,4))=0,"",(IF(AV50="",0,AV50*6)+IF(AX50="",0,AX50*5)+IF(AZ50="",0,AZ50*5)+IF(BB50="",0,BB50*4))/20)</f>
        <v/>
      </c>
      <c r="BE50" s="14">
        <f>IF(AND(R50="",AD50="",AL50="",AT50="",BD50=""),"",((R50*25)+(AD50*22)+(AL50*18)+(AT50*15)+(BD50*20))/100)</f>
        <v/>
      </c>
      <c r="BF50" s="11">
        <f>IF(BE50="","",IF(BE50&gt;=0.75,"A",IF(BE50&gt;=0.5,"B",IF(BE50&gt;=0.35,"C","Watchlist"))))</f>
        <v/>
      </c>
      <c r="BG50" s="11">
        <f>IF(OR(BE50="",BE50&lt;0.5,R50="",R50&lt;0.35,AD50="",AD50&lt;0.35,AL50="",AL50&lt;0.35,AT50="",AT50&lt;0.35,BD50="",BD50&lt;0.35),"Watchlist","Ranked")</f>
        <v/>
      </c>
      <c r="BH50" s="15">
        <f>IF(AND(Q50="",AC50="",AK50="",AS50="",BC50=""),"",(IF(Q50="",0,Q50*25)+IF(AC50="",0,AC50*22)+IF(AK50="",0,AK50*18)+IF(AS50="",0,AS50*15)+IF(BC50="",0,BC50*20))/(IF(Q50="",0,25)+IF(AC50="",0,22)+IF(AK50="",0,18)+IF(AS50="",0,15)+IF(BC50="",0,20)))</f>
        <v/>
      </c>
      <c r="BI50" s="11">
        <f>IF(BG50="Ranked",1+COUNTIFS($BG$2:$BG$103,"Ranked",$BH$2:$BH$103,"&gt;"&amp;BH50),"")</f>
        <v/>
      </c>
      <c r="BJ50" s="11">
        <f>City_Inputs!$AH50</f>
        <v/>
      </c>
    </row>
    <row r="51">
      <c r="A51" t="inlineStr">
        <is>
          <t>pl-gdansk</t>
        </is>
      </c>
      <c r="B51" t="inlineStr">
        <is>
          <t>Gdansk</t>
        </is>
      </c>
      <c r="C51" t="inlineStr">
        <is>
          <t>Poland</t>
        </is>
      </c>
      <c r="D51" t="inlineStr">
        <is>
          <t>Southern/Eastern Europe and Eurasia</t>
        </is>
      </c>
      <c r="E51" t="inlineStr">
        <is>
          <t>locked</t>
        </is>
      </c>
      <c r="F51" t="inlineStr">
        <is>
          <t>secondary</t>
        </is>
      </c>
      <c r="G51" s="11">
        <f>IF(OR(City_Inputs!$M51="",Norm_Stats!$F$2="",Norm_Stats!$G$2="",Norm_Stats!$G$2=Norm_Stats!$F$2),"",MAX(0,MIN(100,100*(MIN(MAX(City_Inputs!$M51,Norm_Stats!$F$2),Norm_Stats!$G$2)-Norm_Stats!$F$2)/(Norm_Stats!$G$2-Norm_Stats!$F$2))))</f>
        <v/>
      </c>
      <c r="H51" s="14">
        <f>IF(G51="","",1)</f>
        <v/>
      </c>
      <c r="I51" s="11">
        <f>IF(OR(City_Inputs!$N51="",Norm_Stats!$F$3="",Norm_Stats!$G$3="",Norm_Stats!$G$3=Norm_Stats!$F$3),"",MAX(0,MIN(100,100*(Norm_Stats!$G$3-MIN(MAX(City_Inputs!$N51,Norm_Stats!$F$3),Norm_Stats!$G$3))/(Norm_Stats!$G$3-Norm_Stats!$F$3))))</f>
        <v/>
      </c>
      <c r="J51" s="14">
        <f>IF(I51="","",1)</f>
        <v/>
      </c>
      <c r="K51" s="11">
        <f>IF(OR(City_Inputs!$P51="",Norm_Stats!$F$4="",Norm_Stats!$G$4="",Norm_Stats!$G$4=Norm_Stats!$F$4),"",MAX(0,MIN(100,100*(Norm_Stats!$G$4-MIN(MAX(City_Inputs!$P51,Norm_Stats!$F$4),Norm_Stats!$G$4))/(Norm_Stats!$G$4-Norm_Stats!$F$4))))</f>
        <v/>
      </c>
      <c r="L51" s="14">
        <f>IF(K51="","",1)</f>
        <v/>
      </c>
      <c r="M51" s="11">
        <f>IF(OR(City_Inputs!$Q51="",Norm_Stats!$F$5="",Norm_Stats!$G$5="",Norm_Stats!$G$5=Norm_Stats!$F$5),"",MAX(0,MIN(100,100*(Norm_Stats!$G$5-MIN(MAX(City_Inputs!$Q51,Norm_Stats!$F$5),Norm_Stats!$G$5))/(Norm_Stats!$G$5-Norm_Stats!$F$5))))</f>
        <v/>
      </c>
      <c r="N51" s="14">
        <f>IF(M51="","",1)</f>
        <v/>
      </c>
      <c r="O51" s="11">
        <f>IF(OR(City_Inputs!$R51="",Norm_Stats!$F$6="",Norm_Stats!$G$6="",Norm_Stats!$G$6=Norm_Stats!$F$6),"",MAX(0,MIN(100,100*(Norm_Stats!$G$6-MIN(MAX(City_Inputs!$R51,Norm_Stats!$F$6),Norm_Stats!$G$6))/(Norm_Stats!$G$6-Norm_Stats!$F$6))))</f>
        <v/>
      </c>
      <c r="P51" s="14">
        <f>IF(O51="","",1)</f>
        <v/>
      </c>
      <c r="Q51" s="15">
        <f>IF((IF(G51="",0,9)+IF(I51="",0,5)+IF(K51="",0,4)+IF(M51="",0,4)+IF(O51="",0,3))=0,"",(IF(G51="",0,G51*9)+IF(I51="",0,I51*5)+IF(K51="",0,K51*4)+IF(M51="",0,M51*4)+IF(O51="",0,O51*3))/(IF(G51="",0,9)+IF(I51="",0,5)+IF(K51="",0,4)+IF(M51="",0,4)+IF(O51="",0,3)))</f>
        <v/>
      </c>
      <c r="R51" s="14">
        <f>IF((IF(H51="",0,9)+IF(J51="",0,5)+IF(L51="",0,4)+IF(N51="",0,4)+IF(P51="",0,3))=0,"",(IF(H51="",0,H51*9)+IF(J51="",0,J51*5)+IF(L51="",0,L51*4)+IF(N51="",0,N51*4)+IF(P51="",0,P51*3))/25)</f>
        <v/>
      </c>
      <c r="S51" s="11">
        <f>IF(OR(City_Inputs!$S51="",Norm_Stats!$F$7="",Norm_Stats!$G$7="",Norm_Stats!$G$7=Norm_Stats!$F$7),"",MAX(0,MIN(100,100*(Norm_Stats!$G$7-MIN(MAX(City_Inputs!$S51,Norm_Stats!$F$7),Norm_Stats!$G$7))/(Norm_Stats!$G$7-Norm_Stats!$F$7))))</f>
        <v/>
      </c>
      <c r="T51" s="14">
        <f>IF(S51="","",1)</f>
        <v/>
      </c>
      <c r="U51" s="11">
        <f>IF(OR(City_Inputs!$T51="",Norm_Stats!$F$8="",Norm_Stats!$G$8="",Norm_Stats!$G$8=Norm_Stats!$F$8),"",MAX(0,MIN(100,100*(MIN(MAX(City_Inputs!$T51,Norm_Stats!$F$8),Norm_Stats!$G$8)-Norm_Stats!$F$8)/(Norm_Stats!$G$8-Norm_Stats!$F$8))))</f>
        <v/>
      </c>
      <c r="V51" s="14">
        <f>IF(U51="","",1)</f>
        <v/>
      </c>
      <c r="W51" s="11">
        <f>IF(OR(City_Inputs!$U51="",Norm_Stats!$F$9="",Norm_Stats!$G$9="",Norm_Stats!$G$9=Norm_Stats!$F$9),"",MAX(0,MIN(100,100*(Norm_Stats!$G$9-MIN(MAX(City_Inputs!$U51,Norm_Stats!$F$9),Norm_Stats!$G$9))/(Norm_Stats!$G$9-Norm_Stats!$F$9))))</f>
        <v/>
      </c>
      <c r="X51" s="14">
        <f>IF(W51="","",1)</f>
        <v/>
      </c>
      <c r="Y51" s="11">
        <f>IF(OR(City_Inputs!$V51="",Norm_Stats!$F$10="",Norm_Stats!$G$10="",Norm_Stats!$G$10=Norm_Stats!$F$10),"",MAX(0,MIN(100,100*(MIN(MAX(City_Inputs!$V51,Norm_Stats!$F$10),Norm_Stats!$G$10)-Norm_Stats!$F$10)/(Norm_Stats!$G$10-Norm_Stats!$F$10))))</f>
        <v/>
      </c>
      <c r="Z51" s="14">
        <f>IF(Y51="","",1)</f>
        <v/>
      </c>
      <c r="AA51" s="11">
        <f>IF(OR(City_Inputs!$W51="",Norm_Stats!$F$11="",Norm_Stats!$G$11="",Norm_Stats!$G$11=Norm_Stats!$F$11),"",MAX(0,MIN(100,100*(MIN(MAX(City_Inputs!$W51,Norm_Stats!$F$11),Norm_Stats!$G$11)-Norm_Stats!$F$11)/(Norm_Stats!$G$11-Norm_Stats!$F$11))))</f>
        <v/>
      </c>
      <c r="AB51" s="14">
        <f>IF(AA51="","",1)</f>
        <v/>
      </c>
      <c r="AC51" s="15">
        <f>IF((IF(S51="",0,5)+IF(U51="",0,5)+IF(W51="",0,4)+IF(Y51="",0,4)+IF(AA51="",0,4))=0,"",(IF(S51="",0,S51*5)+IF(U51="",0,U51*5)+IF(W51="",0,W51*4)+IF(Y51="",0,Y51*4)+IF(AA51="",0,AA51*4))/(IF(S51="",0,5)+IF(U51="",0,5)+IF(W51="",0,4)+IF(Y51="",0,4)+IF(AA51="",0,4)))</f>
        <v/>
      </c>
      <c r="AD51" s="14">
        <f>IF((IF(T51="",0,5)+IF(V51="",0,5)+IF(X51="",0,4)+IF(Z51="",0,4)+IF(AB51="",0,4))=0,"",(IF(T51="",0,T51*5)+IF(V51="",0,V51*5)+IF(X51="",0,X51*4)+IF(Z51="",0,Z51*4)+IF(AB51="",0,AB51*4))/22)</f>
        <v/>
      </c>
      <c r="AE51" s="11">
        <f>IF(OR(City_Inputs!$X51="",Norm_Stats!$F$12="",Norm_Stats!$G$12="",Norm_Stats!$G$12=Norm_Stats!$F$12),"",MAX(0,MIN(100,100*(MIN(MAX(City_Inputs!$X51,Norm_Stats!$F$12),Norm_Stats!$G$12)-Norm_Stats!$F$12)/(Norm_Stats!$G$12-Norm_Stats!$F$12))))</f>
        <v/>
      </c>
      <c r="AF51" s="14">
        <f>IF(AE51="","",1)</f>
        <v/>
      </c>
      <c r="AG51" s="11">
        <f>IF(OR(City_Inputs!$Y51="",Norm_Stats!$F$13="",Norm_Stats!$G$13="",Norm_Stats!$G$13=Norm_Stats!$F$13),"",MAX(0,MIN(100,100*(MIN(MAX(City_Inputs!$Y51,Norm_Stats!$F$13),Norm_Stats!$G$13)-Norm_Stats!$F$13)/(Norm_Stats!$G$13-Norm_Stats!$F$13))))</f>
        <v/>
      </c>
      <c r="AH51" s="14">
        <f>IF(AG51="","",1)</f>
        <v/>
      </c>
      <c r="AI51" s="11">
        <f>IF((IF((IF(OR(City_Inputs!$Z51="",Norm_Stats!$F$14="",Norm_Stats!$G$14="",Norm_Stats!$G$14=Norm_Stats!$F$14),"",MAX(0,MIN(100,100*(MIN(MAX(City_Inputs!$Z51,Norm_Stats!$F$14),Norm_Stats!$G$14)-Norm_Stats!$F$14)/(Norm_Stats!$G$14-Norm_Stats!$F$14)))))="",0,0.7)+IF((IF(OR(City_Inputs!$AK51="",Norm_Stats!$F$15="",Norm_Stats!$G$15="",Norm_Stats!$G$15=Norm_Stats!$F$15),"",MAX(0,MIN(100,100*(Norm_Stats!$G$15-MIN(MAX(City_Inputs!$AK51,Norm_Stats!$F$15),Norm_Stats!$G$15))/(Norm_Stats!$G$15-Norm_Stats!$F$15)))))="",0,0.3))=0,"",(IF((IF(OR(City_Inputs!$Z51="",Norm_Stats!$F$14="",Norm_Stats!$G$14="",Norm_Stats!$G$14=Norm_Stats!$F$14),"",MAX(0,MIN(100,100*(MIN(MAX(City_Inputs!$Z51,Norm_Stats!$F$14),Norm_Stats!$G$14)-Norm_Stats!$F$14)/(Norm_Stats!$G$14-Norm_Stats!$F$14)))))="",0,(IF(OR(City_Inputs!$Z51="",Norm_Stats!$F$14="",Norm_Stats!$G$14="",Norm_Stats!$G$14=Norm_Stats!$F$14),"",MAX(0,MIN(100,100*(MIN(MAX(City_Inputs!$Z51,Norm_Stats!$F$14),Norm_Stats!$G$14)-Norm_Stats!$F$14)/(Norm_Stats!$G$14-Norm_Stats!$F$14)))))*0.7)+IF((IF(OR(City_Inputs!$AK51="",Norm_Stats!$F$15="",Norm_Stats!$G$15="",Norm_Stats!$G$15=Norm_Stats!$F$15),"",MAX(0,MIN(100,100*(Norm_Stats!$G$15-MIN(MAX(City_Inputs!$AK51,Norm_Stats!$F$15),Norm_Stats!$G$15))/(Norm_Stats!$G$15-Norm_Stats!$F$15)))))="",0,(IF(OR(City_Inputs!$AK51="",Norm_Stats!$F$15="",Norm_Stats!$G$15="",Norm_Stats!$G$15=Norm_Stats!$F$15),"",MAX(0,MIN(100,100*(Norm_Stats!$G$15-MIN(MAX(City_Inputs!$AK51,Norm_Stats!$F$15),Norm_Stats!$G$15))/(Norm_Stats!$G$15-Norm_Stats!$F$15)))))*0.3))/(IF((IF(OR(City_Inputs!$Z51="",Norm_Stats!$F$14="",Norm_Stats!$G$14="",Norm_Stats!$G$14=Norm_Stats!$F$14),"",MAX(0,MIN(100,100*(MIN(MAX(City_Inputs!$Z51,Norm_Stats!$F$14),Norm_Stats!$G$14)-Norm_Stats!$F$14)/(Norm_Stats!$G$14-Norm_Stats!$F$14)))))="",0,0.7)+IF((IF(OR(City_Inputs!$AK51="",Norm_Stats!$F$15="",Norm_Stats!$G$15="",Norm_Stats!$G$15=Norm_Stats!$F$15),"",MAX(0,MIN(100,100*(Norm_Stats!$G$15-MIN(MAX(City_Inputs!$AK51,Norm_Stats!$F$15),Norm_Stats!$G$15))/(Norm_Stats!$G$15-Norm_Stats!$F$15)))))="",0,0.3)))</f>
        <v/>
      </c>
      <c r="AJ51" s="14">
        <f>IF((IF((IF(OR(City_Inputs!$Z51="",Norm_Stats!$F$14="",Norm_Stats!$G$14="",Norm_Stats!$G$14=Norm_Stats!$F$14),"",MAX(0,MIN(100,100*(MIN(MAX(City_Inputs!$Z51,Norm_Stats!$F$14),Norm_Stats!$G$14)-Norm_Stats!$F$14)/(Norm_Stats!$G$14-Norm_Stats!$F$14)))))="",0,0.7)+IF((IF(OR(City_Inputs!$AK51="",Norm_Stats!$F$15="",Norm_Stats!$G$15="",Norm_Stats!$G$15=Norm_Stats!$F$15),"",MAX(0,MIN(100,100*(Norm_Stats!$G$15-MIN(MAX(City_Inputs!$AK51,Norm_Stats!$F$15),Norm_Stats!$G$15))/(Norm_Stats!$G$15-Norm_Stats!$F$15)))))="",0,0.3))=0,"",(IF((IF(OR(City_Inputs!$Z51="",Norm_Stats!$F$14="",Norm_Stats!$G$14="",Norm_Stats!$G$14=Norm_Stats!$F$14),"",MAX(0,MIN(100,100*(MIN(MAX(City_Inputs!$Z51,Norm_Stats!$F$14),Norm_Stats!$G$14)-Norm_Stats!$F$14)/(Norm_Stats!$G$14-Norm_Stats!$F$14)))))="",0,0.7)+IF((IF(OR(City_Inputs!$AK51="",Norm_Stats!$F$15="",Norm_Stats!$G$15="",Norm_Stats!$G$15=Norm_Stats!$F$15),"",MAX(0,MIN(100,100*(Norm_Stats!$G$15-MIN(MAX(City_Inputs!$AK51,Norm_Stats!$F$15),Norm_Stats!$G$15))/(Norm_Stats!$G$15-Norm_Stats!$F$15)))))="",0,0.3)))</f>
        <v/>
      </c>
      <c r="AK51" s="15">
        <f>IF((IF(AE51="",0,8)+IF(AG51="",0,6)+IF(AI51="",0,4))=0,"",(IF(AE51="",0,AE51*8)+IF(AG51="",0,AG51*6)+IF(AI51="",0,AI51*4))/(IF(AE51="",0,8)+IF(AG51="",0,6)+IF(AI51="",0,4)))</f>
        <v/>
      </c>
      <c r="AL51" s="14">
        <f>IF((IF(AF51="",0,8)+IF(AH51="",0,6)+IF(AJ51="",0,4))=0,"",(IF(AF51="",0,AF51*8)+IF(AH51="",0,AH51*6)+IF(AJ51="",0,AJ51*4))/18)</f>
        <v/>
      </c>
      <c r="AM51" s="11">
        <f>IF(OR(City_Inputs!$AA51="",Norm_Stats!$F$16="",Norm_Stats!$G$16="",Norm_Stats!$G$16=Norm_Stats!$F$16),"",MAX(0,MIN(100,100*(MIN(MAX(City_Inputs!$AA51,Norm_Stats!$F$16),Norm_Stats!$G$16)-Norm_Stats!$F$16)/(Norm_Stats!$G$16-Norm_Stats!$F$16))))</f>
        <v/>
      </c>
      <c r="AN51" s="14">
        <f>IF(AM51="","",1)</f>
        <v/>
      </c>
      <c r="AO51" s="11">
        <f>IF(OR(City_Inputs!$AB51="",Norm_Stats!$F$17="",Norm_Stats!$G$17="",Norm_Stats!$G$17=Norm_Stats!$F$17),"",MAX(0,MIN(100,100*(MIN(MAX(City_Inputs!$AB51,Norm_Stats!$F$17),Norm_Stats!$G$17)-Norm_Stats!$F$17)/(Norm_Stats!$G$17-Norm_Stats!$F$17))))</f>
        <v/>
      </c>
      <c r="AP51" s="14">
        <f>IF(AO51="","",1)</f>
        <v/>
      </c>
      <c r="AQ51" s="11">
        <f>IF(OR(City_Inputs!$AC51="",Norm_Stats!$F$18="",Norm_Stats!$G$18="",Norm_Stats!$G$18=Norm_Stats!$F$18),"",MAX(0,MIN(100,100*(MIN(MAX(City_Inputs!$AC51,Norm_Stats!$F$18),Norm_Stats!$G$18)-Norm_Stats!$F$18)/(Norm_Stats!$G$18-Norm_Stats!$F$18))))</f>
        <v/>
      </c>
      <c r="AR51" s="14">
        <f>IF(AQ51="","",1)</f>
        <v/>
      </c>
      <c r="AS51" s="15">
        <f>IF((IF(AM51="",0,5)+IF(AO51="",0,5)+IF(AQ51="",0,5))=0,"",(IF(AM51="",0,AM51*5)+IF(AO51="",0,AO51*5)+IF(AQ51="",0,AQ51*5))/(IF(AM51="",0,5)+IF(AO51="",0,5)+IF(AQ51="",0,5)))</f>
        <v/>
      </c>
      <c r="AT51" s="14">
        <f>IF((IF(AN51="",0,5)+IF(AP51="",0,5)+IF(AR51="",0,5))=0,"",(IF(AN51="",0,AN51*5)+IF(AP51="",0,AP51*5)+IF(AR51="",0,AR51*5))/15)</f>
        <v/>
      </c>
      <c r="AU51" s="11">
        <f>IF(OR(City_Inputs!$AD51="",Norm_Stats!$F$19="",Norm_Stats!$G$19="",Norm_Stats!$G$19=Norm_Stats!$F$19),"",MAX(0,MIN(100,100*(MIN(MAX(City_Inputs!$AD51,Norm_Stats!$F$19),Norm_Stats!$G$19)-Norm_Stats!$F$19)/(Norm_Stats!$G$19-Norm_Stats!$F$19))))</f>
        <v/>
      </c>
      <c r="AV51" s="14">
        <f>IF(AU51="","",1)</f>
        <v/>
      </c>
      <c r="AW51" s="11">
        <f>IF(OR(City_Inputs!$AE51="",Norm_Stats!$F$20="",Norm_Stats!$G$20="",Norm_Stats!$G$20=Norm_Stats!$F$20),"",MAX(0,MIN(100,100*(MIN(MAX(City_Inputs!$AE51,Norm_Stats!$F$20),Norm_Stats!$G$20)-Norm_Stats!$F$20)/(Norm_Stats!$G$20-Norm_Stats!$F$20))))</f>
        <v/>
      </c>
      <c r="AX51" s="14">
        <f>IF(AW51="","",1)</f>
        <v/>
      </c>
      <c r="AY51" s="11">
        <f>IF((IF((IF(OR(City_Inputs!$AF51="",Norm_Stats!$F$21="",Norm_Stats!$G$21="",Norm_Stats!$G$21=Norm_Stats!$F$21),"",MAX(0,MIN(100,100*(MIN(MAX(City_Inputs!$AF51,Norm_Stats!$F$21),Norm_Stats!$G$21)-Norm_Stats!$F$21)/(Norm_Stats!$G$21-Norm_Stats!$F$21)))))="",0,0.5)+IF((IF(OR(City_Inputs!$AI51="",Norm_Stats!$F$22="",Norm_Stats!$G$22="",Norm_Stats!$G$22=Norm_Stats!$F$22),"",MAX(0,MIN(100,100*(MIN(MAX(City_Inputs!$AI51,Norm_Stats!$F$22),Norm_Stats!$G$22)-Norm_Stats!$F$22)/(Norm_Stats!$G$22-Norm_Stats!$F$22)))))="",0,0.3)+IF((IF(OR(City_Inputs!$AJ51="",Norm_Stats!$F$23="",Norm_Stats!$G$23="",Norm_Stats!$G$23=Norm_Stats!$F$23),"",MAX(0,MIN(100,100*(MIN(MAX(City_Inputs!$AJ51,Norm_Stats!$F$23),Norm_Stats!$G$23)-Norm_Stats!$F$23)/(Norm_Stats!$G$23-Norm_Stats!$F$23)))))="",0,0.2))=0,"",(IF((IF(OR(City_Inputs!$AF51="",Norm_Stats!$F$21="",Norm_Stats!$G$21="",Norm_Stats!$G$21=Norm_Stats!$F$21),"",MAX(0,MIN(100,100*(MIN(MAX(City_Inputs!$AF51,Norm_Stats!$F$21),Norm_Stats!$G$21)-Norm_Stats!$F$21)/(Norm_Stats!$G$21-Norm_Stats!$F$21)))))="",0,(IF(OR(City_Inputs!$AF51="",Norm_Stats!$F$21="",Norm_Stats!$G$21="",Norm_Stats!$G$21=Norm_Stats!$F$21),"",MAX(0,MIN(100,100*(MIN(MAX(City_Inputs!$AF51,Norm_Stats!$F$21),Norm_Stats!$G$21)-Norm_Stats!$F$21)/(Norm_Stats!$G$21-Norm_Stats!$F$21)))))*0.5)+IF((IF(OR(City_Inputs!$AI51="",Norm_Stats!$F$22="",Norm_Stats!$G$22="",Norm_Stats!$G$22=Norm_Stats!$F$22),"",MAX(0,MIN(100,100*(MIN(MAX(City_Inputs!$AI51,Norm_Stats!$F$22),Norm_Stats!$G$22)-Norm_Stats!$F$22)/(Norm_Stats!$G$22-Norm_Stats!$F$22)))))="",0,(IF(OR(City_Inputs!$AI51="",Norm_Stats!$F$22="",Norm_Stats!$G$22="",Norm_Stats!$G$22=Norm_Stats!$F$22),"",MAX(0,MIN(100,100*(MIN(MAX(City_Inputs!$AI51,Norm_Stats!$F$22),Norm_Stats!$G$22)-Norm_Stats!$F$22)/(Norm_Stats!$G$22-Norm_Stats!$F$22)))))*0.3)+IF((IF(OR(City_Inputs!$AJ51="",Norm_Stats!$F$23="",Norm_Stats!$G$23="",Norm_Stats!$G$23=Norm_Stats!$F$23),"",MAX(0,MIN(100,100*(MIN(MAX(City_Inputs!$AJ51,Norm_Stats!$F$23),Norm_Stats!$G$23)-Norm_Stats!$F$23)/(Norm_Stats!$G$23-Norm_Stats!$F$23)))))="",0,(IF(OR(City_Inputs!$AJ51="",Norm_Stats!$F$23="",Norm_Stats!$G$23="",Norm_Stats!$G$23=Norm_Stats!$F$23),"",MAX(0,MIN(100,100*(MIN(MAX(City_Inputs!$AJ51,Norm_Stats!$F$23),Norm_Stats!$G$23)-Norm_Stats!$F$23)/(Norm_Stats!$G$23-Norm_Stats!$F$23)))))*0.2))/(IF((IF(OR(City_Inputs!$AF51="",Norm_Stats!$F$21="",Norm_Stats!$G$21="",Norm_Stats!$G$21=Norm_Stats!$F$21),"",MAX(0,MIN(100,100*(MIN(MAX(City_Inputs!$AF51,Norm_Stats!$F$21),Norm_Stats!$G$21)-Norm_Stats!$F$21)/(Norm_Stats!$G$21-Norm_Stats!$F$21)))))="",0,0.5)+IF((IF(OR(City_Inputs!$AI51="",Norm_Stats!$F$22="",Norm_Stats!$G$22="",Norm_Stats!$G$22=Norm_Stats!$F$22),"",MAX(0,MIN(100,100*(MIN(MAX(City_Inputs!$AI51,Norm_Stats!$F$22),Norm_Stats!$G$22)-Norm_Stats!$F$22)/(Norm_Stats!$G$22-Norm_Stats!$F$22)))))="",0,0.3)+IF((IF(OR(City_Inputs!$AJ51="",Norm_Stats!$F$23="",Norm_Stats!$G$23="",Norm_Stats!$G$23=Norm_Stats!$F$23),"",MAX(0,MIN(100,100*(MIN(MAX(City_Inputs!$AJ51,Norm_Stats!$F$23),Norm_Stats!$G$23)-Norm_Stats!$F$23)/(Norm_Stats!$G$23-Norm_Stats!$F$23)))))="",0,0.2)))</f>
        <v/>
      </c>
      <c r="AZ51" s="14">
        <f>IF((IF((IF(OR(City_Inputs!$AF51="",Norm_Stats!$F$21="",Norm_Stats!$G$21="",Norm_Stats!$G$21=Norm_Stats!$F$21),"",MAX(0,MIN(100,100*(MIN(MAX(City_Inputs!$AF51,Norm_Stats!$F$21),Norm_Stats!$G$21)-Norm_Stats!$F$21)/(Norm_Stats!$G$21-Norm_Stats!$F$21)))))="",0,0.5)+IF((IF(OR(City_Inputs!$AI51="",Norm_Stats!$F$22="",Norm_Stats!$G$22="",Norm_Stats!$G$22=Norm_Stats!$F$22),"",MAX(0,MIN(100,100*(MIN(MAX(City_Inputs!$AI51,Norm_Stats!$F$22),Norm_Stats!$G$22)-Norm_Stats!$F$22)/(Norm_Stats!$G$22-Norm_Stats!$F$22)))))="",0,0.3)+IF((IF(OR(City_Inputs!$AJ51="",Norm_Stats!$F$23="",Norm_Stats!$G$23="",Norm_Stats!$G$23=Norm_Stats!$F$23),"",MAX(0,MIN(100,100*(MIN(MAX(City_Inputs!$AJ51,Norm_Stats!$F$23),Norm_Stats!$G$23)-Norm_Stats!$F$23)/(Norm_Stats!$G$23-Norm_Stats!$F$23)))))="",0,0.2))=0,"",(IF((IF(OR(City_Inputs!$AF51="",Norm_Stats!$F$21="",Norm_Stats!$G$21="",Norm_Stats!$G$21=Norm_Stats!$F$21),"",MAX(0,MIN(100,100*(MIN(MAX(City_Inputs!$AF51,Norm_Stats!$F$21),Norm_Stats!$G$21)-Norm_Stats!$F$21)/(Norm_Stats!$G$21-Norm_Stats!$F$21)))))="",0,0.5)+IF((IF(OR(City_Inputs!$AI51="",Norm_Stats!$F$22="",Norm_Stats!$G$22="",Norm_Stats!$G$22=Norm_Stats!$F$22),"",MAX(0,MIN(100,100*(MIN(MAX(City_Inputs!$AI51,Norm_Stats!$F$22),Norm_Stats!$G$22)-Norm_Stats!$F$22)/(Norm_Stats!$G$22-Norm_Stats!$F$22)))))="",0,0.3)+IF((IF(OR(City_Inputs!$AJ51="",Norm_Stats!$F$23="",Norm_Stats!$G$23="",Norm_Stats!$G$23=Norm_Stats!$F$23),"",MAX(0,MIN(100,100*(MIN(MAX(City_Inputs!$AJ51,Norm_Stats!$F$23),Norm_Stats!$G$23)-Norm_Stats!$F$23)/(Norm_Stats!$G$23-Norm_Stats!$F$23)))))="",0,0.2)))</f>
        <v/>
      </c>
      <c r="BA51" s="11">
        <f>IF(OR(City_Inputs!$AG51="",Norm_Stats!$F$24="",Norm_Stats!$G$24="",Norm_Stats!$G$24=Norm_Stats!$F$24),"",MAX(0,MIN(100,100*(Norm_Stats!$G$24-MIN(MAX(City_Inputs!$AG51,Norm_Stats!$F$24),Norm_Stats!$G$24))/(Norm_Stats!$G$24-Norm_Stats!$F$24))))</f>
        <v/>
      </c>
      <c r="BB51" s="14">
        <f>IF(BA51="","",1)</f>
        <v/>
      </c>
      <c r="BC51" s="15">
        <f>IF((IF(AU51="",0,6)+IF(AW51="",0,5)+IF(AY51="",0,5)+IF(BA51="",0,4))=0,"",(IF(AU51="",0,AU51*6)+IF(AW51="",0,AW51*5)+IF(AY51="",0,AY51*5)+IF(BA51="",0,BA51*4))/(IF(AU51="",0,6)+IF(AW51="",0,5)+IF(AY51="",0,5)+IF(BA51="",0,4)))</f>
        <v/>
      </c>
      <c r="BD51" s="14">
        <f>IF((IF(AV51="",0,6)+IF(AX51="",0,5)+IF(AZ51="",0,5)+IF(BB51="",0,4))=0,"",(IF(AV51="",0,AV51*6)+IF(AX51="",0,AX51*5)+IF(AZ51="",0,AZ51*5)+IF(BB51="",0,BB51*4))/20)</f>
        <v/>
      </c>
      <c r="BE51" s="14">
        <f>IF(AND(R51="",AD51="",AL51="",AT51="",BD51=""),"",((R51*25)+(AD51*22)+(AL51*18)+(AT51*15)+(BD51*20))/100)</f>
        <v/>
      </c>
      <c r="BF51" s="11">
        <f>IF(BE51="","",IF(BE51&gt;=0.75,"A",IF(BE51&gt;=0.5,"B",IF(BE51&gt;=0.35,"C","Watchlist"))))</f>
        <v/>
      </c>
      <c r="BG51" s="11">
        <f>IF(OR(BE51="",BE51&lt;0.5,R51="",R51&lt;0.35,AD51="",AD51&lt;0.35,AL51="",AL51&lt;0.35,AT51="",AT51&lt;0.35,BD51="",BD51&lt;0.35),"Watchlist","Ranked")</f>
        <v/>
      </c>
      <c r="BH51" s="15">
        <f>IF(AND(Q51="",AC51="",AK51="",AS51="",BC51=""),"",(IF(Q51="",0,Q51*25)+IF(AC51="",0,AC51*22)+IF(AK51="",0,AK51*18)+IF(AS51="",0,AS51*15)+IF(BC51="",0,BC51*20))/(IF(Q51="",0,25)+IF(AC51="",0,22)+IF(AK51="",0,18)+IF(AS51="",0,15)+IF(BC51="",0,20)))</f>
        <v/>
      </c>
      <c r="BI51" s="11">
        <f>IF(BG51="Ranked",1+COUNTIFS($BG$2:$BG$103,"Ranked",$BH$2:$BH$103,"&gt;"&amp;BH51),"")</f>
        <v/>
      </c>
      <c r="BJ51" s="11">
        <f>City_Inputs!$AH51</f>
        <v/>
      </c>
    </row>
    <row r="52">
      <c r="A52" t="inlineStr">
        <is>
          <t>pl-torun</t>
        </is>
      </c>
      <c r="B52" t="inlineStr">
        <is>
          <t>Torun</t>
        </is>
      </c>
      <c r="C52" t="inlineStr">
        <is>
          <t>Poland</t>
        </is>
      </c>
      <c r="D52" t="inlineStr">
        <is>
          <t>Southern/Eastern Europe and Eurasia</t>
        </is>
      </c>
      <c r="E52" t="inlineStr">
        <is>
          <t>provisional</t>
        </is>
      </c>
      <c r="F52" t="inlineStr">
        <is>
          <t>secondary</t>
        </is>
      </c>
      <c r="G52" s="11">
        <f>IF(OR(City_Inputs!$M52="",Norm_Stats!$F$2="",Norm_Stats!$G$2="",Norm_Stats!$G$2=Norm_Stats!$F$2),"",MAX(0,MIN(100,100*(MIN(MAX(City_Inputs!$M52,Norm_Stats!$F$2),Norm_Stats!$G$2)-Norm_Stats!$F$2)/(Norm_Stats!$G$2-Norm_Stats!$F$2))))</f>
        <v/>
      </c>
      <c r="H52" s="14">
        <f>IF(G52="","",1)</f>
        <v/>
      </c>
      <c r="I52" s="11">
        <f>IF(OR(City_Inputs!$N52="",Norm_Stats!$F$3="",Norm_Stats!$G$3="",Norm_Stats!$G$3=Norm_Stats!$F$3),"",MAX(0,MIN(100,100*(Norm_Stats!$G$3-MIN(MAX(City_Inputs!$N52,Norm_Stats!$F$3),Norm_Stats!$G$3))/(Norm_Stats!$G$3-Norm_Stats!$F$3))))</f>
        <v/>
      </c>
      <c r="J52" s="14">
        <f>IF(I52="","",1)</f>
        <v/>
      </c>
      <c r="K52" s="11">
        <f>IF(OR(City_Inputs!$P52="",Norm_Stats!$F$4="",Norm_Stats!$G$4="",Norm_Stats!$G$4=Norm_Stats!$F$4),"",MAX(0,MIN(100,100*(Norm_Stats!$G$4-MIN(MAX(City_Inputs!$P52,Norm_Stats!$F$4),Norm_Stats!$G$4))/(Norm_Stats!$G$4-Norm_Stats!$F$4))))</f>
        <v/>
      </c>
      <c r="L52" s="14">
        <f>IF(K52="","",1)</f>
        <v/>
      </c>
      <c r="M52" s="11">
        <f>IF(OR(City_Inputs!$Q52="",Norm_Stats!$F$5="",Norm_Stats!$G$5="",Norm_Stats!$G$5=Norm_Stats!$F$5),"",MAX(0,MIN(100,100*(Norm_Stats!$G$5-MIN(MAX(City_Inputs!$Q52,Norm_Stats!$F$5),Norm_Stats!$G$5))/(Norm_Stats!$G$5-Norm_Stats!$F$5))))</f>
        <v/>
      </c>
      <c r="N52" s="14">
        <f>IF(M52="","",1)</f>
        <v/>
      </c>
      <c r="O52" s="11">
        <f>IF(OR(City_Inputs!$R52="",Norm_Stats!$F$6="",Norm_Stats!$G$6="",Norm_Stats!$G$6=Norm_Stats!$F$6),"",MAX(0,MIN(100,100*(Norm_Stats!$G$6-MIN(MAX(City_Inputs!$R52,Norm_Stats!$F$6),Norm_Stats!$G$6))/(Norm_Stats!$G$6-Norm_Stats!$F$6))))</f>
        <v/>
      </c>
      <c r="P52" s="14">
        <f>IF(O52="","",1)</f>
        <v/>
      </c>
      <c r="Q52" s="15">
        <f>IF((IF(G52="",0,9)+IF(I52="",0,5)+IF(K52="",0,4)+IF(M52="",0,4)+IF(O52="",0,3))=0,"",(IF(G52="",0,G52*9)+IF(I52="",0,I52*5)+IF(K52="",0,K52*4)+IF(M52="",0,M52*4)+IF(O52="",0,O52*3))/(IF(G52="",0,9)+IF(I52="",0,5)+IF(K52="",0,4)+IF(M52="",0,4)+IF(O52="",0,3)))</f>
        <v/>
      </c>
      <c r="R52" s="14">
        <f>IF((IF(H52="",0,9)+IF(J52="",0,5)+IF(L52="",0,4)+IF(N52="",0,4)+IF(P52="",0,3))=0,"",(IF(H52="",0,H52*9)+IF(J52="",0,J52*5)+IF(L52="",0,L52*4)+IF(N52="",0,N52*4)+IF(P52="",0,P52*3))/25)</f>
        <v/>
      </c>
      <c r="S52" s="11">
        <f>IF(OR(City_Inputs!$S52="",Norm_Stats!$F$7="",Norm_Stats!$G$7="",Norm_Stats!$G$7=Norm_Stats!$F$7),"",MAX(0,MIN(100,100*(Norm_Stats!$G$7-MIN(MAX(City_Inputs!$S52,Norm_Stats!$F$7),Norm_Stats!$G$7))/(Norm_Stats!$G$7-Norm_Stats!$F$7))))</f>
        <v/>
      </c>
      <c r="T52" s="14">
        <f>IF(S52="","",1)</f>
        <v/>
      </c>
      <c r="U52" s="11">
        <f>IF(OR(City_Inputs!$T52="",Norm_Stats!$F$8="",Norm_Stats!$G$8="",Norm_Stats!$G$8=Norm_Stats!$F$8),"",MAX(0,MIN(100,100*(MIN(MAX(City_Inputs!$T52,Norm_Stats!$F$8),Norm_Stats!$G$8)-Norm_Stats!$F$8)/(Norm_Stats!$G$8-Norm_Stats!$F$8))))</f>
        <v/>
      </c>
      <c r="V52" s="14">
        <f>IF(U52="","",1)</f>
        <v/>
      </c>
      <c r="W52" s="11">
        <f>IF(OR(City_Inputs!$U52="",Norm_Stats!$F$9="",Norm_Stats!$G$9="",Norm_Stats!$G$9=Norm_Stats!$F$9),"",MAX(0,MIN(100,100*(Norm_Stats!$G$9-MIN(MAX(City_Inputs!$U52,Norm_Stats!$F$9),Norm_Stats!$G$9))/(Norm_Stats!$G$9-Norm_Stats!$F$9))))</f>
        <v/>
      </c>
      <c r="X52" s="14">
        <f>IF(W52="","",1)</f>
        <v/>
      </c>
      <c r="Y52" s="11">
        <f>IF(OR(City_Inputs!$V52="",Norm_Stats!$F$10="",Norm_Stats!$G$10="",Norm_Stats!$G$10=Norm_Stats!$F$10),"",MAX(0,MIN(100,100*(MIN(MAX(City_Inputs!$V52,Norm_Stats!$F$10),Norm_Stats!$G$10)-Norm_Stats!$F$10)/(Norm_Stats!$G$10-Norm_Stats!$F$10))))</f>
        <v/>
      </c>
      <c r="Z52" s="14">
        <f>IF(Y52="","",1)</f>
        <v/>
      </c>
      <c r="AA52" s="11">
        <f>IF(OR(City_Inputs!$W52="",Norm_Stats!$F$11="",Norm_Stats!$G$11="",Norm_Stats!$G$11=Norm_Stats!$F$11),"",MAX(0,MIN(100,100*(MIN(MAX(City_Inputs!$W52,Norm_Stats!$F$11),Norm_Stats!$G$11)-Norm_Stats!$F$11)/(Norm_Stats!$G$11-Norm_Stats!$F$11))))</f>
        <v/>
      </c>
      <c r="AB52" s="14">
        <f>IF(AA52="","",1)</f>
        <v/>
      </c>
      <c r="AC52" s="15">
        <f>IF((IF(S52="",0,5)+IF(U52="",0,5)+IF(W52="",0,4)+IF(Y52="",0,4)+IF(AA52="",0,4))=0,"",(IF(S52="",0,S52*5)+IF(U52="",0,U52*5)+IF(W52="",0,W52*4)+IF(Y52="",0,Y52*4)+IF(AA52="",0,AA52*4))/(IF(S52="",0,5)+IF(U52="",0,5)+IF(W52="",0,4)+IF(Y52="",0,4)+IF(AA52="",0,4)))</f>
        <v/>
      </c>
      <c r="AD52" s="14">
        <f>IF((IF(T52="",0,5)+IF(V52="",0,5)+IF(X52="",0,4)+IF(Z52="",0,4)+IF(AB52="",0,4))=0,"",(IF(T52="",0,T52*5)+IF(V52="",0,V52*5)+IF(X52="",0,X52*4)+IF(Z52="",0,Z52*4)+IF(AB52="",0,AB52*4))/22)</f>
        <v/>
      </c>
      <c r="AE52" s="11">
        <f>IF(OR(City_Inputs!$X52="",Norm_Stats!$F$12="",Norm_Stats!$G$12="",Norm_Stats!$G$12=Norm_Stats!$F$12),"",MAX(0,MIN(100,100*(MIN(MAX(City_Inputs!$X52,Norm_Stats!$F$12),Norm_Stats!$G$12)-Norm_Stats!$F$12)/(Norm_Stats!$G$12-Norm_Stats!$F$12))))</f>
        <v/>
      </c>
      <c r="AF52" s="14">
        <f>IF(AE52="","",1)</f>
        <v/>
      </c>
      <c r="AG52" s="11">
        <f>IF(OR(City_Inputs!$Y52="",Norm_Stats!$F$13="",Norm_Stats!$G$13="",Norm_Stats!$G$13=Norm_Stats!$F$13),"",MAX(0,MIN(100,100*(MIN(MAX(City_Inputs!$Y52,Norm_Stats!$F$13),Norm_Stats!$G$13)-Norm_Stats!$F$13)/(Norm_Stats!$G$13-Norm_Stats!$F$13))))</f>
        <v/>
      </c>
      <c r="AH52" s="14">
        <f>IF(AG52="","",1)</f>
        <v/>
      </c>
      <c r="AI52" s="11">
        <f>IF((IF((IF(OR(City_Inputs!$Z52="",Norm_Stats!$F$14="",Norm_Stats!$G$14="",Norm_Stats!$G$14=Norm_Stats!$F$14),"",MAX(0,MIN(100,100*(MIN(MAX(City_Inputs!$Z52,Norm_Stats!$F$14),Norm_Stats!$G$14)-Norm_Stats!$F$14)/(Norm_Stats!$G$14-Norm_Stats!$F$14)))))="",0,0.7)+IF((IF(OR(City_Inputs!$AK52="",Norm_Stats!$F$15="",Norm_Stats!$G$15="",Norm_Stats!$G$15=Norm_Stats!$F$15),"",MAX(0,MIN(100,100*(Norm_Stats!$G$15-MIN(MAX(City_Inputs!$AK52,Norm_Stats!$F$15),Norm_Stats!$G$15))/(Norm_Stats!$G$15-Norm_Stats!$F$15)))))="",0,0.3))=0,"",(IF((IF(OR(City_Inputs!$Z52="",Norm_Stats!$F$14="",Norm_Stats!$G$14="",Norm_Stats!$G$14=Norm_Stats!$F$14),"",MAX(0,MIN(100,100*(MIN(MAX(City_Inputs!$Z52,Norm_Stats!$F$14),Norm_Stats!$G$14)-Norm_Stats!$F$14)/(Norm_Stats!$G$14-Norm_Stats!$F$14)))))="",0,(IF(OR(City_Inputs!$Z52="",Norm_Stats!$F$14="",Norm_Stats!$G$14="",Norm_Stats!$G$14=Norm_Stats!$F$14),"",MAX(0,MIN(100,100*(MIN(MAX(City_Inputs!$Z52,Norm_Stats!$F$14),Norm_Stats!$G$14)-Norm_Stats!$F$14)/(Norm_Stats!$G$14-Norm_Stats!$F$14)))))*0.7)+IF((IF(OR(City_Inputs!$AK52="",Norm_Stats!$F$15="",Norm_Stats!$G$15="",Norm_Stats!$G$15=Norm_Stats!$F$15),"",MAX(0,MIN(100,100*(Norm_Stats!$G$15-MIN(MAX(City_Inputs!$AK52,Norm_Stats!$F$15),Norm_Stats!$G$15))/(Norm_Stats!$G$15-Norm_Stats!$F$15)))))="",0,(IF(OR(City_Inputs!$AK52="",Norm_Stats!$F$15="",Norm_Stats!$G$15="",Norm_Stats!$G$15=Norm_Stats!$F$15),"",MAX(0,MIN(100,100*(Norm_Stats!$G$15-MIN(MAX(City_Inputs!$AK52,Norm_Stats!$F$15),Norm_Stats!$G$15))/(Norm_Stats!$G$15-Norm_Stats!$F$15)))))*0.3))/(IF((IF(OR(City_Inputs!$Z52="",Norm_Stats!$F$14="",Norm_Stats!$G$14="",Norm_Stats!$G$14=Norm_Stats!$F$14),"",MAX(0,MIN(100,100*(MIN(MAX(City_Inputs!$Z52,Norm_Stats!$F$14),Norm_Stats!$G$14)-Norm_Stats!$F$14)/(Norm_Stats!$G$14-Norm_Stats!$F$14)))))="",0,0.7)+IF((IF(OR(City_Inputs!$AK52="",Norm_Stats!$F$15="",Norm_Stats!$G$15="",Norm_Stats!$G$15=Norm_Stats!$F$15),"",MAX(0,MIN(100,100*(Norm_Stats!$G$15-MIN(MAX(City_Inputs!$AK52,Norm_Stats!$F$15),Norm_Stats!$G$15))/(Norm_Stats!$G$15-Norm_Stats!$F$15)))))="",0,0.3)))</f>
        <v/>
      </c>
      <c r="AJ52" s="14">
        <f>IF((IF((IF(OR(City_Inputs!$Z52="",Norm_Stats!$F$14="",Norm_Stats!$G$14="",Norm_Stats!$G$14=Norm_Stats!$F$14),"",MAX(0,MIN(100,100*(MIN(MAX(City_Inputs!$Z52,Norm_Stats!$F$14),Norm_Stats!$G$14)-Norm_Stats!$F$14)/(Norm_Stats!$G$14-Norm_Stats!$F$14)))))="",0,0.7)+IF((IF(OR(City_Inputs!$AK52="",Norm_Stats!$F$15="",Norm_Stats!$G$15="",Norm_Stats!$G$15=Norm_Stats!$F$15),"",MAX(0,MIN(100,100*(Norm_Stats!$G$15-MIN(MAX(City_Inputs!$AK52,Norm_Stats!$F$15),Norm_Stats!$G$15))/(Norm_Stats!$G$15-Norm_Stats!$F$15)))))="",0,0.3))=0,"",(IF((IF(OR(City_Inputs!$Z52="",Norm_Stats!$F$14="",Norm_Stats!$G$14="",Norm_Stats!$G$14=Norm_Stats!$F$14),"",MAX(0,MIN(100,100*(MIN(MAX(City_Inputs!$Z52,Norm_Stats!$F$14),Norm_Stats!$G$14)-Norm_Stats!$F$14)/(Norm_Stats!$G$14-Norm_Stats!$F$14)))))="",0,0.7)+IF((IF(OR(City_Inputs!$AK52="",Norm_Stats!$F$15="",Norm_Stats!$G$15="",Norm_Stats!$G$15=Norm_Stats!$F$15),"",MAX(0,MIN(100,100*(Norm_Stats!$G$15-MIN(MAX(City_Inputs!$AK52,Norm_Stats!$F$15),Norm_Stats!$G$15))/(Norm_Stats!$G$15-Norm_Stats!$F$15)))))="",0,0.3)))</f>
        <v/>
      </c>
      <c r="AK52" s="15">
        <f>IF((IF(AE52="",0,8)+IF(AG52="",0,6)+IF(AI52="",0,4))=0,"",(IF(AE52="",0,AE52*8)+IF(AG52="",0,AG52*6)+IF(AI52="",0,AI52*4))/(IF(AE52="",0,8)+IF(AG52="",0,6)+IF(AI52="",0,4)))</f>
        <v/>
      </c>
      <c r="AL52" s="14">
        <f>IF((IF(AF52="",0,8)+IF(AH52="",0,6)+IF(AJ52="",0,4))=0,"",(IF(AF52="",0,AF52*8)+IF(AH52="",0,AH52*6)+IF(AJ52="",0,AJ52*4))/18)</f>
        <v/>
      </c>
      <c r="AM52" s="11">
        <f>IF(OR(City_Inputs!$AA52="",Norm_Stats!$F$16="",Norm_Stats!$G$16="",Norm_Stats!$G$16=Norm_Stats!$F$16),"",MAX(0,MIN(100,100*(MIN(MAX(City_Inputs!$AA52,Norm_Stats!$F$16),Norm_Stats!$G$16)-Norm_Stats!$F$16)/(Norm_Stats!$G$16-Norm_Stats!$F$16))))</f>
        <v/>
      </c>
      <c r="AN52" s="14">
        <f>IF(AM52="","",1)</f>
        <v/>
      </c>
      <c r="AO52" s="11">
        <f>IF(OR(City_Inputs!$AB52="",Norm_Stats!$F$17="",Norm_Stats!$G$17="",Norm_Stats!$G$17=Norm_Stats!$F$17),"",MAX(0,MIN(100,100*(MIN(MAX(City_Inputs!$AB52,Norm_Stats!$F$17),Norm_Stats!$G$17)-Norm_Stats!$F$17)/(Norm_Stats!$G$17-Norm_Stats!$F$17))))</f>
        <v/>
      </c>
      <c r="AP52" s="14">
        <f>IF(AO52="","",1)</f>
        <v/>
      </c>
      <c r="AQ52" s="11">
        <f>IF(OR(City_Inputs!$AC52="",Norm_Stats!$F$18="",Norm_Stats!$G$18="",Norm_Stats!$G$18=Norm_Stats!$F$18),"",MAX(0,MIN(100,100*(MIN(MAX(City_Inputs!$AC52,Norm_Stats!$F$18),Norm_Stats!$G$18)-Norm_Stats!$F$18)/(Norm_Stats!$G$18-Norm_Stats!$F$18))))</f>
        <v/>
      </c>
      <c r="AR52" s="14">
        <f>IF(AQ52="","",1)</f>
        <v/>
      </c>
      <c r="AS52" s="15">
        <f>IF((IF(AM52="",0,5)+IF(AO52="",0,5)+IF(AQ52="",0,5))=0,"",(IF(AM52="",0,AM52*5)+IF(AO52="",0,AO52*5)+IF(AQ52="",0,AQ52*5))/(IF(AM52="",0,5)+IF(AO52="",0,5)+IF(AQ52="",0,5)))</f>
        <v/>
      </c>
      <c r="AT52" s="14">
        <f>IF((IF(AN52="",0,5)+IF(AP52="",0,5)+IF(AR52="",0,5))=0,"",(IF(AN52="",0,AN52*5)+IF(AP52="",0,AP52*5)+IF(AR52="",0,AR52*5))/15)</f>
        <v/>
      </c>
      <c r="AU52" s="11">
        <f>IF(OR(City_Inputs!$AD52="",Norm_Stats!$F$19="",Norm_Stats!$G$19="",Norm_Stats!$G$19=Norm_Stats!$F$19),"",MAX(0,MIN(100,100*(MIN(MAX(City_Inputs!$AD52,Norm_Stats!$F$19),Norm_Stats!$G$19)-Norm_Stats!$F$19)/(Norm_Stats!$G$19-Norm_Stats!$F$19))))</f>
        <v/>
      </c>
      <c r="AV52" s="14">
        <f>IF(AU52="","",1)</f>
        <v/>
      </c>
      <c r="AW52" s="11">
        <f>IF(OR(City_Inputs!$AE52="",Norm_Stats!$F$20="",Norm_Stats!$G$20="",Norm_Stats!$G$20=Norm_Stats!$F$20),"",MAX(0,MIN(100,100*(MIN(MAX(City_Inputs!$AE52,Norm_Stats!$F$20),Norm_Stats!$G$20)-Norm_Stats!$F$20)/(Norm_Stats!$G$20-Norm_Stats!$F$20))))</f>
        <v/>
      </c>
      <c r="AX52" s="14">
        <f>IF(AW52="","",1)</f>
        <v/>
      </c>
      <c r="AY52" s="11">
        <f>IF((IF((IF(OR(City_Inputs!$AF52="",Norm_Stats!$F$21="",Norm_Stats!$G$21="",Norm_Stats!$G$21=Norm_Stats!$F$21),"",MAX(0,MIN(100,100*(MIN(MAX(City_Inputs!$AF52,Norm_Stats!$F$21),Norm_Stats!$G$21)-Norm_Stats!$F$21)/(Norm_Stats!$G$21-Norm_Stats!$F$21)))))="",0,0.5)+IF((IF(OR(City_Inputs!$AI52="",Norm_Stats!$F$22="",Norm_Stats!$G$22="",Norm_Stats!$G$22=Norm_Stats!$F$22),"",MAX(0,MIN(100,100*(MIN(MAX(City_Inputs!$AI52,Norm_Stats!$F$22),Norm_Stats!$G$22)-Norm_Stats!$F$22)/(Norm_Stats!$G$22-Norm_Stats!$F$22)))))="",0,0.3)+IF((IF(OR(City_Inputs!$AJ52="",Norm_Stats!$F$23="",Norm_Stats!$G$23="",Norm_Stats!$G$23=Norm_Stats!$F$23),"",MAX(0,MIN(100,100*(MIN(MAX(City_Inputs!$AJ52,Norm_Stats!$F$23),Norm_Stats!$G$23)-Norm_Stats!$F$23)/(Norm_Stats!$G$23-Norm_Stats!$F$23)))))="",0,0.2))=0,"",(IF((IF(OR(City_Inputs!$AF52="",Norm_Stats!$F$21="",Norm_Stats!$G$21="",Norm_Stats!$G$21=Norm_Stats!$F$21),"",MAX(0,MIN(100,100*(MIN(MAX(City_Inputs!$AF52,Norm_Stats!$F$21),Norm_Stats!$G$21)-Norm_Stats!$F$21)/(Norm_Stats!$G$21-Norm_Stats!$F$21)))))="",0,(IF(OR(City_Inputs!$AF52="",Norm_Stats!$F$21="",Norm_Stats!$G$21="",Norm_Stats!$G$21=Norm_Stats!$F$21),"",MAX(0,MIN(100,100*(MIN(MAX(City_Inputs!$AF52,Norm_Stats!$F$21),Norm_Stats!$G$21)-Norm_Stats!$F$21)/(Norm_Stats!$G$21-Norm_Stats!$F$21)))))*0.5)+IF((IF(OR(City_Inputs!$AI52="",Norm_Stats!$F$22="",Norm_Stats!$G$22="",Norm_Stats!$G$22=Norm_Stats!$F$22),"",MAX(0,MIN(100,100*(MIN(MAX(City_Inputs!$AI52,Norm_Stats!$F$22),Norm_Stats!$G$22)-Norm_Stats!$F$22)/(Norm_Stats!$G$22-Norm_Stats!$F$22)))))="",0,(IF(OR(City_Inputs!$AI52="",Norm_Stats!$F$22="",Norm_Stats!$G$22="",Norm_Stats!$G$22=Norm_Stats!$F$22),"",MAX(0,MIN(100,100*(MIN(MAX(City_Inputs!$AI52,Norm_Stats!$F$22),Norm_Stats!$G$22)-Norm_Stats!$F$22)/(Norm_Stats!$G$22-Norm_Stats!$F$22)))))*0.3)+IF((IF(OR(City_Inputs!$AJ52="",Norm_Stats!$F$23="",Norm_Stats!$G$23="",Norm_Stats!$G$23=Norm_Stats!$F$23),"",MAX(0,MIN(100,100*(MIN(MAX(City_Inputs!$AJ52,Norm_Stats!$F$23),Norm_Stats!$G$23)-Norm_Stats!$F$23)/(Norm_Stats!$G$23-Norm_Stats!$F$23)))))="",0,(IF(OR(City_Inputs!$AJ52="",Norm_Stats!$F$23="",Norm_Stats!$G$23="",Norm_Stats!$G$23=Norm_Stats!$F$23),"",MAX(0,MIN(100,100*(MIN(MAX(City_Inputs!$AJ52,Norm_Stats!$F$23),Norm_Stats!$G$23)-Norm_Stats!$F$23)/(Norm_Stats!$G$23-Norm_Stats!$F$23)))))*0.2))/(IF((IF(OR(City_Inputs!$AF52="",Norm_Stats!$F$21="",Norm_Stats!$G$21="",Norm_Stats!$G$21=Norm_Stats!$F$21),"",MAX(0,MIN(100,100*(MIN(MAX(City_Inputs!$AF52,Norm_Stats!$F$21),Norm_Stats!$G$21)-Norm_Stats!$F$21)/(Norm_Stats!$G$21-Norm_Stats!$F$21)))))="",0,0.5)+IF((IF(OR(City_Inputs!$AI52="",Norm_Stats!$F$22="",Norm_Stats!$G$22="",Norm_Stats!$G$22=Norm_Stats!$F$22),"",MAX(0,MIN(100,100*(MIN(MAX(City_Inputs!$AI52,Norm_Stats!$F$22),Norm_Stats!$G$22)-Norm_Stats!$F$22)/(Norm_Stats!$G$22-Norm_Stats!$F$22)))))="",0,0.3)+IF((IF(OR(City_Inputs!$AJ52="",Norm_Stats!$F$23="",Norm_Stats!$G$23="",Norm_Stats!$G$23=Norm_Stats!$F$23),"",MAX(0,MIN(100,100*(MIN(MAX(City_Inputs!$AJ52,Norm_Stats!$F$23),Norm_Stats!$G$23)-Norm_Stats!$F$23)/(Norm_Stats!$G$23-Norm_Stats!$F$23)))))="",0,0.2)))</f>
        <v/>
      </c>
      <c r="AZ52" s="14">
        <f>IF((IF((IF(OR(City_Inputs!$AF52="",Norm_Stats!$F$21="",Norm_Stats!$G$21="",Norm_Stats!$G$21=Norm_Stats!$F$21),"",MAX(0,MIN(100,100*(MIN(MAX(City_Inputs!$AF52,Norm_Stats!$F$21),Norm_Stats!$G$21)-Norm_Stats!$F$21)/(Norm_Stats!$G$21-Norm_Stats!$F$21)))))="",0,0.5)+IF((IF(OR(City_Inputs!$AI52="",Norm_Stats!$F$22="",Norm_Stats!$G$22="",Norm_Stats!$G$22=Norm_Stats!$F$22),"",MAX(0,MIN(100,100*(MIN(MAX(City_Inputs!$AI52,Norm_Stats!$F$22),Norm_Stats!$G$22)-Norm_Stats!$F$22)/(Norm_Stats!$G$22-Norm_Stats!$F$22)))))="",0,0.3)+IF((IF(OR(City_Inputs!$AJ52="",Norm_Stats!$F$23="",Norm_Stats!$G$23="",Norm_Stats!$G$23=Norm_Stats!$F$23),"",MAX(0,MIN(100,100*(MIN(MAX(City_Inputs!$AJ52,Norm_Stats!$F$23),Norm_Stats!$G$23)-Norm_Stats!$F$23)/(Norm_Stats!$G$23-Norm_Stats!$F$23)))))="",0,0.2))=0,"",(IF((IF(OR(City_Inputs!$AF52="",Norm_Stats!$F$21="",Norm_Stats!$G$21="",Norm_Stats!$G$21=Norm_Stats!$F$21),"",MAX(0,MIN(100,100*(MIN(MAX(City_Inputs!$AF52,Norm_Stats!$F$21),Norm_Stats!$G$21)-Norm_Stats!$F$21)/(Norm_Stats!$G$21-Norm_Stats!$F$21)))))="",0,0.5)+IF((IF(OR(City_Inputs!$AI52="",Norm_Stats!$F$22="",Norm_Stats!$G$22="",Norm_Stats!$G$22=Norm_Stats!$F$22),"",MAX(0,MIN(100,100*(MIN(MAX(City_Inputs!$AI52,Norm_Stats!$F$22),Norm_Stats!$G$22)-Norm_Stats!$F$22)/(Norm_Stats!$G$22-Norm_Stats!$F$22)))))="",0,0.3)+IF((IF(OR(City_Inputs!$AJ52="",Norm_Stats!$F$23="",Norm_Stats!$G$23="",Norm_Stats!$G$23=Norm_Stats!$F$23),"",MAX(0,MIN(100,100*(MIN(MAX(City_Inputs!$AJ52,Norm_Stats!$F$23),Norm_Stats!$G$23)-Norm_Stats!$F$23)/(Norm_Stats!$G$23-Norm_Stats!$F$23)))))="",0,0.2)))</f>
        <v/>
      </c>
      <c r="BA52" s="11">
        <f>IF(OR(City_Inputs!$AG52="",Norm_Stats!$F$24="",Norm_Stats!$G$24="",Norm_Stats!$G$24=Norm_Stats!$F$24),"",MAX(0,MIN(100,100*(Norm_Stats!$G$24-MIN(MAX(City_Inputs!$AG52,Norm_Stats!$F$24),Norm_Stats!$G$24))/(Norm_Stats!$G$24-Norm_Stats!$F$24))))</f>
        <v/>
      </c>
      <c r="BB52" s="14">
        <f>IF(BA52="","",1)</f>
        <v/>
      </c>
      <c r="BC52" s="15">
        <f>IF((IF(AU52="",0,6)+IF(AW52="",0,5)+IF(AY52="",0,5)+IF(BA52="",0,4))=0,"",(IF(AU52="",0,AU52*6)+IF(AW52="",0,AW52*5)+IF(AY52="",0,AY52*5)+IF(BA52="",0,BA52*4))/(IF(AU52="",0,6)+IF(AW52="",0,5)+IF(AY52="",0,5)+IF(BA52="",0,4)))</f>
        <v/>
      </c>
      <c r="BD52" s="14">
        <f>IF((IF(AV52="",0,6)+IF(AX52="",0,5)+IF(AZ52="",0,5)+IF(BB52="",0,4))=0,"",(IF(AV52="",0,AV52*6)+IF(AX52="",0,AX52*5)+IF(AZ52="",0,AZ52*5)+IF(BB52="",0,BB52*4))/20)</f>
        <v/>
      </c>
      <c r="BE52" s="14">
        <f>IF(AND(R52="",AD52="",AL52="",AT52="",BD52=""),"",((R52*25)+(AD52*22)+(AL52*18)+(AT52*15)+(BD52*20))/100)</f>
        <v/>
      </c>
      <c r="BF52" s="11">
        <f>IF(BE52="","",IF(BE52&gt;=0.75,"A",IF(BE52&gt;=0.5,"B",IF(BE52&gt;=0.35,"C","Watchlist"))))</f>
        <v/>
      </c>
      <c r="BG52" s="11">
        <f>IF(OR(BE52="",BE52&lt;0.5,R52="",R52&lt;0.35,AD52="",AD52&lt;0.35,AL52="",AL52&lt;0.35,AT52="",AT52&lt;0.35,BD52="",BD52&lt;0.35),"Watchlist","Ranked")</f>
        <v/>
      </c>
      <c r="BH52" s="15">
        <f>IF(AND(Q52="",AC52="",AK52="",AS52="",BC52=""),"",(IF(Q52="",0,Q52*25)+IF(AC52="",0,AC52*22)+IF(AK52="",0,AK52*18)+IF(AS52="",0,AS52*15)+IF(BC52="",0,BC52*20))/(IF(Q52="",0,25)+IF(AC52="",0,22)+IF(AK52="",0,18)+IF(AS52="",0,15)+IF(BC52="",0,20)))</f>
        <v/>
      </c>
      <c r="BI52" s="11">
        <f>IF(BG52="Ranked",1+COUNTIFS($BG$2:$BG$103,"Ranked",$BH$2:$BH$103,"&gt;"&amp;BH52),"")</f>
        <v/>
      </c>
      <c r="BJ52" s="11">
        <f>City_Inputs!$AH52</f>
        <v/>
      </c>
    </row>
    <row r="53">
      <c r="A53" t="inlineStr">
        <is>
          <t>sk-bratislava</t>
        </is>
      </c>
      <c r="B53" t="inlineStr">
        <is>
          <t>Bratislava</t>
        </is>
      </c>
      <c r="C53" t="inlineStr">
        <is>
          <t>Slovakia</t>
        </is>
      </c>
      <c r="D53" t="inlineStr">
        <is>
          <t>Southern/Eastern Europe and Eurasia</t>
        </is>
      </c>
      <c r="E53" t="inlineStr">
        <is>
          <t>provisional</t>
        </is>
      </c>
      <c r="F53" t="inlineStr">
        <is>
          <t>secondary</t>
        </is>
      </c>
      <c r="G53" s="11">
        <f>IF(OR(City_Inputs!$M53="",Norm_Stats!$F$2="",Norm_Stats!$G$2="",Norm_Stats!$G$2=Norm_Stats!$F$2),"",MAX(0,MIN(100,100*(MIN(MAX(City_Inputs!$M53,Norm_Stats!$F$2),Norm_Stats!$G$2)-Norm_Stats!$F$2)/(Norm_Stats!$G$2-Norm_Stats!$F$2))))</f>
        <v/>
      </c>
      <c r="H53" s="14">
        <f>IF(G53="","",1)</f>
        <v/>
      </c>
      <c r="I53" s="11">
        <f>IF(OR(City_Inputs!$N53="",Norm_Stats!$F$3="",Norm_Stats!$G$3="",Norm_Stats!$G$3=Norm_Stats!$F$3),"",MAX(0,MIN(100,100*(Norm_Stats!$G$3-MIN(MAX(City_Inputs!$N53,Norm_Stats!$F$3),Norm_Stats!$G$3))/(Norm_Stats!$G$3-Norm_Stats!$F$3))))</f>
        <v/>
      </c>
      <c r="J53" s="14">
        <f>IF(I53="","",1)</f>
        <v/>
      </c>
      <c r="K53" s="11">
        <f>IF(OR(City_Inputs!$P53="",Norm_Stats!$F$4="",Norm_Stats!$G$4="",Norm_Stats!$G$4=Norm_Stats!$F$4),"",MAX(0,MIN(100,100*(Norm_Stats!$G$4-MIN(MAX(City_Inputs!$P53,Norm_Stats!$F$4),Norm_Stats!$G$4))/(Norm_Stats!$G$4-Norm_Stats!$F$4))))</f>
        <v/>
      </c>
      <c r="L53" s="14">
        <f>IF(K53="","",1)</f>
        <v/>
      </c>
      <c r="M53" s="11">
        <f>IF(OR(City_Inputs!$Q53="",Norm_Stats!$F$5="",Norm_Stats!$G$5="",Norm_Stats!$G$5=Norm_Stats!$F$5),"",MAX(0,MIN(100,100*(Norm_Stats!$G$5-MIN(MAX(City_Inputs!$Q53,Norm_Stats!$F$5),Norm_Stats!$G$5))/(Norm_Stats!$G$5-Norm_Stats!$F$5))))</f>
        <v/>
      </c>
      <c r="N53" s="14">
        <f>IF(M53="","",1)</f>
        <v/>
      </c>
      <c r="O53" s="11">
        <f>IF(OR(City_Inputs!$R53="",Norm_Stats!$F$6="",Norm_Stats!$G$6="",Norm_Stats!$G$6=Norm_Stats!$F$6),"",MAX(0,MIN(100,100*(Norm_Stats!$G$6-MIN(MAX(City_Inputs!$R53,Norm_Stats!$F$6),Norm_Stats!$G$6))/(Norm_Stats!$G$6-Norm_Stats!$F$6))))</f>
        <v/>
      </c>
      <c r="P53" s="14">
        <f>IF(O53="","",1)</f>
        <v/>
      </c>
      <c r="Q53" s="15">
        <f>IF((IF(G53="",0,9)+IF(I53="",0,5)+IF(K53="",0,4)+IF(M53="",0,4)+IF(O53="",0,3))=0,"",(IF(G53="",0,G53*9)+IF(I53="",0,I53*5)+IF(K53="",0,K53*4)+IF(M53="",0,M53*4)+IF(O53="",0,O53*3))/(IF(G53="",0,9)+IF(I53="",0,5)+IF(K53="",0,4)+IF(M53="",0,4)+IF(O53="",0,3)))</f>
        <v/>
      </c>
      <c r="R53" s="14">
        <f>IF((IF(H53="",0,9)+IF(J53="",0,5)+IF(L53="",0,4)+IF(N53="",0,4)+IF(P53="",0,3))=0,"",(IF(H53="",0,H53*9)+IF(J53="",0,J53*5)+IF(L53="",0,L53*4)+IF(N53="",0,N53*4)+IF(P53="",0,P53*3))/25)</f>
        <v/>
      </c>
      <c r="S53" s="11">
        <f>IF(OR(City_Inputs!$S53="",Norm_Stats!$F$7="",Norm_Stats!$G$7="",Norm_Stats!$G$7=Norm_Stats!$F$7),"",MAX(0,MIN(100,100*(Norm_Stats!$G$7-MIN(MAX(City_Inputs!$S53,Norm_Stats!$F$7),Norm_Stats!$G$7))/(Norm_Stats!$G$7-Norm_Stats!$F$7))))</f>
        <v/>
      </c>
      <c r="T53" s="14">
        <f>IF(S53="","",1)</f>
        <v/>
      </c>
      <c r="U53" s="11">
        <f>IF(OR(City_Inputs!$T53="",Norm_Stats!$F$8="",Norm_Stats!$G$8="",Norm_Stats!$G$8=Norm_Stats!$F$8),"",MAX(0,MIN(100,100*(MIN(MAX(City_Inputs!$T53,Norm_Stats!$F$8),Norm_Stats!$G$8)-Norm_Stats!$F$8)/(Norm_Stats!$G$8-Norm_Stats!$F$8))))</f>
        <v/>
      </c>
      <c r="V53" s="14">
        <f>IF(U53="","",1)</f>
        <v/>
      </c>
      <c r="W53" s="11">
        <f>IF(OR(City_Inputs!$U53="",Norm_Stats!$F$9="",Norm_Stats!$G$9="",Norm_Stats!$G$9=Norm_Stats!$F$9),"",MAX(0,MIN(100,100*(Norm_Stats!$G$9-MIN(MAX(City_Inputs!$U53,Norm_Stats!$F$9),Norm_Stats!$G$9))/(Norm_Stats!$G$9-Norm_Stats!$F$9))))</f>
        <v/>
      </c>
      <c r="X53" s="14">
        <f>IF(W53="","",1)</f>
        <v/>
      </c>
      <c r="Y53" s="11">
        <f>IF(OR(City_Inputs!$V53="",Norm_Stats!$F$10="",Norm_Stats!$G$10="",Norm_Stats!$G$10=Norm_Stats!$F$10),"",MAX(0,MIN(100,100*(MIN(MAX(City_Inputs!$V53,Norm_Stats!$F$10),Norm_Stats!$G$10)-Norm_Stats!$F$10)/(Norm_Stats!$G$10-Norm_Stats!$F$10))))</f>
        <v/>
      </c>
      <c r="Z53" s="14">
        <f>IF(Y53="","",1)</f>
        <v/>
      </c>
      <c r="AA53" s="11">
        <f>IF(OR(City_Inputs!$W53="",Norm_Stats!$F$11="",Norm_Stats!$G$11="",Norm_Stats!$G$11=Norm_Stats!$F$11),"",MAX(0,MIN(100,100*(MIN(MAX(City_Inputs!$W53,Norm_Stats!$F$11),Norm_Stats!$G$11)-Norm_Stats!$F$11)/(Norm_Stats!$G$11-Norm_Stats!$F$11))))</f>
        <v/>
      </c>
      <c r="AB53" s="14">
        <f>IF(AA53="","",1)</f>
        <v/>
      </c>
      <c r="AC53" s="15">
        <f>IF((IF(S53="",0,5)+IF(U53="",0,5)+IF(W53="",0,4)+IF(Y53="",0,4)+IF(AA53="",0,4))=0,"",(IF(S53="",0,S53*5)+IF(U53="",0,U53*5)+IF(W53="",0,W53*4)+IF(Y53="",0,Y53*4)+IF(AA53="",0,AA53*4))/(IF(S53="",0,5)+IF(U53="",0,5)+IF(W53="",0,4)+IF(Y53="",0,4)+IF(AA53="",0,4)))</f>
        <v/>
      </c>
      <c r="AD53" s="14">
        <f>IF((IF(T53="",0,5)+IF(V53="",0,5)+IF(X53="",0,4)+IF(Z53="",0,4)+IF(AB53="",0,4))=0,"",(IF(T53="",0,T53*5)+IF(V53="",0,V53*5)+IF(X53="",0,X53*4)+IF(Z53="",0,Z53*4)+IF(AB53="",0,AB53*4))/22)</f>
        <v/>
      </c>
      <c r="AE53" s="11">
        <f>IF(OR(City_Inputs!$X53="",Norm_Stats!$F$12="",Norm_Stats!$G$12="",Norm_Stats!$G$12=Norm_Stats!$F$12),"",MAX(0,MIN(100,100*(MIN(MAX(City_Inputs!$X53,Norm_Stats!$F$12),Norm_Stats!$G$12)-Norm_Stats!$F$12)/(Norm_Stats!$G$12-Norm_Stats!$F$12))))</f>
        <v/>
      </c>
      <c r="AF53" s="14">
        <f>IF(AE53="","",1)</f>
        <v/>
      </c>
      <c r="AG53" s="11">
        <f>IF(OR(City_Inputs!$Y53="",Norm_Stats!$F$13="",Norm_Stats!$G$13="",Norm_Stats!$G$13=Norm_Stats!$F$13),"",MAX(0,MIN(100,100*(MIN(MAX(City_Inputs!$Y53,Norm_Stats!$F$13),Norm_Stats!$G$13)-Norm_Stats!$F$13)/(Norm_Stats!$G$13-Norm_Stats!$F$13))))</f>
        <v/>
      </c>
      <c r="AH53" s="14">
        <f>IF(AG53="","",1)</f>
        <v/>
      </c>
      <c r="AI53" s="11">
        <f>IF((IF((IF(OR(City_Inputs!$Z53="",Norm_Stats!$F$14="",Norm_Stats!$G$14="",Norm_Stats!$G$14=Norm_Stats!$F$14),"",MAX(0,MIN(100,100*(MIN(MAX(City_Inputs!$Z53,Norm_Stats!$F$14),Norm_Stats!$G$14)-Norm_Stats!$F$14)/(Norm_Stats!$G$14-Norm_Stats!$F$14)))))="",0,0.7)+IF((IF(OR(City_Inputs!$AK53="",Norm_Stats!$F$15="",Norm_Stats!$G$15="",Norm_Stats!$G$15=Norm_Stats!$F$15),"",MAX(0,MIN(100,100*(Norm_Stats!$G$15-MIN(MAX(City_Inputs!$AK53,Norm_Stats!$F$15),Norm_Stats!$G$15))/(Norm_Stats!$G$15-Norm_Stats!$F$15)))))="",0,0.3))=0,"",(IF((IF(OR(City_Inputs!$Z53="",Norm_Stats!$F$14="",Norm_Stats!$G$14="",Norm_Stats!$G$14=Norm_Stats!$F$14),"",MAX(0,MIN(100,100*(MIN(MAX(City_Inputs!$Z53,Norm_Stats!$F$14),Norm_Stats!$G$14)-Norm_Stats!$F$14)/(Norm_Stats!$G$14-Norm_Stats!$F$14)))))="",0,(IF(OR(City_Inputs!$Z53="",Norm_Stats!$F$14="",Norm_Stats!$G$14="",Norm_Stats!$G$14=Norm_Stats!$F$14),"",MAX(0,MIN(100,100*(MIN(MAX(City_Inputs!$Z53,Norm_Stats!$F$14),Norm_Stats!$G$14)-Norm_Stats!$F$14)/(Norm_Stats!$G$14-Norm_Stats!$F$14)))))*0.7)+IF((IF(OR(City_Inputs!$AK53="",Norm_Stats!$F$15="",Norm_Stats!$G$15="",Norm_Stats!$G$15=Norm_Stats!$F$15),"",MAX(0,MIN(100,100*(Norm_Stats!$G$15-MIN(MAX(City_Inputs!$AK53,Norm_Stats!$F$15),Norm_Stats!$G$15))/(Norm_Stats!$G$15-Norm_Stats!$F$15)))))="",0,(IF(OR(City_Inputs!$AK53="",Norm_Stats!$F$15="",Norm_Stats!$G$15="",Norm_Stats!$G$15=Norm_Stats!$F$15),"",MAX(0,MIN(100,100*(Norm_Stats!$G$15-MIN(MAX(City_Inputs!$AK53,Norm_Stats!$F$15),Norm_Stats!$G$15))/(Norm_Stats!$G$15-Norm_Stats!$F$15)))))*0.3))/(IF((IF(OR(City_Inputs!$Z53="",Norm_Stats!$F$14="",Norm_Stats!$G$14="",Norm_Stats!$G$14=Norm_Stats!$F$14),"",MAX(0,MIN(100,100*(MIN(MAX(City_Inputs!$Z53,Norm_Stats!$F$14),Norm_Stats!$G$14)-Norm_Stats!$F$14)/(Norm_Stats!$G$14-Norm_Stats!$F$14)))))="",0,0.7)+IF((IF(OR(City_Inputs!$AK53="",Norm_Stats!$F$15="",Norm_Stats!$G$15="",Norm_Stats!$G$15=Norm_Stats!$F$15),"",MAX(0,MIN(100,100*(Norm_Stats!$G$15-MIN(MAX(City_Inputs!$AK53,Norm_Stats!$F$15),Norm_Stats!$G$15))/(Norm_Stats!$G$15-Norm_Stats!$F$15)))))="",0,0.3)))</f>
        <v/>
      </c>
      <c r="AJ53" s="14">
        <f>IF((IF((IF(OR(City_Inputs!$Z53="",Norm_Stats!$F$14="",Norm_Stats!$G$14="",Norm_Stats!$G$14=Norm_Stats!$F$14),"",MAX(0,MIN(100,100*(MIN(MAX(City_Inputs!$Z53,Norm_Stats!$F$14),Norm_Stats!$G$14)-Norm_Stats!$F$14)/(Norm_Stats!$G$14-Norm_Stats!$F$14)))))="",0,0.7)+IF((IF(OR(City_Inputs!$AK53="",Norm_Stats!$F$15="",Norm_Stats!$G$15="",Norm_Stats!$G$15=Norm_Stats!$F$15),"",MAX(0,MIN(100,100*(Norm_Stats!$G$15-MIN(MAX(City_Inputs!$AK53,Norm_Stats!$F$15),Norm_Stats!$G$15))/(Norm_Stats!$G$15-Norm_Stats!$F$15)))))="",0,0.3))=0,"",(IF((IF(OR(City_Inputs!$Z53="",Norm_Stats!$F$14="",Norm_Stats!$G$14="",Norm_Stats!$G$14=Norm_Stats!$F$14),"",MAX(0,MIN(100,100*(MIN(MAX(City_Inputs!$Z53,Norm_Stats!$F$14),Norm_Stats!$G$14)-Norm_Stats!$F$14)/(Norm_Stats!$G$14-Norm_Stats!$F$14)))))="",0,0.7)+IF((IF(OR(City_Inputs!$AK53="",Norm_Stats!$F$15="",Norm_Stats!$G$15="",Norm_Stats!$G$15=Norm_Stats!$F$15),"",MAX(0,MIN(100,100*(Norm_Stats!$G$15-MIN(MAX(City_Inputs!$AK53,Norm_Stats!$F$15),Norm_Stats!$G$15))/(Norm_Stats!$G$15-Norm_Stats!$F$15)))))="",0,0.3)))</f>
        <v/>
      </c>
      <c r="AK53" s="15">
        <f>IF((IF(AE53="",0,8)+IF(AG53="",0,6)+IF(AI53="",0,4))=0,"",(IF(AE53="",0,AE53*8)+IF(AG53="",0,AG53*6)+IF(AI53="",0,AI53*4))/(IF(AE53="",0,8)+IF(AG53="",0,6)+IF(AI53="",0,4)))</f>
        <v/>
      </c>
      <c r="AL53" s="14">
        <f>IF((IF(AF53="",0,8)+IF(AH53="",0,6)+IF(AJ53="",0,4))=0,"",(IF(AF53="",0,AF53*8)+IF(AH53="",0,AH53*6)+IF(AJ53="",0,AJ53*4))/18)</f>
        <v/>
      </c>
      <c r="AM53" s="11">
        <f>IF(OR(City_Inputs!$AA53="",Norm_Stats!$F$16="",Norm_Stats!$G$16="",Norm_Stats!$G$16=Norm_Stats!$F$16),"",MAX(0,MIN(100,100*(MIN(MAX(City_Inputs!$AA53,Norm_Stats!$F$16),Norm_Stats!$G$16)-Norm_Stats!$F$16)/(Norm_Stats!$G$16-Norm_Stats!$F$16))))</f>
        <v/>
      </c>
      <c r="AN53" s="14">
        <f>IF(AM53="","",1)</f>
        <v/>
      </c>
      <c r="AO53" s="11">
        <f>IF(OR(City_Inputs!$AB53="",Norm_Stats!$F$17="",Norm_Stats!$G$17="",Norm_Stats!$G$17=Norm_Stats!$F$17),"",MAX(0,MIN(100,100*(MIN(MAX(City_Inputs!$AB53,Norm_Stats!$F$17),Norm_Stats!$G$17)-Norm_Stats!$F$17)/(Norm_Stats!$G$17-Norm_Stats!$F$17))))</f>
        <v/>
      </c>
      <c r="AP53" s="14">
        <f>IF(AO53="","",1)</f>
        <v/>
      </c>
      <c r="AQ53" s="11">
        <f>IF(OR(City_Inputs!$AC53="",Norm_Stats!$F$18="",Norm_Stats!$G$18="",Norm_Stats!$G$18=Norm_Stats!$F$18),"",MAX(0,MIN(100,100*(MIN(MAX(City_Inputs!$AC53,Norm_Stats!$F$18),Norm_Stats!$G$18)-Norm_Stats!$F$18)/(Norm_Stats!$G$18-Norm_Stats!$F$18))))</f>
        <v/>
      </c>
      <c r="AR53" s="14">
        <f>IF(AQ53="","",1)</f>
        <v/>
      </c>
      <c r="AS53" s="15">
        <f>IF((IF(AM53="",0,5)+IF(AO53="",0,5)+IF(AQ53="",0,5))=0,"",(IF(AM53="",0,AM53*5)+IF(AO53="",0,AO53*5)+IF(AQ53="",0,AQ53*5))/(IF(AM53="",0,5)+IF(AO53="",0,5)+IF(AQ53="",0,5)))</f>
        <v/>
      </c>
      <c r="AT53" s="14">
        <f>IF((IF(AN53="",0,5)+IF(AP53="",0,5)+IF(AR53="",0,5))=0,"",(IF(AN53="",0,AN53*5)+IF(AP53="",0,AP53*5)+IF(AR53="",0,AR53*5))/15)</f>
        <v/>
      </c>
      <c r="AU53" s="11">
        <f>IF(OR(City_Inputs!$AD53="",Norm_Stats!$F$19="",Norm_Stats!$G$19="",Norm_Stats!$G$19=Norm_Stats!$F$19),"",MAX(0,MIN(100,100*(MIN(MAX(City_Inputs!$AD53,Norm_Stats!$F$19),Norm_Stats!$G$19)-Norm_Stats!$F$19)/(Norm_Stats!$G$19-Norm_Stats!$F$19))))</f>
        <v/>
      </c>
      <c r="AV53" s="14">
        <f>IF(AU53="","",1)</f>
        <v/>
      </c>
      <c r="AW53" s="11">
        <f>IF(OR(City_Inputs!$AE53="",Norm_Stats!$F$20="",Norm_Stats!$G$20="",Norm_Stats!$G$20=Norm_Stats!$F$20),"",MAX(0,MIN(100,100*(MIN(MAX(City_Inputs!$AE53,Norm_Stats!$F$20),Norm_Stats!$G$20)-Norm_Stats!$F$20)/(Norm_Stats!$G$20-Norm_Stats!$F$20))))</f>
        <v/>
      </c>
      <c r="AX53" s="14">
        <f>IF(AW53="","",1)</f>
        <v/>
      </c>
      <c r="AY53" s="11">
        <f>IF((IF((IF(OR(City_Inputs!$AF53="",Norm_Stats!$F$21="",Norm_Stats!$G$21="",Norm_Stats!$G$21=Norm_Stats!$F$21),"",MAX(0,MIN(100,100*(MIN(MAX(City_Inputs!$AF53,Norm_Stats!$F$21),Norm_Stats!$G$21)-Norm_Stats!$F$21)/(Norm_Stats!$G$21-Norm_Stats!$F$21)))))="",0,0.5)+IF((IF(OR(City_Inputs!$AI53="",Norm_Stats!$F$22="",Norm_Stats!$G$22="",Norm_Stats!$G$22=Norm_Stats!$F$22),"",MAX(0,MIN(100,100*(MIN(MAX(City_Inputs!$AI53,Norm_Stats!$F$22),Norm_Stats!$G$22)-Norm_Stats!$F$22)/(Norm_Stats!$G$22-Norm_Stats!$F$22)))))="",0,0.3)+IF((IF(OR(City_Inputs!$AJ53="",Norm_Stats!$F$23="",Norm_Stats!$G$23="",Norm_Stats!$G$23=Norm_Stats!$F$23),"",MAX(0,MIN(100,100*(MIN(MAX(City_Inputs!$AJ53,Norm_Stats!$F$23),Norm_Stats!$G$23)-Norm_Stats!$F$23)/(Norm_Stats!$G$23-Norm_Stats!$F$23)))))="",0,0.2))=0,"",(IF((IF(OR(City_Inputs!$AF53="",Norm_Stats!$F$21="",Norm_Stats!$G$21="",Norm_Stats!$G$21=Norm_Stats!$F$21),"",MAX(0,MIN(100,100*(MIN(MAX(City_Inputs!$AF53,Norm_Stats!$F$21),Norm_Stats!$G$21)-Norm_Stats!$F$21)/(Norm_Stats!$G$21-Norm_Stats!$F$21)))))="",0,(IF(OR(City_Inputs!$AF53="",Norm_Stats!$F$21="",Norm_Stats!$G$21="",Norm_Stats!$G$21=Norm_Stats!$F$21),"",MAX(0,MIN(100,100*(MIN(MAX(City_Inputs!$AF53,Norm_Stats!$F$21),Norm_Stats!$G$21)-Norm_Stats!$F$21)/(Norm_Stats!$G$21-Norm_Stats!$F$21)))))*0.5)+IF((IF(OR(City_Inputs!$AI53="",Norm_Stats!$F$22="",Norm_Stats!$G$22="",Norm_Stats!$G$22=Norm_Stats!$F$22),"",MAX(0,MIN(100,100*(MIN(MAX(City_Inputs!$AI53,Norm_Stats!$F$22),Norm_Stats!$G$22)-Norm_Stats!$F$22)/(Norm_Stats!$G$22-Norm_Stats!$F$22)))))="",0,(IF(OR(City_Inputs!$AI53="",Norm_Stats!$F$22="",Norm_Stats!$G$22="",Norm_Stats!$G$22=Norm_Stats!$F$22),"",MAX(0,MIN(100,100*(MIN(MAX(City_Inputs!$AI53,Norm_Stats!$F$22),Norm_Stats!$G$22)-Norm_Stats!$F$22)/(Norm_Stats!$G$22-Norm_Stats!$F$22)))))*0.3)+IF((IF(OR(City_Inputs!$AJ53="",Norm_Stats!$F$23="",Norm_Stats!$G$23="",Norm_Stats!$G$23=Norm_Stats!$F$23),"",MAX(0,MIN(100,100*(MIN(MAX(City_Inputs!$AJ53,Norm_Stats!$F$23),Norm_Stats!$G$23)-Norm_Stats!$F$23)/(Norm_Stats!$G$23-Norm_Stats!$F$23)))))="",0,(IF(OR(City_Inputs!$AJ53="",Norm_Stats!$F$23="",Norm_Stats!$G$23="",Norm_Stats!$G$23=Norm_Stats!$F$23),"",MAX(0,MIN(100,100*(MIN(MAX(City_Inputs!$AJ53,Norm_Stats!$F$23),Norm_Stats!$G$23)-Norm_Stats!$F$23)/(Norm_Stats!$G$23-Norm_Stats!$F$23)))))*0.2))/(IF((IF(OR(City_Inputs!$AF53="",Norm_Stats!$F$21="",Norm_Stats!$G$21="",Norm_Stats!$G$21=Norm_Stats!$F$21),"",MAX(0,MIN(100,100*(MIN(MAX(City_Inputs!$AF53,Norm_Stats!$F$21),Norm_Stats!$G$21)-Norm_Stats!$F$21)/(Norm_Stats!$G$21-Norm_Stats!$F$21)))))="",0,0.5)+IF((IF(OR(City_Inputs!$AI53="",Norm_Stats!$F$22="",Norm_Stats!$G$22="",Norm_Stats!$G$22=Norm_Stats!$F$22),"",MAX(0,MIN(100,100*(MIN(MAX(City_Inputs!$AI53,Norm_Stats!$F$22),Norm_Stats!$G$22)-Norm_Stats!$F$22)/(Norm_Stats!$G$22-Norm_Stats!$F$22)))))="",0,0.3)+IF((IF(OR(City_Inputs!$AJ53="",Norm_Stats!$F$23="",Norm_Stats!$G$23="",Norm_Stats!$G$23=Norm_Stats!$F$23),"",MAX(0,MIN(100,100*(MIN(MAX(City_Inputs!$AJ53,Norm_Stats!$F$23),Norm_Stats!$G$23)-Norm_Stats!$F$23)/(Norm_Stats!$G$23-Norm_Stats!$F$23)))))="",0,0.2)))</f>
        <v/>
      </c>
      <c r="AZ53" s="14">
        <f>IF((IF((IF(OR(City_Inputs!$AF53="",Norm_Stats!$F$21="",Norm_Stats!$G$21="",Norm_Stats!$G$21=Norm_Stats!$F$21),"",MAX(0,MIN(100,100*(MIN(MAX(City_Inputs!$AF53,Norm_Stats!$F$21),Norm_Stats!$G$21)-Norm_Stats!$F$21)/(Norm_Stats!$G$21-Norm_Stats!$F$21)))))="",0,0.5)+IF((IF(OR(City_Inputs!$AI53="",Norm_Stats!$F$22="",Norm_Stats!$G$22="",Norm_Stats!$G$22=Norm_Stats!$F$22),"",MAX(0,MIN(100,100*(MIN(MAX(City_Inputs!$AI53,Norm_Stats!$F$22),Norm_Stats!$G$22)-Norm_Stats!$F$22)/(Norm_Stats!$G$22-Norm_Stats!$F$22)))))="",0,0.3)+IF((IF(OR(City_Inputs!$AJ53="",Norm_Stats!$F$23="",Norm_Stats!$G$23="",Norm_Stats!$G$23=Norm_Stats!$F$23),"",MAX(0,MIN(100,100*(MIN(MAX(City_Inputs!$AJ53,Norm_Stats!$F$23),Norm_Stats!$G$23)-Norm_Stats!$F$23)/(Norm_Stats!$G$23-Norm_Stats!$F$23)))))="",0,0.2))=0,"",(IF((IF(OR(City_Inputs!$AF53="",Norm_Stats!$F$21="",Norm_Stats!$G$21="",Norm_Stats!$G$21=Norm_Stats!$F$21),"",MAX(0,MIN(100,100*(MIN(MAX(City_Inputs!$AF53,Norm_Stats!$F$21),Norm_Stats!$G$21)-Norm_Stats!$F$21)/(Norm_Stats!$G$21-Norm_Stats!$F$21)))))="",0,0.5)+IF((IF(OR(City_Inputs!$AI53="",Norm_Stats!$F$22="",Norm_Stats!$G$22="",Norm_Stats!$G$22=Norm_Stats!$F$22),"",MAX(0,MIN(100,100*(MIN(MAX(City_Inputs!$AI53,Norm_Stats!$F$22),Norm_Stats!$G$22)-Norm_Stats!$F$22)/(Norm_Stats!$G$22-Norm_Stats!$F$22)))))="",0,0.3)+IF((IF(OR(City_Inputs!$AJ53="",Norm_Stats!$F$23="",Norm_Stats!$G$23="",Norm_Stats!$G$23=Norm_Stats!$F$23),"",MAX(0,MIN(100,100*(MIN(MAX(City_Inputs!$AJ53,Norm_Stats!$F$23),Norm_Stats!$G$23)-Norm_Stats!$F$23)/(Norm_Stats!$G$23-Norm_Stats!$F$23)))))="",0,0.2)))</f>
        <v/>
      </c>
      <c r="BA53" s="11">
        <f>IF(OR(City_Inputs!$AG53="",Norm_Stats!$F$24="",Norm_Stats!$G$24="",Norm_Stats!$G$24=Norm_Stats!$F$24),"",MAX(0,MIN(100,100*(Norm_Stats!$G$24-MIN(MAX(City_Inputs!$AG53,Norm_Stats!$F$24),Norm_Stats!$G$24))/(Norm_Stats!$G$24-Norm_Stats!$F$24))))</f>
        <v/>
      </c>
      <c r="BB53" s="14">
        <f>IF(BA53="","",1)</f>
        <v/>
      </c>
      <c r="BC53" s="15">
        <f>IF((IF(AU53="",0,6)+IF(AW53="",0,5)+IF(AY53="",0,5)+IF(BA53="",0,4))=0,"",(IF(AU53="",0,AU53*6)+IF(AW53="",0,AW53*5)+IF(AY53="",0,AY53*5)+IF(BA53="",0,BA53*4))/(IF(AU53="",0,6)+IF(AW53="",0,5)+IF(AY53="",0,5)+IF(BA53="",0,4)))</f>
        <v/>
      </c>
      <c r="BD53" s="14">
        <f>IF((IF(AV53="",0,6)+IF(AX53="",0,5)+IF(AZ53="",0,5)+IF(BB53="",0,4))=0,"",(IF(AV53="",0,AV53*6)+IF(AX53="",0,AX53*5)+IF(AZ53="",0,AZ53*5)+IF(BB53="",0,BB53*4))/20)</f>
        <v/>
      </c>
      <c r="BE53" s="14">
        <f>IF(AND(R53="",AD53="",AL53="",AT53="",BD53=""),"",((R53*25)+(AD53*22)+(AL53*18)+(AT53*15)+(BD53*20))/100)</f>
        <v/>
      </c>
      <c r="BF53" s="11">
        <f>IF(BE53="","",IF(BE53&gt;=0.75,"A",IF(BE53&gt;=0.5,"B",IF(BE53&gt;=0.35,"C","Watchlist"))))</f>
        <v/>
      </c>
      <c r="BG53" s="11">
        <f>IF(OR(BE53="",BE53&lt;0.5,R53="",R53&lt;0.35,AD53="",AD53&lt;0.35,AL53="",AL53&lt;0.35,AT53="",AT53&lt;0.35,BD53="",BD53&lt;0.35),"Watchlist","Ranked")</f>
        <v/>
      </c>
      <c r="BH53" s="15">
        <f>IF(AND(Q53="",AC53="",AK53="",AS53="",BC53=""),"",(IF(Q53="",0,Q53*25)+IF(AC53="",0,AC53*22)+IF(AK53="",0,AK53*18)+IF(AS53="",0,AS53*15)+IF(BC53="",0,BC53*20))/(IF(Q53="",0,25)+IF(AC53="",0,22)+IF(AK53="",0,18)+IF(AS53="",0,15)+IF(BC53="",0,20)))</f>
        <v/>
      </c>
      <c r="BI53" s="11">
        <f>IF(BG53="Ranked",1+COUNTIFS($BG$2:$BG$103,"Ranked",$BH$2:$BH$103,"&gt;"&amp;BH53),"")</f>
        <v/>
      </c>
      <c r="BJ53" s="11">
        <f>City_Inputs!$AH53</f>
        <v/>
      </c>
    </row>
    <row r="54">
      <c r="A54" t="inlineStr">
        <is>
          <t>us-chicago</t>
        </is>
      </c>
      <c r="B54" t="inlineStr">
        <is>
          <t>Chicago</t>
        </is>
      </c>
      <c r="C54" t="inlineStr">
        <is>
          <t>United States</t>
        </is>
      </c>
      <c r="D54" t="inlineStr">
        <is>
          <t>North America</t>
        </is>
      </c>
      <c r="E54" t="inlineStr">
        <is>
          <t>locked</t>
        </is>
      </c>
      <c r="F54" t="inlineStr">
        <is>
          <t>primary</t>
        </is>
      </c>
      <c r="G54" s="11">
        <f>IF(OR(City_Inputs!$M54="",Norm_Stats!$F$2="",Norm_Stats!$G$2="",Norm_Stats!$G$2=Norm_Stats!$F$2),"",MAX(0,MIN(100,100*(MIN(MAX(City_Inputs!$M54,Norm_Stats!$F$2),Norm_Stats!$G$2)-Norm_Stats!$F$2)/(Norm_Stats!$G$2-Norm_Stats!$F$2))))</f>
        <v/>
      </c>
      <c r="H54" s="14">
        <f>IF(G54="","",1)</f>
        <v/>
      </c>
      <c r="I54" s="11">
        <f>IF(OR(City_Inputs!$N54="",Norm_Stats!$F$3="",Norm_Stats!$G$3="",Norm_Stats!$G$3=Norm_Stats!$F$3),"",MAX(0,MIN(100,100*(Norm_Stats!$G$3-MIN(MAX(City_Inputs!$N54,Norm_Stats!$F$3),Norm_Stats!$G$3))/(Norm_Stats!$G$3-Norm_Stats!$F$3))))</f>
        <v/>
      </c>
      <c r="J54" s="14">
        <f>IF(I54="","",1)</f>
        <v/>
      </c>
      <c r="K54" s="11">
        <f>IF(OR(City_Inputs!$P54="",Norm_Stats!$F$4="",Norm_Stats!$G$4="",Norm_Stats!$G$4=Norm_Stats!$F$4),"",MAX(0,MIN(100,100*(Norm_Stats!$G$4-MIN(MAX(City_Inputs!$P54,Norm_Stats!$F$4),Norm_Stats!$G$4))/(Norm_Stats!$G$4-Norm_Stats!$F$4))))</f>
        <v/>
      </c>
      <c r="L54" s="14">
        <f>IF(K54="","",1)</f>
        <v/>
      </c>
      <c r="M54" s="11">
        <f>IF(OR(City_Inputs!$Q54="",Norm_Stats!$F$5="",Norm_Stats!$G$5="",Norm_Stats!$G$5=Norm_Stats!$F$5),"",MAX(0,MIN(100,100*(Norm_Stats!$G$5-MIN(MAX(City_Inputs!$Q54,Norm_Stats!$F$5),Norm_Stats!$G$5))/(Norm_Stats!$G$5-Norm_Stats!$F$5))))</f>
        <v/>
      </c>
      <c r="N54" s="14">
        <f>IF(M54="","",1)</f>
        <v/>
      </c>
      <c r="O54" s="11">
        <f>IF(OR(City_Inputs!$R54="",Norm_Stats!$F$6="",Norm_Stats!$G$6="",Norm_Stats!$G$6=Norm_Stats!$F$6),"",MAX(0,MIN(100,100*(Norm_Stats!$G$6-MIN(MAX(City_Inputs!$R54,Norm_Stats!$F$6),Norm_Stats!$G$6))/(Norm_Stats!$G$6-Norm_Stats!$F$6))))</f>
        <v/>
      </c>
      <c r="P54" s="14">
        <f>IF(O54="","",1)</f>
        <v/>
      </c>
      <c r="Q54" s="15">
        <f>IF((IF(G54="",0,9)+IF(I54="",0,5)+IF(K54="",0,4)+IF(M54="",0,4)+IF(O54="",0,3))=0,"",(IF(G54="",0,G54*9)+IF(I54="",0,I54*5)+IF(K54="",0,K54*4)+IF(M54="",0,M54*4)+IF(O54="",0,O54*3))/(IF(G54="",0,9)+IF(I54="",0,5)+IF(K54="",0,4)+IF(M54="",0,4)+IF(O54="",0,3)))</f>
        <v/>
      </c>
      <c r="R54" s="14">
        <f>IF((IF(H54="",0,9)+IF(J54="",0,5)+IF(L54="",0,4)+IF(N54="",0,4)+IF(P54="",0,3))=0,"",(IF(H54="",0,H54*9)+IF(J54="",0,J54*5)+IF(L54="",0,L54*4)+IF(N54="",0,N54*4)+IF(P54="",0,P54*3))/25)</f>
        <v/>
      </c>
      <c r="S54" s="11">
        <f>IF(OR(City_Inputs!$S54="",Norm_Stats!$F$7="",Norm_Stats!$G$7="",Norm_Stats!$G$7=Norm_Stats!$F$7),"",MAX(0,MIN(100,100*(Norm_Stats!$G$7-MIN(MAX(City_Inputs!$S54,Norm_Stats!$F$7),Norm_Stats!$G$7))/(Norm_Stats!$G$7-Norm_Stats!$F$7))))</f>
        <v/>
      </c>
      <c r="T54" s="14">
        <f>IF(S54="","",1)</f>
        <v/>
      </c>
      <c r="U54" s="11">
        <f>IF(OR(City_Inputs!$T54="",Norm_Stats!$F$8="",Norm_Stats!$G$8="",Norm_Stats!$G$8=Norm_Stats!$F$8),"",MAX(0,MIN(100,100*(MIN(MAX(City_Inputs!$T54,Norm_Stats!$F$8),Norm_Stats!$G$8)-Norm_Stats!$F$8)/(Norm_Stats!$G$8-Norm_Stats!$F$8))))</f>
        <v/>
      </c>
      <c r="V54" s="14">
        <f>IF(U54="","",1)</f>
        <v/>
      </c>
      <c r="W54" s="11">
        <f>IF(OR(City_Inputs!$U54="",Norm_Stats!$F$9="",Norm_Stats!$G$9="",Norm_Stats!$G$9=Norm_Stats!$F$9),"",MAX(0,MIN(100,100*(Norm_Stats!$G$9-MIN(MAX(City_Inputs!$U54,Norm_Stats!$F$9),Norm_Stats!$G$9))/(Norm_Stats!$G$9-Norm_Stats!$F$9))))</f>
        <v/>
      </c>
      <c r="X54" s="14">
        <f>IF(W54="","",1)</f>
        <v/>
      </c>
      <c r="Y54" s="11">
        <f>IF(OR(City_Inputs!$V54="",Norm_Stats!$F$10="",Norm_Stats!$G$10="",Norm_Stats!$G$10=Norm_Stats!$F$10),"",MAX(0,MIN(100,100*(MIN(MAX(City_Inputs!$V54,Norm_Stats!$F$10),Norm_Stats!$G$10)-Norm_Stats!$F$10)/(Norm_Stats!$G$10-Norm_Stats!$F$10))))</f>
        <v/>
      </c>
      <c r="Z54" s="14">
        <f>IF(Y54="","",1)</f>
        <v/>
      </c>
      <c r="AA54" s="11">
        <f>IF(OR(City_Inputs!$W54="",Norm_Stats!$F$11="",Norm_Stats!$G$11="",Norm_Stats!$G$11=Norm_Stats!$F$11),"",MAX(0,MIN(100,100*(MIN(MAX(City_Inputs!$W54,Norm_Stats!$F$11),Norm_Stats!$G$11)-Norm_Stats!$F$11)/(Norm_Stats!$G$11-Norm_Stats!$F$11))))</f>
        <v/>
      </c>
      <c r="AB54" s="14">
        <f>IF(AA54="","",1)</f>
        <v/>
      </c>
      <c r="AC54" s="15">
        <f>IF((IF(S54="",0,5)+IF(U54="",0,5)+IF(W54="",0,4)+IF(Y54="",0,4)+IF(AA54="",0,4))=0,"",(IF(S54="",0,S54*5)+IF(U54="",0,U54*5)+IF(W54="",0,W54*4)+IF(Y54="",0,Y54*4)+IF(AA54="",0,AA54*4))/(IF(S54="",0,5)+IF(U54="",0,5)+IF(W54="",0,4)+IF(Y54="",0,4)+IF(AA54="",0,4)))</f>
        <v/>
      </c>
      <c r="AD54" s="14">
        <f>IF((IF(T54="",0,5)+IF(V54="",0,5)+IF(X54="",0,4)+IF(Z54="",0,4)+IF(AB54="",0,4))=0,"",(IF(T54="",0,T54*5)+IF(V54="",0,V54*5)+IF(X54="",0,X54*4)+IF(Z54="",0,Z54*4)+IF(AB54="",0,AB54*4))/22)</f>
        <v/>
      </c>
      <c r="AE54" s="11">
        <f>IF(OR(City_Inputs!$X54="",Norm_Stats!$F$12="",Norm_Stats!$G$12="",Norm_Stats!$G$12=Norm_Stats!$F$12),"",MAX(0,MIN(100,100*(MIN(MAX(City_Inputs!$X54,Norm_Stats!$F$12),Norm_Stats!$G$12)-Norm_Stats!$F$12)/(Norm_Stats!$G$12-Norm_Stats!$F$12))))</f>
        <v/>
      </c>
      <c r="AF54" s="14">
        <f>IF(AE54="","",1)</f>
        <v/>
      </c>
      <c r="AG54" s="11">
        <f>IF(OR(City_Inputs!$Y54="",Norm_Stats!$F$13="",Norm_Stats!$G$13="",Norm_Stats!$G$13=Norm_Stats!$F$13),"",MAX(0,MIN(100,100*(MIN(MAX(City_Inputs!$Y54,Norm_Stats!$F$13),Norm_Stats!$G$13)-Norm_Stats!$F$13)/(Norm_Stats!$G$13-Norm_Stats!$F$13))))</f>
        <v/>
      </c>
      <c r="AH54" s="14">
        <f>IF(AG54="","",1)</f>
        <v/>
      </c>
      <c r="AI54" s="11">
        <f>IF((IF((IF(OR(City_Inputs!$Z54="",Norm_Stats!$F$14="",Norm_Stats!$G$14="",Norm_Stats!$G$14=Norm_Stats!$F$14),"",MAX(0,MIN(100,100*(MIN(MAX(City_Inputs!$Z54,Norm_Stats!$F$14),Norm_Stats!$G$14)-Norm_Stats!$F$14)/(Norm_Stats!$G$14-Norm_Stats!$F$14)))))="",0,0.7)+IF((IF(OR(City_Inputs!$AK54="",Norm_Stats!$F$15="",Norm_Stats!$G$15="",Norm_Stats!$G$15=Norm_Stats!$F$15),"",MAX(0,MIN(100,100*(Norm_Stats!$G$15-MIN(MAX(City_Inputs!$AK54,Norm_Stats!$F$15),Norm_Stats!$G$15))/(Norm_Stats!$G$15-Norm_Stats!$F$15)))))="",0,0.3))=0,"",(IF((IF(OR(City_Inputs!$Z54="",Norm_Stats!$F$14="",Norm_Stats!$G$14="",Norm_Stats!$G$14=Norm_Stats!$F$14),"",MAX(0,MIN(100,100*(MIN(MAX(City_Inputs!$Z54,Norm_Stats!$F$14),Norm_Stats!$G$14)-Norm_Stats!$F$14)/(Norm_Stats!$G$14-Norm_Stats!$F$14)))))="",0,(IF(OR(City_Inputs!$Z54="",Norm_Stats!$F$14="",Norm_Stats!$G$14="",Norm_Stats!$G$14=Norm_Stats!$F$14),"",MAX(0,MIN(100,100*(MIN(MAX(City_Inputs!$Z54,Norm_Stats!$F$14),Norm_Stats!$G$14)-Norm_Stats!$F$14)/(Norm_Stats!$G$14-Norm_Stats!$F$14)))))*0.7)+IF((IF(OR(City_Inputs!$AK54="",Norm_Stats!$F$15="",Norm_Stats!$G$15="",Norm_Stats!$G$15=Norm_Stats!$F$15),"",MAX(0,MIN(100,100*(Norm_Stats!$G$15-MIN(MAX(City_Inputs!$AK54,Norm_Stats!$F$15),Norm_Stats!$G$15))/(Norm_Stats!$G$15-Norm_Stats!$F$15)))))="",0,(IF(OR(City_Inputs!$AK54="",Norm_Stats!$F$15="",Norm_Stats!$G$15="",Norm_Stats!$G$15=Norm_Stats!$F$15),"",MAX(0,MIN(100,100*(Norm_Stats!$G$15-MIN(MAX(City_Inputs!$AK54,Norm_Stats!$F$15),Norm_Stats!$G$15))/(Norm_Stats!$G$15-Norm_Stats!$F$15)))))*0.3))/(IF((IF(OR(City_Inputs!$Z54="",Norm_Stats!$F$14="",Norm_Stats!$G$14="",Norm_Stats!$G$14=Norm_Stats!$F$14),"",MAX(0,MIN(100,100*(MIN(MAX(City_Inputs!$Z54,Norm_Stats!$F$14),Norm_Stats!$G$14)-Norm_Stats!$F$14)/(Norm_Stats!$G$14-Norm_Stats!$F$14)))))="",0,0.7)+IF((IF(OR(City_Inputs!$AK54="",Norm_Stats!$F$15="",Norm_Stats!$G$15="",Norm_Stats!$G$15=Norm_Stats!$F$15),"",MAX(0,MIN(100,100*(Norm_Stats!$G$15-MIN(MAX(City_Inputs!$AK54,Norm_Stats!$F$15),Norm_Stats!$G$15))/(Norm_Stats!$G$15-Norm_Stats!$F$15)))))="",0,0.3)))</f>
        <v/>
      </c>
      <c r="AJ54" s="14">
        <f>IF((IF((IF(OR(City_Inputs!$Z54="",Norm_Stats!$F$14="",Norm_Stats!$G$14="",Norm_Stats!$G$14=Norm_Stats!$F$14),"",MAX(0,MIN(100,100*(MIN(MAX(City_Inputs!$Z54,Norm_Stats!$F$14),Norm_Stats!$G$14)-Norm_Stats!$F$14)/(Norm_Stats!$G$14-Norm_Stats!$F$14)))))="",0,0.7)+IF((IF(OR(City_Inputs!$AK54="",Norm_Stats!$F$15="",Norm_Stats!$G$15="",Norm_Stats!$G$15=Norm_Stats!$F$15),"",MAX(0,MIN(100,100*(Norm_Stats!$G$15-MIN(MAX(City_Inputs!$AK54,Norm_Stats!$F$15),Norm_Stats!$G$15))/(Norm_Stats!$G$15-Norm_Stats!$F$15)))))="",0,0.3))=0,"",(IF((IF(OR(City_Inputs!$Z54="",Norm_Stats!$F$14="",Norm_Stats!$G$14="",Norm_Stats!$G$14=Norm_Stats!$F$14),"",MAX(0,MIN(100,100*(MIN(MAX(City_Inputs!$Z54,Norm_Stats!$F$14),Norm_Stats!$G$14)-Norm_Stats!$F$14)/(Norm_Stats!$G$14-Norm_Stats!$F$14)))))="",0,0.7)+IF((IF(OR(City_Inputs!$AK54="",Norm_Stats!$F$15="",Norm_Stats!$G$15="",Norm_Stats!$G$15=Norm_Stats!$F$15),"",MAX(0,MIN(100,100*(Norm_Stats!$G$15-MIN(MAX(City_Inputs!$AK54,Norm_Stats!$F$15),Norm_Stats!$G$15))/(Norm_Stats!$G$15-Norm_Stats!$F$15)))))="",0,0.3)))</f>
        <v/>
      </c>
      <c r="AK54" s="15">
        <f>IF((IF(AE54="",0,8)+IF(AG54="",0,6)+IF(AI54="",0,4))=0,"",(IF(AE54="",0,AE54*8)+IF(AG54="",0,AG54*6)+IF(AI54="",0,AI54*4))/(IF(AE54="",0,8)+IF(AG54="",0,6)+IF(AI54="",0,4)))</f>
        <v/>
      </c>
      <c r="AL54" s="14">
        <f>IF((IF(AF54="",0,8)+IF(AH54="",0,6)+IF(AJ54="",0,4))=0,"",(IF(AF54="",0,AF54*8)+IF(AH54="",0,AH54*6)+IF(AJ54="",0,AJ54*4))/18)</f>
        <v/>
      </c>
      <c r="AM54" s="11">
        <f>IF(OR(City_Inputs!$AA54="",Norm_Stats!$F$16="",Norm_Stats!$G$16="",Norm_Stats!$G$16=Norm_Stats!$F$16),"",MAX(0,MIN(100,100*(MIN(MAX(City_Inputs!$AA54,Norm_Stats!$F$16),Norm_Stats!$G$16)-Norm_Stats!$F$16)/(Norm_Stats!$G$16-Norm_Stats!$F$16))))</f>
        <v/>
      </c>
      <c r="AN54" s="14">
        <f>IF(AM54="","",1)</f>
        <v/>
      </c>
      <c r="AO54" s="11">
        <f>IF(OR(City_Inputs!$AB54="",Norm_Stats!$F$17="",Norm_Stats!$G$17="",Norm_Stats!$G$17=Norm_Stats!$F$17),"",MAX(0,MIN(100,100*(MIN(MAX(City_Inputs!$AB54,Norm_Stats!$F$17),Norm_Stats!$G$17)-Norm_Stats!$F$17)/(Norm_Stats!$G$17-Norm_Stats!$F$17))))</f>
        <v/>
      </c>
      <c r="AP54" s="14">
        <f>IF(AO54="","",1)</f>
        <v/>
      </c>
      <c r="AQ54" s="11">
        <f>IF(OR(City_Inputs!$AC54="",Norm_Stats!$F$18="",Norm_Stats!$G$18="",Norm_Stats!$G$18=Norm_Stats!$F$18),"",MAX(0,MIN(100,100*(MIN(MAX(City_Inputs!$AC54,Norm_Stats!$F$18),Norm_Stats!$G$18)-Norm_Stats!$F$18)/(Norm_Stats!$G$18-Norm_Stats!$F$18))))</f>
        <v/>
      </c>
      <c r="AR54" s="14">
        <f>IF(AQ54="","",1)</f>
        <v/>
      </c>
      <c r="AS54" s="15">
        <f>IF((IF(AM54="",0,5)+IF(AO54="",0,5)+IF(AQ54="",0,5))=0,"",(IF(AM54="",0,AM54*5)+IF(AO54="",0,AO54*5)+IF(AQ54="",0,AQ54*5))/(IF(AM54="",0,5)+IF(AO54="",0,5)+IF(AQ54="",0,5)))</f>
        <v/>
      </c>
      <c r="AT54" s="14">
        <f>IF((IF(AN54="",0,5)+IF(AP54="",0,5)+IF(AR54="",0,5))=0,"",(IF(AN54="",0,AN54*5)+IF(AP54="",0,AP54*5)+IF(AR54="",0,AR54*5))/15)</f>
        <v/>
      </c>
      <c r="AU54" s="11">
        <f>IF(OR(City_Inputs!$AD54="",Norm_Stats!$F$19="",Norm_Stats!$G$19="",Norm_Stats!$G$19=Norm_Stats!$F$19),"",MAX(0,MIN(100,100*(MIN(MAX(City_Inputs!$AD54,Norm_Stats!$F$19),Norm_Stats!$G$19)-Norm_Stats!$F$19)/(Norm_Stats!$G$19-Norm_Stats!$F$19))))</f>
        <v/>
      </c>
      <c r="AV54" s="14">
        <f>IF(AU54="","",1)</f>
        <v/>
      </c>
      <c r="AW54" s="11">
        <f>IF(OR(City_Inputs!$AE54="",Norm_Stats!$F$20="",Norm_Stats!$G$20="",Norm_Stats!$G$20=Norm_Stats!$F$20),"",MAX(0,MIN(100,100*(MIN(MAX(City_Inputs!$AE54,Norm_Stats!$F$20),Norm_Stats!$G$20)-Norm_Stats!$F$20)/(Norm_Stats!$G$20-Norm_Stats!$F$20))))</f>
        <v/>
      </c>
      <c r="AX54" s="14">
        <f>IF(AW54="","",1)</f>
        <v/>
      </c>
      <c r="AY54" s="11">
        <f>IF((IF((IF(OR(City_Inputs!$AF54="",Norm_Stats!$F$21="",Norm_Stats!$G$21="",Norm_Stats!$G$21=Norm_Stats!$F$21),"",MAX(0,MIN(100,100*(MIN(MAX(City_Inputs!$AF54,Norm_Stats!$F$21),Norm_Stats!$G$21)-Norm_Stats!$F$21)/(Norm_Stats!$G$21-Norm_Stats!$F$21)))))="",0,0.5)+IF((IF(OR(City_Inputs!$AI54="",Norm_Stats!$F$22="",Norm_Stats!$G$22="",Norm_Stats!$G$22=Norm_Stats!$F$22),"",MAX(0,MIN(100,100*(MIN(MAX(City_Inputs!$AI54,Norm_Stats!$F$22),Norm_Stats!$G$22)-Norm_Stats!$F$22)/(Norm_Stats!$G$22-Norm_Stats!$F$22)))))="",0,0.3)+IF((IF(OR(City_Inputs!$AJ54="",Norm_Stats!$F$23="",Norm_Stats!$G$23="",Norm_Stats!$G$23=Norm_Stats!$F$23),"",MAX(0,MIN(100,100*(MIN(MAX(City_Inputs!$AJ54,Norm_Stats!$F$23),Norm_Stats!$G$23)-Norm_Stats!$F$23)/(Norm_Stats!$G$23-Norm_Stats!$F$23)))))="",0,0.2))=0,"",(IF((IF(OR(City_Inputs!$AF54="",Norm_Stats!$F$21="",Norm_Stats!$G$21="",Norm_Stats!$G$21=Norm_Stats!$F$21),"",MAX(0,MIN(100,100*(MIN(MAX(City_Inputs!$AF54,Norm_Stats!$F$21),Norm_Stats!$G$21)-Norm_Stats!$F$21)/(Norm_Stats!$G$21-Norm_Stats!$F$21)))))="",0,(IF(OR(City_Inputs!$AF54="",Norm_Stats!$F$21="",Norm_Stats!$G$21="",Norm_Stats!$G$21=Norm_Stats!$F$21),"",MAX(0,MIN(100,100*(MIN(MAX(City_Inputs!$AF54,Norm_Stats!$F$21),Norm_Stats!$G$21)-Norm_Stats!$F$21)/(Norm_Stats!$G$21-Norm_Stats!$F$21)))))*0.5)+IF((IF(OR(City_Inputs!$AI54="",Norm_Stats!$F$22="",Norm_Stats!$G$22="",Norm_Stats!$G$22=Norm_Stats!$F$22),"",MAX(0,MIN(100,100*(MIN(MAX(City_Inputs!$AI54,Norm_Stats!$F$22),Norm_Stats!$G$22)-Norm_Stats!$F$22)/(Norm_Stats!$G$22-Norm_Stats!$F$22)))))="",0,(IF(OR(City_Inputs!$AI54="",Norm_Stats!$F$22="",Norm_Stats!$G$22="",Norm_Stats!$G$22=Norm_Stats!$F$22),"",MAX(0,MIN(100,100*(MIN(MAX(City_Inputs!$AI54,Norm_Stats!$F$22),Norm_Stats!$G$22)-Norm_Stats!$F$22)/(Norm_Stats!$G$22-Norm_Stats!$F$22)))))*0.3)+IF((IF(OR(City_Inputs!$AJ54="",Norm_Stats!$F$23="",Norm_Stats!$G$23="",Norm_Stats!$G$23=Norm_Stats!$F$23),"",MAX(0,MIN(100,100*(MIN(MAX(City_Inputs!$AJ54,Norm_Stats!$F$23),Norm_Stats!$G$23)-Norm_Stats!$F$23)/(Norm_Stats!$G$23-Norm_Stats!$F$23)))))="",0,(IF(OR(City_Inputs!$AJ54="",Norm_Stats!$F$23="",Norm_Stats!$G$23="",Norm_Stats!$G$23=Norm_Stats!$F$23),"",MAX(0,MIN(100,100*(MIN(MAX(City_Inputs!$AJ54,Norm_Stats!$F$23),Norm_Stats!$G$23)-Norm_Stats!$F$23)/(Norm_Stats!$G$23-Norm_Stats!$F$23)))))*0.2))/(IF((IF(OR(City_Inputs!$AF54="",Norm_Stats!$F$21="",Norm_Stats!$G$21="",Norm_Stats!$G$21=Norm_Stats!$F$21),"",MAX(0,MIN(100,100*(MIN(MAX(City_Inputs!$AF54,Norm_Stats!$F$21),Norm_Stats!$G$21)-Norm_Stats!$F$21)/(Norm_Stats!$G$21-Norm_Stats!$F$21)))))="",0,0.5)+IF((IF(OR(City_Inputs!$AI54="",Norm_Stats!$F$22="",Norm_Stats!$G$22="",Norm_Stats!$G$22=Norm_Stats!$F$22),"",MAX(0,MIN(100,100*(MIN(MAX(City_Inputs!$AI54,Norm_Stats!$F$22),Norm_Stats!$G$22)-Norm_Stats!$F$22)/(Norm_Stats!$G$22-Norm_Stats!$F$22)))))="",0,0.3)+IF((IF(OR(City_Inputs!$AJ54="",Norm_Stats!$F$23="",Norm_Stats!$G$23="",Norm_Stats!$G$23=Norm_Stats!$F$23),"",MAX(0,MIN(100,100*(MIN(MAX(City_Inputs!$AJ54,Norm_Stats!$F$23),Norm_Stats!$G$23)-Norm_Stats!$F$23)/(Norm_Stats!$G$23-Norm_Stats!$F$23)))))="",0,0.2)))</f>
        <v/>
      </c>
      <c r="AZ54" s="14">
        <f>IF((IF((IF(OR(City_Inputs!$AF54="",Norm_Stats!$F$21="",Norm_Stats!$G$21="",Norm_Stats!$G$21=Norm_Stats!$F$21),"",MAX(0,MIN(100,100*(MIN(MAX(City_Inputs!$AF54,Norm_Stats!$F$21),Norm_Stats!$G$21)-Norm_Stats!$F$21)/(Norm_Stats!$G$21-Norm_Stats!$F$21)))))="",0,0.5)+IF((IF(OR(City_Inputs!$AI54="",Norm_Stats!$F$22="",Norm_Stats!$G$22="",Norm_Stats!$G$22=Norm_Stats!$F$22),"",MAX(0,MIN(100,100*(MIN(MAX(City_Inputs!$AI54,Norm_Stats!$F$22),Norm_Stats!$G$22)-Norm_Stats!$F$22)/(Norm_Stats!$G$22-Norm_Stats!$F$22)))))="",0,0.3)+IF((IF(OR(City_Inputs!$AJ54="",Norm_Stats!$F$23="",Norm_Stats!$G$23="",Norm_Stats!$G$23=Norm_Stats!$F$23),"",MAX(0,MIN(100,100*(MIN(MAX(City_Inputs!$AJ54,Norm_Stats!$F$23),Norm_Stats!$G$23)-Norm_Stats!$F$23)/(Norm_Stats!$G$23-Norm_Stats!$F$23)))))="",0,0.2))=0,"",(IF((IF(OR(City_Inputs!$AF54="",Norm_Stats!$F$21="",Norm_Stats!$G$21="",Norm_Stats!$G$21=Norm_Stats!$F$21),"",MAX(0,MIN(100,100*(MIN(MAX(City_Inputs!$AF54,Norm_Stats!$F$21),Norm_Stats!$G$21)-Norm_Stats!$F$21)/(Norm_Stats!$G$21-Norm_Stats!$F$21)))))="",0,0.5)+IF((IF(OR(City_Inputs!$AI54="",Norm_Stats!$F$22="",Norm_Stats!$G$22="",Norm_Stats!$G$22=Norm_Stats!$F$22),"",MAX(0,MIN(100,100*(MIN(MAX(City_Inputs!$AI54,Norm_Stats!$F$22),Norm_Stats!$G$22)-Norm_Stats!$F$22)/(Norm_Stats!$G$22-Norm_Stats!$F$22)))))="",0,0.3)+IF((IF(OR(City_Inputs!$AJ54="",Norm_Stats!$F$23="",Norm_Stats!$G$23="",Norm_Stats!$G$23=Norm_Stats!$F$23),"",MAX(0,MIN(100,100*(MIN(MAX(City_Inputs!$AJ54,Norm_Stats!$F$23),Norm_Stats!$G$23)-Norm_Stats!$F$23)/(Norm_Stats!$G$23-Norm_Stats!$F$23)))))="",0,0.2)))</f>
        <v/>
      </c>
      <c r="BA54" s="11">
        <f>IF(OR(City_Inputs!$AG54="",Norm_Stats!$F$24="",Norm_Stats!$G$24="",Norm_Stats!$G$24=Norm_Stats!$F$24),"",MAX(0,MIN(100,100*(Norm_Stats!$G$24-MIN(MAX(City_Inputs!$AG54,Norm_Stats!$F$24),Norm_Stats!$G$24))/(Norm_Stats!$G$24-Norm_Stats!$F$24))))</f>
        <v/>
      </c>
      <c r="BB54" s="14">
        <f>IF(BA54="","",1)</f>
        <v/>
      </c>
      <c r="BC54" s="15">
        <f>IF((IF(AU54="",0,6)+IF(AW54="",0,5)+IF(AY54="",0,5)+IF(BA54="",0,4))=0,"",(IF(AU54="",0,AU54*6)+IF(AW54="",0,AW54*5)+IF(AY54="",0,AY54*5)+IF(BA54="",0,BA54*4))/(IF(AU54="",0,6)+IF(AW54="",0,5)+IF(AY54="",0,5)+IF(BA54="",0,4)))</f>
        <v/>
      </c>
      <c r="BD54" s="14">
        <f>IF((IF(AV54="",0,6)+IF(AX54="",0,5)+IF(AZ54="",0,5)+IF(BB54="",0,4))=0,"",(IF(AV54="",0,AV54*6)+IF(AX54="",0,AX54*5)+IF(AZ54="",0,AZ54*5)+IF(BB54="",0,BB54*4))/20)</f>
        <v/>
      </c>
      <c r="BE54" s="14">
        <f>IF(AND(R54="",AD54="",AL54="",AT54="",BD54=""),"",((R54*25)+(AD54*22)+(AL54*18)+(AT54*15)+(BD54*20))/100)</f>
        <v/>
      </c>
      <c r="BF54" s="11">
        <f>IF(BE54="","",IF(BE54&gt;=0.75,"A",IF(BE54&gt;=0.5,"B",IF(BE54&gt;=0.35,"C","Watchlist"))))</f>
        <v/>
      </c>
      <c r="BG54" s="11">
        <f>IF(OR(BE54="",BE54&lt;0.5,R54="",R54&lt;0.35,AD54="",AD54&lt;0.35,AL54="",AL54&lt;0.35,AT54="",AT54&lt;0.35,BD54="",BD54&lt;0.35),"Watchlist","Ranked")</f>
        <v/>
      </c>
      <c r="BH54" s="15">
        <f>IF(AND(Q54="",AC54="",AK54="",AS54="",BC54=""),"",(IF(Q54="",0,Q54*25)+IF(AC54="",0,AC54*22)+IF(AK54="",0,AK54*18)+IF(AS54="",0,AS54*15)+IF(BC54="",0,BC54*20))/(IF(Q54="",0,25)+IF(AC54="",0,22)+IF(AK54="",0,18)+IF(AS54="",0,15)+IF(BC54="",0,20)))</f>
        <v/>
      </c>
      <c r="BI54" s="11">
        <f>IF(BG54="Ranked",1+COUNTIFS($BG$2:$BG$103,"Ranked",$BH$2:$BH$103,"&gt;"&amp;BH54),"")</f>
        <v/>
      </c>
      <c r="BJ54" s="11">
        <f>City_Inputs!$AH54</f>
        <v/>
      </c>
    </row>
    <row r="55">
      <c r="A55" t="inlineStr">
        <is>
          <t>mx-mexico-city</t>
        </is>
      </c>
      <c r="B55" t="inlineStr">
        <is>
          <t>Mexico City</t>
        </is>
      </c>
      <c r="C55" t="inlineStr">
        <is>
          <t>Mexico</t>
        </is>
      </c>
      <c r="D55" t="inlineStr">
        <is>
          <t>North America</t>
        </is>
      </c>
      <c r="E55" t="inlineStr">
        <is>
          <t>locked</t>
        </is>
      </c>
      <c r="F55" t="inlineStr">
        <is>
          <t>primary</t>
        </is>
      </c>
      <c r="G55" s="11">
        <f>IF(OR(City_Inputs!$M55="",Norm_Stats!$F$2="",Norm_Stats!$G$2="",Norm_Stats!$G$2=Norm_Stats!$F$2),"",MAX(0,MIN(100,100*(MIN(MAX(City_Inputs!$M55,Norm_Stats!$F$2),Norm_Stats!$G$2)-Norm_Stats!$F$2)/(Norm_Stats!$G$2-Norm_Stats!$F$2))))</f>
        <v/>
      </c>
      <c r="H55" s="14">
        <f>IF(G55="","",1)</f>
        <v/>
      </c>
      <c r="I55" s="11">
        <f>IF(OR(City_Inputs!$N55="",Norm_Stats!$F$3="",Norm_Stats!$G$3="",Norm_Stats!$G$3=Norm_Stats!$F$3),"",MAX(0,MIN(100,100*(Norm_Stats!$G$3-MIN(MAX(City_Inputs!$N55,Norm_Stats!$F$3),Norm_Stats!$G$3))/(Norm_Stats!$G$3-Norm_Stats!$F$3))))</f>
        <v/>
      </c>
      <c r="J55" s="14">
        <f>IF(I55="","",1)</f>
        <v/>
      </c>
      <c r="K55" s="11">
        <f>IF(OR(City_Inputs!$P55="",Norm_Stats!$F$4="",Norm_Stats!$G$4="",Norm_Stats!$G$4=Norm_Stats!$F$4),"",MAX(0,MIN(100,100*(Norm_Stats!$G$4-MIN(MAX(City_Inputs!$P55,Norm_Stats!$F$4),Norm_Stats!$G$4))/(Norm_Stats!$G$4-Norm_Stats!$F$4))))</f>
        <v/>
      </c>
      <c r="L55" s="14">
        <f>IF(K55="","",1)</f>
        <v/>
      </c>
      <c r="M55" s="11">
        <f>IF(OR(City_Inputs!$Q55="",Norm_Stats!$F$5="",Norm_Stats!$G$5="",Norm_Stats!$G$5=Norm_Stats!$F$5),"",MAX(0,MIN(100,100*(Norm_Stats!$G$5-MIN(MAX(City_Inputs!$Q55,Norm_Stats!$F$5),Norm_Stats!$G$5))/(Norm_Stats!$G$5-Norm_Stats!$F$5))))</f>
        <v/>
      </c>
      <c r="N55" s="14">
        <f>IF(M55="","",1)</f>
        <v/>
      </c>
      <c r="O55" s="11">
        <f>IF(OR(City_Inputs!$R55="",Norm_Stats!$F$6="",Norm_Stats!$G$6="",Norm_Stats!$G$6=Norm_Stats!$F$6),"",MAX(0,MIN(100,100*(Norm_Stats!$G$6-MIN(MAX(City_Inputs!$R55,Norm_Stats!$F$6),Norm_Stats!$G$6))/(Norm_Stats!$G$6-Norm_Stats!$F$6))))</f>
        <v/>
      </c>
      <c r="P55" s="14">
        <f>IF(O55="","",1)</f>
        <v/>
      </c>
      <c r="Q55" s="15">
        <f>IF((IF(G55="",0,9)+IF(I55="",0,5)+IF(K55="",0,4)+IF(M55="",0,4)+IF(O55="",0,3))=0,"",(IF(G55="",0,G55*9)+IF(I55="",0,I55*5)+IF(K55="",0,K55*4)+IF(M55="",0,M55*4)+IF(O55="",0,O55*3))/(IF(G55="",0,9)+IF(I55="",0,5)+IF(K55="",0,4)+IF(M55="",0,4)+IF(O55="",0,3)))</f>
        <v/>
      </c>
      <c r="R55" s="14">
        <f>IF((IF(H55="",0,9)+IF(J55="",0,5)+IF(L55="",0,4)+IF(N55="",0,4)+IF(P55="",0,3))=0,"",(IF(H55="",0,H55*9)+IF(J55="",0,J55*5)+IF(L55="",0,L55*4)+IF(N55="",0,N55*4)+IF(P55="",0,P55*3))/25)</f>
        <v/>
      </c>
      <c r="S55" s="11">
        <f>IF(OR(City_Inputs!$S55="",Norm_Stats!$F$7="",Norm_Stats!$G$7="",Norm_Stats!$G$7=Norm_Stats!$F$7),"",MAX(0,MIN(100,100*(Norm_Stats!$G$7-MIN(MAX(City_Inputs!$S55,Norm_Stats!$F$7),Norm_Stats!$G$7))/(Norm_Stats!$G$7-Norm_Stats!$F$7))))</f>
        <v/>
      </c>
      <c r="T55" s="14">
        <f>IF(S55="","",1)</f>
        <v/>
      </c>
      <c r="U55" s="11">
        <f>IF(OR(City_Inputs!$T55="",Norm_Stats!$F$8="",Norm_Stats!$G$8="",Norm_Stats!$G$8=Norm_Stats!$F$8),"",MAX(0,MIN(100,100*(MIN(MAX(City_Inputs!$T55,Norm_Stats!$F$8),Norm_Stats!$G$8)-Norm_Stats!$F$8)/(Norm_Stats!$G$8-Norm_Stats!$F$8))))</f>
        <v/>
      </c>
      <c r="V55" s="14">
        <f>IF(U55="","",1)</f>
        <v/>
      </c>
      <c r="W55" s="11">
        <f>IF(OR(City_Inputs!$U55="",Norm_Stats!$F$9="",Norm_Stats!$G$9="",Norm_Stats!$G$9=Norm_Stats!$F$9),"",MAX(0,MIN(100,100*(Norm_Stats!$G$9-MIN(MAX(City_Inputs!$U55,Norm_Stats!$F$9),Norm_Stats!$G$9))/(Norm_Stats!$G$9-Norm_Stats!$F$9))))</f>
        <v/>
      </c>
      <c r="X55" s="14">
        <f>IF(W55="","",1)</f>
        <v/>
      </c>
      <c r="Y55" s="11">
        <f>IF(OR(City_Inputs!$V55="",Norm_Stats!$F$10="",Norm_Stats!$G$10="",Norm_Stats!$G$10=Norm_Stats!$F$10),"",MAX(0,MIN(100,100*(MIN(MAX(City_Inputs!$V55,Norm_Stats!$F$10),Norm_Stats!$G$10)-Norm_Stats!$F$10)/(Norm_Stats!$G$10-Norm_Stats!$F$10))))</f>
        <v/>
      </c>
      <c r="Z55" s="14">
        <f>IF(Y55="","",1)</f>
        <v/>
      </c>
      <c r="AA55" s="11">
        <f>IF(OR(City_Inputs!$W55="",Norm_Stats!$F$11="",Norm_Stats!$G$11="",Norm_Stats!$G$11=Norm_Stats!$F$11),"",MAX(0,MIN(100,100*(MIN(MAX(City_Inputs!$W55,Norm_Stats!$F$11),Norm_Stats!$G$11)-Norm_Stats!$F$11)/(Norm_Stats!$G$11-Norm_Stats!$F$11))))</f>
        <v/>
      </c>
      <c r="AB55" s="14">
        <f>IF(AA55="","",1)</f>
        <v/>
      </c>
      <c r="AC55" s="15">
        <f>IF((IF(S55="",0,5)+IF(U55="",0,5)+IF(W55="",0,4)+IF(Y55="",0,4)+IF(AA55="",0,4))=0,"",(IF(S55="",0,S55*5)+IF(U55="",0,U55*5)+IF(W55="",0,W55*4)+IF(Y55="",0,Y55*4)+IF(AA55="",0,AA55*4))/(IF(S55="",0,5)+IF(U55="",0,5)+IF(W55="",0,4)+IF(Y55="",0,4)+IF(AA55="",0,4)))</f>
        <v/>
      </c>
      <c r="AD55" s="14">
        <f>IF((IF(T55="",0,5)+IF(V55="",0,5)+IF(X55="",0,4)+IF(Z55="",0,4)+IF(AB55="",0,4))=0,"",(IF(T55="",0,T55*5)+IF(V55="",0,V55*5)+IF(X55="",0,X55*4)+IF(Z55="",0,Z55*4)+IF(AB55="",0,AB55*4))/22)</f>
        <v/>
      </c>
      <c r="AE55" s="11">
        <f>IF(OR(City_Inputs!$X55="",Norm_Stats!$F$12="",Norm_Stats!$G$12="",Norm_Stats!$G$12=Norm_Stats!$F$12),"",MAX(0,MIN(100,100*(MIN(MAX(City_Inputs!$X55,Norm_Stats!$F$12),Norm_Stats!$G$12)-Norm_Stats!$F$12)/(Norm_Stats!$G$12-Norm_Stats!$F$12))))</f>
        <v/>
      </c>
      <c r="AF55" s="14">
        <f>IF(AE55="","",1)</f>
        <v/>
      </c>
      <c r="AG55" s="11">
        <f>IF(OR(City_Inputs!$Y55="",Norm_Stats!$F$13="",Norm_Stats!$G$13="",Norm_Stats!$G$13=Norm_Stats!$F$13),"",MAX(0,MIN(100,100*(MIN(MAX(City_Inputs!$Y55,Norm_Stats!$F$13),Norm_Stats!$G$13)-Norm_Stats!$F$13)/(Norm_Stats!$G$13-Norm_Stats!$F$13))))</f>
        <v/>
      </c>
      <c r="AH55" s="14">
        <f>IF(AG55="","",1)</f>
        <v/>
      </c>
      <c r="AI55" s="11">
        <f>IF((IF((IF(OR(City_Inputs!$Z55="",Norm_Stats!$F$14="",Norm_Stats!$G$14="",Norm_Stats!$G$14=Norm_Stats!$F$14),"",MAX(0,MIN(100,100*(MIN(MAX(City_Inputs!$Z55,Norm_Stats!$F$14),Norm_Stats!$G$14)-Norm_Stats!$F$14)/(Norm_Stats!$G$14-Norm_Stats!$F$14)))))="",0,0.7)+IF((IF(OR(City_Inputs!$AK55="",Norm_Stats!$F$15="",Norm_Stats!$G$15="",Norm_Stats!$G$15=Norm_Stats!$F$15),"",MAX(0,MIN(100,100*(Norm_Stats!$G$15-MIN(MAX(City_Inputs!$AK55,Norm_Stats!$F$15),Norm_Stats!$G$15))/(Norm_Stats!$G$15-Norm_Stats!$F$15)))))="",0,0.3))=0,"",(IF((IF(OR(City_Inputs!$Z55="",Norm_Stats!$F$14="",Norm_Stats!$G$14="",Norm_Stats!$G$14=Norm_Stats!$F$14),"",MAX(0,MIN(100,100*(MIN(MAX(City_Inputs!$Z55,Norm_Stats!$F$14),Norm_Stats!$G$14)-Norm_Stats!$F$14)/(Norm_Stats!$G$14-Norm_Stats!$F$14)))))="",0,(IF(OR(City_Inputs!$Z55="",Norm_Stats!$F$14="",Norm_Stats!$G$14="",Norm_Stats!$G$14=Norm_Stats!$F$14),"",MAX(0,MIN(100,100*(MIN(MAX(City_Inputs!$Z55,Norm_Stats!$F$14),Norm_Stats!$G$14)-Norm_Stats!$F$14)/(Norm_Stats!$G$14-Norm_Stats!$F$14)))))*0.7)+IF((IF(OR(City_Inputs!$AK55="",Norm_Stats!$F$15="",Norm_Stats!$G$15="",Norm_Stats!$G$15=Norm_Stats!$F$15),"",MAX(0,MIN(100,100*(Norm_Stats!$G$15-MIN(MAX(City_Inputs!$AK55,Norm_Stats!$F$15),Norm_Stats!$G$15))/(Norm_Stats!$G$15-Norm_Stats!$F$15)))))="",0,(IF(OR(City_Inputs!$AK55="",Norm_Stats!$F$15="",Norm_Stats!$G$15="",Norm_Stats!$G$15=Norm_Stats!$F$15),"",MAX(0,MIN(100,100*(Norm_Stats!$G$15-MIN(MAX(City_Inputs!$AK55,Norm_Stats!$F$15),Norm_Stats!$G$15))/(Norm_Stats!$G$15-Norm_Stats!$F$15)))))*0.3))/(IF((IF(OR(City_Inputs!$Z55="",Norm_Stats!$F$14="",Norm_Stats!$G$14="",Norm_Stats!$G$14=Norm_Stats!$F$14),"",MAX(0,MIN(100,100*(MIN(MAX(City_Inputs!$Z55,Norm_Stats!$F$14),Norm_Stats!$G$14)-Norm_Stats!$F$14)/(Norm_Stats!$G$14-Norm_Stats!$F$14)))))="",0,0.7)+IF((IF(OR(City_Inputs!$AK55="",Norm_Stats!$F$15="",Norm_Stats!$G$15="",Norm_Stats!$G$15=Norm_Stats!$F$15),"",MAX(0,MIN(100,100*(Norm_Stats!$G$15-MIN(MAX(City_Inputs!$AK55,Norm_Stats!$F$15),Norm_Stats!$G$15))/(Norm_Stats!$G$15-Norm_Stats!$F$15)))))="",0,0.3)))</f>
        <v/>
      </c>
      <c r="AJ55" s="14">
        <f>IF((IF((IF(OR(City_Inputs!$Z55="",Norm_Stats!$F$14="",Norm_Stats!$G$14="",Norm_Stats!$G$14=Norm_Stats!$F$14),"",MAX(0,MIN(100,100*(MIN(MAX(City_Inputs!$Z55,Norm_Stats!$F$14),Norm_Stats!$G$14)-Norm_Stats!$F$14)/(Norm_Stats!$G$14-Norm_Stats!$F$14)))))="",0,0.7)+IF((IF(OR(City_Inputs!$AK55="",Norm_Stats!$F$15="",Norm_Stats!$G$15="",Norm_Stats!$G$15=Norm_Stats!$F$15),"",MAX(0,MIN(100,100*(Norm_Stats!$G$15-MIN(MAX(City_Inputs!$AK55,Norm_Stats!$F$15),Norm_Stats!$G$15))/(Norm_Stats!$G$15-Norm_Stats!$F$15)))))="",0,0.3))=0,"",(IF((IF(OR(City_Inputs!$Z55="",Norm_Stats!$F$14="",Norm_Stats!$G$14="",Norm_Stats!$G$14=Norm_Stats!$F$14),"",MAX(0,MIN(100,100*(MIN(MAX(City_Inputs!$Z55,Norm_Stats!$F$14),Norm_Stats!$G$14)-Norm_Stats!$F$14)/(Norm_Stats!$G$14-Norm_Stats!$F$14)))))="",0,0.7)+IF((IF(OR(City_Inputs!$AK55="",Norm_Stats!$F$15="",Norm_Stats!$G$15="",Norm_Stats!$G$15=Norm_Stats!$F$15),"",MAX(0,MIN(100,100*(Norm_Stats!$G$15-MIN(MAX(City_Inputs!$AK55,Norm_Stats!$F$15),Norm_Stats!$G$15))/(Norm_Stats!$G$15-Norm_Stats!$F$15)))))="",0,0.3)))</f>
        <v/>
      </c>
      <c r="AK55" s="15">
        <f>IF((IF(AE55="",0,8)+IF(AG55="",0,6)+IF(AI55="",0,4))=0,"",(IF(AE55="",0,AE55*8)+IF(AG55="",0,AG55*6)+IF(AI55="",0,AI55*4))/(IF(AE55="",0,8)+IF(AG55="",0,6)+IF(AI55="",0,4)))</f>
        <v/>
      </c>
      <c r="AL55" s="14">
        <f>IF((IF(AF55="",0,8)+IF(AH55="",0,6)+IF(AJ55="",0,4))=0,"",(IF(AF55="",0,AF55*8)+IF(AH55="",0,AH55*6)+IF(AJ55="",0,AJ55*4))/18)</f>
        <v/>
      </c>
      <c r="AM55" s="11">
        <f>IF(OR(City_Inputs!$AA55="",Norm_Stats!$F$16="",Norm_Stats!$G$16="",Norm_Stats!$G$16=Norm_Stats!$F$16),"",MAX(0,MIN(100,100*(MIN(MAX(City_Inputs!$AA55,Norm_Stats!$F$16),Norm_Stats!$G$16)-Norm_Stats!$F$16)/(Norm_Stats!$G$16-Norm_Stats!$F$16))))</f>
        <v/>
      </c>
      <c r="AN55" s="14">
        <f>IF(AM55="","",1)</f>
        <v/>
      </c>
      <c r="AO55" s="11">
        <f>IF(OR(City_Inputs!$AB55="",Norm_Stats!$F$17="",Norm_Stats!$G$17="",Norm_Stats!$G$17=Norm_Stats!$F$17),"",MAX(0,MIN(100,100*(MIN(MAX(City_Inputs!$AB55,Norm_Stats!$F$17),Norm_Stats!$G$17)-Norm_Stats!$F$17)/(Norm_Stats!$G$17-Norm_Stats!$F$17))))</f>
        <v/>
      </c>
      <c r="AP55" s="14">
        <f>IF(AO55="","",1)</f>
        <v/>
      </c>
      <c r="AQ55" s="11">
        <f>IF(OR(City_Inputs!$AC55="",Norm_Stats!$F$18="",Norm_Stats!$G$18="",Norm_Stats!$G$18=Norm_Stats!$F$18),"",MAX(0,MIN(100,100*(MIN(MAX(City_Inputs!$AC55,Norm_Stats!$F$18),Norm_Stats!$G$18)-Norm_Stats!$F$18)/(Norm_Stats!$G$18-Norm_Stats!$F$18))))</f>
        <v/>
      </c>
      <c r="AR55" s="14">
        <f>IF(AQ55="","",1)</f>
        <v/>
      </c>
      <c r="AS55" s="15">
        <f>IF((IF(AM55="",0,5)+IF(AO55="",0,5)+IF(AQ55="",0,5))=0,"",(IF(AM55="",0,AM55*5)+IF(AO55="",0,AO55*5)+IF(AQ55="",0,AQ55*5))/(IF(AM55="",0,5)+IF(AO55="",0,5)+IF(AQ55="",0,5)))</f>
        <v/>
      </c>
      <c r="AT55" s="14">
        <f>IF((IF(AN55="",0,5)+IF(AP55="",0,5)+IF(AR55="",0,5))=0,"",(IF(AN55="",0,AN55*5)+IF(AP55="",0,AP55*5)+IF(AR55="",0,AR55*5))/15)</f>
        <v/>
      </c>
      <c r="AU55" s="11">
        <f>IF(OR(City_Inputs!$AD55="",Norm_Stats!$F$19="",Norm_Stats!$G$19="",Norm_Stats!$G$19=Norm_Stats!$F$19),"",MAX(0,MIN(100,100*(MIN(MAX(City_Inputs!$AD55,Norm_Stats!$F$19),Norm_Stats!$G$19)-Norm_Stats!$F$19)/(Norm_Stats!$G$19-Norm_Stats!$F$19))))</f>
        <v/>
      </c>
      <c r="AV55" s="14">
        <f>IF(AU55="","",1)</f>
        <v/>
      </c>
      <c r="AW55" s="11">
        <f>IF(OR(City_Inputs!$AE55="",Norm_Stats!$F$20="",Norm_Stats!$G$20="",Norm_Stats!$G$20=Norm_Stats!$F$20),"",MAX(0,MIN(100,100*(MIN(MAX(City_Inputs!$AE55,Norm_Stats!$F$20),Norm_Stats!$G$20)-Norm_Stats!$F$20)/(Norm_Stats!$G$20-Norm_Stats!$F$20))))</f>
        <v/>
      </c>
      <c r="AX55" s="14">
        <f>IF(AW55="","",1)</f>
        <v/>
      </c>
      <c r="AY55" s="11">
        <f>IF((IF((IF(OR(City_Inputs!$AF55="",Norm_Stats!$F$21="",Norm_Stats!$G$21="",Norm_Stats!$G$21=Norm_Stats!$F$21),"",MAX(0,MIN(100,100*(MIN(MAX(City_Inputs!$AF55,Norm_Stats!$F$21),Norm_Stats!$G$21)-Norm_Stats!$F$21)/(Norm_Stats!$G$21-Norm_Stats!$F$21)))))="",0,0.5)+IF((IF(OR(City_Inputs!$AI55="",Norm_Stats!$F$22="",Norm_Stats!$G$22="",Norm_Stats!$G$22=Norm_Stats!$F$22),"",MAX(0,MIN(100,100*(MIN(MAX(City_Inputs!$AI55,Norm_Stats!$F$22),Norm_Stats!$G$22)-Norm_Stats!$F$22)/(Norm_Stats!$G$22-Norm_Stats!$F$22)))))="",0,0.3)+IF((IF(OR(City_Inputs!$AJ55="",Norm_Stats!$F$23="",Norm_Stats!$G$23="",Norm_Stats!$G$23=Norm_Stats!$F$23),"",MAX(0,MIN(100,100*(MIN(MAX(City_Inputs!$AJ55,Norm_Stats!$F$23),Norm_Stats!$G$23)-Norm_Stats!$F$23)/(Norm_Stats!$G$23-Norm_Stats!$F$23)))))="",0,0.2))=0,"",(IF((IF(OR(City_Inputs!$AF55="",Norm_Stats!$F$21="",Norm_Stats!$G$21="",Norm_Stats!$G$21=Norm_Stats!$F$21),"",MAX(0,MIN(100,100*(MIN(MAX(City_Inputs!$AF55,Norm_Stats!$F$21),Norm_Stats!$G$21)-Norm_Stats!$F$21)/(Norm_Stats!$G$21-Norm_Stats!$F$21)))))="",0,(IF(OR(City_Inputs!$AF55="",Norm_Stats!$F$21="",Norm_Stats!$G$21="",Norm_Stats!$G$21=Norm_Stats!$F$21),"",MAX(0,MIN(100,100*(MIN(MAX(City_Inputs!$AF55,Norm_Stats!$F$21),Norm_Stats!$G$21)-Norm_Stats!$F$21)/(Norm_Stats!$G$21-Norm_Stats!$F$21)))))*0.5)+IF((IF(OR(City_Inputs!$AI55="",Norm_Stats!$F$22="",Norm_Stats!$G$22="",Norm_Stats!$G$22=Norm_Stats!$F$22),"",MAX(0,MIN(100,100*(MIN(MAX(City_Inputs!$AI55,Norm_Stats!$F$22),Norm_Stats!$G$22)-Norm_Stats!$F$22)/(Norm_Stats!$G$22-Norm_Stats!$F$22)))))="",0,(IF(OR(City_Inputs!$AI55="",Norm_Stats!$F$22="",Norm_Stats!$G$22="",Norm_Stats!$G$22=Norm_Stats!$F$22),"",MAX(0,MIN(100,100*(MIN(MAX(City_Inputs!$AI55,Norm_Stats!$F$22),Norm_Stats!$G$22)-Norm_Stats!$F$22)/(Norm_Stats!$G$22-Norm_Stats!$F$22)))))*0.3)+IF((IF(OR(City_Inputs!$AJ55="",Norm_Stats!$F$23="",Norm_Stats!$G$23="",Norm_Stats!$G$23=Norm_Stats!$F$23),"",MAX(0,MIN(100,100*(MIN(MAX(City_Inputs!$AJ55,Norm_Stats!$F$23),Norm_Stats!$G$23)-Norm_Stats!$F$23)/(Norm_Stats!$G$23-Norm_Stats!$F$23)))))="",0,(IF(OR(City_Inputs!$AJ55="",Norm_Stats!$F$23="",Norm_Stats!$G$23="",Norm_Stats!$G$23=Norm_Stats!$F$23),"",MAX(0,MIN(100,100*(MIN(MAX(City_Inputs!$AJ55,Norm_Stats!$F$23),Norm_Stats!$G$23)-Norm_Stats!$F$23)/(Norm_Stats!$G$23-Norm_Stats!$F$23)))))*0.2))/(IF((IF(OR(City_Inputs!$AF55="",Norm_Stats!$F$21="",Norm_Stats!$G$21="",Norm_Stats!$G$21=Norm_Stats!$F$21),"",MAX(0,MIN(100,100*(MIN(MAX(City_Inputs!$AF55,Norm_Stats!$F$21),Norm_Stats!$G$21)-Norm_Stats!$F$21)/(Norm_Stats!$G$21-Norm_Stats!$F$21)))))="",0,0.5)+IF((IF(OR(City_Inputs!$AI55="",Norm_Stats!$F$22="",Norm_Stats!$G$22="",Norm_Stats!$G$22=Norm_Stats!$F$22),"",MAX(0,MIN(100,100*(MIN(MAX(City_Inputs!$AI55,Norm_Stats!$F$22),Norm_Stats!$G$22)-Norm_Stats!$F$22)/(Norm_Stats!$G$22-Norm_Stats!$F$22)))))="",0,0.3)+IF((IF(OR(City_Inputs!$AJ55="",Norm_Stats!$F$23="",Norm_Stats!$G$23="",Norm_Stats!$G$23=Norm_Stats!$F$23),"",MAX(0,MIN(100,100*(MIN(MAX(City_Inputs!$AJ55,Norm_Stats!$F$23),Norm_Stats!$G$23)-Norm_Stats!$F$23)/(Norm_Stats!$G$23-Norm_Stats!$F$23)))))="",0,0.2)))</f>
        <v/>
      </c>
      <c r="AZ55" s="14">
        <f>IF((IF((IF(OR(City_Inputs!$AF55="",Norm_Stats!$F$21="",Norm_Stats!$G$21="",Norm_Stats!$G$21=Norm_Stats!$F$21),"",MAX(0,MIN(100,100*(MIN(MAX(City_Inputs!$AF55,Norm_Stats!$F$21),Norm_Stats!$G$21)-Norm_Stats!$F$21)/(Norm_Stats!$G$21-Norm_Stats!$F$21)))))="",0,0.5)+IF((IF(OR(City_Inputs!$AI55="",Norm_Stats!$F$22="",Norm_Stats!$G$22="",Norm_Stats!$G$22=Norm_Stats!$F$22),"",MAX(0,MIN(100,100*(MIN(MAX(City_Inputs!$AI55,Norm_Stats!$F$22),Norm_Stats!$G$22)-Norm_Stats!$F$22)/(Norm_Stats!$G$22-Norm_Stats!$F$22)))))="",0,0.3)+IF((IF(OR(City_Inputs!$AJ55="",Norm_Stats!$F$23="",Norm_Stats!$G$23="",Norm_Stats!$G$23=Norm_Stats!$F$23),"",MAX(0,MIN(100,100*(MIN(MAX(City_Inputs!$AJ55,Norm_Stats!$F$23),Norm_Stats!$G$23)-Norm_Stats!$F$23)/(Norm_Stats!$G$23-Norm_Stats!$F$23)))))="",0,0.2))=0,"",(IF((IF(OR(City_Inputs!$AF55="",Norm_Stats!$F$21="",Norm_Stats!$G$21="",Norm_Stats!$G$21=Norm_Stats!$F$21),"",MAX(0,MIN(100,100*(MIN(MAX(City_Inputs!$AF55,Norm_Stats!$F$21),Norm_Stats!$G$21)-Norm_Stats!$F$21)/(Norm_Stats!$G$21-Norm_Stats!$F$21)))))="",0,0.5)+IF((IF(OR(City_Inputs!$AI55="",Norm_Stats!$F$22="",Norm_Stats!$G$22="",Norm_Stats!$G$22=Norm_Stats!$F$22),"",MAX(0,MIN(100,100*(MIN(MAX(City_Inputs!$AI55,Norm_Stats!$F$22),Norm_Stats!$G$22)-Norm_Stats!$F$22)/(Norm_Stats!$G$22-Norm_Stats!$F$22)))))="",0,0.3)+IF((IF(OR(City_Inputs!$AJ55="",Norm_Stats!$F$23="",Norm_Stats!$G$23="",Norm_Stats!$G$23=Norm_Stats!$F$23),"",MAX(0,MIN(100,100*(MIN(MAX(City_Inputs!$AJ55,Norm_Stats!$F$23),Norm_Stats!$G$23)-Norm_Stats!$F$23)/(Norm_Stats!$G$23-Norm_Stats!$F$23)))))="",0,0.2)))</f>
        <v/>
      </c>
      <c r="BA55" s="11">
        <f>IF(OR(City_Inputs!$AG55="",Norm_Stats!$F$24="",Norm_Stats!$G$24="",Norm_Stats!$G$24=Norm_Stats!$F$24),"",MAX(0,MIN(100,100*(Norm_Stats!$G$24-MIN(MAX(City_Inputs!$AG55,Norm_Stats!$F$24),Norm_Stats!$G$24))/(Norm_Stats!$G$24-Norm_Stats!$F$24))))</f>
        <v/>
      </c>
      <c r="BB55" s="14">
        <f>IF(BA55="","",1)</f>
        <v/>
      </c>
      <c r="BC55" s="15">
        <f>IF((IF(AU55="",0,6)+IF(AW55="",0,5)+IF(AY55="",0,5)+IF(BA55="",0,4))=0,"",(IF(AU55="",0,AU55*6)+IF(AW55="",0,AW55*5)+IF(AY55="",0,AY55*5)+IF(BA55="",0,BA55*4))/(IF(AU55="",0,6)+IF(AW55="",0,5)+IF(AY55="",0,5)+IF(BA55="",0,4)))</f>
        <v/>
      </c>
      <c r="BD55" s="14">
        <f>IF((IF(AV55="",0,6)+IF(AX55="",0,5)+IF(AZ55="",0,5)+IF(BB55="",0,4))=0,"",(IF(AV55="",0,AV55*6)+IF(AX55="",0,AX55*5)+IF(AZ55="",0,AZ55*5)+IF(BB55="",0,BB55*4))/20)</f>
        <v/>
      </c>
      <c r="BE55" s="14">
        <f>IF(AND(R55="",AD55="",AL55="",AT55="",BD55=""),"",((R55*25)+(AD55*22)+(AL55*18)+(AT55*15)+(BD55*20))/100)</f>
        <v/>
      </c>
      <c r="BF55" s="11">
        <f>IF(BE55="","",IF(BE55&gt;=0.75,"A",IF(BE55&gt;=0.5,"B",IF(BE55&gt;=0.35,"C","Watchlist"))))</f>
        <v/>
      </c>
      <c r="BG55" s="11">
        <f>IF(OR(BE55="",BE55&lt;0.5,R55="",R55&lt;0.35,AD55="",AD55&lt;0.35,AL55="",AL55&lt;0.35,AT55="",AT55&lt;0.35,BD55="",BD55&lt;0.35),"Watchlist","Ranked")</f>
        <v/>
      </c>
      <c r="BH55" s="15">
        <f>IF(AND(Q55="",AC55="",AK55="",AS55="",BC55=""),"",(IF(Q55="",0,Q55*25)+IF(AC55="",0,AC55*22)+IF(AK55="",0,AK55*18)+IF(AS55="",0,AS55*15)+IF(BC55="",0,BC55*20))/(IF(Q55="",0,25)+IF(AC55="",0,22)+IF(AK55="",0,18)+IF(AS55="",0,15)+IF(BC55="",0,20)))</f>
        <v/>
      </c>
      <c r="BI55" s="11">
        <f>IF(BG55="Ranked",1+COUNTIFS($BG$2:$BG$103,"Ranked",$BH$2:$BH$103,"&gt;"&amp;BH55),"")</f>
        <v/>
      </c>
      <c r="BJ55" s="11">
        <f>City_Inputs!$AH55</f>
        <v/>
      </c>
    </row>
    <row r="56">
      <c r="A56" t="inlineStr">
        <is>
          <t>ca-toronto</t>
        </is>
      </c>
      <c r="B56" t="inlineStr">
        <is>
          <t>Toronto</t>
        </is>
      </c>
      <c r="C56" t="inlineStr">
        <is>
          <t>Canada</t>
        </is>
      </c>
      <c r="D56" t="inlineStr">
        <is>
          <t>North America</t>
        </is>
      </c>
      <c r="E56" t="inlineStr">
        <is>
          <t>provisional</t>
        </is>
      </c>
      <c r="F56" t="inlineStr">
        <is>
          <t>primary</t>
        </is>
      </c>
      <c r="G56" s="11">
        <f>IF(OR(City_Inputs!$M56="",Norm_Stats!$F$2="",Norm_Stats!$G$2="",Norm_Stats!$G$2=Norm_Stats!$F$2),"",MAX(0,MIN(100,100*(MIN(MAX(City_Inputs!$M56,Norm_Stats!$F$2),Norm_Stats!$G$2)-Norm_Stats!$F$2)/(Norm_Stats!$G$2-Norm_Stats!$F$2))))</f>
        <v/>
      </c>
      <c r="H56" s="14">
        <f>IF(G56="","",1)</f>
        <v/>
      </c>
      <c r="I56" s="11">
        <f>IF(OR(City_Inputs!$N56="",Norm_Stats!$F$3="",Norm_Stats!$G$3="",Norm_Stats!$G$3=Norm_Stats!$F$3),"",MAX(0,MIN(100,100*(Norm_Stats!$G$3-MIN(MAX(City_Inputs!$N56,Norm_Stats!$F$3),Norm_Stats!$G$3))/(Norm_Stats!$G$3-Norm_Stats!$F$3))))</f>
        <v/>
      </c>
      <c r="J56" s="14">
        <f>IF(I56="","",1)</f>
        <v/>
      </c>
      <c r="K56" s="11">
        <f>IF(OR(City_Inputs!$P56="",Norm_Stats!$F$4="",Norm_Stats!$G$4="",Norm_Stats!$G$4=Norm_Stats!$F$4),"",MAX(0,MIN(100,100*(Norm_Stats!$G$4-MIN(MAX(City_Inputs!$P56,Norm_Stats!$F$4),Norm_Stats!$G$4))/(Norm_Stats!$G$4-Norm_Stats!$F$4))))</f>
        <v/>
      </c>
      <c r="L56" s="14">
        <f>IF(K56="","",1)</f>
        <v/>
      </c>
      <c r="M56" s="11">
        <f>IF(OR(City_Inputs!$Q56="",Norm_Stats!$F$5="",Norm_Stats!$G$5="",Norm_Stats!$G$5=Norm_Stats!$F$5),"",MAX(0,MIN(100,100*(Norm_Stats!$G$5-MIN(MAX(City_Inputs!$Q56,Norm_Stats!$F$5),Norm_Stats!$G$5))/(Norm_Stats!$G$5-Norm_Stats!$F$5))))</f>
        <v/>
      </c>
      <c r="N56" s="14">
        <f>IF(M56="","",1)</f>
        <v/>
      </c>
      <c r="O56" s="11">
        <f>IF(OR(City_Inputs!$R56="",Norm_Stats!$F$6="",Norm_Stats!$G$6="",Norm_Stats!$G$6=Norm_Stats!$F$6),"",MAX(0,MIN(100,100*(Norm_Stats!$G$6-MIN(MAX(City_Inputs!$R56,Norm_Stats!$F$6),Norm_Stats!$G$6))/(Norm_Stats!$G$6-Norm_Stats!$F$6))))</f>
        <v/>
      </c>
      <c r="P56" s="14">
        <f>IF(O56="","",1)</f>
        <v/>
      </c>
      <c r="Q56" s="15">
        <f>IF((IF(G56="",0,9)+IF(I56="",0,5)+IF(K56="",0,4)+IF(M56="",0,4)+IF(O56="",0,3))=0,"",(IF(G56="",0,G56*9)+IF(I56="",0,I56*5)+IF(K56="",0,K56*4)+IF(M56="",0,M56*4)+IF(O56="",0,O56*3))/(IF(G56="",0,9)+IF(I56="",0,5)+IF(K56="",0,4)+IF(M56="",0,4)+IF(O56="",0,3)))</f>
        <v/>
      </c>
      <c r="R56" s="14">
        <f>IF((IF(H56="",0,9)+IF(J56="",0,5)+IF(L56="",0,4)+IF(N56="",0,4)+IF(P56="",0,3))=0,"",(IF(H56="",0,H56*9)+IF(J56="",0,J56*5)+IF(L56="",0,L56*4)+IF(N56="",0,N56*4)+IF(P56="",0,P56*3))/25)</f>
        <v/>
      </c>
      <c r="S56" s="11">
        <f>IF(OR(City_Inputs!$S56="",Norm_Stats!$F$7="",Norm_Stats!$G$7="",Norm_Stats!$G$7=Norm_Stats!$F$7),"",MAX(0,MIN(100,100*(Norm_Stats!$G$7-MIN(MAX(City_Inputs!$S56,Norm_Stats!$F$7),Norm_Stats!$G$7))/(Norm_Stats!$G$7-Norm_Stats!$F$7))))</f>
        <v/>
      </c>
      <c r="T56" s="14">
        <f>IF(S56="","",1)</f>
        <v/>
      </c>
      <c r="U56" s="11">
        <f>IF(OR(City_Inputs!$T56="",Norm_Stats!$F$8="",Norm_Stats!$G$8="",Norm_Stats!$G$8=Norm_Stats!$F$8),"",MAX(0,MIN(100,100*(MIN(MAX(City_Inputs!$T56,Norm_Stats!$F$8),Norm_Stats!$G$8)-Norm_Stats!$F$8)/(Norm_Stats!$G$8-Norm_Stats!$F$8))))</f>
        <v/>
      </c>
      <c r="V56" s="14">
        <f>IF(U56="","",1)</f>
        <v/>
      </c>
      <c r="W56" s="11">
        <f>IF(OR(City_Inputs!$U56="",Norm_Stats!$F$9="",Norm_Stats!$G$9="",Norm_Stats!$G$9=Norm_Stats!$F$9),"",MAX(0,MIN(100,100*(Norm_Stats!$G$9-MIN(MAX(City_Inputs!$U56,Norm_Stats!$F$9),Norm_Stats!$G$9))/(Norm_Stats!$G$9-Norm_Stats!$F$9))))</f>
        <v/>
      </c>
      <c r="X56" s="14">
        <f>IF(W56="","",1)</f>
        <v/>
      </c>
      <c r="Y56" s="11">
        <f>IF(OR(City_Inputs!$V56="",Norm_Stats!$F$10="",Norm_Stats!$G$10="",Norm_Stats!$G$10=Norm_Stats!$F$10),"",MAX(0,MIN(100,100*(MIN(MAX(City_Inputs!$V56,Norm_Stats!$F$10),Norm_Stats!$G$10)-Norm_Stats!$F$10)/(Norm_Stats!$G$10-Norm_Stats!$F$10))))</f>
        <v/>
      </c>
      <c r="Z56" s="14">
        <f>IF(Y56="","",1)</f>
        <v/>
      </c>
      <c r="AA56" s="11">
        <f>IF(OR(City_Inputs!$W56="",Norm_Stats!$F$11="",Norm_Stats!$G$11="",Norm_Stats!$G$11=Norm_Stats!$F$11),"",MAX(0,MIN(100,100*(MIN(MAX(City_Inputs!$W56,Norm_Stats!$F$11),Norm_Stats!$G$11)-Norm_Stats!$F$11)/(Norm_Stats!$G$11-Norm_Stats!$F$11))))</f>
        <v/>
      </c>
      <c r="AB56" s="14">
        <f>IF(AA56="","",1)</f>
        <v/>
      </c>
      <c r="AC56" s="15">
        <f>IF((IF(S56="",0,5)+IF(U56="",0,5)+IF(W56="",0,4)+IF(Y56="",0,4)+IF(AA56="",0,4))=0,"",(IF(S56="",0,S56*5)+IF(U56="",0,U56*5)+IF(W56="",0,W56*4)+IF(Y56="",0,Y56*4)+IF(AA56="",0,AA56*4))/(IF(S56="",0,5)+IF(U56="",0,5)+IF(W56="",0,4)+IF(Y56="",0,4)+IF(AA56="",0,4)))</f>
        <v/>
      </c>
      <c r="AD56" s="14">
        <f>IF((IF(T56="",0,5)+IF(V56="",0,5)+IF(X56="",0,4)+IF(Z56="",0,4)+IF(AB56="",0,4))=0,"",(IF(T56="",0,T56*5)+IF(V56="",0,V56*5)+IF(X56="",0,X56*4)+IF(Z56="",0,Z56*4)+IF(AB56="",0,AB56*4))/22)</f>
        <v/>
      </c>
      <c r="AE56" s="11">
        <f>IF(OR(City_Inputs!$X56="",Norm_Stats!$F$12="",Norm_Stats!$G$12="",Norm_Stats!$G$12=Norm_Stats!$F$12),"",MAX(0,MIN(100,100*(MIN(MAX(City_Inputs!$X56,Norm_Stats!$F$12),Norm_Stats!$G$12)-Norm_Stats!$F$12)/(Norm_Stats!$G$12-Norm_Stats!$F$12))))</f>
        <v/>
      </c>
      <c r="AF56" s="14">
        <f>IF(AE56="","",1)</f>
        <v/>
      </c>
      <c r="AG56" s="11">
        <f>IF(OR(City_Inputs!$Y56="",Norm_Stats!$F$13="",Norm_Stats!$G$13="",Norm_Stats!$G$13=Norm_Stats!$F$13),"",MAX(0,MIN(100,100*(MIN(MAX(City_Inputs!$Y56,Norm_Stats!$F$13),Norm_Stats!$G$13)-Norm_Stats!$F$13)/(Norm_Stats!$G$13-Norm_Stats!$F$13))))</f>
        <v/>
      </c>
      <c r="AH56" s="14">
        <f>IF(AG56="","",1)</f>
        <v/>
      </c>
      <c r="AI56" s="11">
        <f>IF((IF((IF(OR(City_Inputs!$Z56="",Norm_Stats!$F$14="",Norm_Stats!$G$14="",Norm_Stats!$G$14=Norm_Stats!$F$14),"",MAX(0,MIN(100,100*(MIN(MAX(City_Inputs!$Z56,Norm_Stats!$F$14),Norm_Stats!$G$14)-Norm_Stats!$F$14)/(Norm_Stats!$G$14-Norm_Stats!$F$14)))))="",0,0.7)+IF((IF(OR(City_Inputs!$AK56="",Norm_Stats!$F$15="",Norm_Stats!$G$15="",Norm_Stats!$G$15=Norm_Stats!$F$15),"",MAX(0,MIN(100,100*(Norm_Stats!$G$15-MIN(MAX(City_Inputs!$AK56,Norm_Stats!$F$15),Norm_Stats!$G$15))/(Norm_Stats!$G$15-Norm_Stats!$F$15)))))="",0,0.3))=0,"",(IF((IF(OR(City_Inputs!$Z56="",Norm_Stats!$F$14="",Norm_Stats!$G$14="",Norm_Stats!$G$14=Norm_Stats!$F$14),"",MAX(0,MIN(100,100*(MIN(MAX(City_Inputs!$Z56,Norm_Stats!$F$14),Norm_Stats!$G$14)-Norm_Stats!$F$14)/(Norm_Stats!$G$14-Norm_Stats!$F$14)))))="",0,(IF(OR(City_Inputs!$Z56="",Norm_Stats!$F$14="",Norm_Stats!$G$14="",Norm_Stats!$G$14=Norm_Stats!$F$14),"",MAX(0,MIN(100,100*(MIN(MAX(City_Inputs!$Z56,Norm_Stats!$F$14),Norm_Stats!$G$14)-Norm_Stats!$F$14)/(Norm_Stats!$G$14-Norm_Stats!$F$14)))))*0.7)+IF((IF(OR(City_Inputs!$AK56="",Norm_Stats!$F$15="",Norm_Stats!$G$15="",Norm_Stats!$G$15=Norm_Stats!$F$15),"",MAX(0,MIN(100,100*(Norm_Stats!$G$15-MIN(MAX(City_Inputs!$AK56,Norm_Stats!$F$15),Norm_Stats!$G$15))/(Norm_Stats!$G$15-Norm_Stats!$F$15)))))="",0,(IF(OR(City_Inputs!$AK56="",Norm_Stats!$F$15="",Norm_Stats!$G$15="",Norm_Stats!$G$15=Norm_Stats!$F$15),"",MAX(0,MIN(100,100*(Norm_Stats!$G$15-MIN(MAX(City_Inputs!$AK56,Norm_Stats!$F$15),Norm_Stats!$G$15))/(Norm_Stats!$G$15-Norm_Stats!$F$15)))))*0.3))/(IF((IF(OR(City_Inputs!$Z56="",Norm_Stats!$F$14="",Norm_Stats!$G$14="",Norm_Stats!$G$14=Norm_Stats!$F$14),"",MAX(0,MIN(100,100*(MIN(MAX(City_Inputs!$Z56,Norm_Stats!$F$14),Norm_Stats!$G$14)-Norm_Stats!$F$14)/(Norm_Stats!$G$14-Norm_Stats!$F$14)))))="",0,0.7)+IF((IF(OR(City_Inputs!$AK56="",Norm_Stats!$F$15="",Norm_Stats!$G$15="",Norm_Stats!$G$15=Norm_Stats!$F$15),"",MAX(0,MIN(100,100*(Norm_Stats!$G$15-MIN(MAX(City_Inputs!$AK56,Norm_Stats!$F$15),Norm_Stats!$G$15))/(Norm_Stats!$G$15-Norm_Stats!$F$15)))))="",0,0.3)))</f>
        <v/>
      </c>
      <c r="AJ56" s="14">
        <f>IF((IF((IF(OR(City_Inputs!$Z56="",Norm_Stats!$F$14="",Norm_Stats!$G$14="",Norm_Stats!$G$14=Norm_Stats!$F$14),"",MAX(0,MIN(100,100*(MIN(MAX(City_Inputs!$Z56,Norm_Stats!$F$14),Norm_Stats!$G$14)-Norm_Stats!$F$14)/(Norm_Stats!$G$14-Norm_Stats!$F$14)))))="",0,0.7)+IF((IF(OR(City_Inputs!$AK56="",Norm_Stats!$F$15="",Norm_Stats!$G$15="",Norm_Stats!$G$15=Norm_Stats!$F$15),"",MAX(0,MIN(100,100*(Norm_Stats!$G$15-MIN(MAX(City_Inputs!$AK56,Norm_Stats!$F$15),Norm_Stats!$G$15))/(Norm_Stats!$G$15-Norm_Stats!$F$15)))))="",0,0.3))=0,"",(IF((IF(OR(City_Inputs!$Z56="",Norm_Stats!$F$14="",Norm_Stats!$G$14="",Norm_Stats!$G$14=Norm_Stats!$F$14),"",MAX(0,MIN(100,100*(MIN(MAX(City_Inputs!$Z56,Norm_Stats!$F$14),Norm_Stats!$G$14)-Norm_Stats!$F$14)/(Norm_Stats!$G$14-Norm_Stats!$F$14)))))="",0,0.7)+IF((IF(OR(City_Inputs!$AK56="",Norm_Stats!$F$15="",Norm_Stats!$G$15="",Norm_Stats!$G$15=Norm_Stats!$F$15),"",MAX(0,MIN(100,100*(Norm_Stats!$G$15-MIN(MAX(City_Inputs!$AK56,Norm_Stats!$F$15),Norm_Stats!$G$15))/(Norm_Stats!$G$15-Norm_Stats!$F$15)))))="",0,0.3)))</f>
        <v/>
      </c>
      <c r="AK56" s="15">
        <f>IF((IF(AE56="",0,8)+IF(AG56="",0,6)+IF(AI56="",0,4))=0,"",(IF(AE56="",0,AE56*8)+IF(AG56="",0,AG56*6)+IF(AI56="",0,AI56*4))/(IF(AE56="",0,8)+IF(AG56="",0,6)+IF(AI56="",0,4)))</f>
        <v/>
      </c>
      <c r="AL56" s="14">
        <f>IF((IF(AF56="",0,8)+IF(AH56="",0,6)+IF(AJ56="",0,4))=0,"",(IF(AF56="",0,AF56*8)+IF(AH56="",0,AH56*6)+IF(AJ56="",0,AJ56*4))/18)</f>
        <v/>
      </c>
      <c r="AM56" s="11">
        <f>IF(OR(City_Inputs!$AA56="",Norm_Stats!$F$16="",Norm_Stats!$G$16="",Norm_Stats!$G$16=Norm_Stats!$F$16),"",MAX(0,MIN(100,100*(MIN(MAX(City_Inputs!$AA56,Norm_Stats!$F$16),Norm_Stats!$G$16)-Norm_Stats!$F$16)/(Norm_Stats!$G$16-Norm_Stats!$F$16))))</f>
        <v/>
      </c>
      <c r="AN56" s="14">
        <f>IF(AM56="","",1)</f>
        <v/>
      </c>
      <c r="AO56" s="11">
        <f>IF(OR(City_Inputs!$AB56="",Norm_Stats!$F$17="",Norm_Stats!$G$17="",Norm_Stats!$G$17=Norm_Stats!$F$17),"",MAX(0,MIN(100,100*(MIN(MAX(City_Inputs!$AB56,Norm_Stats!$F$17),Norm_Stats!$G$17)-Norm_Stats!$F$17)/(Norm_Stats!$G$17-Norm_Stats!$F$17))))</f>
        <v/>
      </c>
      <c r="AP56" s="14">
        <f>IF(AO56="","",1)</f>
        <v/>
      </c>
      <c r="AQ56" s="11">
        <f>IF(OR(City_Inputs!$AC56="",Norm_Stats!$F$18="",Norm_Stats!$G$18="",Norm_Stats!$G$18=Norm_Stats!$F$18),"",MAX(0,MIN(100,100*(MIN(MAX(City_Inputs!$AC56,Norm_Stats!$F$18),Norm_Stats!$G$18)-Norm_Stats!$F$18)/(Norm_Stats!$G$18-Norm_Stats!$F$18))))</f>
        <v/>
      </c>
      <c r="AR56" s="14">
        <f>IF(AQ56="","",1)</f>
        <v/>
      </c>
      <c r="AS56" s="15">
        <f>IF((IF(AM56="",0,5)+IF(AO56="",0,5)+IF(AQ56="",0,5))=0,"",(IF(AM56="",0,AM56*5)+IF(AO56="",0,AO56*5)+IF(AQ56="",0,AQ56*5))/(IF(AM56="",0,5)+IF(AO56="",0,5)+IF(AQ56="",0,5)))</f>
        <v/>
      </c>
      <c r="AT56" s="14">
        <f>IF((IF(AN56="",0,5)+IF(AP56="",0,5)+IF(AR56="",0,5))=0,"",(IF(AN56="",0,AN56*5)+IF(AP56="",0,AP56*5)+IF(AR56="",0,AR56*5))/15)</f>
        <v/>
      </c>
      <c r="AU56" s="11">
        <f>IF(OR(City_Inputs!$AD56="",Norm_Stats!$F$19="",Norm_Stats!$G$19="",Norm_Stats!$G$19=Norm_Stats!$F$19),"",MAX(0,MIN(100,100*(MIN(MAX(City_Inputs!$AD56,Norm_Stats!$F$19),Norm_Stats!$G$19)-Norm_Stats!$F$19)/(Norm_Stats!$G$19-Norm_Stats!$F$19))))</f>
        <v/>
      </c>
      <c r="AV56" s="14">
        <f>IF(AU56="","",1)</f>
        <v/>
      </c>
      <c r="AW56" s="11">
        <f>IF(OR(City_Inputs!$AE56="",Norm_Stats!$F$20="",Norm_Stats!$G$20="",Norm_Stats!$G$20=Norm_Stats!$F$20),"",MAX(0,MIN(100,100*(MIN(MAX(City_Inputs!$AE56,Norm_Stats!$F$20),Norm_Stats!$G$20)-Norm_Stats!$F$20)/(Norm_Stats!$G$20-Norm_Stats!$F$20))))</f>
        <v/>
      </c>
      <c r="AX56" s="14">
        <f>IF(AW56="","",1)</f>
        <v/>
      </c>
      <c r="AY56" s="11">
        <f>IF((IF((IF(OR(City_Inputs!$AF56="",Norm_Stats!$F$21="",Norm_Stats!$G$21="",Norm_Stats!$G$21=Norm_Stats!$F$21),"",MAX(0,MIN(100,100*(MIN(MAX(City_Inputs!$AF56,Norm_Stats!$F$21),Norm_Stats!$G$21)-Norm_Stats!$F$21)/(Norm_Stats!$G$21-Norm_Stats!$F$21)))))="",0,0.5)+IF((IF(OR(City_Inputs!$AI56="",Norm_Stats!$F$22="",Norm_Stats!$G$22="",Norm_Stats!$G$22=Norm_Stats!$F$22),"",MAX(0,MIN(100,100*(MIN(MAX(City_Inputs!$AI56,Norm_Stats!$F$22),Norm_Stats!$G$22)-Norm_Stats!$F$22)/(Norm_Stats!$G$22-Norm_Stats!$F$22)))))="",0,0.3)+IF((IF(OR(City_Inputs!$AJ56="",Norm_Stats!$F$23="",Norm_Stats!$G$23="",Norm_Stats!$G$23=Norm_Stats!$F$23),"",MAX(0,MIN(100,100*(MIN(MAX(City_Inputs!$AJ56,Norm_Stats!$F$23),Norm_Stats!$G$23)-Norm_Stats!$F$23)/(Norm_Stats!$G$23-Norm_Stats!$F$23)))))="",0,0.2))=0,"",(IF((IF(OR(City_Inputs!$AF56="",Norm_Stats!$F$21="",Norm_Stats!$G$21="",Norm_Stats!$G$21=Norm_Stats!$F$21),"",MAX(0,MIN(100,100*(MIN(MAX(City_Inputs!$AF56,Norm_Stats!$F$21),Norm_Stats!$G$21)-Norm_Stats!$F$21)/(Norm_Stats!$G$21-Norm_Stats!$F$21)))))="",0,(IF(OR(City_Inputs!$AF56="",Norm_Stats!$F$21="",Norm_Stats!$G$21="",Norm_Stats!$G$21=Norm_Stats!$F$21),"",MAX(0,MIN(100,100*(MIN(MAX(City_Inputs!$AF56,Norm_Stats!$F$21),Norm_Stats!$G$21)-Norm_Stats!$F$21)/(Norm_Stats!$G$21-Norm_Stats!$F$21)))))*0.5)+IF((IF(OR(City_Inputs!$AI56="",Norm_Stats!$F$22="",Norm_Stats!$G$22="",Norm_Stats!$G$22=Norm_Stats!$F$22),"",MAX(0,MIN(100,100*(MIN(MAX(City_Inputs!$AI56,Norm_Stats!$F$22),Norm_Stats!$G$22)-Norm_Stats!$F$22)/(Norm_Stats!$G$22-Norm_Stats!$F$22)))))="",0,(IF(OR(City_Inputs!$AI56="",Norm_Stats!$F$22="",Norm_Stats!$G$22="",Norm_Stats!$G$22=Norm_Stats!$F$22),"",MAX(0,MIN(100,100*(MIN(MAX(City_Inputs!$AI56,Norm_Stats!$F$22),Norm_Stats!$G$22)-Norm_Stats!$F$22)/(Norm_Stats!$G$22-Norm_Stats!$F$22)))))*0.3)+IF((IF(OR(City_Inputs!$AJ56="",Norm_Stats!$F$23="",Norm_Stats!$G$23="",Norm_Stats!$G$23=Norm_Stats!$F$23),"",MAX(0,MIN(100,100*(MIN(MAX(City_Inputs!$AJ56,Norm_Stats!$F$23),Norm_Stats!$G$23)-Norm_Stats!$F$23)/(Norm_Stats!$G$23-Norm_Stats!$F$23)))))="",0,(IF(OR(City_Inputs!$AJ56="",Norm_Stats!$F$23="",Norm_Stats!$G$23="",Norm_Stats!$G$23=Norm_Stats!$F$23),"",MAX(0,MIN(100,100*(MIN(MAX(City_Inputs!$AJ56,Norm_Stats!$F$23),Norm_Stats!$G$23)-Norm_Stats!$F$23)/(Norm_Stats!$G$23-Norm_Stats!$F$23)))))*0.2))/(IF((IF(OR(City_Inputs!$AF56="",Norm_Stats!$F$21="",Norm_Stats!$G$21="",Norm_Stats!$G$21=Norm_Stats!$F$21),"",MAX(0,MIN(100,100*(MIN(MAX(City_Inputs!$AF56,Norm_Stats!$F$21),Norm_Stats!$G$21)-Norm_Stats!$F$21)/(Norm_Stats!$G$21-Norm_Stats!$F$21)))))="",0,0.5)+IF((IF(OR(City_Inputs!$AI56="",Norm_Stats!$F$22="",Norm_Stats!$G$22="",Norm_Stats!$G$22=Norm_Stats!$F$22),"",MAX(0,MIN(100,100*(MIN(MAX(City_Inputs!$AI56,Norm_Stats!$F$22),Norm_Stats!$G$22)-Norm_Stats!$F$22)/(Norm_Stats!$G$22-Norm_Stats!$F$22)))))="",0,0.3)+IF((IF(OR(City_Inputs!$AJ56="",Norm_Stats!$F$23="",Norm_Stats!$G$23="",Norm_Stats!$G$23=Norm_Stats!$F$23),"",MAX(0,MIN(100,100*(MIN(MAX(City_Inputs!$AJ56,Norm_Stats!$F$23),Norm_Stats!$G$23)-Norm_Stats!$F$23)/(Norm_Stats!$G$23-Norm_Stats!$F$23)))))="",0,0.2)))</f>
        <v/>
      </c>
      <c r="AZ56" s="14">
        <f>IF((IF((IF(OR(City_Inputs!$AF56="",Norm_Stats!$F$21="",Norm_Stats!$G$21="",Norm_Stats!$G$21=Norm_Stats!$F$21),"",MAX(0,MIN(100,100*(MIN(MAX(City_Inputs!$AF56,Norm_Stats!$F$21),Norm_Stats!$G$21)-Norm_Stats!$F$21)/(Norm_Stats!$G$21-Norm_Stats!$F$21)))))="",0,0.5)+IF((IF(OR(City_Inputs!$AI56="",Norm_Stats!$F$22="",Norm_Stats!$G$22="",Norm_Stats!$G$22=Norm_Stats!$F$22),"",MAX(0,MIN(100,100*(MIN(MAX(City_Inputs!$AI56,Norm_Stats!$F$22),Norm_Stats!$G$22)-Norm_Stats!$F$22)/(Norm_Stats!$G$22-Norm_Stats!$F$22)))))="",0,0.3)+IF((IF(OR(City_Inputs!$AJ56="",Norm_Stats!$F$23="",Norm_Stats!$G$23="",Norm_Stats!$G$23=Norm_Stats!$F$23),"",MAX(0,MIN(100,100*(MIN(MAX(City_Inputs!$AJ56,Norm_Stats!$F$23),Norm_Stats!$G$23)-Norm_Stats!$F$23)/(Norm_Stats!$G$23-Norm_Stats!$F$23)))))="",0,0.2))=0,"",(IF((IF(OR(City_Inputs!$AF56="",Norm_Stats!$F$21="",Norm_Stats!$G$21="",Norm_Stats!$G$21=Norm_Stats!$F$21),"",MAX(0,MIN(100,100*(MIN(MAX(City_Inputs!$AF56,Norm_Stats!$F$21),Norm_Stats!$G$21)-Norm_Stats!$F$21)/(Norm_Stats!$G$21-Norm_Stats!$F$21)))))="",0,0.5)+IF((IF(OR(City_Inputs!$AI56="",Norm_Stats!$F$22="",Norm_Stats!$G$22="",Norm_Stats!$G$22=Norm_Stats!$F$22),"",MAX(0,MIN(100,100*(MIN(MAX(City_Inputs!$AI56,Norm_Stats!$F$22),Norm_Stats!$G$22)-Norm_Stats!$F$22)/(Norm_Stats!$G$22-Norm_Stats!$F$22)))))="",0,0.3)+IF((IF(OR(City_Inputs!$AJ56="",Norm_Stats!$F$23="",Norm_Stats!$G$23="",Norm_Stats!$G$23=Norm_Stats!$F$23),"",MAX(0,MIN(100,100*(MIN(MAX(City_Inputs!$AJ56,Norm_Stats!$F$23),Norm_Stats!$G$23)-Norm_Stats!$F$23)/(Norm_Stats!$G$23-Norm_Stats!$F$23)))))="",0,0.2)))</f>
        <v/>
      </c>
      <c r="BA56" s="11">
        <f>IF(OR(City_Inputs!$AG56="",Norm_Stats!$F$24="",Norm_Stats!$G$24="",Norm_Stats!$G$24=Norm_Stats!$F$24),"",MAX(0,MIN(100,100*(Norm_Stats!$G$24-MIN(MAX(City_Inputs!$AG56,Norm_Stats!$F$24),Norm_Stats!$G$24))/(Norm_Stats!$G$24-Norm_Stats!$F$24))))</f>
        <v/>
      </c>
      <c r="BB56" s="14">
        <f>IF(BA56="","",1)</f>
        <v/>
      </c>
      <c r="BC56" s="15">
        <f>IF((IF(AU56="",0,6)+IF(AW56="",0,5)+IF(AY56="",0,5)+IF(BA56="",0,4))=0,"",(IF(AU56="",0,AU56*6)+IF(AW56="",0,AW56*5)+IF(AY56="",0,AY56*5)+IF(BA56="",0,BA56*4))/(IF(AU56="",0,6)+IF(AW56="",0,5)+IF(AY56="",0,5)+IF(BA56="",0,4)))</f>
        <v/>
      </c>
      <c r="BD56" s="14">
        <f>IF((IF(AV56="",0,6)+IF(AX56="",0,5)+IF(AZ56="",0,5)+IF(BB56="",0,4))=0,"",(IF(AV56="",0,AV56*6)+IF(AX56="",0,AX56*5)+IF(AZ56="",0,AZ56*5)+IF(BB56="",0,BB56*4))/20)</f>
        <v/>
      </c>
      <c r="BE56" s="14">
        <f>IF(AND(R56="",AD56="",AL56="",AT56="",BD56=""),"",((R56*25)+(AD56*22)+(AL56*18)+(AT56*15)+(BD56*20))/100)</f>
        <v/>
      </c>
      <c r="BF56" s="11">
        <f>IF(BE56="","",IF(BE56&gt;=0.75,"A",IF(BE56&gt;=0.5,"B",IF(BE56&gt;=0.35,"C","Watchlist"))))</f>
        <v/>
      </c>
      <c r="BG56" s="11">
        <f>IF(OR(BE56="",BE56&lt;0.5,R56="",R56&lt;0.35,AD56="",AD56&lt;0.35,AL56="",AL56&lt;0.35,AT56="",AT56&lt;0.35,BD56="",BD56&lt;0.35),"Watchlist","Ranked")</f>
        <v/>
      </c>
      <c r="BH56" s="15">
        <f>IF(AND(Q56="",AC56="",AK56="",AS56="",BC56=""),"",(IF(Q56="",0,Q56*25)+IF(AC56="",0,AC56*22)+IF(AK56="",0,AK56*18)+IF(AS56="",0,AS56*15)+IF(BC56="",0,BC56*20))/(IF(Q56="",0,25)+IF(AC56="",0,22)+IF(AK56="",0,18)+IF(AS56="",0,15)+IF(BC56="",0,20)))</f>
        <v/>
      </c>
      <c r="BI56" s="11">
        <f>IF(BG56="Ranked",1+COUNTIFS($BG$2:$BG$103,"Ranked",$BH$2:$BH$103,"&gt;"&amp;BH56),"")</f>
        <v/>
      </c>
      <c r="BJ56" s="11">
        <f>City_Inputs!$AH56</f>
        <v/>
      </c>
    </row>
    <row r="57">
      <c r="A57" t="inlineStr">
        <is>
          <t>pa-panama-city</t>
        </is>
      </c>
      <c r="B57" t="inlineStr">
        <is>
          <t>Panama City</t>
        </is>
      </c>
      <c r="C57" t="inlineStr">
        <is>
          <t>Panama</t>
        </is>
      </c>
      <c r="D57" t="inlineStr">
        <is>
          <t>North America</t>
        </is>
      </c>
      <c r="E57" t="inlineStr">
        <is>
          <t>locked</t>
        </is>
      </c>
      <c r="F57" t="inlineStr">
        <is>
          <t>primary</t>
        </is>
      </c>
      <c r="G57" s="11">
        <f>IF(OR(City_Inputs!$M57="",Norm_Stats!$F$2="",Norm_Stats!$G$2="",Norm_Stats!$G$2=Norm_Stats!$F$2),"",MAX(0,MIN(100,100*(MIN(MAX(City_Inputs!$M57,Norm_Stats!$F$2),Norm_Stats!$G$2)-Norm_Stats!$F$2)/(Norm_Stats!$G$2-Norm_Stats!$F$2))))</f>
        <v/>
      </c>
      <c r="H57" s="14">
        <f>IF(G57="","",1)</f>
        <v/>
      </c>
      <c r="I57" s="11">
        <f>IF(OR(City_Inputs!$N57="",Norm_Stats!$F$3="",Norm_Stats!$G$3="",Norm_Stats!$G$3=Norm_Stats!$F$3),"",MAX(0,MIN(100,100*(Norm_Stats!$G$3-MIN(MAX(City_Inputs!$N57,Norm_Stats!$F$3),Norm_Stats!$G$3))/(Norm_Stats!$G$3-Norm_Stats!$F$3))))</f>
        <v/>
      </c>
      <c r="J57" s="14">
        <f>IF(I57="","",1)</f>
        <v/>
      </c>
      <c r="K57" s="11">
        <f>IF(OR(City_Inputs!$P57="",Norm_Stats!$F$4="",Norm_Stats!$G$4="",Norm_Stats!$G$4=Norm_Stats!$F$4),"",MAX(0,MIN(100,100*(Norm_Stats!$G$4-MIN(MAX(City_Inputs!$P57,Norm_Stats!$F$4),Norm_Stats!$G$4))/(Norm_Stats!$G$4-Norm_Stats!$F$4))))</f>
        <v/>
      </c>
      <c r="L57" s="14">
        <f>IF(K57="","",1)</f>
        <v/>
      </c>
      <c r="M57" s="11">
        <f>IF(OR(City_Inputs!$Q57="",Norm_Stats!$F$5="",Norm_Stats!$G$5="",Norm_Stats!$G$5=Norm_Stats!$F$5),"",MAX(0,MIN(100,100*(Norm_Stats!$G$5-MIN(MAX(City_Inputs!$Q57,Norm_Stats!$F$5),Norm_Stats!$G$5))/(Norm_Stats!$G$5-Norm_Stats!$F$5))))</f>
        <v/>
      </c>
      <c r="N57" s="14">
        <f>IF(M57="","",1)</f>
        <v/>
      </c>
      <c r="O57" s="11">
        <f>IF(OR(City_Inputs!$R57="",Norm_Stats!$F$6="",Norm_Stats!$G$6="",Norm_Stats!$G$6=Norm_Stats!$F$6),"",MAX(0,MIN(100,100*(Norm_Stats!$G$6-MIN(MAX(City_Inputs!$R57,Norm_Stats!$F$6),Norm_Stats!$G$6))/(Norm_Stats!$G$6-Norm_Stats!$F$6))))</f>
        <v/>
      </c>
      <c r="P57" s="14">
        <f>IF(O57="","",1)</f>
        <v/>
      </c>
      <c r="Q57" s="15">
        <f>IF((IF(G57="",0,9)+IF(I57="",0,5)+IF(K57="",0,4)+IF(M57="",0,4)+IF(O57="",0,3))=0,"",(IF(G57="",0,G57*9)+IF(I57="",0,I57*5)+IF(K57="",0,K57*4)+IF(M57="",0,M57*4)+IF(O57="",0,O57*3))/(IF(G57="",0,9)+IF(I57="",0,5)+IF(K57="",0,4)+IF(M57="",0,4)+IF(O57="",0,3)))</f>
        <v/>
      </c>
      <c r="R57" s="14">
        <f>IF((IF(H57="",0,9)+IF(J57="",0,5)+IF(L57="",0,4)+IF(N57="",0,4)+IF(P57="",0,3))=0,"",(IF(H57="",0,H57*9)+IF(J57="",0,J57*5)+IF(L57="",0,L57*4)+IF(N57="",0,N57*4)+IF(P57="",0,P57*3))/25)</f>
        <v/>
      </c>
      <c r="S57" s="11">
        <f>IF(OR(City_Inputs!$S57="",Norm_Stats!$F$7="",Norm_Stats!$G$7="",Norm_Stats!$G$7=Norm_Stats!$F$7),"",MAX(0,MIN(100,100*(Norm_Stats!$G$7-MIN(MAX(City_Inputs!$S57,Norm_Stats!$F$7),Norm_Stats!$G$7))/(Norm_Stats!$G$7-Norm_Stats!$F$7))))</f>
        <v/>
      </c>
      <c r="T57" s="14">
        <f>IF(S57="","",1)</f>
        <v/>
      </c>
      <c r="U57" s="11">
        <f>IF(OR(City_Inputs!$T57="",Norm_Stats!$F$8="",Norm_Stats!$G$8="",Norm_Stats!$G$8=Norm_Stats!$F$8),"",MAX(0,MIN(100,100*(MIN(MAX(City_Inputs!$T57,Norm_Stats!$F$8),Norm_Stats!$G$8)-Norm_Stats!$F$8)/(Norm_Stats!$G$8-Norm_Stats!$F$8))))</f>
        <v/>
      </c>
      <c r="V57" s="14">
        <f>IF(U57="","",1)</f>
        <v/>
      </c>
      <c r="W57" s="11">
        <f>IF(OR(City_Inputs!$U57="",Norm_Stats!$F$9="",Norm_Stats!$G$9="",Norm_Stats!$G$9=Norm_Stats!$F$9),"",MAX(0,MIN(100,100*(Norm_Stats!$G$9-MIN(MAX(City_Inputs!$U57,Norm_Stats!$F$9),Norm_Stats!$G$9))/(Norm_Stats!$G$9-Norm_Stats!$F$9))))</f>
        <v/>
      </c>
      <c r="X57" s="14">
        <f>IF(W57="","",1)</f>
        <v/>
      </c>
      <c r="Y57" s="11">
        <f>IF(OR(City_Inputs!$V57="",Norm_Stats!$F$10="",Norm_Stats!$G$10="",Norm_Stats!$G$10=Norm_Stats!$F$10),"",MAX(0,MIN(100,100*(MIN(MAX(City_Inputs!$V57,Norm_Stats!$F$10),Norm_Stats!$G$10)-Norm_Stats!$F$10)/(Norm_Stats!$G$10-Norm_Stats!$F$10))))</f>
        <v/>
      </c>
      <c r="Z57" s="14">
        <f>IF(Y57="","",1)</f>
        <v/>
      </c>
      <c r="AA57" s="11">
        <f>IF(OR(City_Inputs!$W57="",Norm_Stats!$F$11="",Norm_Stats!$G$11="",Norm_Stats!$G$11=Norm_Stats!$F$11),"",MAX(0,MIN(100,100*(MIN(MAX(City_Inputs!$W57,Norm_Stats!$F$11),Norm_Stats!$G$11)-Norm_Stats!$F$11)/(Norm_Stats!$G$11-Norm_Stats!$F$11))))</f>
        <v/>
      </c>
      <c r="AB57" s="14">
        <f>IF(AA57="","",1)</f>
        <v/>
      </c>
      <c r="AC57" s="15">
        <f>IF((IF(S57="",0,5)+IF(U57="",0,5)+IF(W57="",0,4)+IF(Y57="",0,4)+IF(AA57="",0,4))=0,"",(IF(S57="",0,S57*5)+IF(U57="",0,U57*5)+IF(W57="",0,W57*4)+IF(Y57="",0,Y57*4)+IF(AA57="",0,AA57*4))/(IF(S57="",0,5)+IF(U57="",0,5)+IF(W57="",0,4)+IF(Y57="",0,4)+IF(AA57="",0,4)))</f>
        <v/>
      </c>
      <c r="AD57" s="14">
        <f>IF((IF(T57="",0,5)+IF(V57="",0,5)+IF(X57="",0,4)+IF(Z57="",0,4)+IF(AB57="",0,4))=0,"",(IF(T57="",0,T57*5)+IF(V57="",0,V57*5)+IF(X57="",0,X57*4)+IF(Z57="",0,Z57*4)+IF(AB57="",0,AB57*4))/22)</f>
        <v/>
      </c>
      <c r="AE57" s="11">
        <f>IF(OR(City_Inputs!$X57="",Norm_Stats!$F$12="",Norm_Stats!$G$12="",Norm_Stats!$G$12=Norm_Stats!$F$12),"",MAX(0,MIN(100,100*(MIN(MAX(City_Inputs!$X57,Norm_Stats!$F$12),Norm_Stats!$G$12)-Norm_Stats!$F$12)/(Norm_Stats!$G$12-Norm_Stats!$F$12))))</f>
        <v/>
      </c>
      <c r="AF57" s="14">
        <f>IF(AE57="","",1)</f>
        <v/>
      </c>
      <c r="AG57" s="11">
        <f>IF(OR(City_Inputs!$Y57="",Norm_Stats!$F$13="",Norm_Stats!$G$13="",Norm_Stats!$G$13=Norm_Stats!$F$13),"",MAX(0,MIN(100,100*(MIN(MAX(City_Inputs!$Y57,Norm_Stats!$F$13),Norm_Stats!$G$13)-Norm_Stats!$F$13)/(Norm_Stats!$G$13-Norm_Stats!$F$13))))</f>
        <v/>
      </c>
      <c r="AH57" s="14">
        <f>IF(AG57="","",1)</f>
        <v/>
      </c>
      <c r="AI57" s="11">
        <f>IF((IF((IF(OR(City_Inputs!$Z57="",Norm_Stats!$F$14="",Norm_Stats!$G$14="",Norm_Stats!$G$14=Norm_Stats!$F$14),"",MAX(0,MIN(100,100*(MIN(MAX(City_Inputs!$Z57,Norm_Stats!$F$14),Norm_Stats!$G$14)-Norm_Stats!$F$14)/(Norm_Stats!$G$14-Norm_Stats!$F$14)))))="",0,0.7)+IF((IF(OR(City_Inputs!$AK57="",Norm_Stats!$F$15="",Norm_Stats!$G$15="",Norm_Stats!$G$15=Norm_Stats!$F$15),"",MAX(0,MIN(100,100*(Norm_Stats!$G$15-MIN(MAX(City_Inputs!$AK57,Norm_Stats!$F$15),Norm_Stats!$G$15))/(Norm_Stats!$G$15-Norm_Stats!$F$15)))))="",0,0.3))=0,"",(IF((IF(OR(City_Inputs!$Z57="",Norm_Stats!$F$14="",Norm_Stats!$G$14="",Norm_Stats!$G$14=Norm_Stats!$F$14),"",MAX(0,MIN(100,100*(MIN(MAX(City_Inputs!$Z57,Norm_Stats!$F$14),Norm_Stats!$G$14)-Norm_Stats!$F$14)/(Norm_Stats!$G$14-Norm_Stats!$F$14)))))="",0,(IF(OR(City_Inputs!$Z57="",Norm_Stats!$F$14="",Norm_Stats!$G$14="",Norm_Stats!$G$14=Norm_Stats!$F$14),"",MAX(0,MIN(100,100*(MIN(MAX(City_Inputs!$Z57,Norm_Stats!$F$14),Norm_Stats!$G$14)-Norm_Stats!$F$14)/(Norm_Stats!$G$14-Norm_Stats!$F$14)))))*0.7)+IF((IF(OR(City_Inputs!$AK57="",Norm_Stats!$F$15="",Norm_Stats!$G$15="",Norm_Stats!$G$15=Norm_Stats!$F$15),"",MAX(0,MIN(100,100*(Norm_Stats!$G$15-MIN(MAX(City_Inputs!$AK57,Norm_Stats!$F$15),Norm_Stats!$G$15))/(Norm_Stats!$G$15-Norm_Stats!$F$15)))))="",0,(IF(OR(City_Inputs!$AK57="",Norm_Stats!$F$15="",Norm_Stats!$G$15="",Norm_Stats!$G$15=Norm_Stats!$F$15),"",MAX(0,MIN(100,100*(Norm_Stats!$G$15-MIN(MAX(City_Inputs!$AK57,Norm_Stats!$F$15),Norm_Stats!$G$15))/(Norm_Stats!$G$15-Norm_Stats!$F$15)))))*0.3))/(IF((IF(OR(City_Inputs!$Z57="",Norm_Stats!$F$14="",Norm_Stats!$G$14="",Norm_Stats!$G$14=Norm_Stats!$F$14),"",MAX(0,MIN(100,100*(MIN(MAX(City_Inputs!$Z57,Norm_Stats!$F$14),Norm_Stats!$G$14)-Norm_Stats!$F$14)/(Norm_Stats!$G$14-Norm_Stats!$F$14)))))="",0,0.7)+IF((IF(OR(City_Inputs!$AK57="",Norm_Stats!$F$15="",Norm_Stats!$G$15="",Norm_Stats!$G$15=Norm_Stats!$F$15),"",MAX(0,MIN(100,100*(Norm_Stats!$G$15-MIN(MAX(City_Inputs!$AK57,Norm_Stats!$F$15),Norm_Stats!$G$15))/(Norm_Stats!$G$15-Norm_Stats!$F$15)))))="",0,0.3)))</f>
        <v/>
      </c>
      <c r="AJ57" s="14">
        <f>IF((IF((IF(OR(City_Inputs!$Z57="",Norm_Stats!$F$14="",Norm_Stats!$G$14="",Norm_Stats!$G$14=Norm_Stats!$F$14),"",MAX(0,MIN(100,100*(MIN(MAX(City_Inputs!$Z57,Norm_Stats!$F$14),Norm_Stats!$G$14)-Norm_Stats!$F$14)/(Norm_Stats!$G$14-Norm_Stats!$F$14)))))="",0,0.7)+IF((IF(OR(City_Inputs!$AK57="",Norm_Stats!$F$15="",Norm_Stats!$G$15="",Norm_Stats!$G$15=Norm_Stats!$F$15),"",MAX(0,MIN(100,100*(Norm_Stats!$G$15-MIN(MAX(City_Inputs!$AK57,Norm_Stats!$F$15),Norm_Stats!$G$15))/(Norm_Stats!$G$15-Norm_Stats!$F$15)))))="",0,0.3))=0,"",(IF((IF(OR(City_Inputs!$Z57="",Norm_Stats!$F$14="",Norm_Stats!$G$14="",Norm_Stats!$G$14=Norm_Stats!$F$14),"",MAX(0,MIN(100,100*(MIN(MAX(City_Inputs!$Z57,Norm_Stats!$F$14),Norm_Stats!$G$14)-Norm_Stats!$F$14)/(Norm_Stats!$G$14-Norm_Stats!$F$14)))))="",0,0.7)+IF((IF(OR(City_Inputs!$AK57="",Norm_Stats!$F$15="",Norm_Stats!$G$15="",Norm_Stats!$G$15=Norm_Stats!$F$15),"",MAX(0,MIN(100,100*(Norm_Stats!$G$15-MIN(MAX(City_Inputs!$AK57,Norm_Stats!$F$15),Norm_Stats!$G$15))/(Norm_Stats!$G$15-Norm_Stats!$F$15)))))="",0,0.3)))</f>
        <v/>
      </c>
      <c r="AK57" s="15">
        <f>IF((IF(AE57="",0,8)+IF(AG57="",0,6)+IF(AI57="",0,4))=0,"",(IF(AE57="",0,AE57*8)+IF(AG57="",0,AG57*6)+IF(AI57="",0,AI57*4))/(IF(AE57="",0,8)+IF(AG57="",0,6)+IF(AI57="",0,4)))</f>
        <v/>
      </c>
      <c r="AL57" s="14">
        <f>IF((IF(AF57="",0,8)+IF(AH57="",0,6)+IF(AJ57="",0,4))=0,"",(IF(AF57="",0,AF57*8)+IF(AH57="",0,AH57*6)+IF(AJ57="",0,AJ57*4))/18)</f>
        <v/>
      </c>
      <c r="AM57" s="11">
        <f>IF(OR(City_Inputs!$AA57="",Norm_Stats!$F$16="",Norm_Stats!$G$16="",Norm_Stats!$G$16=Norm_Stats!$F$16),"",MAX(0,MIN(100,100*(MIN(MAX(City_Inputs!$AA57,Norm_Stats!$F$16),Norm_Stats!$G$16)-Norm_Stats!$F$16)/(Norm_Stats!$G$16-Norm_Stats!$F$16))))</f>
        <v/>
      </c>
      <c r="AN57" s="14">
        <f>IF(AM57="","",1)</f>
        <v/>
      </c>
      <c r="AO57" s="11">
        <f>IF(OR(City_Inputs!$AB57="",Norm_Stats!$F$17="",Norm_Stats!$G$17="",Norm_Stats!$G$17=Norm_Stats!$F$17),"",MAX(0,MIN(100,100*(MIN(MAX(City_Inputs!$AB57,Norm_Stats!$F$17),Norm_Stats!$G$17)-Norm_Stats!$F$17)/(Norm_Stats!$G$17-Norm_Stats!$F$17))))</f>
        <v/>
      </c>
      <c r="AP57" s="14">
        <f>IF(AO57="","",1)</f>
        <v/>
      </c>
      <c r="AQ57" s="11">
        <f>IF(OR(City_Inputs!$AC57="",Norm_Stats!$F$18="",Norm_Stats!$G$18="",Norm_Stats!$G$18=Norm_Stats!$F$18),"",MAX(0,MIN(100,100*(MIN(MAX(City_Inputs!$AC57,Norm_Stats!$F$18),Norm_Stats!$G$18)-Norm_Stats!$F$18)/(Norm_Stats!$G$18-Norm_Stats!$F$18))))</f>
        <v/>
      </c>
      <c r="AR57" s="14">
        <f>IF(AQ57="","",1)</f>
        <v/>
      </c>
      <c r="AS57" s="15">
        <f>IF((IF(AM57="",0,5)+IF(AO57="",0,5)+IF(AQ57="",0,5))=0,"",(IF(AM57="",0,AM57*5)+IF(AO57="",0,AO57*5)+IF(AQ57="",0,AQ57*5))/(IF(AM57="",0,5)+IF(AO57="",0,5)+IF(AQ57="",0,5)))</f>
        <v/>
      </c>
      <c r="AT57" s="14">
        <f>IF((IF(AN57="",0,5)+IF(AP57="",0,5)+IF(AR57="",0,5))=0,"",(IF(AN57="",0,AN57*5)+IF(AP57="",0,AP57*5)+IF(AR57="",0,AR57*5))/15)</f>
        <v/>
      </c>
      <c r="AU57" s="11">
        <f>IF(OR(City_Inputs!$AD57="",Norm_Stats!$F$19="",Norm_Stats!$G$19="",Norm_Stats!$G$19=Norm_Stats!$F$19),"",MAX(0,MIN(100,100*(MIN(MAX(City_Inputs!$AD57,Norm_Stats!$F$19),Norm_Stats!$G$19)-Norm_Stats!$F$19)/(Norm_Stats!$G$19-Norm_Stats!$F$19))))</f>
        <v/>
      </c>
      <c r="AV57" s="14">
        <f>IF(AU57="","",1)</f>
        <v/>
      </c>
      <c r="AW57" s="11">
        <f>IF(OR(City_Inputs!$AE57="",Norm_Stats!$F$20="",Norm_Stats!$G$20="",Norm_Stats!$G$20=Norm_Stats!$F$20),"",MAX(0,MIN(100,100*(MIN(MAX(City_Inputs!$AE57,Norm_Stats!$F$20),Norm_Stats!$G$20)-Norm_Stats!$F$20)/(Norm_Stats!$G$20-Norm_Stats!$F$20))))</f>
        <v/>
      </c>
      <c r="AX57" s="14">
        <f>IF(AW57="","",1)</f>
        <v/>
      </c>
      <c r="AY57" s="11">
        <f>IF((IF((IF(OR(City_Inputs!$AF57="",Norm_Stats!$F$21="",Norm_Stats!$G$21="",Norm_Stats!$G$21=Norm_Stats!$F$21),"",MAX(0,MIN(100,100*(MIN(MAX(City_Inputs!$AF57,Norm_Stats!$F$21),Norm_Stats!$G$21)-Norm_Stats!$F$21)/(Norm_Stats!$G$21-Norm_Stats!$F$21)))))="",0,0.5)+IF((IF(OR(City_Inputs!$AI57="",Norm_Stats!$F$22="",Norm_Stats!$G$22="",Norm_Stats!$G$22=Norm_Stats!$F$22),"",MAX(0,MIN(100,100*(MIN(MAX(City_Inputs!$AI57,Norm_Stats!$F$22),Norm_Stats!$G$22)-Norm_Stats!$F$22)/(Norm_Stats!$G$22-Norm_Stats!$F$22)))))="",0,0.3)+IF((IF(OR(City_Inputs!$AJ57="",Norm_Stats!$F$23="",Norm_Stats!$G$23="",Norm_Stats!$G$23=Norm_Stats!$F$23),"",MAX(0,MIN(100,100*(MIN(MAX(City_Inputs!$AJ57,Norm_Stats!$F$23),Norm_Stats!$G$23)-Norm_Stats!$F$23)/(Norm_Stats!$G$23-Norm_Stats!$F$23)))))="",0,0.2))=0,"",(IF((IF(OR(City_Inputs!$AF57="",Norm_Stats!$F$21="",Norm_Stats!$G$21="",Norm_Stats!$G$21=Norm_Stats!$F$21),"",MAX(0,MIN(100,100*(MIN(MAX(City_Inputs!$AF57,Norm_Stats!$F$21),Norm_Stats!$G$21)-Norm_Stats!$F$21)/(Norm_Stats!$G$21-Norm_Stats!$F$21)))))="",0,(IF(OR(City_Inputs!$AF57="",Norm_Stats!$F$21="",Norm_Stats!$G$21="",Norm_Stats!$G$21=Norm_Stats!$F$21),"",MAX(0,MIN(100,100*(MIN(MAX(City_Inputs!$AF57,Norm_Stats!$F$21),Norm_Stats!$G$21)-Norm_Stats!$F$21)/(Norm_Stats!$G$21-Norm_Stats!$F$21)))))*0.5)+IF((IF(OR(City_Inputs!$AI57="",Norm_Stats!$F$22="",Norm_Stats!$G$22="",Norm_Stats!$G$22=Norm_Stats!$F$22),"",MAX(0,MIN(100,100*(MIN(MAX(City_Inputs!$AI57,Norm_Stats!$F$22),Norm_Stats!$G$22)-Norm_Stats!$F$22)/(Norm_Stats!$G$22-Norm_Stats!$F$22)))))="",0,(IF(OR(City_Inputs!$AI57="",Norm_Stats!$F$22="",Norm_Stats!$G$22="",Norm_Stats!$G$22=Norm_Stats!$F$22),"",MAX(0,MIN(100,100*(MIN(MAX(City_Inputs!$AI57,Norm_Stats!$F$22),Norm_Stats!$G$22)-Norm_Stats!$F$22)/(Norm_Stats!$G$22-Norm_Stats!$F$22)))))*0.3)+IF((IF(OR(City_Inputs!$AJ57="",Norm_Stats!$F$23="",Norm_Stats!$G$23="",Norm_Stats!$G$23=Norm_Stats!$F$23),"",MAX(0,MIN(100,100*(MIN(MAX(City_Inputs!$AJ57,Norm_Stats!$F$23),Norm_Stats!$G$23)-Norm_Stats!$F$23)/(Norm_Stats!$G$23-Norm_Stats!$F$23)))))="",0,(IF(OR(City_Inputs!$AJ57="",Norm_Stats!$F$23="",Norm_Stats!$G$23="",Norm_Stats!$G$23=Norm_Stats!$F$23),"",MAX(0,MIN(100,100*(MIN(MAX(City_Inputs!$AJ57,Norm_Stats!$F$23),Norm_Stats!$G$23)-Norm_Stats!$F$23)/(Norm_Stats!$G$23-Norm_Stats!$F$23)))))*0.2))/(IF((IF(OR(City_Inputs!$AF57="",Norm_Stats!$F$21="",Norm_Stats!$G$21="",Norm_Stats!$G$21=Norm_Stats!$F$21),"",MAX(0,MIN(100,100*(MIN(MAX(City_Inputs!$AF57,Norm_Stats!$F$21),Norm_Stats!$G$21)-Norm_Stats!$F$21)/(Norm_Stats!$G$21-Norm_Stats!$F$21)))))="",0,0.5)+IF((IF(OR(City_Inputs!$AI57="",Norm_Stats!$F$22="",Norm_Stats!$G$22="",Norm_Stats!$G$22=Norm_Stats!$F$22),"",MAX(0,MIN(100,100*(MIN(MAX(City_Inputs!$AI57,Norm_Stats!$F$22),Norm_Stats!$G$22)-Norm_Stats!$F$22)/(Norm_Stats!$G$22-Norm_Stats!$F$22)))))="",0,0.3)+IF((IF(OR(City_Inputs!$AJ57="",Norm_Stats!$F$23="",Norm_Stats!$G$23="",Norm_Stats!$G$23=Norm_Stats!$F$23),"",MAX(0,MIN(100,100*(MIN(MAX(City_Inputs!$AJ57,Norm_Stats!$F$23),Norm_Stats!$G$23)-Norm_Stats!$F$23)/(Norm_Stats!$G$23-Norm_Stats!$F$23)))))="",0,0.2)))</f>
        <v/>
      </c>
      <c r="AZ57" s="14">
        <f>IF((IF((IF(OR(City_Inputs!$AF57="",Norm_Stats!$F$21="",Norm_Stats!$G$21="",Norm_Stats!$G$21=Norm_Stats!$F$21),"",MAX(0,MIN(100,100*(MIN(MAX(City_Inputs!$AF57,Norm_Stats!$F$21),Norm_Stats!$G$21)-Norm_Stats!$F$21)/(Norm_Stats!$G$21-Norm_Stats!$F$21)))))="",0,0.5)+IF((IF(OR(City_Inputs!$AI57="",Norm_Stats!$F$22="",Norm_Stats!$G$22="",Norm_Stats!$G$22=Norm_Stats!$F$22),"",MAX(0,MIN(100,100*(MIN(MAX(City_Inputs!$AI57,Norm_Stats!$F$22),Norm_Stats!$G$22)-Norm_Stats!$F$22)/(Norm_Stats!$G$22-Norm_Stats!$F$22)))))="",0,0.3)+IF((IF(OR(City_Inputs!$AJ57="",Norm_Stats!$F$23="",Norm_Stats!$G$23="",Norm_Stats!$G$23=Norm_Stats!$F$23),"",MAX(0,MIN(100,100*(MIN(MAX(City_Inputs!$AJ57,Norm_Stats!$F$23),Norm_Stats!$G$23)-Norm_Stats!$F$23)/(Norm_Stats!$G$23-Norm_Stats!$F$23)))))="",0,0.2))=0,"",(IF((IF(OR(City_Inputs!$AF57="",Norm_Stats!$F$21="",Norm_Stats!$G$21="",Norm_Stats!$G$21=Norm_Stats!$F$21),"",MAX(0,MIN(100,100*(MIN(MAX(City_Inputs!$AF57,Norm_Stats!$F$21),Norm_Stats!$G$21)-Norm_Stats!$F$21)/(Norm_Stats!$G$21-Norm_Stats!$F$21)))))="",0,0.5)+IF((IF(OR(City_Inputs!$AI57="",Norm_Stats!$F$22="",Norm_Stats!$G$22="",Norm_Stats!$G$22=Norm_Stats!$F$22),"",MAX(0,MIN(100,100*(MIN(MAX(City_Inputs!$AI57,Norm_Stats!$F$22),Norm_Stats!$G$22)-Norm_Stats!$F$22)/(Norm_Stats!$G$22-Norm_Stats!$F$22)))))="",0,0.3)+IF((IF(OR(City_Inputs!$AJ57="",Norm_Stats!$F$23="",Norm_Stats!$G$23="",Norm_Stats!$G$23=Norm_Stats!$F$23),"",MAX(0,MIN(100,100*(MIN(MAX(City_Inputs!$AJ57,Norm_Stats!$F$23),Norm_Stats!$G$23)-Norm_Stats!$F$23)/(Norm_Stats!$G$23-Norm_Stats!$F$23)))))="",0,0.2)))</f>
        <v/>
      </c>
      <c r="BA57" s="11">
        <f>IF(OR(City_Inputs!$AG57="",Norm_Stats!$F$24="",Norm_Stats!$G$24="",Norm_Stats!$G$24=Norm_Stats!$F$24),"",MAX(0,MIN(100,100*(Norm_Stats!$G$24-MIN(MAX(City_Inputs!$AG57,Norm_Stats!$F$24),Norm_Stats!$G$24))/(Norm_Stats!$G$24-Norm_Stats!$F$24))))</f>
        <v/>
      </c>
      <c r="BB57" s="14">
        <f>IF(BA57="","",1)</f>
        <v/>
      </c>
      <c r="BC57" s="15">
        <f>IF((IF(AU57="",0,6)+IF(AW57="",0,5)+IF(AY57="",0,5)+IF(BA57="",0,4))=0,"",(IF(AU57="",0,AU57*6)+IF(AW57="",0,AW57*5)+IF(AY57="",0,AY57*5)+IF(BA57="",0,BA57*4))/(IF(AU57="",0,6)+IF(AW57="",0,5)+IF(AY57="",0,5)+IF(BA57="",0,4)))</f>
        <v/>
      </c>
      <c r="BD57" s="14">
        <f>IF((IF(AV57="",0,6)+IF(AX57="",0,5)+IF(AZ57="",0,5)+IF(BB57="",0,4))=0,"",(IF(AV57="",0,AV57*6)+IF(AX57="",0,AX57*5)+IF(AZ57="",0,AZ57*5)+IF(BB57="",0,BB57*4))/20)</f>
        <v/>
      </c>
      <c r="BE57" s="14">
        <f>IF(AND(R57="",AD57="",AL57="",AT57="",BD57=""),"",((R57*25)+(AD57*22)+(AL57*18)+(AT57*15)+(BD57*20))/100)</f>
        <v/>
      </c>
      <c r="BF57" s="11">
        <f>IF(BE57="","",IF(BE57&gt;=0.75,"A",IF(BE57&gt;=0.5,"B",IF(BE57&gt;=0.35,"C","Watchlist"))))</f>
        <v/>
      </c>
      <c r="BG57" s="11">
        <f>IF(OR(BE57="",BE57&lt;0.5,R57="",R57&lt;0.35,AD57="",AD57&lt;0.35,AL57="",AL57&lt;0.35,AT57="",AT57&lt;0.35,BD57="",BD57&lt;0.35),"Watchlist","Ranked")</f>
        <v/>
      </c>
      <c r="BH57" s="15">
        <f>IF(AND(Q57="",AC57="",AK57="",AS57="",BC57=""),"",(IF(Q57="",0,Q57*25)+IF(AC57="",0,AC57*22)+IF(AK57="",0,AK57*18)+IF(AS57="",0,AS57*15)+IF(BC57="",0,BC57*20))/(IF(Q57="",0,25)+IF(AC57="",0,22)+IF(AK57="",0,18)+IF(AS57="",0,15)+IF(BC57="",0,20)))</f>
        <v/>
      </c>
      <c r="BI57" s="11">
        <f>IF(BG57="Ranked",1+COUNTIFS($BG$2:$BG$103,"Ranked",$BH$2:$BH$103,"&gt;"&amp;BH57),"")</f>
        <v/>
      </c>
      <c r="BJ57" s="11">
        <f>City_Inputs!$AH57</f>
        <v/>
      </c>
    </row>
    <row r="58">
      <c r="A58" t="inlineStr">
        <is>
          <t>cr-san-jose</t>
        </is>
      </c>
      <c r="B58" t="inlineStr">
        <is>
          <t>San Jose</t>
        </is>
      </c>
      <c r="C58" t="inlineStr">
        <is>
          <t>Costa Rica</t>
        </is>
      </c>
      <c r="D58" t="inlineStr">
        <is>
          <t>North America</t>
        </is>
      </c>
      <c r="E58" t="inlineStr">
        <is>
          <t>locked</t>
        </is>
      </c>
      <c r="F58" t="inlineStr">
        <is>
          <t>primary</t>
        </is>
      </c>
      <c r="G58" s="11">
        <f>IF(OR(City_Inputs!$M58="",Norm_Stats!$F$2="",Norm_Stats!$G$2="",Norm_Stats!$G$2=Norm_Stats!$F$2),"",MAX(0,MIN(100,100*(MIN(MAX(City_Inputs!$M58,Norm_Stats!$F$2),Norm_Stats!$G$2)-Norm_Stats!$F$2)/(Norm_Stats!$G$2-Norm_Stats!$F$2))))</f>
        <v/>
      </c>
      <c r="H58" s="14">
        <f>IF(G58="","",1)</f>
        <v/>
      </c>
      <c r="I58" s="11">
        <f>IF(OR(City_Inputs!$N58="",Norm_Stats!$F$3="",Norm_Stats!$G$3="",Norm_Stats!$G$3=Norm_Stats!$F$3),"",MAX(0,MIN(100,100*(Norm_Stats!$G$3-MIN(MAX(City_Inputs!$N58,Norm_Stats!$F$3),Norm_Stats!$G$3))/(Norm_Stats!$G$3-Norm_Stats!$F$3))))</f>
        <v/>
      </c>
      <c r="J58" s="14">
        <f>IF(I58="","",1)</f>
        <v/>
      </c>
      <c r="K58" s="11">
        <f>IF(OR(City_Inputs!$P58="",Norm_Stats!$F$4="",Norm_Stats!$G$4="",Norm_Stats!$G$4=Norm_Stats!$F$4),"",MAX(0,MIN(100,100*(Norm_Stats!$G$4-MIN(MAX(City_Inputs!$P58,Norm_Stats!$F$4),Norm_Stats!$G$4))/(Norm_Stats!$G$4-Norm_Stats!$F$4))))</f>
        <v/>
      </c>
      <c r="L58" s="14">
        <f>IF(K58="","",1)</f>
        <v/>
      </c>
      <c r="M58" s="11">
        <f>IF(OR(City_Inputs!$Q58="",Norm_Stats!$F$5="",Norm_Stats!$G$5="",Norm_Stats!$G$5=Norm_Stats!$F$5),"",MAX(0,MIN(100,100*(Norm_Stats!$G$5-MIN(MAX(City_Inputs!$Q58,Norm_Stats!$F$5),Norm_Stats!$G$5))/(Norm_Stats!$G$5-Norm_Stats!$F$5))))</f>
        <v/>
      </c>
      <c r="N58" s="14">
        <f>IF(M58="","",1)</f>
        <v/>
      </c>
      <c r="O58" s="11">
        <f>IF(OR(City_Inputs!$R58="",Norm_Stats!$F$6="",Norm_Stats!$G$6="",Norm_Stats!$G$6=Norm_Stats!$F$6),"",MAX(0,MIN(100,100*(Norm_Stats!$G$6-MIN(MAX(City_Inputs!$R58,Norm_Stats!$F$6),Norm_Stats!$G$6))/(Norm_Stats!$G$6-Norm_Stats!$F$6))))</f>
        <v/>
      </c>
      <c r="P58" s="14">
        <f>IF(O58="","",1)</f>
        <v/>
      </c>
      <c r="Q58" s="15">
        <f>IF((IF(G58="",0,9)+IF(I58="",0,5)+IF(K58="",0,4)+IF(M58="",0,4)+IF(O58="",0,3))=0,"",(IF(G58="",0,G58*9)+IF(I58="",0,I58*5)+IF(K58="",0,K58*4)+IF(M58="",0,M58*4)+IF(O58="",0,O58*3))/(IF(G58="",0,9)+IF(I58="",0,5)+IF(K58="",0,4)+IF(M58="",0,4)+IF(O58="",0,3)))</f>
        <v/>
      </c>
      <c r="R58" s="14">
        <f>IF((IF(H58="",0,9)+IF(J58="",0,5)+IF(L58="",0,4)+IF(N58="",0,4)+IF(P58="",0,3))=0,"",(IF(H58="",0,H58*9)+IF(J58="",0,J58*5)+IF(L58="",0,L58*4)+IF(N58="",0,N58*4)+IF(P58="",0,P58*3))/25)</f>
        <v/>
      </c>
      <c r="S58" s="11">
        <f>IF(OR(City_Inputs!$S58="",Norm_Stats!$F$7="",Norm_Stats!$G$7="",Norm_Stats!$G$7=Norm_Stats!$F$7),"",MAX(0,MIN(100,100*(Norm_Stats!$G$7-MIN(MAX(City_Inputs!$S58,Norm_Stats!$F$7),Norm_Stats!$G$7))/(Norm_Stats!$G$7-Norm_Stats!$F$7))))</f>
        <v/>
      </c>
      <c r="T58" s="14">
        <f>IF(S58="","",1)</f>
        <v/>
      </c>
      <c r="U58" s="11">
        <f>IF(OR(City_Inputs!$T58="",Norm_Stats!$F$8="",Norm_Stats!$G$8="",Norm_Stats!$G$8=Norm_Stats!$F$8),"",MAX(0,MIN(100,100*(MIN(MAX(City_Inputs!$T58,Norm_Stats!$F$8),Norm_Stats!$G$8)-Norm_Stats!$F$8)/(Norm_Stats!$G$8-Norm_Stats!$F$8))))</f>
        <v/>
      </c>
      <c r="V58" s="14">
        <f>IF(U58="","",1)</f>
        <v/>
      </c>
      <c r="W58" s="11">
        <f>IF(OR(City_Inputs!$U58="",Norm_Stats!$F$9="",Norm_Stats!$G$9="",Norm_Stats!$G$9=Norm_Stats!$F$9),"",MAX(0,MIN(100,100*(Norm_Stats!$G$9-MIN(MAX(City_Inputs!$U58,Norm_Stats!$F$9),Norm_Stats!$G$9))/(Norm_Stats!$G$9-Norm_Stats!$F$9))))</f>
        <v/>
      </c>
      <c r="X58" s="14">
        <f>IF(W58="","",1)</f>
        <v/>
      </c>
      <c r="Y58" s="11">
        <f>IF(OR(City_Inputs!$V58="",Norm_Stats!$F$10="",Norm_Stats!$G$10="",Norm_Stats!$G$10=Norm_Stats!$F$10),"",MAX(0,MIN(100,100*(MIN(MAX(City_Inputs!$V58,Norm_Stats!$F$10),Norm_Stats!$G$10)-Norm_Stats!$F$10)/(Norm_Stats!$G$10-Norm_Stats!$F$10))))</f>
        <v/>
      </c>
      <c r="Z58" s="14">
        <f>IF(Y58="","",1)</f>
        <v/>
      </c>
      <c r="AA58" s="11">
        <f>IF(OR(City_Inputs!$W58="",Norm_Stats!$F$11="",Norm_Stats!$G$11="",Norm_Stats!$G$11=Norm_Stats!$F$11),"",MAX(0,MIN(100,100*(MIN(MAX(City_Inputs!$W58,Norm_Stats!$F$11),Norm_Stats!$G$11)-Norm_Stats!$F$11)/(Norm_Stats!$G$11-Norm_Stats!$F$11))))</f>
        <v/>
      </c>
      <c r="AB58" s="14">
        <f>IF(AA58="","",1)</f>
        <v/>
      </c>
      <c r="AC58" s="15">
        <f>IF((IF(S58="",0,5)+IF(U58="",0,5)+IF(W58="",0,4)+IF(Y58="",0,4)+IF(AA58="",0,4))=0,"",(IF(S58="",0,S58*5)+IF(U58="",0,U58*5)+IF(W58="",0,W58*4)+IF(Y58="",0,Y58*4)+IF(AA58="",0,AA58*4))/(IF(S58="",0,5)+IF(U58="",0,5)+IF(W58="",0,4)+IF(Y58="",0,4)+IF(AA58="",0,4)))</f>
        <v/>
      </c>
      <c r="AD58" s="14">
        <f>IF((IF(T58="",0,5)+IF(V58="",0,5)+IF(X58="",0,4)+IF(Z58="",0,4)+IF(AB58="",0,4))=0,"",(IF(T58="",0,T58*5)+IF(V58="",0,V58*5)+IF(X58="",0,X58*4)+IF(Z58="",0,Z58*4)+IF(AB58="",0,AB58*4))/22)</f>
        <v/>
      </c>
      <c r="AE58" s="11">
        <f>IF(OR(City_Inputs!$X58="",Norm_Stats!$F$12="",Norm_Stats!$G$12="",Norm_Stats!$G$12=Norm_Stats!$F$12),"",MAX(0,MIN(100,100*(MIN(MAX(City_Inputs!$X58,Norm_Stats!$F$12),Norm_Stats!$G$12)-Norm_Stats!$F$12)/(Norm_Stats!$G$12-Norm_Stats!$F$12))))</f>
        <v/>
      </c>
      <c r="AF58" s="14">
        <f>IF(AE58="","",1)</f>
        <v/>
      </c>
      <c r="AG58" s="11">
        <f>IF(OR(City_Inputs!$Y58="",Norm_Stats!$F$13="",Norm_Stats!$G$13="",Norm_Stats!$G$13=Norm_Stats!$F$13),"",MAX(0,MIN(100,100*(MIN(MAX(City_Inputs!$Y58,Norm_Stats!$F$13),Norm_Stats!$G$13)-Norm_Stats!$F$13)/(Norm_Stats!$G$13-Norm_Stats!$F$13))))</f>
        <v/>
      </c>
      <c r="AH58" s="14">
        <f>IF(AG58="","",1)</f>
        <v/>
      </c>
      <c r="AI58" s="11">
        <f>IF((IF((IF(OR(City_Inputs!$Z58="",Norm_Stats!$F$14="",Norm_Stats!$G$14="",Norm_Stats!$G$14=Norm_Stats!$F$14),"",MAX(0,MIN(100,100*(MIN(MAX(City_Inputs!$Z58,Norm_Stats!$F$14),Norm_Stats!$G$14)-Norm_Stats!$F$14)/(Norm_Stats!$G$14-Norm_Stats!$F$14)))))="",0,0.7)+IF((IF(OR(City_Inputs!$AK58="",Norm_Stats!$F$15="",Norm_Stats!$G$15="",Norm_Stats!$G$15=Norm_Stats!$F$15),"",MAX(0,MIN(100,100*(Norm_Stats!$G$15-MIN(MAX(City_Inputs!$AK58,Norm_Stats!$F$15),Norm_Stats!$G$15))/(Norm_Stats!$G$15-Norm_Stats!$F$15)))))="",0,0.3))=0,"",(IF((IF(OR(City_Inputs!$Z58="",Norm_Stats!$F$14="",Norm_Stats!$G$14="",Norm_Stats!$G$14=Norm_Stats!$F$14),"",MAX(0,MIN(100,100*(MIN(MAX(City_Inputs!$Z58,Norm_Stats!$F$14),Norm_Stats!$G$14)-Norm_Stats!$F$14)/(Norm_Stats!$G$14-Norm_Stats!$F$14)))))="",0,(IF(OR(City_Inputs!$Z58="",Norm_Stats!$F$14="",Norm_Stats!$G$14="",Norm_Stats!$G$14=Norm_Stats!$F$14),"",MAX(0,MIN(100,100*(MIN(MAX(City_Inputs!$Z58,Norm_Stats!$F$14),Norm_Stats!$G$14)-Norm_Stats!$F$14)/(Norm_Stats!$G$14-Norm_Stats!$F$14)))))*0.7)+IF((IF(OR(City_Inputs!$AK58="",Norm_Stats!$F$15="",Norm_Stats!$G$15="",Norm_Stats!$G$15=Norm_Stats!$F$15),"",MAX(0,MIN(100,100*(Norm_Stats!$G$15-MIN(MAX(City_Inputs!$AK58,Norm_Stats!$F$15),Norm_Stats!$G$15))/(Norm_Stats!$G$15-Norm_Stats!$F$15)))))="",0,(IF(OR(City_Inputs!$AK58="",Norm_Stats!$F$15="",Norm_Stats!$G$15="",Norm_Stats!$G$15=Norm_Stats!$F$15),"",MAX(0,MIN(100,100*(Norm_Stats!$G$15-MIN(MAX(City_Inputs!$AK58,Norm_Stats!$F$15),Norm_Stats!$G$15))/(Norm_Stats!$G$15-Norm_Stats!$F$15)))))*0.3))/(IF((IF(OR(City_Inputs!$Z58="",Norm_Stats!$F$14="",Norm_Stats!$G$14="",Norm_Stats!$G$14=Norm_Stats!$F$14),"",MAX(0,MIN(100,100*(MIN(MAX(City_Inputs!$Z58,Norm_Stats!$F$14),Norm_Stats!$G$14)-Norm_Stats!$F$14)/(Norm_Stats!$G$14-Norm_Stats!$F$14)))))="",0,0.7)+IF((IF(OR(City_Inputs!$AK58="",Norm_Stats!$F$15="",Norm_Stats!$G$15="",Norm_Stats!$G$15=Norm_Stats!$F$15),"",MAX(0,MIN(100,100*(Norm_Stats!$G$15-MIN(MAX(City_Inputs!$AK58,Norm_Stats!$F$15),Norm_Stats!$G$15))/(Norm_Stats!$G$15-Norm_Stats!$F$15)))))="",0,0.3)))</f>
        <v/>
      </c>
      <c r="AJ58" s="14">
        <f>IF((IF((IF(OR(City_Inputs!$Z58="",Norm_Stats!$F$14="",Norm_Stats!$G$14="",Norm_Stats!$G$14=Norm_Stats!$F$14),"",MAX(0,MIN(100,100*(MIN(MAX(City_Inputs!$Z58,Norm_Stats!$F$14),Norm_Stats!$G$14)-Norm_Stats!$F$14)/(Norm_Stats!$G$14-Norm_Stats!$F$14)))))="",0,0.7)+IF((IF(OR(City_Inputs!$AK58="",Norm_Stats!$F$15="",Norm_Stats!$G$15="",Norm_Stats!$G$15=Norm_Stats!$F$15),"",MAX(0,MIN(100,100*(Norm_Stats!$G$15-MIN(MAX(City_Inputs!$AK58,Norm_Stats!$F$15),Norm_Stats!$G$15))/(Norm_Stats!$G$15-Norm_Stats!$F$15)))))="",0,0.3))=0,"",(IF((IF(OR(City_Inputs!$Z58="",Norm_Stats!$F$14="",Norm_Stats!$G$14="",Norm_Stats!$G$14=Norm_Stats!$F$14),"",MAX(0,MIN(100,100*(MIN(MAX(City_Inputs!$Z58,Norm_Stats!$F$14),Norm_Stats!$G$14)-Norm_Stats!$F$14)/(Norm_Stats!$G$14-Norm_Stats!$F$14)))))="",0,0.7)+IF((IF(OR(City_Inputs!$AK58="",Norm_Stats!$F$15="",Norm_Stats!$G$15="",Norm_Stats!$G$15=Norm_Stats!$F$15),"",MAX(0,MIN(100,100*(Norm_Stats!$G$15-MIN(MAX(City_Inputs!$AK58,Norm_Stats!$F$15),Norm_Stats!$G$15))/(Norm_Stats!$G$15-Norm_Stats!$F$15)))))="",0,0.3)))</f>
        <v/>
      </c>
      <c r="AK58" s="15">
        <f>IF((IF(AE58="",0,8)+IF(AG58="",0,6)+IF(AI58="",0,4))=0,"",(IF(AE58="",0,AE58*8)+IF(AG58="",0,AG58*6)+IF(AI58="",0,AI58*4))/(IF(AE58="",0,8)+IF(AG58="",0,6)+IF(AI58="",0,4)))</f>
        <v/>
      </c>
      <c r="AL58" s="14">
        <f>IF((IF(AF58="",0,8)+IF(AH58="",0,6)+IF(AJ58="",0,4))=0,"",(IF(AF58="",0,AF58*8)+IF(AH58="",0,AH58*6)+IF(AJ58="",0,AJ58*4))/18)</f>
        <v/>
      </c>
      <c r="AM58" s="11">
        <f>IF(OR(City_Inputs!$AA58="",Norm_Stats!$F$16="",Norm_Stats!$G$16="",Norm_Stats!$G$16=Norm_Stats!$F$16),"",MAX(0,MIN(100,100*(MIN(MAX(City_Inputs!$AA58,Norm_Stats!$F$16),Norm_Stats!$G$16)-Norm_Stats!$F$16)/(Norm_Stats!$G$16-Norm_Stats!$F$16))))</f>
        <v/>
      </c>
      <c r="AN58" s="14">
        <f>IF(AM58="","",1)</f>
        <v/>
      </c>
      <c r="AO58" s="11">
        <f>IF(OR(City_Inputs!$AB58="",Norm_Stats!$F$17="",Norm_Stats!$G$17="",Norm_Stats!$G$17=Norm_Stats!$F$17),"",MAX(0,MIN(100,100*(MIN(MAX(City_Inputs!$AB58,Norm_Stats!$F$17),Norm_Stats!$G$17)-Norm_Stats!$F$17)/(Norm_Stats!$G$17-Norm_Stats!$F$17))))</f>
        <v/>
      </c>
      <c r="AP58" s="14">
        <f>IF(AO58="","",1)</f>
        <v/>
      </c>
      <c r="AQ58" s="11">
        <f>IF(OR(City_Inputs!$AC58="",Norm_Stats!$F$18="",Norm_Stats!$G$18="",Norm_Stats!$G$18=Norm_Stats!$F$18),"",MAX(0,MIN(100,100*(MIN(MAX(City_Inputs!$AC58,Norm_Stats!$F$18),Norm_Stats!$G$18)-Norm_Stats!$F$18)/(Norm_Stats!$G$18-Norm_Stats!$F$18))))</f>
        <v/>
      </c>
      <c r="AR58" s="14">
        <f>IF(AQ58="","",1)</f>
        <v/>
      </c>
      <c r="AS58" s="15">
        <f>IF((IF(AM58="",0,5)+IF(AO58="",0,5)+IF(AQ58="",0,5))=0,"",(IF(AM58="",0,AM58*5)+IF(AO58="",0,AO58*5)+IF(AQ58="",0,AQ58*5))/(IF(AM58="",0,5)+IF(AO58="",0,5)+IF(AQ58="",0,5)))</f>
        <v/>
      </c>
      <c r="AT58" s="14">
        <f>IF((IF(AN58="",0,5)+IF(AP58="",0,5)+IF(AR58="",0,5))=0,"",(IF(AN58="",0,AN58*5)+IF(AP58="",0,AP58*5)+IF(AR58="",0,AR58*5))/15)</f>
        <v/>
      </c>
      <c r="AU58" s="11">
        <f>IF(OR(City_Inputs!$AD58="",Norm_Stats!$F$19="",Norm_Stats!$G$19="",Norm_Stats!$G$19=Norm_Stats!$F$19),"",MAX(0,MIN(100,100*(MIN(MAX(City_Inputs!$AD58,Norm_Stats!$F$19),Norm_Stats!$G$19)-Norm_Stats!$F$19)/(Norm_Stats!$G$19-Norm_Stats!$F$19))))</f>
        <v/>
      </c>
      <c r="AV58" s="14">
        <f>IF(AU58="","",1)</f>
        <v/>
      </c>
      <c r="AW58" s="11">
        <f>IF(OR(City_Inputs!$AE58="",Norm_Stats!$F$20="",Norm_Stats!$G$20="",Norm_Stats!$G$20=Norm_Stats!$F$20),"",MAX(0,MIN(100,100*(MIN(MAX(City_Inputs!$AE58,Norm_Stats!$F$20),Norm_Stats!$G$20)-Norm_Stats!$F$20)/(Norm_Stats!$G$20-Norm_Stats!$F$20))))</f>
        <v/>
      </c>
      <c r="AX58" s="14">
        <f>IF(AW58="","",1)</f>
        <v/>
      </c>
      <c r="AY58" s="11">
        <f>IF((IF((IF(OR(City_Inputs!$AF58="",Norm_Stats!$F$21="",Norm_Stats!$G$21="",Norm_Stats!$G$21=Norm_Stats!$F$21),"",MAX(0,MIN(100,100*(MIN(MAX(City_Inputs!$AF58,Norm_Stats!$F$21),Norm_Stats!$G$21)-Norm_Stats!$F$21)/(Norm_Stats!$G$21-Norm_Stats!$F$21)))))="",0,0.5)+IF((IF(OR(City_Inputs!$AI58="",Norm_Stats!$F$22="",Norm_Stats!$G$22="",Norm_Stats!$G$22=Norm_Stats!$F$22),"",MAX(0,MIN(100,100*(MIN(MAX(City_Inputs!$AI58,Norm_Stats!$F$22),Norm_Stats!$G$22)-Norm_Stats!$F$22)/(Norm_Stats!$G$22-Norm_Stats!$F$22)))))="",0,0.3)+IF((IF(OR(City_Inputs!$AJ58="",Norm_Stats!$F$23="",Norm_Stats!$G$23="",Norm_Stats!$G$23=Norm_Stats!$F$23),"",MAX(0,MIN(100,100*(MIN(MAX(City_Inputs!$AJ58,Norm_Stats!$F$23),Norm_Stats!$G$23)-Norm_Stats!$F$23)/(Norm_Stats!$G$23-Norm_Stats!$F$23)))))="",0,0.2))=0,"",(IF((IF(OR(City_Inputs!$AF58="",Norm_Stats!$F$21="",Norm_Stats!$G$21="",Norm_Stats!$G$21=Norm_Stats!$F$21),"",MAX(0,MIN(100,100*(MIN(MAX(City_Inputs!$AF58,Norm_Stats!$F$21),Norm_Stats!$G$21)-Norm_Stats!$F$21)/(Norm_Stats!$G$21-Norm_Stats!$F$21)))))="",0,(IF(OR(City_Inputs!$AF58="",Norm_Stats!$F$21="",Norm_Stats!$G$21="",Norm_Stats!$G$21=Norm_Stats!$F$21),"",MAX(0,MIN(100,100*(MIN(MAX(City_Inputs!$AF58,Norm_Stats!$F$21),Norm_Stats!$G$21)-Norm_Stats!$F$21)/(Norm_Stats!$G$21-Norm_Stats!$F$21)))))*0.5)+IF((IF(OR(City_Inputs!$AI58="",Norm_Stats!$F$22="",Norm_Stats!$G$22="",Norm_Stats!$G$22=Norm_Stats!$F$22),"",MAX(0,MIN(100,100*(MIN(MAX(City_Inputs!$AI58,Norm_Stats!$F$22),Norm_Stats!$G$22)-Norm_Stats!$F$22)/(Norm_Stats!$G$22-Norm_Stats!$F$22)))))="",0,(IF(OR(City_Inputs!$AI58="",Norm_Stats!$F$22="",Norm_Stats!$G$22="",Norm_Stats!$G$22=Norm_Stats!$F$22),"",MAX(0,MIN(100,100*(MIN(MAX(City_Inputs!$AI58,Norm_Stats!$F$22),Norm_Stats!$G$22)-Norm_Stats!$F$22)/(Norm_Stats!$G$22-Norm_Stats!$F$22)))))*0.3)+IF((IF(OR(City_Inputs!$AJ58="",Norm_Stats!$F$23="",Norm_Stats!$G$23="",Norm_Stats!$G$23=Norm_Stats!$F$23),"",MAX(0,MIN(100,100*(MIN(MAX(City_Inputs!$AJ58,Norm_Stats!$F$23),Norm_Stats!$G$23)-Norm_Stats!$F$23)/(Norm_Stats!$G$23-Norm_Stats!$F$23)))))="",0,(IF(OR(City_Inputs!$AJ58="",Norm_Stats!$F$23="",Norm_Stats!$G$23="",Norm_Stats!$G$23=Norm_Stats!$F$23),"",MAX(0,MIN(100,100*(MIN(MAX(City_Inputs!$AJ58,Norm_Stats!$F$23),Norm_Stats!$G$23)-Norm_Stats!$F$23)/(Norm_Stats!$G$23-Norm_Stats!$F$23)))))*0.2))/(IF((IF(OR(City_Inputs!$AF58="",Norm_Stats!$F$21="",Norm_Stats!$G$21="",Norm_Stats!$G$21=Norm_Stats!$F$21),"",MAX(0,MIN(100,100*(MIN(MAX(City_Inputs!$AF58,Norm_Stats!$F$21),Norm_Stats!$G$21)-Norm_Stats!$F$21)/(Norm_Stats!$G$21-Norm_Stats!$F$21)))))="",0,0.5)+IF((IF(OR(City_Inputs!$AI58="",Norm_Stats!$F$22="",Norm_Stats!$G$22="",Norm_Stats!$G$22=Norm_Stats!$F$22),"",MAX(0,MIN(100,100*(MIN(MAX(City_Inputs!$AI58,Norm_Stats!$F$22),Norm_Stats!$G$22)-Norm_Stats!$F$22)/(Norm_Stats!$G$22-Norm_Stats!$F$22)))))="",0,0.3)+IF((IF(OR(City_Inputs!$AJ58="",Norm_Stats!$F$23="",Norm_Stats!$G$23="",Norm_Stats!$G$23=Norm_Stats!$F$23),"",MAX(0,MIN(100,100*(MIN(MAX(City_Inputs!$AJ58,Norm_Stats!$F$23),Norm_Stats!$G$23)-Norm_Stats!$F$23)/(Norm_Stats!$G$23-Norm_Stats!$F$23)))))="",0,0.2)))</f>
        <v/>
      </c>
      <c r="AZ58" s="14">
        <f>IF((IF((IF(OR(City_Inputs!$AF58="",Norm_Stats!$F$21="",Norm_Stats!$G$21="",Norm_Stats!$G$21=Norm_Stats!$F$21),"",MAX(0,MIN(100,100*(MIN(MAX(City_Inputs!$AF58,Norm_Stats!$F$21),Norm_Stats!$G$21)-Norm_Stats!$F$21)/(Norm_Stats!$G$21-Norm_Stats!$F$21)))))="",0,0.5)+IF((IF(OR(City_Inputs!$AI58="",Norm_Stats!$F$22="",Norm_Stats!$G$22="",Norm_Stats!$G$22=Norm_Stats!$F$22),"",MAX(0,MIN(100,100*(MIN(MAX(City_Inputs!$AI58,Norm_Stats!$F$22),Norm_Stats!$G$22)-Norm_Stats!$F$22)/(Norm_Stats!$G$22-Norm_Stats!$F$22)))))="",0,0.3)+IF((IF(OR(City_Inputs!$AJ58="",Norm_Stats!$F$23="",Norm_Stats!$G$23="",Norm_Stats!$G$23=Norm_Stats!$F$23),"",MAX(0,MIN(100,100*(MIN(MAX(City_Inputs!$AJ58,Norm_Stats!$F$23),Norm_Stats!$G$23)-Norm_Stats!$F$23)/(Norm_Stats!$G$23-Norm_Stats!$F$23)))))="",0,0.2))=0,"",(IF((IF(OR(City_Inputs!$AF58="",Norm_Stats!$F$21="",Norm_Stats!$G$21="",Norm_Stats!$G$21=Norm_Stats!$F$21),"",MAX(0,MIN(100,100*(MIN(MAX(City_Inputs!$AF58,Norm_Stats!$F$21),Norm_Stats!$G$21)-Norm_Stats!$F$21)/(Norm_Stats!$G$21-Norm_Stats!$F$21)))))="",0,0.5)+IF((IF(OR(City_Inputs!$AI58="",Norm_Stats!$F$22="",Norm_Stats!$G$22="",Norm_Stats!$G$22=Norm_Stats!$F$22),"",MAX(0,MIN(100,100*(MIN(MAX(City_Inputs!$AI58,Norm_Stats!$F$22),Norm_Stats!$G$22)-Norm_Stats!$F$22)/(Norm_Stats!$G$22-Norm_Stats!$F$22)))))="",0,0.3)+IF((IF(OR(City_Inputs!$AJ58="",Norm_Stats!$F$23="",Norm_Stats!$G$23="",Norm_Stats!$G$23=Norm_Stats!$F$23),"",MAX(0,MIN(100,100*(MIN(MAX(City_Inputs!$AJ58,Norm_Stats!$F$23),Norm_Stats!$G$23)-Norm_Stats!$F$23)/(Norm_Stats!$G$23-Norm_Stats!$F$23)))))="",0,0.2)))</f>
        <v/>
      </c>
      <c r="BA58" s="11">
        <f>IF(OR(City_Inputs!$AG58="",Norm_Stats!$F$24="",Norm_Stats!$G$24="",Norm_Stats!$G$24=Norm_Stats!$F$24),"",MAX(0,MIN(100,100*(Norm_Stats!$G$24-MIN(MAX(City_Inputs!$AG58,Norm_Stats!$F$24),Norm_Stats!$G$24))/(Norm_Stats!$G$24-Norm_Stats!$F$24))))</f>
        <v/>
      </c>
      <c r="BB58" s="14">
        <f>IF(BA58="","",1)</f>
        <v/>
      </c>
      <c r="BC58" s="15">
        <f>IF((IF(AU58="",0,6)+IF(AW58="",0,5)+IF(AY58="",0,5)+IF(BA58="",0,4))=0,"",(IF(AU58="",0,AU58*6)+IF(AW58="",0,AW58*5)+IF(AY58="",0,AY58*5)+IF(BA58="",0,BA58*4))/(IF(AU58="",0,6)+IF(AW58="",0,5)+IF(AY58="",0,5)+IF(BA58="",0,4)))</f>
        <v/>
      </c>
      <c r="BD58" s="14">
        <f>IF((IF(AV58="",0,6)+IF(AX58="",0,5)+IF(AZ58="",0,5)+IF(BB58="",0,4))=0,"",(IF(AV58="",0,AV58*6)+IF(AX58="",0,AX58*5)+IF(AZ58="",0,AZ58*5)+IF(BB58="",0,BB58*4))/20)</f>
        <v/>
      </c>
      <c r="BE58" s="14">
        <f>IF(AND(R58="",AD58="",AL58="",AT58="",BD58=""),"",((R58*25)+(AD58*22)+(AL58*18)+(AT58*15)+(BD58*20))/100)</f>
        <v/>
      </c>
      <c r="BF58" s="11">
        <f>IF(BE58="","",IF(BE58&gt;=0.75,"A",IF(BE58&gt;=0.5,"B",IF(BE58&gt;=0.35,"C","Watchlist"))))</f>
        <v/>
      </c>
      <c r="BG58" s="11">
        <f>IF(OR(BE58="",BE58&lt;0.5,R58="",R58&lt;0.35,AD58="",AD58&lt;0.35,AL58="",AL58&lt;0.35,AT58="",AT58&lt;0.35,BD58="",BD58&lt;0.35),"Watchlist","Ranked")</f>
        <v/>
      </c>
      <c r="BH58" s="15">
        <f>IF(AND(Q58="",AC58="",AK58="",AS58="",BC58=""),"",(IF(Q58="",0,Q58*25)+IF(AC58="",0,AC58*22)+IF(AK58="",0,AK58*18)+IF(AS58="",0,AS58*15)+IF(BC58="",0,BC58*20))/(IF(Q58="",0,25)+IF(AC58="",0,22)+IF(AK58="",0,18)+IF(AS58="",0,15)+IF(BC58="",0,20)))</f>
        <v/>
      </c>
      <c r="BI58" s="11">
        <f>IF(BG58="Ranked",1+COUNTIFS($BG$2:$BG$103,"Ranked",$BH$2:$BH$103,"&gt;"&amp;BH58),"")</f>
        <v/>
      </c>
      <c r="BJ58" s="11">
        <f>City_Inputs!$AH58</f>
        <v/>
      </c>
    </row>
    <row r="59">
      <c r="A59" t="inlineStr">
        <is>
          <t>us-pittsburgh</t>
        </is>
      </c>
      <c r="B59" t="inlineStr">
        <is>
          <t>Pittsburgh</t>
        </is>
      </c>
      <c r="C59" t="inlineStr">
        <is>
          <t>United States</t>
        </is>
      </c>
      <c r="D59" t="inlineStr">
        <is>
          <t>North America</t>
        </is>
      </c>
      <c r="E59" t="inlineStr">
        <is>
          <t>locked</t>
        </is>
      </c>
      <c r="F59" t="inlineStr">
        <is>
          <t>secondary</t>
        </is>
      </c>
      <c r="G59" s="11">
        <f>IF(OR(City_Inputs!$M59="",Norm_Stats!$F$2="",Norm_Stats!$G$2="",Norm_Stats!$G$2=Norm_Stats!$F$2),"",MAX(0,MIN(100,100*(MIN(MAX(City_Inputs!$M59,Norm_Stats!$F$2),Norm_Stats!$G$2)-Norm_Stats!$F$2)/(Norm_Stats!$G$2-Norm_Stats!$F$2))))</f>
        <v/>
      </c>
      <c r="H59" s="14">
        <f>IF(G59="","",1)</f>
        <v/>
      </c>
      <c r="I59" s="11">
        <f>IF(OR(City_Inputs!$N59="",Norm_Stats!$F$3="",Norm_Stats!$G$3="",Norm_Stats!$G$3=Norm_Stats!$F$3),"",MAX(0,MIN(100,100*(Norm_Stats!$G$3-MIN(MAX(City_Inputs!$N59,Norm_Stats!$F$3),Norm_Stats!$G$3))/(Norm_Stats!$G$3-Norm_Stats!$F$3))))</f>
        <v/>
      </c>
      <c r="J59" s="14">
        <f>IF(I59="","",1)</f>
        <v/>
      </c>
      <c r="K59" s="11">
        <f>IF(OR(City_Inputs!$P59="",Norm_Stats!$F$4="",Norm_Stats!$G$4="",Norm_Stats!$G$4=Norm_Stats!$F$4),"",MAX(0,MIN(100,100*(Norm_Stats!$G$4-MIN(MAX(City_Inputs!$P59,Norm_Stats!$F$4),Norm_Stats!$G$4))/(Norm_Stats!$G$4-Norm_Stats!$F$4))))</f>
        <v/>
      </c>
      <c r="L59" s="14">
        <f>IF(K59="","",1)</f>
        <v/>
      </c>
      <c r="M59" s="11">
        <f>IF(OR(City_Inputs!$Q59="",Norm_Stats!$F$5="",Norm_Stats!$G$5="",Norm_Stats!$G$5=Norm_Stats!$F$5),"",MAX(0,MIN(100,100*(Norm_Stats!$G$5-MIN(MAX(City_Inputs!$Q59,Norm_Stats!$F$5),Norm_Stats!$G$5))/(Norm_Stats!$G$5-Norm_Stats!$F$5))))</f>
        <v/>
      </c>
      <c r="N59" s="14">
        <f>IF(M59="","",1)</f>
        <v/>
      </c>
      <c r="O59" s="11">
        <f>IF(OR(City_Inputs!$R59="",Norm_Stats!$F$6="",Norm_Stats!$G$6="",Norm_Stats!$G$6=Norm_Stats!$F$6),"",MAX(0,MIN(100,100*(Norm_Stats!$G$6-MIN(MAX(City_Inputs!$R59,Norm_Stats!$F$6),Norm_Stats!$G$6))/(Norm_Stats!$G$6-Norm_Stats!$F$6))))</f>
        <v/>
      </c>
      <c r="P59" s="14">
        <f>IF(O59="","",1)</f>
        <v/>
      </c>
      <c r="Q59" s="15">
        <f>IF((IF(G59="",0,9)+IF(I59="",0,5)+IF(K59="",0,4)+IF(M59="",0,4)+IF(O59="",0,3))=0,"",(IF(G59="",0,G59*9)+IF(I59="",0,I59*5)+IF(K59="",0,K59*4)+IF(M59="",0,M59*4)+IF(O59="",0,O59*3))/(IF(G59="",0,9)+IF(I59="",0,5)+IF(K59="",0,4)+IF(M59="",0,4)+IF(O59="",0,3)))</f>
        <v/>
      </c>
      <c r="R59" s="14">
        <f>IF((IF(H59="",0,9)+IF(J59="",0,5)+IF(L59="",0,4)+IF(N59="",0,4)+IF(P59="",0,3))=0,"",(IF(H59="",0,H59*9)+IF(J59="",0,J59*5)+IF(L59="",0,L59*4)+IF(N59="",0,N59*4)+IF(P59="",0,P59*3))/25)</f>
        <v/>
      </c>
      <c r="S59" s="11">
        <f>IF(OR(City_Inputs!$S59="",Norm_Stats!$F$7="",Norm_Stats!$G$7="",Norm_Stats!$G$7=Norm_Stats!$F$7),"",MAX(0,MIN(100,100*(Norm_Stats!$G$7-MIN(MAX(City_Inputs!$S59,Norm_Stats!$F$7),Norm_Stats!$G$7))/(Norm_Stats!$G$7-Norm_Stats!$F$7))))</f>
        <v/>
      </c>
      <c r="T59" s="14">
        <f>IF(S59="","",1)</f>
        <v/>
      </c>
      <c r="U59" s="11">
        <f>IF(OR(City_Inputs!$T59="",Norm_Stats!$F$8="",Norm_Stats!$G$8="",Norm_Stats!$G$8=Norm_Stats!$F$8),"",MAX(0,MIN(100,100*(MIN(MAX(City_Inputs!$T59,Norm_Stats!$F$8),Norm_Stats!$G$8)-Norm_Stats!$F$8)/(Norm_Stats!$G$8-Norm_Stats!$F$8))))</f>
        <v/>
      </c>
      <c r="V59" s="14">
        <f>IF(U59="","",1)</f>
        <v/>
      </c>
      <c r="W59" s="11">
        <f>IF(OR(City_Inputs!$U59="",Norm_Stats!$F$9="",Norm_Stats!$G$9="",Norm_Stats!$G$9=Norm_Stats!$F$9),"",MAX(0,MIN(100,100*(Norm_Stats!$G$9-MIN(MAX(City_Inputs!$U59,Norm_Stats!$F$9),Norm_Stats!$G$9))/(Norm_Stats!$G$9-Norm_Stats!$F$9))))</f>
        <v/>
      </c>
      <c r="X59" s="14">
        <f>IF(W59="","",1)</f>
        <v/>
      </c>
      <c r="Y59" s="11">
        <f>IF(OR(City_Inputs!$V59="",Norm_Stats!$F$10="",Norm_Stats!$G$10="",Norm_Stats!$G$10=Norm_Stats!$F$10),"",MAX(0,MIN(100,100*(MIN(MAX(City_Inputs!$V59,Norm_Stats!$F$10),Norm_Stats!$G$10)-Norm_Stats!$F$10)/(Norm_Stats!$G$10-Norm_Stats!$F$10))))</f>
        <v/>
      </c>
      <c r="Z59" s="14">
        <f>IF(Y59="","",1)</f>
        <v/>
      </c>
      <c r="AA59" s="11">
        <f>IF(OR(City_Inputs!$W59="",Norm_Stats!$F$11="",Norm_Stats!$G$11="",Norm_Stats!$G$11=Norm_Stats!$F$11),"",MAX(0,MIN(100,100*(MIN(MAX(City_Inputs!$W59,Norm_Stats!$F$11),Norm_Stats!$G$11)-Norm_Stats!$F$11)/(Norm_Stats!$G$11-Norm_Stats!$F$11))))</f>
        <v/>
      </c>
      <c r="AB59" s="14">
        <f>IF(AA59="","",1)</f>
        <v/>
      </c>
      <c r="AC59" s="15">
        <f>IF((IF(S59="",0,5)+IF(U59="",0,5)+IF(W59="",0,4)+IF(Y59="",0,4)+IF(AA59="",0,4))=0,"",(IF(S59="",0,S59*5)+IF(U59="",0,U59*5)+IF(W59="",0,W59*4)+IF(Y59="",0,Y59*4)+IF(AA59="",0,AA59*4))/(IF(S59="",0,5)+IF(U59="",0,5)+IF(W59="",0,4)+IF(Y59="",0,4)+IF(AA59="",0,4)))</f>
        <v/>
      </c>
      <c r="AD59" s="14">
        <f>IF((IF(T59="",0,5)+IF(V59="",0,5)+IF(X59="",0,4)+IF(Z59="",0,4)+IF(AB59="",0,4))=0,"",(IF(T59="",0,T59*5)+IF(V59="",0,V59*5)+IF(X59="",0,X59*4)+IF(Z59="",0,Z59*4)+IF(AB59="",0,AB59*4))/22)</f>
        <v/>
      </c>
      <c r="AE59" s="11">
        <f>IF(OR(City_Inputs!$X59="",Norm_Stats!$F$12="",Norm_Stats!$G$12="",Norm_Stats!$G$12=Norm_Stats!$F$12),"",MAX(0,MIN(100,100*(MIN(MAX(City_Inputs!$X59,Norm_Stats!$F$12),Norm_Stats!$G$12)-Norm_Stats!$F$12)/(Norm_Stats!$G$12-Norm_Stats!$F$12))))</f>
        <v/>
      </c>
      <c r="AF59" s="14">
        <f>IF(AE59="","",1)</f>
        <v/>
      </c>
      <c r="AG59" s="11">
        <f>IF(OR(City_Inputs!$Y59="",Norm_Stats!$F$13="",Norm_Stats!$G$13="",Norm_Stats!$G$13=Norm_Stats!$F$13),"",MAX(0,MIN(100,100*(MIN(MAX(City_Inputs!$Y59,Norm_Stats!$F$13),Norm_Stats!$G$13)-Norm_Stats!$F$13)/(Norm_Stats!$G$13-Norm_Stats!$F$13))))</f>
        <v/>
      </c>
      <c r="AH59" s="14">
        <f>IF(AG59="","",1)</f>
        <v/>
      </c>
      <c r="AI59" s="11">
        <f>IF((IF((IF(OR(City_Inputs!$Z59="",Norm_Stats!$F$14="",Norm_Stats!$G$14="",Norm_Stats!$G$14=Norm_Stats!$F$14),"",MAX(0,MIN(100,100*(MIN(MAX(City_Inputs!$Z59,Norm_Stats!$F$14),Norm_Stats!$G$14)-Norm_Stats!$F$14)/(Norm_Stats!$G$14-Norm_Stats!$F$14)))))="",0,0.7)+IF((IF(OR(City_Inputs!$AK59="",Norm_Stats!$F$15="",Norm_Stats!$G$15="",Norm_Stats!$G$15=Norm_Stats!$F$15),"",MAX(0,MIN(100,100*(Norm_Stats!$G$15-MIN(MAX(City_Inputs!$AK59,Norm_Stats!$F$15),Norm_Stats!$G$15))/(Norm_Stats!$G$15-Norm_Stats!$F$15)))))="",0,0.3))=0,"",(IF((IF(OR(City_Inputs!$Z59="",Norm_Stats!$F$14="",Norm_Stats!$G$14="",Norm_Stats!$G$14=Norm_Stats!$F$14),"",MAX(0,MIN(100,100*(MIN(MAX(City_Inputs!$Z59,Norm_Stats!$F$14),Norm_Stats!$G$14)-Norm_Stats!$F$14)/(Norm_Stats!$G$14-Norm_Stats!$F$14)))))="",0,(IF(OR(City_Inputs!$Z59="",Norm_Stats!$F$14="",Norm_Stats!$G$14="",Norm_Stats!$G$14=Norm_Stats!$F$14),"",MAX(0,MIN(100,100*(MIN(MAX(City_Inputs!$Z59,Norm_Stats!$F$14),Norm_Stats!$G$14)-Norm_Stats!$F$14)/(Norm_Stats!$G$14-Norm_Stats!$F$14)))))*0.7)+IF((IF(OR(City_Inputs!$AK59="",Norm_Stats!$F$15="",Norm_Stats!$G$15="",Norm_Stats!$G$15=Norm_Stats!$F$15),"",MAX(0,MIN(100,100*(Norm_Stats!$G$15-MIN(MAX(City_Inputs!$AK59,Norm_Stats!$F$15),Norm_Stats!$G$15))/(Norm_Stats!$G$15-Norm_Stats!$F$15)))))="",0,(IF(OR(City_Inputs!$AK59="",Norm_Stats!$F$15="",Norm_Stats!$G$15="",Norm_Stats!$G$15=Norm_Stats!$F$15),"",MAX(0,MIN(100,100*(Norm_Stats!$G$15-MIN(MAX(City_Inputs!$AK59,Norm_Stats!$F$15),Norm_Stats!$G$15))/(Norm_Stats!$G$15-Norm_Stats!$F$15)))))*0.3))/(IF((IF(OR(City_Inputs!$Z59="",Norm_Stats!$F$14="",Norm_Stats!$G$14="",Norm_Stats!$G$14=Norm_Stats!$F$14),"",MAX(0,MIN(100,100*(MIN(MAX(City_Inputs!$Z59,Norm_Stats!$F$14),Norm_Stats!$G$14)-Norm_Stats!$F$14)/(Norm_Stats!$G$14-Norm_Stats!$F$14)))))="",0,0.7)+IF((IF(OR(City_Inputs!$AK59="",Norm_Stats!$F$15="",Norm_Stats!$G$15="",Norm_Stats!$G$15=Norm_Stats!$F$15),"",MAX(0,MIN(100,100*(Norm_Stats!$G$15-MIN(MAX(City_Inputs!$AK59,Norm_Stats!$F$15),Norm_Stats!$G$15))/(Norm_Stats!$G$15-Norm_Stats!$F$15)))))="",0,0.3)))</f>
        <v/>
      </c>
      <c r="AJ59" s="14">
        <f>IF((IF((IF(OR(City_Inputs!$Z59="",Norm_Stats!$F$14="",Norm_Stats!$G$14="",Norm_Stats!$G$14=Norm_Stats!$F$14),"",MAX(0,MIN(100,100*(MIN(MAX(City_Inputs!$Z59,Norm_Stats!$F$14),Norm_Stats!$G$14)-Norm_Stats!$F$14)/(Norm_Stats!$G$14-Norm_Stats!$F$14)))))="",0,0.7)+IF((IF(OR(City_Inputs!$AK59="",Norm_Stats!$F$15="",Norm_Stats!$G$15="",Norm_Stats!$G$15=Norm_Stats!$F$15),"",MAX(0,MIN(100,100*(Norm_Stats!$G$15-MIN(MAX(City_Inputs!$AK59,Norm_Stats!$F$15),Norm_Stats!$G$15))/(Norm_Stats!$G$15-Norm_Stats!$F$15)))))="",0,0.3))=0,"",(IF((IF(OR(City_Inputs!$Z59="",Norm_Stats!$F$14="",Norm_Stats!$G$14="",Norm_Stats!$G$14=Norm_Stats!$F$14),"",MAX(0,MIN(100,100*(MIN(MAX(City_Inputs!$Z59,Norm_Stats!$F$14),Norm_Stats!$G$14)-Norm_Stats!$F$14)/(Norm_Stats!$G$14-Norm_Stats!$F$14)))))="",0,0.7)+IF((IF(OR(City_Inputs!$AK59="",Norm_Stats!$F$15="",Norm_Stats!$G$15="",Norm_Stats!$G$15=Norm_Stats!$F$15),"",MAX(0,MIN(100,100*(Norm_Stats!$G$15-MIN(MAX(City_Inputs!$AK59,Norm_Stats!$F$15),Norm_Stats!$G$15))/(Norm_Stats!$G$15-Norm_Stats!$F$15)))))="",0,0.3)))</f>
        <v/>
      </c>
      <c r="AK59" s="15">
        <f>IF((IF(AE59="",0,8)+IF(AG59="",0,6)+IF(AI59="",0,4))=0,"",(IF(AE59="",0,AE59*8)+IF(AG59="",0,AG59*6)+IF(AI59="",0,AI59*4))/(IF(AE59="",0,8)+IF(AG59="",0,6)+IF(AI59="",0,4)))</f>
        <v/>
      </c>
      <c r="AL59" s="14">
        <f>IF((IF(AF59="",0,8)+IF(AH59="",0,6)+IF(AJ59="",0,4))=0,"",(IF(AF59="",0,AF59*8)+IF(AH59="",0,AH59*6)+IF(AJ59="",0,AJ59*4))/18)</f>
        <v/>
      </c>
      <c r="AM59" s="11">
        <f>IF(OR(City_Inputs!$AA59="",Norm_Stats!$F$16="",Norm_Stats!$G$16="",Norm_Stats!$G$16=Norm_Stats!$F$16),"",MAX(0,MIN(100,100*(MIN(MAX(City_Inputs!$AA59,Norm_Stats!$F$16),Norm_Stats!$G$16)-Norm_Stats!$F$16)/(Norm_Stats!$G$16-Norm_Stats!$F$16))))</f>
        <v/>
      </c>
      <c r="AN59" s="14">
        <f>IF(AM59="","",1)</f>
        <v/>
      </c>
      <c r="AO59" s="11">
        <f>IF(OR(City_Inputs!$AB59="",Norm_Stats!$F$17="",Norm_Stats!$G$17="",Norm_Stats!$G$17=Norm_Stats!$F$17),"",MAX(0,MIN(100,100*(MIN(MAX(City_Inputs!$AB59,Norm_Stats!$F$17),Norm_Stats!$G$17)-Norm_Stats!$F$17)/(Norm_Stats!$G$17-Norm_Stats!$F$17))))</f>
        <v/>
      </c>
      <c r="AP59" s="14">
        <f>IF(AO59="","",1)</f>
        <v/>
      </c>
      <c r="AQ59" s="11">
        <f>IF(OR(City_Inputs!$AC59="",Norm_Stats!$F$18="",Norm_Stats!$G$18="",Norm_Stats!$G$18=Norm_Stats!$F$18),"",MAX(0,MIN(100,100*(MIN(MAX(City_Inputs!$AC59,Norm_Stats!$F$18),Norm_Stats!$G$18)-Norm_Stats!$F$18)/(Norm_Stats!$G$18-Norm_Stats!$F$18))))</f>
        <v/>
      </c>
      <c r="AR59" s="14">
        <f>IF(AQ59="","",1)</f>
        <v/>
      </c>
      <c r="AS59" s="15">
        <f>IF((IF(AM59="",0,5)+IF(AO59="",0,5)+IF(AQ59="",0,5))=0,"",(IF(AM59="",0,AM59*5)+IF(AO59="",0,AO59*5)+IF(AQ59="",0,AQ59*5))/(IF(AM59="",0,5)+IF(AO59="",0,5)+IF(AQ59="",0,5)))</f>
        <v/>
      </c>
      <c r="AT59" s="14">
        <f>IF((IF(AN59="",0,5)+IF(AP59="",0,5)+IF(AR59="",0,5))=0,"",(IF(AN59="",0,AN59*5)+IF(AP59="",0,AP59*5)+IF(AR59="",0,AR59*5))/15)</f>
        <v/>
      </c>
      <c r="AU59" s="11">
        <f>IF(OR(City_Inputs!$AD59="",Norm_Stats!$F$19="",Norm_Stats!$G$19="",Norm_Stats!$G$19=Norm_Stats!$F$19),"",MAX(0,MIN(100,100*(MIN(MAX(City_Inputs!$AD59,Norm_Stats!$F$19),Norm_Stats!$G$19)-Norm_Stats!$F$19)/(Norm_Stats!$G$19-Norm_Stats!$F$19))))</f>
        <v/>
      </c>
      <c r="AV59" s="14">
        <f>IF(AU59="","",1)</f>
        <v/>
      </c>
      <c r="AW59" s="11">
        <f>IF(OR(City_Inputs!$AE59="",Norm_Stats!$F$20="",Norm_Stats!$G$20="",Norm_Stats!$G$20=Norm_Stats!$F$20),"",MAX(0,MIN(100,100*(MIN(MAX(City_Inputs!$AE59,Norm_Stats!$F$20),Norm_Stats!$G$20)-Norm_Stats!$F$20)/(Norm_Stats!$G$20-Norm_Stats!$F$20))))</f>
        <v/>
      </c>
      <c r="AX59" s="14">
        <f>IF(AW59="","",1)</f>
        <v/>
      </c>
      <c r="AY59" s="11">
        <f>IF((IF((IF(OR(City_Inputs!$AF59="",Norm_Stats!$F$21="",Norm_Stats!$G$21="",Norm_Stats!$G$21=Norm_Stats!$F$21),"",MAX(0,MIN(100,100*(MIN(MAX(City_Inputs!$AF59,Norm_Stats!$F$21),Norm_Stats!$G$21)-Norm_Stats!$F$21)/(Norm_Stats!$G$21-Norm_Stats!$F$21)))))="",0,0.5)+IF((IF(OR(City_Inputs!$AI59="",Norm_Stats!$F$22="",Norm_Stats!$G$22="",Norm_Stats!$G$22=Norm_Stats!$F$22),"",MAX(0,MIN(100,100*(MIN(MAX(City_Inputs!$AI59,Norm_Stats!$F$22),Norm_Stats!$G$22)-Norm_Stats!$F$22)/(Norm_Stats!$G$22-Norm_Stats!$F$22)))))="",0,0.3)+IF((IF(OR(City_Inputs!$AJ59="",Norm_Stats!$F$23="",Norm_Stats!$G$23="",Norm_Stats!$G$23=Norm_Stats!$F$23),"",MAX(0,MIN(100,100*(MIN(MAX(City_Inputs!$AJ59,Norm_Stats!$F$23),Norm_Stats!$G$23)-Norm_Stats!$F$23)/(Norm_Stats!$G$23-Norm_Stats!$F$23)))))="",0,0.2))=0,"",(IF((IF(OR(City_Inputs!$AF59="",Norm_Stats!$F$21="",Norm_Stats!$G$21="",Norm_Stats!$G$21=Norm_Stats!$F$21),"",MAX(0,MIN(100,100*(MIN(MAX(City_Inputs!$AF59,Norm_Stats!$F$21),Norm_Stats!$G$21)-Norm_Stats!$F$21)/(Norm_Stats!$G$21-Norm_Stats!$F$21)))))="",0,(IF(OR(City_Inputs!$AF59="",Norm_Stats!$F$21="",Norm_Stats!$G$21="",Norm_Stats!$G$21=Norm_Stats!$F$21),"",MAX(0,MIN(100,100*(MIN(MAX(City_Inputs!$AF59,Norm_Stats!$F$21),Norm_Stats!$G$21)-Norm_Stats!$F$21)/(Norm_Stats!$G$21-Norm_Stats!$F$21)))))*0.5)+IF((IF(OR(City_Inputs!$AI59="",Norm_Stats!$F$22="",Norm_Stats!$G$22="",Norm_Stats!$G$22=Norm_Stats!$F$22),"",MAX(0,MIN(100,100*(MIN(MAX(City_Inputs!$AI59,Norm_Stats!$F$22),Norm_Stats!$G$22)-Norm_Stats!$F$22)/(Norm_Stats!$G$22-Norm_Stats!$F$22)))))="",0,(IF(OR(City_Inputs!$AI59="",Norm_Stats!$F$22="",Norm_Stats!$G$22="",Norm_Stats!$G$22=Norm_Stats!$F$22),"",MAX(0,MIN(100,100*(MIN(MAX(City_Inputs!$AI59,Norm_Stats!$F$22),Norm_Stats!$G$22)-Norm_Stats!$F$22)/(Norm_Stats!$G$22-Norm_Stats!$F$22)))))*0.3)+IF((IF(OR(City_Inputs!$AJ59="",Norm_Stats!$F$23="",Norm_Stats!$G$23="",Norm_Stats!$G$23=Norm_Stats!$F$23),"",MAX(0,MIN(100,100*(MIN(MAX(City_Inputs!$AJ59,Norm_Stats!$F$23),Norm_Stats!$G$23)-Norm_Stats!$F$23)/(Norm_Stats!$G$23-Norm_Stats!$F$23)))))="",0,(IF(OR(City_Inputs!$AJ59="",Norm_Stats!$F$23="",Norm_Stats!$G$23="",Norm_Stats!$G$23=Norm_Stats!$F$23),"",MAX(0,MIN(100,100*(MIN(MAX(City_Inputs!$AJ59,Norm_Stats!$F$23),Norm_Stats!$G$23)-Norm_Stats!$F$23)/(Norm_Stats!$G$23-Norm_Stats!$F$23)))))*0.2))/(IF((IF(OR(City_Inputs!$AF59="",Norm_Stats!$F$21="",Norm_Stats!$G$21="",Norm_Stats!$G$21=Norm_Stats!$F$21),"",MAX(0,MIN(100,100*(MIN(MAX(City_Inputs!$AF59,Norm_Stats!$F$21),Norm_Stats!$G$21)-Norm_Stats!$F$21)/(Norm_Stats!$G$21-Norm_Stats!$F$21)))))="",0,0.5)+IF((IF(OR(City_Inputs!$AI59="",Norm_Stats!$F$22="",Norm_Stats!$G$22="",Norm_Stats!$G$22=Norm_Stats!$F$22),"",MAX(0,MIN(100,100*(MIN(MAX(City_Inputs!$AI59,Norm_Stats!$F$22),Norm_Stats!$G$22)-Norm_Stats!$F$22)/(Norm_Stats!$G$22-Norm_Stats!$F$22)))))="",0,0.3)+IF((IF(OR(City_Inputs!$AJ59="",Norm_Stats!$F$23="",Norm_Stats!$G$23="",Norm_Stats!$G$23=Norm_Stats!$F$23),"",MAX(0,MIN(100,100*(MIN(MAX(City_Inputs!$AJ59,Norm_Stats!$F$23),Norm_Stats!$G$23)-Norm_Stats!$F$23)/(Norm_Stats!$G$23-Norm_Stats!$F$23)))))="",0,0.2)))</f>
        <v/>
      </c>
      <c r="AZ59" s="14">
        <f>IF((IF((IF(OR(City_Inputs!$AF59="",Norm_Stats!$F$21="",Norm_Stats!$G$21="",Norm_Stats!$G$21=Norm_Stats!$F$21),"",MAX(0,MIN(100,100*(MIN(MAX(City_Inputs!$AF59,Norm_Stats!$F$21),Norm_Stats!$G$21)-Norm_Stats!$F$21)/(Norm_Stats!$G$21-Norm_Stats!$F$21)))))="",0,0.5)+IF((IF(OR(City_Inputs!$AI59="",Norm_Stats!$F$22="",Norm_Stats!$G$22="",Norm_Stats!$G$22=Norm_Stats!$F$22),"",MAX(0,MIN(100,100*(MIN(MAX(City_Inputs!$AI59,Norm_Stats!$F$22),Norm_Stats!$G$22)-Norm_Stats!$F$22)/(Norm_Stats!$G$22-Norm_Stats!$F$22)))))="",0,0.3)+IF((IF(OR(City_Inputs!$AJ59="",Norm_Stats!$F$23="",Norm_Stats!$G$23="",Norm_Stats!$G$23=Norm_Stats!$F$23),"",MAX(0,MIN(100,100*(MIN(MAX(City_Inputs!$AJ59,Norm_Stats!$F$23),Norm_Stats!$G$23)-Norm_Stats!$F$23)/(Norm_Stats!$G$23-Norm_Stats!$F$23)))))="",0,0.2))=0,"",(IF((IF(OR(City_Inputs!$AF59="",Norm_Stats!$F$21="",Norm_Stats!$G$21="",Norm_Stats!$G$21=Norm_Stats!$F$21),"",MAX(0,MIN(100,100*(MIN(MAX(City_Inputs!$AF59,Norm_Stats!$F$21),Norm_Stats!$G$21)-Norm_Stats!$F$21)/(Norm_Stats!$G$21-Norm_Stats!$F$21)))))="",0,0.5)+IF((IF(OR(City_Inputs!$AI59="",Norm_Stats!$F$22="",Norm_Stats!$G$22="",Norm_Stats!$G$22=Norm_Stats!$F$22),"",MAX(0,MIN(100,100*(MIN(MAX(City_Inputs!$AI59,Norm_Stats!$F$22),Norm_Stats!$G$22)-Norm_Stats!$F$22)/(Norm_Stats!$G$22-Norm_Stats!$F$22)))))="",0,0.3)+IF((IF(OR(City_Inputs!$AJ59="",Norm_Stats!$F$23="",Norm_Stats!$G$23="",Norm_Stats!$G$23=Norm_Stats!$F$23),"",MAX(0,MIN(100,100*(MIN(MAX(City_Inputs!$AJ59,Norm_Stats!$F$23),Norm_Stats!$G$23)-Norm_Stats!$F$23)/(Norm_Stats!$G$23-Norm_Stats!$F$23)))))="",0,0.2)))</f>
        <v/>
      </c>
      <c r="BA59" s="11">
        <f>IF(OR(City_Inputs!$AG59="",Norm_Stats!$F$24="",Norm_Stats!$G$24="",Norm_Stats!$G$24=Norm_Stats!$F$24),"",MAX(0,MIN(100,100*(Norm_Stats!$G$24-MIN(MAX(City_Inputs!$AG59,Norm_Stats!$F$24),Norm_Stats!$G$24))/(Norm_Stats!$G$24-Norm_Stats!$F$24))))</f>
        <v/>
      </c>
      <c r="BB59" s="14">
        <f>IF(BA59="","",1)</f>
        <v/>
      </c>
      <c r="BC59" s="15">
        <f>IF((IF(AU59="",0,6)+IF(AW59="",0,5)+IF(AY59="",0,5)+IF(BA59="",0,4))=0,"",(IF(AU59="",0,AU59*6)+IF(AW59="",0,AW59*5)+IF(AY59="",0,AY59*5)+IF(BA59="",0,BA59*4))/(IF(AU59="",0,6)+IF(AW59="",0,5)+IF(AY59="",0,5)+IF(BA59="",0,4)))</f>
        <v/>
      </c>
      <c r="BD59" s="14">
        <f>IF((IF(AV59="",0,6)+IF(AX59="",0,5)+IF(AZ59="",0,5)+IF(BB59="",0,4))=0,"",(IF(AV59="",0,AV59*6)+IF(AX59="",0,AX59*5)+IF(AZ59="",0,AZ59*5)+IF(BB59="",0,BB59*4))/20)</f>
        <v/>
      </c>
      <c r="BE59" s="14">
        <f>IF(AND(R59="",AD59="",AL59="",AT59="",BD59=""),"",((R59*25)+(AD59*22)+(AL59*18)+(AT59*15)+(BD59*20))/100)</f>
        <v/>
      </c>
      <c r="BF59" s="11">
        <f>IF(BE59="","",IF(BE59&gt;=0.75,"A",IF(BE59&gt;=0.5,"B",IF(BE59&gt;=0.35,"C","Watchlist"))))</f>
        <v/>
      </c>
      <c r="BG59" s="11">
        <f>IF(OR(BE59="",BE59&lt;0.5,R59="",R59&lt;0.35,AD59="",AD59&lt;0.35,AL59="",AL59&lt;0.35,AT59="",AT59&lt;0.35,BD59="",BD59&lt;0.35),"Watchlist","Ranked")</f>
        <v/>
      </c>
      <c r="BH59" s="15">
        <f>IF(AND(Q59="",AC59="",AK59="",AS59="",BC59=""),"",(IF(Q59="",0,Q59*25)+IF(AC59="",0,AC59*22)+IF(AK59="",0,AK59*18)+IF(AS59="",0,AS59*15)+IF(BC59="",0,BC59*20))/(IF(Q59="",0,25)+IF(AC59="",0,22)+IF(AK59="",0,18)+IF(AS59="",0,15)+IF(BC59="",0,20)))</f>
        <v/>
      </c>
      <c r="BI59" s="11">
        <f>IF(BG59="Ranked",1+COUNTIFS($BG$2:$BG$103,"Ranked",$BH$2:$BH$103,"&gt;"&amp;BH59),"")</f>
        <v/>
      </c>
      <c r="BJ59" s="11">
        <f>City_Inputs!$AH59</f>
        <v/>
      </c>
    </row>
    <row r="60">
      <c r="A60" t="inlineStr">
        <is>
          <t>ca-montreal</t>
        </is>
      </c>
      <c r="B60" t="inlineStr">
        <is>
          <t>Montreal</t>
        </is>
      </c>
      <c r="C60" t="inlineStr">
        <is>
          <t>Canada</t>
        </is>
      </c>
      <c r="D60" t="inlineStr">
        <is>
          <t>North America</t>
        </is>
      </c>
      <c r="E60" t="inlineStr">
        <is>
          <t>locked</t>
        </is>
      </c>
      <c r="F60" t="inlineStr">
        <is>
          <t>secondary</t>
        </is>
      </c>
      <c r="G60" s="11">
        <f>IF(OR(City_Inputs!$M60="",Norm_Stats!$F$2="",Norm_Stats!$G$2="",Norm_Stats!$G$2=Norm_Stats!$F$2),"",MAX(0,MIN(100,100*(MIN(MAX(City_Inputs!$M60,Norm_Stats!$F$2),Norm_Stats!$G$2)-Norm_Stats!$F$2)/(Norm_Stats!$G$2-Norm_Stats!$F$2))))</f>
        <v/>
      </c>
      <c r="H60" s="14">
        <f>IF(G60="","",1)</f>
        <v/>
      </c>
      <c r="I60" s="11">
        <f>IF(OR(City_Inputs!$N60="",Norm_Stats!$F$3="",Norm_Stats!$G$3="",Norm_Stats!$G$3=Norm_Stats!$F$3),"",MAX(0,MIN(100,100*(Norm_Stats!$G$3-MIN(MAX(City_Inputs!$N60,Norm_Stats!$F$3),Norm_Stats!$G$3))/(Norm_Stats!$G$3-Norm_Stats!$F$3))))</f>
        <v/>
      </c>
      <c r="J60" s="14">
        <f>IF(I60="","",1)</f>
        <v/>
      </c>
      <c r="K60" s="11">
        <f>IF(OR(City_Inputs!$P60="",Norm_Stats!$F$4="",Norm_Stats!$G$4="",Norm_Stats!$G$4=Norm_Stats!$F$4),"",MAX(0,MIN(100,100*(Norm_Stats!$G$4-MIN(MAX(City_Inputs!$P60,Norm_Stats!$F$4),Norm_Stats!$G$4))/(Norm_Stats!$G$4-Norm_Stats!$F$4))))</f>
        <v/>
      </c>
      <c r="L60" s="14">
        <f>IF(K60="","",1)</f>
        <v/>
      </c>
      <c r="M60" s="11">
        <f>IF(OR(City_Inputs!$Q60="",Norm_Stats!$F$5="",Norm_Stats!$G$5="",Norm_Stats!$G$5=Norm_Stats!$F$5),"",MAX(0,MIN(100,100*(Norm_Stats!$G$5-MIN(MAX(City_Inputs!$Q60,Norm_Stats!$F$5),Norm_Stats!$G$5))/(Norm_Stats!$G$5-Norm_Stats!$F$5))))</f>
        <v/>
      </c>
      <c r="N60" s="14">
        <f>IF(M60="","",1)</f>
        <v/>
      </c>
      <c r="O60" s="11">
        <f>IF(OR(City_Inputs!$R60="",Norm_Stats!$F$6="",Norm_Stats!$G$6="",Norm_Stats!$G$6=Norm_Stats!$F$6),"",MAX(0,MIN(100,100*(Norm_Stats!$G$6-MIN(MAX(City_Inputs!$R60,Norm_Stats!$F$6),Norm_Stats!$G$6))/(Norm_Stats!$G$6-Norm_Stats!$F$6))))</f>
        <v/>
      </c>
      <c r="P60" s="14">
        <f>IF(O60="","",1)</f>
        <v/>
      </c>
      <c r="Q60" s="15">
        <f>IF((IF(G60="",0,9)+IF(I60="",0,5)+IF(K60="",0,4)+IF(M60="",0,4)+IF(O60="",0,3))=0,"",(IF(G60="",0,G60*9)+IF(I60="",0,I60*5)+IF(K60="",0,K60*4)+IF(M60="",0,M60*4)+IF(O60="",0,O60*3))/(IF(G60="",0,9)+IF(I60="",0,5)+IF(K60="",0,4)+IF(M60="",0,4)+IF(O60="",0,3)))</f>
        <v/>
      </c>
      <c r="R60" s="14">
        <f>IF((IF(H60="",0,9)+IF(J60="",0,5)+IF(L60="",0,4)+IF(N60="",0,4)+IF(P60="",0,3))=0,"",(IF(H60="",0,H60*9)+IF(J60="",0,J60*5)+IF(L60="",0,L60*4)+IF(N60="",0,N60*4)+IF(P60="",0,P60*3))/25)</f>
        <v/>
      </c>
      <c r="S60" s="11">
        <f>IF(OR(City_Inputs!$S60="",Norm_Stats!$F$7="",Norm_Stats!$G$7="",Norm_Stats!$G$7=Norm_Stats!$F$7),"",MAX(0,MIN(100,100*(Norm_Stats!$G$7-MIN(MAX(City_Inputs!$S60,Norm_Stats!$F$7),Norm_Stats!$G$7))/(Norm_Stats!$G$7-Norm_Stats!$F$7))))</f>
        <v/>
      </c>
      <c r="T60" s="14">
        <f>IF(S60="","",1)</f>
        <v/>
      </c>
      <c r="U60" s="11">
        <f>IF(OR(City_Inputs!$T60="",Norm_Stats!$F$8="",Norm_Stats!$G$8="",Norm_Stats!$G$8=Norm_Stats!$F$8),"",MAX(0,MIN(100,100*(MIN(MAX(City_Inputs!$T60,Norm_Stats!$F$8),Norm_Stats!$G$8)-Norm_Stats!$F$8)/(Norm_Stats!$G$8-Norm_Stats!$F$8))))</f>
        <v/>
      </c>
      <c r="V60" s="14">
        <f>IF(U60="","",1)</f>
        <v/>
      </c>
      <c r="W60" s="11">
        <f>IF(OR(City_Inputs!$U60="",Norm_Stats!$F$9="",Norm_Stats!$G$9="",Norm_Stats!$G$9=Norm_Stats!$F$9),"",MAX(0,MIN(100,100*(Norm_Stats!$G$9-MIN(MAX(City_Inputs!$U60,Norm_Stats!$F$9),Norm_Stats!$G$9))/(Norm_Stats!$G$9-Norm_Stats!$F$9))))</f>
        <v/>
      </c>
      <c r="X60" s="14">
        <f>IF(W60="","",1)</f>
        <v/>
      </c>
      <c r="Y60" s="11">
        <f>IF(OR(City_Inputs!$V60="",Norm_Stats!$F$10="",Norm_Stats!$G$10="",Norm_Stats!$G$10=Norm_Stats!$F$10),"",MAX(0,MIN(100,100*(MIN(MAX(City_Inputs!$V60,Norm_Stats!$F$10),Norm_Stats!$G$10)-Norm_Stats!$F$10)/(Norm_Stats!$G$10-Norm_Stats!$F$10))))</f>
        <v/>
      </c>
      <c r="Z60" s="14">
        <f>IF(Y60="","",1)</f>
        <v/>
      </c>
      <c r="AA60" s="11">
        <f>IF(OR(City_Inputs!$W60="",Norm_Stats!$F$11="",Norm_Stats!$G$11="",Norm_Stats!$G$11=Norm_Stats!$F$11),"",MAX(0,MIN(100,100*(MIN(MAX(City_Inputs!$W60,Norm_Stats!$F$11),Norm_Stats!$G$11)-Norm_Stats!$F$11)/(Norm_Stats!$G$11-Norm_Stats!$F$11))))</f>
        <v/>
      </c>
      <c r="AB60" s="14">
        <f>IF(AA60="","",1)</f>
        <v/>
      </c>
      <c r="AC60" s="15">
        <f>IF((IF(S60="",0,5)+IF(U60="",0,5)+IF(W60="",0,4)+IF(Y60="",0,4)+IF(AA60="",0,4))=0,"",(IF(S60="",0,S60*5)+IF(U60="",0,U60*5)+IF(W60="",0,W60*4)+IF(Y60="",0,Y60*4)+IF(AA60="",0,AA60*4))/(IF(S60="",0,5)+IF(U60="",0,5)+IF(W60="",0,4)+IF(Y60="",0,4)+IF(AA60="",0,4)))</f>
        <v/>
      </c>
      <c r="AD60" s="14">
        <f>IF((IF(T60="",0,5)+IF(V60="",0,5)+IF(X60="",0,4)+IF(Z60="",0,4)+IF(AB60="",0,4))=0,"",(IF(T60="",0,T60*5)+IF(V60="",0,V60*5)+IF(X60="",0,X60*4)+IF(Z60="",0,Z60*4)+IF(AB60="",0,AB60*4))/22)</f>
        <v/>
      </c>
      <c r="AE60" s="11">
        <f>IF(OR(City_Inputs!$X60="",Norm_Stats!$F$12="",Norm_Stats!$G$12="",Norm_Stats!$G$12=Norm_Stats!$F$12),"",MAX(0,MIN(100,100*(MIN(MAX(City_Inputs!$X60,Norm_Stats!$F$12),Norm_Stats!$G$12)-Norm_Stats!$F$12)/(Norm_Stats!$G$12-Norm_Stats!$F$12))))</f>
        <v/>
      </c>
      <c r="AF60" s="14">
        <f>IF(AE60="","",1)</f>
        <v/>
      </c>
      <c r="AG60" s="11">
        <f>IF(OR(City_Inputs!$Y60="",Norm_Stats!$F$13="",Norm_Stats!$G$13="",Norm_Stats!$G$13=Norm_Stats!$F$13),"",MAX(0,MIN(100,100*(MIN(MAX(City_Inputs!$Y60,Norm_Stats!$F$13),Norm_Stats!$G$13)-Norm_Stats!$F$13)/(Norm_Stats!$G$13-Norm_Stats!$F$13))))</f>
        <v/>
      </c>
      <c r="AH60" s="14">
        <f>IF(AG60="","",1)</f>
        <v/>
      </c>
      <c r="AI60" s="11">
        <f>IF((IF((IF(OR(City_Inputs!$Z60="",Norm_Stats!$F$14="",Norm_Stats!$G$14="",Norm_Stats!$G$14=Norm_Stats!$F$14),"",MAX(0,MIN(100,100*(MIN(MAX(City_Inputs!$Z60,Norm_Stats!$F$14),Norm_Stats!$G$14)-Norm_Stats!$F$14)/(Norm_Stats!$G$14-Norm_Stats!$F$14)))))="",0,0.7)+IF((IF(OR(City_Inputs!$AK60="",Norm_Stats!$F$15="",Norm_Stats!$G$15="",Norm_Stats!$G$15=Norm_Stats!$F$15),"",MAX(0,MIN(100,100*(Norm_Stats!$G$15-MIN(MAX(City_Inputs!$AK60,Norm_Stats!$F$15),Norm_Stats!$G$15))/(Norm_Stats!$G$15-Norm_Stats!$F$15)))))="",0,0.3))=0,"",(IF((IF(OR(City_Inputs!$Z60="",Norm_Stats!$F$14="",Norm_Stats!$G$14="",Norm_Stats!$G$14=Norm_Stats!$F$14),"",MAX(0,MIN(100,100*(MIN(MAX(City_Inputs!$Z60,Norm_Stats!$F$14),Norm_Stats!$G$14)-Norm_Stats!$F$14)/(Norm_Stats!$G$14-Norm_Stats!$F$14)))))="",0,(IF(OR(City_Inputs!$Z60="",Norm_Stats!$F$14="",Norm_Stats!$G$14="",Norm_Stats!$G$14=Norm_Stats!$F$14),"",MAX(0,MIN(100,100*(MIN(MAX(City_Inputs!$Z60,Norm_Stats!$F$14),Norm_Stats!$G$14)-Norm_Stats!$F$14)/(Norm_Stats!$G$14-Norm_Stats!$F$14)))))*0.7)+IF((IF(OR(City_Inputs!$AK60="",Norm_Stats!$F$15="",Norm_Stats!$G$15="",Norm_Stats!$G$15=Norm_Stats!$F$15),"",MAX(0,MIN(100,100*(Norm_Stats!$G$15-MIN(MAX(City_Inputs!$AK60,Norm_Stats!$F$15),Norm_Stats!$G$15))/(Norm_Stats!$G$15-Norm_Stats!$F$15)))))="",0,(IF(OR(City_Inputs!$AK60="",Norm_Stats!$F$15="",Norm_Stats!$G$15="",Norm_Stats!$G$15=Norm_Stats!$F$15),"",MAX(0,MIN(100,100*(Norm_Stats!$G$15-MIN(MAX(City_Inputs!$AK60,Norm_Stats!$F$15),Norm_Stats!$G$15))/(Norm_Stats!$G$15-Norm_Stats!$F$15)))))*0.3))/(IF((IF(OR(City_Inputs!$Z60="",Norm_Stats!$F$14="",Norm_Stats!$G$14="",Norm_Stats!$G$14=Norm_Stats!$F$14),"",MAX(0,MIN(100,100*(MIN(MAX(City_Inputs!$Z60,Norm_Stats!$F$14),Norm_Stats!$G$14)-Norm_Stats!$F$14)/(Norm_Stats!$G$14-Norm_Stats!$F$14)))))="",0,0.7)+IF((IF(OR(City_Inputs!$AK60="",Norm_Stats!$F$15="",Norm_Stats!$G$15="",Norm_Stats!$G$15=Norm_Stats!$F$15),"",MAX(0,MIN(100,100*(Norm_Stats!$G$15-MIN(MAX(City_Inputs!$AK60,Norm_Stats!$F$15),Norm_Stats!$G$15))/(Norm_Stats!$G$15-Norm_Stats!$F$15)))))="",0,0.3)))</f>
        <v/>
      </c>
      <c r="AJ60" s="14">
        <f>IF((IF((IF(OR(City_Inputs!$Z60="",Norm_Stats!$F$14="",Norm_Stats!$G$14="",Norm_Stats!$G$14=Norm_Stats!$F$14),"",MAX(0,MIN(100,100*(MIN(MAX(City_Inputs!$Z60,Norm_Stats!$F$14),Norm_Stats!$G$14)-Norm_Stats!$F$14)/(Norm_Stats!$G$14-Norm_Stats!$F$14)))))="",0,0.7)+IF((IF(OR(City_Inputs!$AK60="",Norm_Stats!$F$15="",Norm_Stats!$G$15="",Norm_Stats!$G$15=Norm_Stats!$F$15),"",MAX(0,MIN(100,100*(Norm_Stats!$G$15-MIN(MAX(City_Inputs!$AK60,Norm_Stats!$F$15),Norm_Stats!$G$15))/(Norm_Stats!$G$15-Norm_Stats!$F$15)))))="",0,0.3))=0,"",(IF((IF(OR(City_Inputs!$Z60="",Norm_Stats!$F$14="",Norm_Stats!$G$14="",Norm_Stats!$G$14=Norm_Stats!$F$14),"",MAX(0,MIN(100,100*(MIN(MAX(City_Inputs!$Z60,Norm_Stats!$F$14),Norm_Stats!$G$14)-Norm_Stats!$F$14)/(Norm_Stats!$G$14-Norm_Stats!$F$14)))))="",0,0.7)+IF((IF(OR(City_Inputs!$AK60="",Norm_Stats!$F$15="",Norm_Stats!$G$15="",Norm_Stats!$G$15=Norm_Stats!$F$15),"",MAX(0,MIN(100,100*(Norm_Stats!$G$15-MIN(MAX(City_Inputs!$AK60,Norm_Stats!$F$15),Norm_Stats!$G$15))/(Norm_Stats!$G$15-Norm_Stats!$F$15)))))="",0,0.3)))</f>
        <v/>
      </c>
      <c r="AK60" s="15">
        <f>IF((IF(AE60="",0,8)+IF(AG60="",0,6)+IF(AI60="",0,4))=0,"",(IF(AE60="",0,AE60*8)+IF(AG60="",0,AG60*6)+IF(AI60="",0,AI60*4))/(IF(AE60="",0,8)+IF(AG60="",0,6)+IF(AI60="",0,4)))</f>
        <v/>
      </c>
      <c r="AL60" s="14">
        <f>IF((IF(AF60="",0,8)+IF(AH60="",0,6)+IF(AJ60="",0,4))=0,"",(IF(AF60="",0,AF60*8)+IF(AH60="",0,AH60*6)+IF(AJ60="",0,AJ60*4))/18)</f>
        <v/>
      </c>
      <c r="AM60" s="11">
        <f>IF(OR(City_Inputs!$AA60="",Norm_Stats!$F$16="",Norm_Stats!$G$16="",Norm_Stats!$G$16=Norm_Stats!$F$16),"",MAX(0,MIN(100,100*(MIN(MAX(City_Inputs!$AA60,Norm_Stats!$F$16),Norm_Stats!$G$16)-Norm_Stats!$F$16)/(Norm_Stats!$G$16-Norm_Stats!$F$16))))</f>
        <v/>
      </c>
      <c r="AN60" s="14">
        <f>IF(AM60="","",1)</f>
        <v/>
      </c>
      <c r="AO60" s="11">
        <f>IF(OR(City_Inputs!$AB60="",Norm_Stats!$F$17="",Norm_Stats!$G$17="",Norm_Stats!$G$17=Norm_Stats!$F$17),"",MAX(0,MIN(100,100*(MIN(MAX(City_Inputs!$AB60,Norm_Stats!$F$17),Norm_Stats!$G$17)-Norm_Stats!$F$17)/(Norm_Stats!$G$17-Norm_Stats!$F$17))))</f>
        <v/>
      </c>
      <c r="AP60" s="14">
        <f>IF(AO60="","",1)</f>
        <v/>
      </c>
      <c r="AQ60" s="11">
        <f>IF(OR(City_Inputs!$AC60="",Norm_Stats!$F$18="",Norm_Stats!$G$18="",Norm_Stats!$G$18=Norm_Stats!$F$18),"",MAX(0,MIN(100,100*(MIN(MAX(City_Inputs!$AC60,Norm_Stats!$F$18),Norm_Stats!$G$18)-Norm_Stats!$F$18)/(Norm_Stats!$G$18-Norm_Stats!$F$18))))</f>
        <v/>
      </c>
      <c r="AR60" s="14">
        <f>IF(AQ60="","",1)</f>
        <v/>
      </c>
      <c r="AS60" s="15">
        <f>IF((IF(AM60="",0,5)+IF(AO60="",0,5)+IF(AQ60="",0,5))=0,"",(IF(AM60="",0,AM60*5)+IF(AO60="",0,AO60*5)+IF(AQ60="",0,AQ60*5))/(IF(AM60="",0,5)+IF(AO60="",0,5)+IF(AQ60="",0,5)))</f>
        <v/>
      </c>
      <c r="AT60" s="14">
        <f>IF((IF(AN60="",0,5)+IF(AP60="",0,5)+IF(AR60="",0,5))=0,"",(IF(AN60="",0,AN60*5)+IF(AP60="",0,AP60*5)+IF(AR60="",0,AR60*5))/15)</f>
        <v/>
      </c>
      <c r="AU60" s="11">
        <f>IF(OR(City_Inputs!$AD60="",Norm_Stats!$F$19="",Norm_Stats!$G$19="",Norm_Stats!$G$19=Norm_Stats!$F$19),"",MAX(0,MIN(100,100*(MIN(MAX(City_Inputs!$AD60,Norm_Stats!$F$19),Norm_Stats!$G$19)-Norm_Stats!$F$19)/(Norm_Stats!$G$19-Norm_Stats!$F$19))))</f>
        <v/>
      </c>
      <c r="AV60" s="14">
        <f>IF(AU60="","",1)</f>
        <v/>
      </c>
      <c r="AW60" s="11">
        <f>IF(OR(City_Inputs!$AE60="",Norm_Stats!$F$20="",Norm_Stats!$G$20="",Norm_Stats!$G$20=Norm_Stats!$F$20),"",MAX(0,MIN(100,100*(MIN(MAX(City_Inputs!$AE60,Norm_Stats!$F$20),Norm_Stats!$G$20)-Norm_Stats!$F$20)/(Norm_Stats!$G$20-Norm_Stats!$F$20))))</f>
        <v/>
      </c>
      <c r="AX60" s="14">
        <f>IF(AW60="","",1)</f>
        <v/>
      </c>
      <c r="AY60" s="11">
        <f>IF((IF((IF(OR(City_Inputs!$AF60="",Norm_Stats!$F$21="",Norm_Stats!$G$21="",Norm_Stats!$G$21=Norm_Stats!$F$21),"",MAX(0,MIN(100,100*(MIN(MAX(City_Inputs!$AF60,Norm_Stats!$F$21),Norm_Stats!$G$21)-Norm_Stats!$F$21)/(Norm_Stats!$G$21-Norm_Stats!$F$21)))))="",0,0.5)+IF((IF(OR(City_Inputs!$AI60="",Norm_Stats!$F$22="",Norm_Stats!$G$22="",Norm_Stats!$G$22=Norm_Stats!$F$22),"",MAX(0,MIN(100,100*(MIN(MAX(City_Inputs!$AI60,Norm_Stats!$F$22),Norm_Stats!$G$22)-Norm_Stats!$F$22)/(Norm_Stats!$G$22-Norm_Stats!$F$22)))))="",0,0.3)+IF((IF(OR(City_Inputs!$AJ60="",Norm_Stats!$F$23="",Norm_Stats!$G$23="",Norm_Stats!$G$23=Norm_Stats!$F$23),"",MAX(0,MIN(100,100*(MIN(MAX(City_Inputs!$AJ60,Norm_Stats!$F$23),Norm_Stats!$G$23)-Norm_Stats!$F$23)/(Norm_Stats!$G$23-Norm_Stats!$F$23)))))="",0,0.2))=0,"",(IF((IF(OR(City_Inputs!$AF60="",Norm_Stats!$F$21="",Norm_Stats!$G$21="",Norm_Stats!$G$21=Norm_Stats!$F$21),"",MAX(0,MIN(100,100*(MIN(MAX(City_Inputs!$AF60,Norm_Stats!$F$21),Norm_Stats!$G$21)-Norm_Stats!$F$21)/(Norm_Stats!$G$21-Norm_Stats!$F$21)))))="",0,(IF(OR(City_Inputs!$AF60="",Norm_Stats!$F$21="",Norm_Stats!$G$21="",Norm_Stats!$G$21=Norm_Stats!$F$21),"",MAX(0,MIN(100,100*(MIN(MAX(City_Inputs!$AF60,Norm_Stats!$F$21),Norm_Stats!$G$21)-Norm_Stats!$F$21)/(Norm_Stats!$G$21-Norm_Stats!$F$21)))))*0.5)+IF((IF(OR(City_Inputs!$AI60="",Norm_Stats!$F$22="",Norm_Stats!$G$22="",Norm_Stats!$G$22=Norm_Stats!$F$22),"",MAX(0,MIN(100,100*(MIN(MAX(City_Inputs!$AI60,Norm_Stats!$F$22),Norm_Stats!$G$22)-Norm_Stats!$F$22)/(Norm_Stats!$G$22-Norm_Stats!$F$22)))))="",0,(IF(OR(City_Inputs!$AI60="",Norm_Stats!$F$22="",Norm_Stats!$G$22="",Norm_Stats!$G$22=Norm_Stats!$F$22),"",MAX(0,MIN(100,100*(MIN(MAX(City_Inputs!$AI60,Norm_Stats!$F$22),Norm_Stats!$G$22)-Norm_Stats!$F$22)/(Norm_Stats!$G$22-Norm_Stats!$F$22)))))*0.3)+IF((IF(OR(City_Inputs!$AJ60="",Norm_Stats!$F$23="",Norm_Stats!$G$23="",Norm_Stats!$G$23=Norm_Stats!$F$23),"",MAX(0,MIN(100,100*(MIN(MAX(City_Inputs!$AJ60,Norm_Stats!$F$23),Norm_Stats!$G$23)-Norm_Stats!$F$23)/(Norm_Stats!$G$23-Norm_Stats!$F$23)))))="",0,(IF(OR(City_Inputs!$AJ60="",Norm_Stats!$F$23="",Norm_Stats!$G$23="",Norm_Stats!$G$23=Norm_Stats!$F$23),"",MAX(0,MIN(100,100*(MIN(MAX(City_Inputs!$AJ60,Norm_Stats!$F$23),Norm_Stats!$G$23)-Norm_Stats!$F$23)/(Norm_Stats!$G$23-Norm_Stats!$F$23)))))*0.2))/(IF((IF(OR(City_Inputs!$AF60="",Norm_Stats!$F$21="",Norm_Stats!$G$21="",Norm_Stats!$G$21=Norm_Stats!$F$21),"",MAX(0,MIN(100,100*(MIN(MAX(City_Inputs!$AF60,Norm_Stats!$F$21),Norm_Stats!$G$21)-Norm_Stats!$F$21)/(Norm_Stats!$G$21-Norm_Stats!$F$21)))))="",0,0.5)+IF((IF(OR(City_Inputs!$AI60="",Norm_Stats!$F$22="",Norm_Stats!$G$22="",Norm_Stats!$G$22=Norm_Stats!$F$22),"",MAX(0,MIN(100,100*(MIN(MAX(City_Inputs!$AI60,Norm_Stats!$F$22),Norm_Stats!$G$22)-Norm_Stats!$F$22)/(Norm_Stats!$G$22-Norm_Stats!$F$22)))))="",0,0.3)+IF((IF(OR(City_Inputs!$AJ60="",Norm_Stats!$F$23="",Norm_Stats!$G$23="",Norm_Stats!$G$23=Norm_Stats!$F$23),"",MAX(0,MIN(100,100*(MIN(MAX(City_Inputs!$AJ60,Norm_Stats!$F$23),Norm_Stats!$G$23)-Norm_Stats!$F$23)/(Norm_Stats!$G$23-Norm_Stats!$F$23)))))="",0,0.2)))</f>
        <v/>
      </c>
      <c r="AZ60" s="14">
        <f>IF((IF((IF(OR(City_Inputs!$AF60="",Norm_Stats!$F$21="",Norm_Stats!$G$21="",Norm_Stats!$G$21=Norm_Stats!$F$21),"",MAX(0,MIN(100,100*(MIN(MAX(City_Inputs!$AF60,Norm_Stats!$F$21),Norm_Stats!$G$21)-Norm_Stats!$F$21)/(Norm_Stats!$G$21-Norm_Stats!$F$21)))))="",0,0.5)+IF((IF(OR(City_Inputs!$AI60="",Norm_Stats!$F$22="",Norm_Stats!$G$22="",Norm_Stats!$G$22=Norm_Stats!$F$22),"",MAX(0,MIN(100,100*(MIN(MAX(City_Inputs!$AI60,Norm_Stats!$F$22),Norm_Stats!$G$22)-Norm_Stats!$F$22)/(Norm_Stats!$G$22-Norm_Stats!$F$22)))))="",0,0.3)+IF((IF(OR(City_Inputs!$AJ60="",Norm_Stats!$F$23="",Norm_Stats!$G$23="",Norm_Stats!$G$23=Norm_Stats!$F$23),"",MAX(0,MIN(100,100*(MIN(MAX(City_Inputs!$AJ60,Norm_Stats!$F$23),Norm_Stats!$G$23)-Norm_Stats!$F$23)/(Norm_Stats!$G$23-Norm_Stats!$F$23)))))="",0,0.2))=0,"",(IF((IF(OR(City_Inputs!$AF60="",Norm_Stats!$F$21="",Norm_Stats!$G$21="",Norm_Stats!$G$21=Norm_Stats!$F$21),"",MAX(0,MIN(100,100*(MIN(MAX(City_Inputs!$AF60,Norm_Stats!$F$21),Norm_Stats!$G$21)-Norm_Stats!$F$21)/(Norm_Stats!$G$21-Norm_Stats!$F$21)))))="",0,0.5)+IF((IF(OR(City_Inputs!$AI60="",Norm_Stats!$F$22="",Norm_Stats!$G$22="",Norm_Stats!$G$22=Norm_Stats!$F$22),"",MAX(0,MIN(100,100*(MIN(MAX(City_Inputs!$AI60,Norm_Stats!$F$22),Norm_Stats!$G$22)-Norm_Stats!$F$22)/(Norm_Stats!$G$22-Norm_Stats!$F$22)))))="",0,0.3)+IF((IF(OR(City_Inputs!$AJ60="",Norm_Stats!$F$23="",Norm_Stats!$G$23="",Norm_Stats!$G$23=Norm_Stats!$F$23),"",MAX(0,MIN(100,100*(MIN(MAX(City_Inputs!$AJ60,Norm_Stats!$F$23),Norm_Stats!$G$23)-Norm_Stats!$F$23)/(Norm_Stats!$G$23-Norm_Stats!$F$23)))))="",0,0.2)))</f>
        <v/>
      </c>
      <c r="BA60" s="11">
        <f>IF(OR(City_Inputs!$AG60="",Norm_Stats!$F$24="",Norm_Stats!$G$24="",Norm_Stats!$G$24=Norm_Stats!$F$24),"",MAX(0,MIN(100,100*(Norm_Stats!$G$24-MIN(MAX(City_Inputs!$AG60,Norm_Stats!$F$24),Norm_Stats!$G$24))/(Norm_Stats!$G$24-Norm_Stats!$F$24))))</f>
        <v/>
      </c>
      <c r="BB60" s="14">
        <f>IF(BA60="","",1)</f>
        <v/>
      </c>
      <c r="BC60" s="15">
        <f>IF((IF(AU60="",0,6)+IF(AW60="",0,5)+IF(AY60="",0,5)+IF(BA60="",0,4))=0,"",(IF(AU60="",0,AU60*6)+IF(AW60="",0,AW60*5)+IF(AY60="",0,AY60*5)+IF(BA60="",0,BA60*4))/(IF(AU60="",0,6)+IF(AW60="",0,5)+IF(AY60="",0,5)+IF(BA60="",0,4)))</f>
        <v/>
      </c>
      <c r="BD60" s="14">
        <f>IF((IF(AV60="",0,6)+IF(AX60="",0,5)+IF(AZ60="",0,5)+IF(BB60="",0,4))=0,"",(IF(AV60="",0,AV60*6)+IF(AX60="",0,AX60*5)+IF(AZ60="",0,AZ60*5)+IF(BB60="",0,BB60*4))/20)</f>
        <v/>
      </c>
      <c r="BE60" s="14">
        <f>IF(AND(R60="",AD60="",AL60="",AT60="",BD60=""),"",((R60*25)+(AD60*22)+(AL60*18)+(AT60*15)+(BD60*20))/100)</f>
        <v/>
      </c>
      <c r="BF60" s="11">
        <f>IF(BE60="","",IF(BE60&gt;=0.75,"A",IF(BE60&gt;=0.5,"B",IF(BE60&gt;=0.35,"C","Watchlist"))))</f>
        <v/>
      </c>
      <c r="BG60" s="11">
        <f>IF(OR(BE60="",BE60&lt;0.5,R60="",R60&lt;0.35,AD60="",AD60&lt;0.35,AL60="",AL60&lt;0.35,AT60="",AT60&lt;0.35,BD60="",BD60&lt;0.35),"Watchlist","Ranked")</f>
        <v/>
      </c>
      <c r="BH60" s="15">
        <f>IF(AND(Q60="",AC60="",AK60="",AS60="",BC60=""),"",(IF(Q60="",0,Q60*25)+IF(AC60="",0,AC60*22)+IF(AK60="",0,AK60*18)+IF(AS60="",0,AS60*15)+IF(BC60="",0,BC60*20))/(IF(Q60="",0,25)+IF(AC60="",0,22)+IF(AK60="",0,18)+IF(AS60="",0,15)+IF(BC60="",0,20)))</f>
        <v/>
      </c>
      <c r="BI60" s="11">
        <f>IF(BG60="Ranked",1+COUNTIFS($BG$2:$BG$103,"Ranked",$BH$2:$BH$103,"&gt;"&amp;BH60),"")</f>
        <v/>
      </c>
      <c r="BJ60" s="11">
        <f>City_Inputs!$AH60</f>
        <v/>
      </c>
    </row>
    <row r="61">
      <c r="A61" t="inlineStr">
        <is>
          <t>mx-guadalajara</t>
        </is>
      </c>
      <c r="B61" t="inlineStr">
        <is>
          <t>Guadalajara</t>
        </is>
      </c>
      <c r="C61" t="inlineStr">
        <is>
          <t>Mexico</t>
        </is>
      </c>
      <c r="D61" t="inlineStr">
        <is>
          <t>North America</t>
        </is>
      </c>
      <c r="E61" t="inlineStr">
        <is>
          <t>locked</t>
        </is>
      </c>
      <c r="F61" t="inlineStr">
        <is>
          <t>secondary</t>
        </is>
      </c>
      <c r="G61" s="11">
        <f>IF(OR(City_Inputs!$M61="",Norm_Stats!$F$2="",Norm_Stats!$G$2="",Norm_Stats!$G$2=Norm_Stats!$F$2),"",MAX(0,MIN(100,100*(MIN(MAX(City_Inputs!$M61,Norm_Stats!$F$2),Norm_Stats!$G$2)-Norm_Stats!$F$2)/(Norm_Stats!$G$2-Norm_Stats!$F$2))))</f>
        <v/>
      </c>
      <c r="H61" s="14">
        <f>IF(G61="","",1)</f>
        <v/>
      </c>
      <c r="I61" s="11">
        <f>IF(OR(City_Inputs!$N61="",Norm_Stats!$F$3="",Norm_Stats!$G$3="",Norm_Stats!$G$3=Norm_Stats!$F$3),"",MAX(0,MIN(100,100*(Norm_Stats!$G$3-MIN(MAX(City_Inputs!$N61,Norm_Stats!$F$3),Norm_Stats!$G$3))/(Norm_Stats!$G$3-Norm_Stats!$F$3))))</f>
        <v/>
      </c>
      <c r="J61" s="14">
        <f>IF(I61="","",1)</f>
        <v/>
      </c>
      <c r="K61" s="11">
        <f>IF(OR(City_Inputs!$P61="",Norm_Stats!$F$4="",Norm_Stats!$G$4="",Norm_Stats!$G$4=Norm_Stats!$F$4),"",MAX(0,MIN(100,100*(Norm_Stats!$G$4-MIN(MAX(City_Inputs!$P61,Norm_Stats!$F$4),Norm_Stats!$G$4))/(Norm_Stats!$G$4-Norm_Stats!$F$4))))</f>
        <v/>
      </c>
      <c r="L61" s="14">
        <f>IF(K61="","",1)</f>
        <v/>
      </c>
      <c r="M61" s="11">
        <f>IF(OR(City_Inputs!$Q61="",Norm_Stats!$F$5="",Norm_Stats!$G$5="",Norm_Stats!$G$5=Norm_Stats!$F$5),"",MAX(0,MIN(100,100*(Norm_Stats!$G$5-MIN(MAX(City_Inputs!$Q61,Norm_Stats!$F$5),Norm_Stats!$G$5))/(Norm_Stats!$G$5-Norm_Stats!$F$5))))</f>
        <v/>
      </c>
      <c r="N61" s="14">
        <f>IF(M61="","",1)</f>
        <v/>
      </c>
      <c r="O61" s="11">
        <f>IF(OR(City_Inputs!$R61="",Norm_Stats!$F$6="",Norm_Stats!$G$6="",Norm_Stats!$G$6=Norm_Stats!$F$6),"",MAX(0,MIN(100,100*(Norm_Stats!$G$6-MIN(MAX(City_Inputs!$R61,Norm_Stats!$F$6),Norm_Stats!$G$6))/(Norm_Stats!$G$6-Norm_Stats!$F$6))))</f>
        <v/>
      </c>
      <c r="P61" s="14">
        <f>IF(O61="","",1)</f>
        <v/>
      </c>
      <c r="Q61" s="15">
        <f>IF((IF(G61="",0,9)+IF(I61="",0,5)+IF(K61="",0,4)+IF(M61="",0,4)+IF(O61="",0,3))=0,"",(IF(G61="",0,G61*9)+IF(I61="",0,I61*5)+IF(K61="",0,K61*4)+IF(M61="",0,M61*4)+IF(O61="",0,O61*3))/(IF(G61="",0,9)+IF(I61="",0,5)+IF(K61="",0,4)+IF(M61="",0,4)+IF(O61="",0,3)))</f>
        <v/>
      </c>
      <c r="R61" s="14">
        <f>IF((IF(H61="",0,9)+IF(J61="",0,5)+IF(L61="",0,4)+IF(N61="",0,4)+IF(P61="",0,3))=0,"",(IF(H61="",0,H61*9)+IF(J61="",0,J61*5)+IF(L61="",0,L61*4)+IF(N61="",0,N61*4)+IF(P61="",0,P61*3))/25)</f>
        <v/>
      </c>
      <c r="S61" s="11">
        <f>IF(OR(City_Inputs!$S61="",Norm_Stats!$F$7="",Norm_Stats!$G$7="",Norm_Stats!$G$7=Norm_Stats!$F$7),"",MAX(0,MIN(100,100*(Norm_Stats!$G$7-MIN(MAX(City_Inputs!$S61,Norm_Stats!$F$7),Norm_Stats!$G$7))/(Norm_Stats!$G$7-Norm_Stats!$F$7))))</f>
        <v/>
      </c>
      <c r="T61" s="14">
        <f>IF(S61="","",1)</f>
        <v/>
      </c>
      <c r="U61" s="11">
        <f>IF(OR(City_Inputs!$T61="",Norm_Stats!$F$8="",Norm_Stats!$G$8="",Norm_Stats!$G$8=Norm_Stats!$F$8),"",MAX(0,MIN(100,100*(MIN(MAX(City_Inputs!$T61,Norm_Stats!$F$8),Norm_Stats!$G$8)-Norm_Stats!$F$8)/(Norm_Stats!$G$8-Norm_Stats!$F$8))))</f>
        <v/>
      </c>
      <c r="V61" s="14">
        <f>IF(U61="","",1)</f>
        <v/>
      </c>
      <c r="W61" s="11">
        <f>IF(OR(City_Inputs!$U61="",Norm_Stats!$F$9="",Norm_Stats!$G$9="",Norm_Stats!$G$9=Norm_Stats!$F$9),"",MAX(0,MIN(100,100*(Norm_Stats!$G$9-MIN(MAX(City_Inputs!$U61,Norm_Stats!$F$9),Norm_Stats!$G$9))/(Norm_Stats!$G$9-Norm_Stats!$F$9))))</f>
        <v/>
      </c>
      <c r="X61" s="14">
        <f>IF(W61="","",1)</f>
        <v/>
      </c>
      <c r="Y61" s="11">
        <f>IF(OR(City_Inputs!$V61="",Norm_Stats!$F$10="",Norm_Stats!$G$10="",Norm_Stats!$G$10=Norm_Stats!$F$10),"",MAX(0,MIN(100,100*(MIN(MAX(City_Inputs!$V61,Norm_Stats!$F$10),Norm_Stats!$G$10)-Norm_Stats!$F$10)/(Norm_Stats!$G$10-Norm_Stats!$F$10))))</f>
        <v/>
      </c>
      <c r="Z61" s="14">
        <f>IF(Y61="","",1)</f>
        <v/>
      </c>
      <c r="AA61" s="11">
        <f>IF(OR(City_Inputs!$W61="",Norm_Stats!$F$11="",Norm_Stats!$G$11="",Norm_Stats!$G$11=Norm_Stats!$F$11),"",MAX(0,MIN(100,100*(MIN(MAX(City_Inputs!$W61,Norm_Stats!$F$11),Norm_Stats!$G$11)-Norm_Stats!$F$11)/(Norm_Stats!$G$11-Norm_Stats!$F$11))))</f>
        <v/>
      </c>
      <c r="AB61" s="14">
        <f>IF(AA61="","",1)</f>
        <v/>
      </c>
      <c r="AC61" s="15">
        <f>IF((IF(S61="",0,5)+IF(U61="",0,5)+IF(W61="",0,4)+IF(Y61="",0,4)+IF(AA61="",0,4))=0,"",(IF(S61="",0,S61*5)+IF(U61="",0,U61*5)+IF(W61="",0,W61*4)+IF(Y61="",0,Y61*4)+IF(AA61="",0,AA61*4))/(IF(S61="",0,5)+IF(U61="",0,5)+IF(W61="",0,4)+IF(Y61="",0,4)+IF(AA61="",0,4)))</f>
        <v/>
      </c>
      <c r="AD61" s="14">
        <f>IF((IF(T61="",0,5)+IF(V61="",0,5)+IF(X61="",0,4)+IF(Z61="",0,4)+IF(AB61="",0,4))=0,"",(IF(T61="",0,T61*5)+IF(V61="",0,V61*5)+IF(X61="",0,X61*4)+IF(Z61="",0,Z61*4)+IF(AB61="",0,AB61*4))/22)</f>
        <v/>
      </c>
      <c r="AE61" s="11">
        <f>IF(OR(City_Inputs!$X61="",Norm_Stats!$F$12="",Norm_Stats!$G$12="",Norm_Stats!$G$12=Norm_Stats!$F$12),"",MAX(0,MIN(100,100*(MIN(MAX(City_Inputs!$X61,Norm_Stats!$F$12),Norm_Stats!$G$12)-Norm_Stats!$F$12)/(Norm_Stats!$G$12-Norm_Stats!$F$12))))</f>
        <v/>
      </c>
      <c r="AF61" s="14">
        <f>IF(AE61="","",1)</f>
        <v/>
      </c>
      <c r="AG61" s="11">
        <f>IF(OR(City_Inputs!$Y61="",Norm_Stats!$F$13="",Norm_Stats!$G$13="",Norm_Stats!$G$13=Norm_Stats!$F$13),"",MAX(0,MIN(100,100*(MIN(MAX(City_Inputs!$Y61,Norm_Stats!$F$13),Norm_Stats!$G$13)-Norm_Stats!$F$13)/(Norm_Stats!$G$13-Norm_Stats!$F$13))))</f>
        <v/>
      </c>
      <c r="AH61" s="14">
        <f>IF(AG61="","",1)</f>
        <v/>
      </c>
      <c r="AI61" s="11">
        <f>IF((IF((IF(OR(City_Inputs!$Z61="",Norm_Stats!$F$14="",Norm_Stats!$G$14="",Norm_Stats!$G$14=Norm_Stats!$F$14),"",MAX(0,MIN(100,100*(MIN(MAX(City_Inputs!$Z61,Norm_Stats!$F$14),Norm_Stats!$G$14)-Norm_Stats!$F$14)/(Norm_Stats!$G$14-Norm_Stats!$F$14)))))="",0,0.7)+IF((IF(OR(City_Inputs!$AK61="",Norm_Stats!$F$15="",Norm_Stats!$G$15="",Norm_Stats!$G$15=Norm_Stats!$F$15),"",MAX(0,MIN(100,100*(Norm_Stats!$G$15-MIN(MAX(City_Inputs!$AK61,Norm_Stats!$F$15),Norm_Stats!$G$15))/(Norm_Stats!$G$15-Norm_Stats!$F$15)))))="",0,0.3))=0,"",(IF((IF(OR(City_Inputs!$Z61="",Norm_Stats!$F$14="",Norm_Stats!$G$14="",Norm_Stats!$G$14=Norm_Stats!$F$14),"",MAX(0,MIN(100,100*(MIN(MAX(City_Inputs!$Z61,Norm_Stats!$F$14),Norm_Stats!$G$14)-Norm_Stats!$F$14)/(Norm_Stats!$G$14-Norm_Stats!$F$14)))))="",0,(IF(OR(City_Inputs!$Z61="",Norm_Stats!$F$14="",Norm_Stats!$G$14="",Norm_Stats!$G$14=Norm_Stats!$F$14),"",MAX(0,MIN(100,100*(MIN(MAX(City_Inputs!$Z61,Norm_Stats!$F$14),Norm_Stats!$G$14)-Norm_Stats!$F$14)/(Norm_Stats!$G$14-Norm_Stats!$F$14)))))*0.7)+IF((IF(OR(City_Inputs!$AK61="",Norm_Stats!$F$15="",Norm_Stats!$G$15="",Norm_Stats!$G$15=Norm_Stats!$F$15),"",MAX(0,MIN(100,100*(Norm_Stats!$G$15-MIN(MAX(City_Inputs!$AK61,Norm_Stats!$F$15),Norm_Stats!$G$15))/(Norm_Stats!$G$15-Norm_Stats!$F$15)))))="",0,(IF(OR(City_Inputs!$AK61="",Norm_Stats!$F$15="",Norm_Stats!$G$15="",Norm_Stats!$G$15=Norm_Stats!$F$15),"",MAX(0,MIN(100,100*(Norm_Stats!$G$15-MIN(MAX(City_Inputs!$AK61,Norm_Stats!$F$15),Norm_Stats!$G$15))/(Norm_Stats!$G$15-Norm_Stats!$F$15)))))*0.3))/(IF((IF(OR(City_Inputs!$Z61="",Norm_Stats!$F$14="",Norm_Stats!$G$14="",Norm_Stats!$G$14=Norm_Stats!$F$14),"",MAX(0,MIN(100,100*(MIN(MAX(City_Inputs!$Z61,Norm_Stats!$F$14),Norm_Stats!$G$14)-Norm_Stats!$F$14)/(Norm_Stats!$G$14-Norm_Stats!$F$14)))))="",0,0.7)+IF((IF(OR(City_Inputs!$AK61="",Norm_Stats!$F$15="",Norm_Stats!$G$15="",Norm_Stats!$G$15=Norm_Stats!$F$15),"",MAX(0,MIN(100,100*(Norm_Stats!$G$15-MIN(MAX(City_Inputs!$AK61,Norm_Stats!$F$15),Norm_Stats!$G$15))/(Norm_Stats!$G$15-Norm_Stats!$F$15)))))="",0,0.3)))</f>
        <v/>
      </c>
      <c r="AJ61" s="14">
        <f>IF((IF((IF(OR(City_Inputs!$Z61="",Norm_Stats!$F$14="",Norm_Stats!$G$14="",Norm_Stats!$G$14=Norm_Stats!$F$14),"",MAX(0,MIN(100,100*(MIN(MAX(City_Inputs!$Z61,Norm_Stats!$F$14),Norm_Stats!$G$14)-Norm_Stats!$F$14)/(Norm_Stats!$G$14-Norm_Stats!$F$14)))))="",0,0.7)+IF((IF(OR(City_Inputs!$AK61="",Norm_Stats!$F$15="",Norm_Stats!$G$15="",Norm_Stats!$G$15=Norm_Stats!$F$15),"",MAX(0,MIN(100,100*(Norm_Stats!$G$15-MIN(MAX(City_Inputs!$AK61,Norm_Stats!$F$15),Norm_Stats!$G$15))/(Norm_Stats!$G$15-Norm_Stats!$F$15)))))="",0,0.3))=0,"",(IF((IF(OR(City_Inputs!$Z61="",Norm_Stats!$F$14="",Norm_Stats!$G$14="",Norm_Stats!$G$14=Norm_Stats!$F$14),"",MAX(0,MIN(100,100*(MIN(MAX(City_Inputs!$Z61,Norm_Stats!$F$14),Norm_Stats!$G$14)-Norm_Stats!$F$14)/(Norm_Stats!$G$14-Norm_Stats!$F$14)))))="",0,0.7)+IF((IF(OR(City_Inputs!$AK61="",Norm_Stats!$F$15="",Norm_Stats!$G$15="",Norm_Stats!$G$15=Norm_Stats!$F$15),"",MAX(0,MIN(100,100*(Norm_Stats!$G$15-MIN(MAX(City_Inputs!$AK61,Norm_Stats!$F$15),Norm_Stats!$G$15))/(Norm_Stats!$G$15-Norm_Stats!$F$15)))))="",0,0.3)))</f>
        <v/>
      </c>
      <c r="AK61" s="15">
        <f>IF((IF(AE61="",0,8)+IF(AG61="",0,6)+IF(AI61="",0,4))=0,"",(IF(AE61="",0,AE61*8)+IF(AG61="",0,AG61*6)+IF(AI61="",0,AI61*4))/(IF(AE61="",0,8)+IF(AG61="",0,6)+IF(AI61="",0,4)))</f>
        <v/>
      </c>
      <c r="AL61" s="14">
        <f>IF((IF(AF61="",0,8)+IF(AH61="",0,6)+IF(AJ61="",0,4))=0,"",(IF(AF61="",0,AF61*8)+IF(AH61="",0,AH61*6)+IF(AJ61="",0,AJ61*4))/18)</f>
        <v/>
      </c>
      <c r="AM61" s="11">
        <f>IF(OR(City_Inputs!$AA61="",Norm_Stats!$F$16="",Norm_Stats!$G$16="",Norm_Stats!$G$16=Norm_Stats!$F$16),"",MAX(0,MIN(100,100*(MIN(MAX(City_Inputs!$AA61,Norm_Stats!$F$16),Norm_Stats!$G$16)-Norm_Stats!$F$16)/(Norm_Stats!$G$16-Norm_Stats!$F$16))))</f>
        <v/>
      </c>
      <c r="AN61" s="14">
        <f>IF(AM61="","",1)</f>
        <v/>
      </c>
      <c r="AO61" s="11">
        <f>IF(OR(City_Inputs!$AB61="",Norm_Stats!$F$17="",Norm_Stats!$G$17="",Norm_Stats!$G$17=Norm_Stats!$F$17),"",MAX(0,MIN(100,100*(MIN(MAX(City_Inputs!$AB61,Norm_Stats!$F$17),Norm_Stats!$G$17)-Norm_Stats!$F$17)/(Norm_Stats!$G$17-Norm_Stats!$F$17))))</f>
        <v/>
      </c>
      <c r="AP61" s="14">
        <f>IF(AO61="","",1)</f>
        <v/>
      </c>
      <c r="AQ61" s="11">
        <f>IF(OR(City_Inputs!$AC61="",Norm_Stats!$F$18="",Norm_Stats!$G$18="",Norm_Stats!$G$18=Norm_Stats!$F$18),"",MAX(0,MIN(100,100*(MIN(MAX(City_Inputs!$AC61,Norm_Stats!$F$18),Norm_Stats!$G$18)-Norm_Stats!$F$18)/(Norm_Stats!$G$18-Norm_Stats!$F$18))))</f>
        <v/>
      </c>
      <c r="AR61" s="14">
        <f>IF(AQ61="","",1)</f>
        <v/>
      </c>
      <c r="AS61" s="15">
        <f>IF((IF(AM61="",0,5)+IF(AO61="",0,5)+IF(AQ61="",0,5))=0,"",(IF(AM61="",0,AM61*5)+IF(AO61="",0,AO61*5)+IF(AQ61="",0,AQ61*5))/(IF(AM61="",0,5)+IF(AO61="",0,5)+IF(AQ61="",0,5)))</f>
        <v/>
      </c>
      <c r="AT61" s="14">
        <f>IF((IF(AN61="",0,5)+IF(AP61="",0,5)+IF(AR61="",0,5))=0,"",(IF(AN61="",0,AN61*5)+IF(AP61="",0,AP61*5)+IF(AR61="",0,AR61*5))/15)</f>
        <v/>
      </c>
      <c r="AU61" s="11">
        <f>IF(OR(City_Inputs!$AD61="",Norm_Stats!$F$19="",Norm_Stats!$G$19="",Norm_Stats!$G$19=Norm_Stats!$F$19),"",MAX(0,MIN(100,100*(MIN(MAX(City_Inputs!$AD61,Norm_Stats!$F$19),Norm_Stats!$G$19)-Norm_Stats!$F$19)/(Norm_Stats!$G$19-Norm_Stats!$F$19))))</f>
        <v/>
      </c>
      <c r="AV61" s="14">
        <f>IF(AU61="","",1)</f>
        <v/>
      </c>
      <c r="AW61" s="11">
        <f>IF(OR(City_Inputs!$AE61="",Norm_Stats!$F$20="",Norm_Stats!$G$20="",Norm_Stats!$G$20=Norm_Stats!$F$20),"",MAX(0,MIN(100,100*(MIN(MAX(City_Inputs!$AE61,Norm_Stats!$F$20),Norm_Stats!$G$20)-Norm_Stats!$F$20)/(Norm_Stats!$G$20-Norm_Stats!$F$20))))</f>
        <v/>
      </c>
      <c r="AX61" s="14">
        <f>IF(AW61="","",1)</f>
        <v/>
      </c>
      <c r="AY61" s="11">
        <f>IF((IF((IF(OR(City_Inputs!$AF61="",Norm_Stats!$F$21="",Norm_Stats!$G$21="",Norm_Stats!$G$21=Norm_Stats!$F$21),"",MAX(0,MIN(100,100*(MIN(MAX(City_Inputs!$AF61,Norm_Stats!$F$21),Norm_Stats!$G$21)-Norm_Stats!$F$21)/(Norm_Stats!$G$21-Norm_Stats!$F$21)))))="",0,0.5)+IF((IF(OR(City_Inputs!$AI61="",Norm_Stats!$F$22="",Norm_Stats!$G$22="",Norm_Stats!$G$22=Norm_Stats!$F$22),"",MAX(0,MIN(100,100*(MIN(MAX(City_Inputs!$AI61,Norm_Stats!$F$22),Norm_Stats!$G$22)-Norm_Stats!$F$22)/(Norm_Stats!$G$22-Norm_Stats!$F$22)))))="",0,0.3)+IF((IF(OR(City_Inputs!$AJ61="",Norm_Stats!$F$23="",Norm_Stats!$G$23="",Norm_Stats!$G$23=Norm_Stats!$F$23),"",MAX(0,MIN(100,100*(MIN(MAX(City_Inputs!$AJ61,Norm_Stats!$F$23),Norm_Stats!$G$23)-Norm_Stats!$F$23)/(Norm_Stats!$G$23-Norm_Stats!$F$23)))))="",0,0.2))=0,"",(IF((IF(OR(City_Inputs!$AF61="",Norm_Stats!$F$21="",Norm_Stats!$G$21="",Norm_Stats!$G$21=Norm_Stats!$F$21),"",MAX(0,MIN(100,100*(MIN(MAX(City_Inputs!$AF61,Norm_Stats!$F$21),Norm_Stats!$G$21)-Norm_Stats!$F$21)/(Norm_Stats!$G$21-Norm_Stats!$F$21)))))="",0,(IF(OR(City_Inputs!$AF61="",Norm_Stats!$F$21="",Norm_Stats!$G$21="",Norm_Stats!$G$21=Norm_Stats!$F$21),"",MAX(0,MIN(100,100*(MIN(MAX(City_Inputs!$AF61,Norm_Stats!$F$21),Norm_Stats!$G$21)-Norm_Stats!$F$21)/(Norm_Stats!$G$21-Norm_Stats!$F$21)))))*0.5)+IF((IF(OR(City_Inputs!$AI61="",Norm_Stats!$F$22="",Norm_Stats!$G$22="",Norm_Stats!$G$22=Norm_Stats!$F$22),"",MAX(0,MIN(100,100*(MIN(MAX(City_Inputs!$AI61,Norm_Stats!$F$22),Norm_Stats!$G$22)-Norm_Stats!$F$22)/(Norm_Stats!$G$22-Norm_Stats!$F$22)))))="",0,(IF(OR(City_Inputs!$AI61="",Norm_Stats!$F$22="",Norm_Stats!$G$22="",Norm_Stats!$G$22=Norm_Stats!$F$22),"",MAX(0,MIN(100,100*(MIN(MAX(City_Inputs!$AI61,Norm_Stats!$F$22),Norm_Stats!$G$22)-Norm_Stats!$F$22)/(Norm_Stats!$G$22-Norm_Stats!$F$22)))))*0.3)+IF((IF(OR(City_Inputs!$AJ61="",Norm_Stats!$F$23="",Norm_Stats!$G$23="",Norm_Stats!$G$23=Norm_Stats!$F$23),"",MAX(0,MIN(100,100*(MIN(MAX(City_Inputs!$AJ61,Norm_Stats!$F$23),Norm_Stats!$G$23)-Norm_Stats!$F$23)/(Norm_Stats!$G$23-Norm_Stats!$F$23)))))="",0,(IF(OR(City_Inputs!$AJ61="",Norm_Stats!$F$23="",Norm_Stats!$G$23="",Norm_Stats!$G$23=Norm_Stats!$F$23),"",MAX(0,MIN(100,100*(MIN(MAX(City_Inputs!$AJ61,Norm_Stats!$F$23),Norm_Stats!$G$23)-Norm_Stats!$F$23)/(Norm_Stats!$G$23-Norm_Stats!$F$23)))))*0.2))/(IF((IF(OR(City_Inputs!$AF61="",Norm_Stats!$F$21="",Norm_Stats!$G$21="",Norm_Stats!$G$21=Norm_Stats!$F$21),"",MAX(0,MIN(100,100*(MIN(MAX(City_Inputs!$AF61,Norm_Stats!$F$21),Norm_Stats!$G$21)-Norm_Stats!$F$21)/(Norm_Stats!$G$21-Norm_Stats!$F$21)))))="",0,0.5)+IF((IF(OR(City_Inputs!$AI61="",Norm_Stats!$F$22="",Norm_Stats!$G$22="",Norm_Stats!$G$22=Norm_Stats!$F$22),"",MAX(0,MIN(100,100*(MIN(MAX(City_Inputs!$AI61,Norm_Stats!$F$22),Norm_Stats!$G$22)-Norm_Stats!$F$22)/(Norm_Stats!$G$22-Norm_Stats!$F$22)))))="",0,0.3)+IF((IF(OR(City_Inputs!$AJ61="",Norm_Stats!$F$23="",Norm_Stats!$G$23="",Norm_Stats!$G$23=Norm_Stats!$F$23),"",MAX(0,MIN(100,100*(MIN(MAX(City_Inputs!$AJ61,Norm_Stats!$F$23),Norm_Stats!$G$23)-Norm_Stats!$F$23)/(Norm_Stats!$G$23-Norm_Stats!$F$23)))))="",0,0.2)))</f>
        <v/>
      </c>
      <c r="AZ61" s="14">
        <f>IF((IF((IF(OR(City_Inputs!$AF61="",Norm_Stats!$F$21="",Norm_Stats!$G$21="",Norm_Stats!$G$21=Norm_Stats!$F$21),"",MAX(0,MIN(100,100*(MIN(MAX(City_Inputs!$AF61,Norm_Stats!$F$21),Norm_Stats!$G$21)-Norm_Stats!$F$21)/(Norm_Stats!$G$21-Norm_Stats!$F$21)))))="",0,0.5)+IF((IF(OR(City_Inputs!$AI61="",Norm_Stats!$F$22="",Norm_Stats!$G$22="",Norm_Stats!$G$22=Norm_Stats!$F$22),"",MAX(0,MIN(100,100*(MIN(MAX(City_Inputs!$AI61,Norm_Stats!$F$22),Norm_Stats!$G$22)-Norm_Stats!$F$22)/(Norm_Stats!$G$22-Norm_Stats!$F$22)))))="",0,0.3)+IF((IF(OR(City_Inputs!$AJ61="",Norm_Stats!$F$23="",Norm_Stats!$G$23="",Norm_Stats!$G$23=Norm_Stats!$F$23),"",MAX(0,MIN(100,100*(MIN(MAX(City_Inputs!$AJ61,Norm_Stats!$F$23),Norm_Stats!$G$23)-Norm_Stats!$F$23)/(Norm_Stats!$G$23-Norm_Stats!$F$23)))))="",0,0.2))=0,"",(IF((IF(OR(City_Inputs!$AF61="",Norm_Stats!$F$21="",Norm_Stats!$G$21="",Norm_Stats!$G$21=Norm_Stats!$F$21),"",MAX(0,MIN(100,100*(MIN(MAX(City_Inputs!$AF61,Norm_Stats!$F$21),Norm_Stats!$G$21)-Norm_Stats!$F$21)/(Norm_Stats!$G$21-Norm_Stats!$F$21)))))="",0,0.5)+IF((IF(OR(City_Inputs!$AI61="",Norm_Stats!$F$22="",Norm_Stats!$G$22="",Norm_Stats!$G$22=Norm_Stats!$F$22),"",MAX(0,MIN(100,100*(MIN(MAX(City_Inputs!$AI61,Norm_Stats!$F$22),Norm_Stats!$G$22)-Norm_Stats!$F$22)/(Norm_Stats!$G$22-Norm_Stats!$F$22)))))="",0,0.3)+IF((IF(OR(City_Inputs!$AJ61="",Norm_Stats!$F$23="",Norm_Stats!$G$23="",Norm_Stats!$G$23=Norm_Stats!$F$23),"",MAX(0,MIN(100,100*(MIN(MAX(City_Inputs!$AJ61,Norm_Stats!$F$23),Norm_Stats!$G$23)-Norm_Stats!$F$23)/(Norm_Stats!$G$23-Norm_Stats!$F$23)))))="",0,0.2)))</f>
        <v/>
      </c>
      <c r="BA61" s="11">
        <f>IF(OR(City_Inputs!$AG61="",Norm_Stats!$F$24="",Norm_Stats!$G$24="",Norm_Stats!$G$24=Norm_Stats!$F$24),"",MAX(0,MIN(100,100*(Norm_Stats!$G$24-MIN(MAX(City_Inputs!$AG61,Norm_Stats!$F$24),Norm_Stats!$G$24))/(Norm_Stats!$G$24-Norm_Stats!$F$24))))</f>
        <v/>
      </c>
      <c r="BB61" s="14">
        <f>IF(BA61="","",1)</f>
        <v/>
      </c>
      <c r="BC61" s="15">
        <f>IF((IF(AU61="",0,6)+IF(AW61="",0,5)+IF(AY61="",0,5)+IF(BA61="",0,4))=0,"",(IF(AU61="",0,AU61*6)+IF(AW61="",0,AW61*5)+IF(AY61="",0,AY61*5)+IF(BA61="",0,BA61*4))/(IF(AU61="",0,6)+IF(AW61="",0,5)+IF(AY61="",0,5)+IF(BA61="",0,4)))</f>
        <v/>
      </c>
      <c r="BD61" s="14">
        <f>IF((IF(AV61="",0,6)+IF(AX61="",0,5)+IF(AZ61="",0,5)+IF(BB61="",0,4))=0,"",(IF(AV61="",0,AV61*6)+IF(AX61="",0,AX61*5)+IF(AZ61="",0,AZ61*5)+IF(BB61="",0,BB61*4))/20)</f>
        <v/>
      </c>
      <c r="BE61" s="14">
        <f>IF(AND(R61="",AD61="",AL61="",AT61="",BD61=""),"",((R61*25)+(AD61*22)+(AL61*18)+(AT61*15)+(BD61*20))/100)</f>
        <v/>
      </c>
      <c r="BF61" s="11">
        <f>IF(BE61="","",IF(BE61&gt;=0.75,"A",IF(BE61&gt;=0.5,"B",IF(BE61&gt;=0.35,"C","Watchlist"))))</f>
        <v/>
      </c>
      <c r="BG61" s="11">
        <f>IF(OR(BE61="",BE61&lt;0.5,R61="",R61&lt;0.35,AD61="",AD61&lt;0.35,AL61="",AL61&lt;0.35,AT61="",AT61&lt;0.35,BD61="",BD61&lt;0.35),"Watchlist","Ranked")</f>
        <v/>
      </c>
      <c r="BH61" s="15">
        <f>IF(AND(Q61="",AC61="",AK61="",AS61="",BC61=""),"",(IF(Q61="",0,Q61*25)+IF(AC61="",0,AC61*22)+IF(AK61="",0,AK61*18)+IF(AS61="",0,AS61*15)+IF(BC61="",0,BC61*20))/(IF(Q61="",0,25)+IF(AC61="",0,22)+IF(AK61="",0,18)+IF(AS61="",0,15)+IF(BC61="",0,20)))</f>
        <v/>
      </c>
      <c r="BI61" s="11">
        <f>IF(BG61="Ranked",1+COUNTIFS($BG$2:$BG$103,"Ranked",$BH$2:$BH$103,"&gt;"&amp;BH61),"")</f>
        <v/>
      </c>
      <c r="BJ61" s="11">
        <f>City_Inputs!$AH61</f>
        <v/>
      </c>
    </row>
    <row r="62">
      <c r="A62" t="inlineStr">
        <is>
          <t>pr-san-juan</t>
        </is>
      </c>
      <c r="B62" t="inlineStr">
        <is>
          <t>San Juan</t>
        </is>
      </c>
      <c r="C62" t="inlineStr">
        <is>
          <t>Puerto Rico</t>
        </is>
      </c>
      <c r="D62" t="inlineStr">
        <is>
          <t>North America</t>
        </is>
      </c>
      <c r="E62" t="inlineStr">
        <is>
          <t>provisional</t>
        </is>
      </c>
      <c r="F62" t="inlineStr">
        <is>
          <t>secondary</t>
        </is>
      </c>
      <c r="G62" s="11">
        <f>IF(OR(City_Inputs!$M62="",Norm_Stats!$F$2="",Norm_Stats!$G$2="",Norm_Stats!$G$2=Norm_Stats!$F$2),"",MAX(0,MIN(100,100*(MIN(MAX(City_Inputs!$M62,Norm_Stats!$F$2),Norm_Stats!$G$2)-Norm_Stats!$F$2)/(Norm_Stats!$G$2-Norm_Stats!$F$2))))</f>
        <v/>
      </c>
      <c r="H62" s="14">
        <f>IF(G62="","",1)</f>
        <v/>
      </c>
      <c r="I62" s="11">
        <f>IF(OR(City_Inputs!$N62="",Norm_Stats!$F$3="",Norm_Stats!$G$3="",Norm_Stats!$G$3=Norm_Stats!$F$3),"",MAX(0,MIN(100,100*(Norm_Stats!$G$3-MIN(MAX(City_Inputs!$N62,Norm_Stats!$F$3),Norm_Stats!$G$3))/(Norm_Stats!$G$3-Norm_Stats!$F$3))))</f>
        <v/>
      </c>
      <c r="J62" s="14">
        <f>IF(I62="","",1)</f>
        <v/>
      </c>
      <c r="K62" s="11">
        <f>IF(OR(City_Inputs!$P62="",Norm_Stats!$F$4="",Norm_Stats!$G$4="",Norm_Stats!$G$4=Norm_Stats!$F$4),"",MAX(0,MIN(100,100*(Norm_Stats!$G$4-MIN(MAX(City_Inputs!$P62,Norm_Stats!$F$4),Norm_Stats!$G$4))/(Norm_Stats!$G$4-Norm_Stats!$F$4))))</f>
        <v/>
      </c>
      <c r="L62" s="14">
        <f>IF(K62="","",1)</f>
        <v/>
      </c>
      <c r="M62" s="11">
        <f>IF(OR(City_Inputs!$Q62="",Norm_Stats!$F$5="",Norm_Stats!$G$5="",Norm_Stats!$G$5=Norm_Stats!$F$5),"",MAX(0,MIN(100,100*(Norm_Stats!$G$5-MIN(MAX(City_Inputs!$Q62,Norm_Stats!$F$5),Norm_Stats!$G$5))/(Norm_Stats!$G$5-Norm_Stats!$F$5))))</f>
        <v/>
      </c>
      <c r="N62" s="14">
        <f>IF(M62="","",1)</f>
        <v/>
      </c>
      <c r="O62" s="11">
        <f>IF(OR(City_Inputs!$R62="",Norm_Stats!$F$6="",Norm_Stats!$G$6="",Norm_Stats!$G$6=Norm_Stats!$F$6),"",MAX(0,MIN(100,100*(Norm_Stats!$G$6-MIN(MAX(City_Inputs!$R62,Norm_Stats!$F$6),Norm_Stats!$G$6))/(Norm_Stats!$G$6-Norm_Stats!$F$6))))</f>
        <v/>
      </c>
      <c r="P62" s="14">
        <f>IF(O62="","",1)</f>
        <v/>
      </c>
      <c r="Q62" s="15">
        <f>IF((IF(G62="",0,9)+IF(I62="",0,5)+IF(K62="",0,4)+IF(M62="",0,4)+IF(O62="",0,3))=0,"",(IF(G62="",0,G62*9)+IF(I62="",0,I62*5)+IF(K62="",0,K62*4)+IF(M62="",0,M62*4)+IF(O62="",0,O62*3))/(IF(G62="",0,9)+IF(I62="",0,5)+IF(K62="",0,4)+IF(M62="",0,4)+IF(O62="",0,3)))</f>
        <v/>
      </c>
      <c r="R62" s="14">
        <f>IF((IF(H62="",0,9)+IF(J62="",0,5)+IF(L62="",0,4)+IF(N62="",0,4)+IF(P62="",0,3))=0,"",(IF(H62="",0,H62*9)+IF(J62="",0,J62*5)+IF(L62="",0,L62*4)+IF(N62="",0,N62*4)+IF(P62="",0,P62*3))/25)</f>
        <v/>
      </c>
      <c r="S62" s="11">
        <f>IF(OR(City_Inputs!$S62="",Norm_Stats!$F$7="",Norm_Stats!$G$7="",Norm_Stats!$G$7=Norm_Stats!$F$7),"",MAX(0,MIN(100,100*(Norm_Stats!$G$7-MIN(MAX(City_Inputs!$S62,Norm_Stats!$F$7),Norm_Stats!$G$7))/(Norm_Stats!$G$7-Norm_Stats!$F$7))))</f>
        <v/>
      </c>
      <c r="T62" s="14">
        <f>IF(S62="","",1)</f>
        <v/>
      </c>
      <c r="U62" s="11">
        <f>IF(OR(City_Inputs!$T62="",Norm_Stats!$F$8="",Norm_Stats!$G$8="",Norm_Stats!$G$8=Norm_Stats!$F$8),"",MAX(0,MIN(100,100*(MIN(MAX(City_Inputs!$T62,Norm_Stats!$F$8),Norm_Stats!$G$8)-Norm_Stats!$F$8)/(Norm_Stats!$G$8-Norm_Stats!$F$8))))</f>
        <v/>
      </c>
      <c r="V62" s="14">
        <f>IF(U62="","",1)</f>
        <v/>
      </c>
      <c r="W62" s="11">
        <f>IF(OR(City_Inputs!$U62="",Norm_Stats!$F$9="",Norm_Stats!$G$9="",Norm_Stats!$G$9=Norm_Stats!$F$9),"",MAX(0,MIN(100,100*(Norm_Stats!$G$9-MIN(MAX(City_Inputs!$U62,Norm_Stats!$F$9),Norm_Stats!$G$9))/(Norm_Stats!$G$9-Norm_Stats!$F$9))))</f>
        <v/>
      </c>
      <c r="X62" s="14">
        <f>IF(W62="","",1)</f>
        <v/>
      </c>
      <c r="Y62" s="11">
        <f>IF(OR(City_Inputs!$V62="",Norm_Stats!$F$10="",Norm_Stats!$G$10="",Norm_Stats!$G$10=Norm_Stats!$F$10),"",MAX(0,MIN(100,100*(MIN(MAX(City_Inputs!$V62,Norm_Stats!$F$10),Norm_Stats!$G$10)-Norm_Stats!$F$10)/(Norm_Stats!$G$10-Norm_Stats!$F$10))))</f>
        <v/>
      </c>
      <c r="Z62" s="14">
        <f>IF(Y62="","",1)</f>
        <v/>
      </c>
      <c r="AA62" s="11">
        <f>IF(OR(City_Inputs!$W62="",Norm_Stats!$F$11="",Norm_Stats!$G$11="",Norm_Stats!$G$11=Norm_Stats!$F$11),"",MAX(0,MIN(100,100*(MIN(MAX(City_Inputs!$W62,Norm_Stats!$F$11),Norm_Stats!$G$11)-Norm_Stats!$F$11)/(Norm_Stats!$G$11-Norm_Stats!$F$11))))</f>
        <v/>
      </c>
      <c r="AB62" s="14">
        <f>IF(AA62="","",1)</f>
        <v/>
      </c>
      <c r="AC62" s="15">
        <f>IF((IF(S62="",0,5)+IF(U62="",0,5)+IF(W62="",0,4)+IF(Y62="",0,4)+IF(AA62="",0,4))=0,"",(IF(S62="",0,S62*5)+IF(U62="",0,U62*5)+IF(W62="",0,W62*4)+IF(Y62="",0,Y62*4)+IF(AA62="",0,AA62*4))/(IF(S62="",0,5)+IF(U62="",0,5)+IF(W62="",0,4)+IF(Y62="",0,4)+IF(AA62="",0,4)))</f>
        <v/>
      </c>
      <c r="AD62" s="14">
        <f>IF((IF(T62="",0,5)+IF(V62="",0,5)+IF(X62="",0,4)+IF(Z62="",0,4)+IF(AB62="",0,4))=0,"",(IF(T62="",0,T62*5)+IF(V62="",0,V62*5)+IF(X62="",0,X62*4)+IF(Z62="",0,Z62*4)+IF(AB62="",0,AB62*4))/22)</f>
        <v/>
      </c>
      <c r="AE62" s="11">
        <f>IF(OR(City_Inputs!$X62="",Norm_Stats!$F$12="",Norm_Stats!$G$12="",Norm_Stats!$G$12=Norm_Stats!$F$12),"",MAX(0,MIN(100,100*(MIN(MAX(City_Inputs!$X62,Norm_Stats!$F$12),Norm_Stats!$G$12)-Norm_Stats!$F$12)/(Norm_Stats!$G$12-Norm_Stats!$F$12))))</f>
        <v/>
      </c>
      <c r="AF62" s="14">
        <f>IF(AE62="","",1)</f>
        <v/>
      </c>
      <c r="AG62" s="11">
        <f>IF(OR(City_Inputs!$Y62="",Norm_Stats!$F$13="",Norm_Stats!$G$13="",Norm_Stats!$G$13=Norm_Stats!$F$13),"",MAX(0,MIN(100,100*(MIN(MAX(City_Inputs!$Y62,Norm_Stats!$F$13),Norm_Stats!$G$13)-Norm_Stats!$F$13)/(Norm_Stats!$G$13-Norm_Stats!$F$13))))</f>
        <v/>
      </c>
      <c r="AH62" s="14">
        <f>IF(AG62="","",1)</f>
        <v/>
      </c>
      <c r="AI62" s="11">
        <f>IF((IF((IF(OR(City_Inputs!$Z62="",Norm_Stats!$F$14="",Norm_Stats!$G$14="",Norm_Stats!$G$14=Norm_Stats!$F$14),"",MAX(0,MIN(100,100*(MIN(MAX(City_Inputs!$Z62,Norm_Stats!$F$14),Norm_Stats!$G$14)-Norm_Stats!$F$14)/(Norm_Stats!$G$14-Norm_Stats!$F$14)))))="",0,0.7)+IF((IF(OR(City_Inputs!$AK62="",Norm_Stats!$F$15="",Norm_Stats!$G$15="",Norm_Stats!$G$15=Norm_Stats!$F$15),"",MAX(0,MIN(100,100*(Norm_Stats!$G$15-MIN(MAX(City_Inputs!$AK62,Norm_Stats!$F$15),Norm_Stats!$G$15))/(Norm_Stats!$G$15-Norm_Stats!$F$15)))))="",0,0.3))=0,"",(IF((IF(OR(City_Inputs!$Z62="",Norm_Stats!$F$14="",Norm_Stats!$G$14="",Norm_Stats!$G$14=Norm_Stats!$F$14),"",MAX(0,MIN(100,100*(MIN(MAX(City_Inputs!$Z62,Norm_Stats!$F$14),Norm_Stats!$G$14)-Norm_Stats!$F$14)/(Norm_Stats!$G$14-Norm_Stats!$F$14)))))="",0,(IF(OR(City_Inputs!$Z62="",Norm_Stats!$F$14="",Norm_Stats!$G$14="",Norm_Stats!$G$14=Norm_Stats!$F$14),"",MAX(0,MIN(100,100*(MIN(MAX(City_Inputs!$Z62,Norm_Stats!$F$14),Norm_Stats!$G$14)-Norm_Stats!$F$14)/(Norm_Stats!$G$14-Norm_Stats!$F$14)))))*0.7)+IF((IF(OR(City_Inputs!$AK62="",Norm_Stats!$F$15="",Norm_Stats!$G$15="",Norm_Stats!$G$15=Norm_Stats!$F$15),"",MAX(0,MIN(100,100*(Norm_Stats!$G$15-MIN(MAX(City_Inputs!$AK62,Norm_Stats!$F$15),Norm_Stats!$G$15))/(Norm_Stats!$G$15-Norm_Stats!$F$15)))))="",0,(IF(OR(City_Inputs!$AK62="",Norm_Stats!$F$15="",Norm_Stats!$G$15="",Norm_Stats!$G$15=Norm_Stats!$F$15),"",MAX(0,MIN(100,100*(Norm_Stats!$G$15-MIN(MAX(City_Inputs!$AK62,Norm_Stats!$F$15),Norm_Stats!$G$15))/(Norm_Stats!$G$15-Norm_Stats!$F$15)))))*0.3))/(IF((IF(OR(City_Inputs!$Z62="",Norm_Stats!$F$14="",Norm_Stats!$G$14="",Norm_Stats!$G$14=Norm_Stats!$F$14),"",MAX(0,MIN(100,100*(MIN(MAX(City_Inputs!$Z62,Norm_Stats!$F$14),Norm_Stats!$G$14)-Norm_Stats!$F$14)/(Norm_Stats!$G$14-Norm_Stats!$F$14)))))="",0,0.7)+IF((IF(OR(City_Inputs!$AK62="",Norm_Stats!$F$15="",Norm_Stats!$G$15="",Norm_Stats!$G$15=Norm_Stats!$F$15),"",MAX(0,MIN(100,100*(Norm_Stats!$G$15-MIN(MAX(City_Inputs!$AK62,Norm_Stats!$F$15),Norm_Stats!$G$15))/(Norm_Stats!$G$15-Norm_Stats!$F$15)))))="",0,0.3)))</f>
        <v/>
      </c>
      <c r="AJ62" s="14">
        <f>IF((IF((IF(OR(City_Inputs!$Z62="",Norm_Stats!$F$14="",Norm_Stats!$G$14="",Norm_Stats!$G$14=Norm_Stats!$F$14),"",MAX(0,MIN(100,100*(MIN(MAX(City_Inputs!$Z62,Norm_Stats!$F$14),Norm_Stats!$G$14)-Norm_Stats!$F$14)/(Norm_Stats!$G$14-Norm_Stats!$F$14)))))="",0,0.7)+IF((IF(OR(City_Inputs!$AK62="",Norm_Stats!$F$15="",Norm_Stats!$G$15="",Norm_Stats!$G$15=Norm_Stats!$F$15),"",MAX(0,MIN(100,100*(Norm_Stats!$G$15-MIN(MAX(City_Inputs!$AK62,Norm_Stats!$F$15),Norm_Stats!$G$15))/(Norm_Stats!$G$15-Norm_Stats!$F$15)))))="",0,0.3))=0,"",(IF((IF(OR(City_Inputs!$Z62="",Norm_Stats!$F$14="",Norm_Stats!$G$14="",Norm_Stats!$G$14=Norm_Stats!$F$14),"",MAX(0,MIN(100,100*(MIN(MAX(City_Inputs!$Z62,Norm_Stats!$F$14),Norm_Stats!$G$14)-Norm_Stats!$F$14)/(Norm_Stats!$G$14-Norm_Stats!$F$14)))))="",0,0.7)+IF((IF(OR(City_Inputs!$AK62="",Norm_Stats!$F$15="",Norm_Stats!$G$15="",Norm_Stats!$G$15=Norm_Stats!$F$15),"",MAX(0,MIN(100,100*(Norm_Stats!$G$15-MIN(MAX(City_Inputs!$AK62,Norm_Stats!$F$15),Norm_Stats!$G$15))/(Norm_Stats!$G$15-Norm_Stats!$F$15)))))="",0,0.3)))</f>
        <v/>
      </c>
      <c r="AK62" s="15">
        <f>IF((IF(AE62="",0,8)+IF(AG62="",0,6)+IF(AI62="",0,4))=0,"",(IF(AE62="",0,AE62*8)+IF(AG62="",0,AG62*6)+IF(AI62="",0,AI62*4))/(IF(AE62="",0,8)+IF(AG62="",0,6)+IF(AI62="",0,4)))</f>
        <v/>
      </c>
      <c r="AL62" s="14">
        <f>IF((IF(AF62="",0,8)+IF(AH62="",0,6)+IF(AJ62="",0,4))=0,"",(IF(AF62="",0,AF62*8)+IF(AH62="",0,AH62*6)+IF(AJ62="",0,AJ62*4))/18)</f>
        <v/>
      </c>
      <c r="AM62" s="11">
        <f>IF(OR(City_Inputs!$AA62="",Norm_Stats!$F$16="",Norm_Stats!$G$16="",Norm_Stats!$G$16=Norm_Stats!$F$16),"",MAX(0,MIN(100,100*(MIN(MAX(City_Inputs!$AA62,Norm_Stats!$F$16),Norm_Stats!$G$16)-Norm_Stats!$F$16)/(Norm_Stats!$G$16-Norm_Stats!$F$16))))</f>
        <v/>
      </c>
      <c r="AN62" s="14">
        <f>IF(AM62="","",1)</f>
        <v/>
      </c>
      <c r="AO62" s="11">
        <f>IF(OR(City_Inputs!$AB62="",Norm_Stats!$F$17="",Norm_Stats!$G$17="",Norm_Stats!$G$17=Norm_Stats!$F$17),"",MAX(0,MIN(100,100*(MIN(MAX(City_Inputs!$AB62,Norm_Stats!$F$17),Norm_Stats!$G$17)-Norm_Stats!$F$17)/(Norm_Stats!$G$17-Norm_Stats!$F$17))))</f>
        <v/>
      </c>
      <c r="AP62" s="14">
        <f>IF(AO62="","",1)</f>
        <v/>
      </c>
      <c r="AQ62" s="11">
        <f>IF(OR(City_Inputs!$AC62="",Norm_Stats!$F$18="",Norm_Stats!$G$18="",Norm_Stats!$G$18=Norm_Stats!$F$18),"",MAX(0,MIN(100,100*(MIN(MAX(City_Inputs!$AC62,Norm_Stats!$F$18),Norm_Stats!$G$18)-Norm_Stats!$F$18)/(Norm_Stats!$G$18-Norm_Stats!$F$18))))</f>
        <v/>
      </c>
      <c r="AR62" s="14">
        <f>IF(AQ62="","",1)</f>
        <v/>
      </c>
      <c r="AS62" s="15">
        <f>IF((IF(AM62="",0,5)+IF(AO62="",0,5)+IF(AQ62="",0,5))=0,"",(IF(AM62="",0,AM62*5)+IF(AO62="",0,AO62*5)+IF(AQ62="",0,AQ62*5))/(IF(AM62="",0,5)+IF(AO62="",0,5)+IF(AQ62="",0,5)))</f>
        <v/>
      </c>
      <c r="AT62" s="14">
        <f>IF((IF(AN62="",0,5)+IF(AP62="",0,5)+IF(AR62="",0,5))=0,"",(IF(AN62="",0,AN62*5)+IF(AP62="",0,AP62*5)+IF(AR62="",0,AR62*5))/15)</f>
        <v/>
      </c>
      <c r="AU62" s="11">
        <f>IF(OR(City_Inputs!$AD62="",Norm_Stats!$F$19="",Norm_Stats!$G$19="",Norm_Stats!$G$19=Norm_Stats!$F$19),"",MAX(0,MIN(100,100*(MIN(MAX(City_Inputs!$AD62,Norm_Stats!$F$19),Norm_Stats!$G$19)-Norm_Stats!$F$19)/(Norm_Stats!$G$19-Norm_Stats!$F$19))))</f>
        <v/>
      </c>
      <c r="AV62" s="14">
        <f>IF(AU62="","",1)</f>
        <v/>
      </c>
      <c r="AW62" s="11">
        <f>IF(OR(City_Inputs!$AE62="",Norm_Stats!$F$20="",Norm_Stats!$G$20="",Norm_Stats!$G$20=Norm_Stats!$F$20),"",MAX(0,MIN(100,100*(MIN(MAX(City_Inputs!$AE62,Norm_Stats!$F$20),Norm_Stats!$G$20)-Norm_Stats!$F$20)/(Norm_Stats!$G$20-Norm_Stats!$F$20))))</f>
        <v/>
      </c>
      <c r="AX62" s="14">
        <f>IF(AW62="","",1)</f>
        <v/>
      </c>
      <c r="AY62" s="11">
        <f>IF((IF((IF(OR(City_Inputs!$AF62="",Norm_Stats!$F$21="",Norm_Stats!$G$21="",Norm_Stats!$G$21=Norm_Stats!$F$21),"",MAX(0,MIN(100,100*(MIN(MAX(City_Inputs!$AF62,Norm_Stats!$F$21),Norm_Stats!$G$21)-Norm_Stats!$F$21)/(Norm_Stats!$G$21-Norm_Stats!$F$21)))))="",0,0.5)+IF((IF(OR(City_Inputs!$AI62="",Norm_Stats!$F$22="",Norm_Stats!$G$22="",Norm_Stats!$G$22=Norm_Stats!$F$22),"",MAX(0,MIN(100,100*(MIN(MAX(City_Inputs!$AI62,Norm_Stats!$F$22),Norm_Stats!$G$22)-Norm_Stats!$F$22)/(Norm_Stats!$G$22-Norm_Stats!$F$22)))))="",0,0.3)+IF((IF(OR(City_Inputs!$AJ62="",Norm_Stats!$F$23="",Norm_Stats!$G$23="",Norm_Stats!$G$23=Norm_Stats!$F$23),"",MAX(0,MIN(100,100*(MIN(MAX(City_Inputs!$AJ62,Norm_Stats!$F$23),Norm_Stats!$G$23)-Norm_Stats!$F$23)/(Norm_Stats!$G$23-Norm_Stats!$F$23)))))="",0,0.2))=0,"",(IF((IF(OR(City_Inputs!$AF62="",Norm_Stats!$F$21="",Norm_Stats!$G$21="",Norm_Stats!$G$21=Norm_Stats!$F$21),"",MAX(0,MIN(100,100*(MIN(MAX(City_Inputs!$AF62,Norm_Stats!$F$21),Norm_Stats!$G$21)-Norm_Stats!$F$21)/(Norm_Stats!$G$21-Norm_Stats!$F$21)))))="",0,(IF(OR(City_Inputs!$AF62="",Norm_Stats!$F$21="",Norm_Stats!$G$21="",Norm_Stats!$G$21=Norm_Stats!$F$21),"",MAX(0,MIN(100,100*(MIN(MAX(City_Inputs!$AF62,Norm_Stats!$F$21),Norm_Stats!$G$21)-Norm_Stats!$F$21)/(Norm_Stats!$G$21-Norm_Stats!$F$21)))))*0.5)+IF((IF(OR(City_Inputs!$AI62="",Norm_Stats!$F$22="",Norm_Stats!$G$22="",Norm_Stats!$G$22=Norm_Stats!$F$22),"",MAX(0,MIN(100,100*(MIN(MAX(City_Inputs!$AI62,Norm_Stats!$F$22),Norm_Stats!$G$22)-Norm_Stats!$F$22)/(Norm_Stats!$G$22-Norm_Stats!$F$22)))))="",0,(IF(OR(City_Inputs!$AI62="",Norm_Stats!$F$22="",Norm_Stats!$G$22="",Norm_Stats!$G$22=Norm_Stats!$F$22),"",MAX(0,MIN(100,100*(MIN(MAX(City_Inputs!$AI62,Norm_Stats!$F$22),Norm_Stats!$G$22)-Norm_Stats!$F$22)/(Norm_Stats!$G$22-Norm_Stats!$F$22)))))*0.3)+IF((IF(OR(City_Inputs!$AJ62="",Norm_Stats!$F$23="",Norm_Stats!$G$23="",Norm_Stats!$G$23=Norm_Stats!$F$23),"",MAX(0,MIN(100,100*(MIN(MAX(City_Inputs!$AJ62,Norm_Stats!$F$23),Norm_Stats!$G$23)-Norm_Stats!$F$23)/(Norm_Stats!$G$23-Norm_Stats!$F$23)))))="",0,(IF(OR(City_Inputs!$AJ62="",Norm_Stats!$F$23="",Norm_Stats!$G$23="",Norm_Stats!$G$23=Norm_Stats!$F$23),"",MAX(0,MIN(100,100*(MIN(MAX(City_Inputs!$AJ62,Norm_Stats!$F$23),Norm_Stats!$G$23)-Norm_Stats!$F$23)/(Norm_Stats!$G$23-Norm_Stats!$F$23)))))*0.2))/(IF((IF(OR(City_Inputs!$AF62="",Norm_Stats!$F$21="",Norm_Stats!$G$21="",Norm_Stats!$G$21=Norm_Stats!$F$21),"",MAX(0,MIN(100,100*(MIN(MAX(City_Inputs!$AF62,Norm_Stats!$F$21),Norm_Stats!$G$21)-Norm_Stats!$F$21)/(Norm_Stats!$G$21-Norm_Stats!$F$21)))))="",0,0.5)+IF((IF(OR(City_Inputs!$AI62="",Norm_Stats!$F$22="",Norm_Stats!$G$22="",Norm_Stats!$G$22=Norm_Stats!$F$22),"",MAX(0,MIN(100,100*(MIN(MAX(City_Inputs!$AI62,Norm_Stats!$F$22),Norm_Stats!$G$22)-Norm_Stats!$F$22)/(Norm_Stats!$G$22-Norm_Stats!$F$22)))))="",0,0.3)+IF((IF(OR(City_Inputs!$AJ62="",Norm_Stats!$F$23="",Norm_Stats!$G$23="",Norm_Stats!$G$23=Norm_Stats!$F$23),"",MAX(0,MIN(100,100*(MIN(MAX(City_Inputs!$AJ62,Norm_Stats!$F$23),Norm_Stats!$G$23)-Norm_Stats!$F$23)/(Norm_Stats!$G$23-Norm_Stats!$F$23)))))="",0,0.2)))</f>
        <v/>
      </c>
      <c r="AZ62" s="14">
        <f>IF((IF((IF(OR(City_Inputs!$AF62="",Norm_Stats!$F$21="",Norm_Stats!$G$21="",Norm_Stats!$G$21=Norm_Stats!$F$21),"",MAX(0,MIN(100,100*(MIN(MAX(City_Inputs!$AF62,Norm_Stats!$F$21),Norm_Stats!$G$21)-Norm_Stats!$F$21)/(Norm_Stats!$G$21-Norm_Stats!$F$21)))))="",0,0.5)+IF((IF(OR(City_Inputs!$AI62="",Norm_Stats!$F$22="",Norm_Stats!$G$22="",Norm_Stats!$G$22=Norm_Stats!$F$22),"",MAX(0,MIN(100,100*(MIN(MAX(City_Inputs!$AI62,Norm_Stats!$F$22),Norm_Stats!$G$22)-Norm_Stats!$F$22)/(Norm_Stats!$G$22-Norm_Stats!$F$22)))))="",0,0.3)+IF((IF(OR(City_Inputs!$AJ62="",Norm_Stats!$F$23="",Norm_Stats!$G$23="",Norm_Stats!$G$23=Norm_Stats!$F$23),"",MAX(0,MIN(100,100*(MIN(MAX(City_Inputs!$AJ62,Norm_Stats!$F$23),Norm_Stats!$G$23)-Norm_Stats!$F$23)/(Norm_Stats!$G$23-Norm_Stats!$F$23)))))="",0,0.2))=0,"",(IF((IF(OR(City_Inputs!$AF62="",Norm_Stats!$F$21="",Norm_Stats!$G$21="",Norm_Stats!$G$21=Norm_Stats!$F$21),"",MAX(0,MIN(100,100*(MIN(MAX(City_Inputs!$AF62,Norm_Stats!$F$21),Norm_Stats!$G$21)-Norm_Stats!$F$21)/(Norm_Stats!$G$21-Norm_Stats!$F$21)))))="",0,0.5)+IF((IF(OR(City_Inputs!$AI62="",Norm_Stats!$F$22="",Norm_Stats!$G$22="",Norm_Stats!$G$22=Norm_Stats!$F$22),"",MAX(0,MIN(100,100*(MIN(MAX(City_Inputs!$AI62,Norm_Stats!$F$22),Norm_Stats!$G$22)-Norm_Stats!$F$22)/(Norm_Stats!$G$22-Norm_Stats!$F$22)))))="",0,0.3)+IF((IF(OR(City_Inputs!$AJ62="",Norm_Stats!$F$23="",Norm_Stats!$G$23="",Norm_Stats!$G$23=Norm_Stats!$F$23),"",MAX(0,MIN(100,100*(MIN(MAX(City_Inputs!$AJ62,Norm_Stats!$F$23),Norm_Stats!$G$23)-Norm_Stats!$F$23)/(Norm_Stats!$G$23-Norm_Stats!$F$23)))))="",0,0.2)))</f>
        <v/>
      </c>
      <c r="BA62" s="11">
        <f>IF(OR(City_Inputs!$AG62="",Norm_Stats!$F$24="",Norm_Stats!$G$24="",Norm_Stats!$G$24=Norm_Stats!$F$24),"",MAX(0,MIN(100,100*(Norm_Stats!$G$24-MIN(MAX(City_Inputs!$AG62,Norm_Stats!$F$24),Norm_Stats!$G$24))/(Norm_Stats!$G$24-Norm_Stats!$F$24))))</f>
        <v/>
      </c>
      <c r="BB62" s="14">
        <f>IF(BA62="","",1)</f>
        <v/>
      </c>
      <c r="BC62" s="15">
        <f>IF((IF(AU62="",0,6)+IF(AW62="",0,5)+IF(AY62="",0,5)+IF(BA62="",0,4))=0,"",(IF(AU62="",0,AU62*6)+IF(AW62="",0,AW62*5)+IF(AY62="",0,AY62*5)+IF(BA62="",0,BA62*4))/(IF(AU62="",0,6)+IF(AW62="",0,5)+IF(AY62="",0,5)+IF(BA62="",0,4)))</f>
        <v/>
      </c>
      <c r="BD62" s="14">
        <f>IF((IF(AV62="",0,6)+IF(AX62="",0,5)+IF(AZ62="",0,5)+IF(BB62="",0,4))=0,"",(IF(AV62="",0,AV62*6)+IF(AX62="",0,AX62*5)+IF(AZ62="",0,AZ62*5)+IF(BB62="",0,BB62*4))/20)</f>
        <v/>
      </c>
      <c r="BE62" s="14">
        <f>IF(AND(R62="",AD62="",AL62="",AT62="",BD62=""),"",((R62*25)+(AD62*22)+(AL62*18)+(AT62*15)+(BD62*20))/100)</f>
        <v/>
      </c>
      <c r="BF62" s="11">
        <f>IF(BE62="","",IF(BE62&gt;=0.75,"A",IF(BE62&gt;=0.5,"B",IF(BE62&gt;=0.35,"C","Watchlist"))))</f>
        <v/>
      </c>
      <c r="BG62" s="11">
        <f>IF(OR(BE62="",BE62&lt;0.5,R62="",R62&lt;0.35,AD62="",AD62&lt;0.35,AL62="",AL62&lt;0.35,AT62="",AT62&lt;0.35,BD62="",BD62&lt;0.35),"Watchlist","Ranked")</f>
        <v/>
      </c>
      <c r="BH62" s="15">
        <f>IF(AND(Q62="",AC62="",AK62="",AS62="",BC62=""),"",(IF(Q62="",0,Q62*25)+IF(AC62="",0,AC62*22)+IF(AK62="",0,AK62*18)+IF(AS62="",0,AS62*15)+IF(BC62="",0,BC62*20))/(IF(Q62="",0,25)+IF(AC62="",0,22)+IF(AK62="",0,18)+IF(AS62="",0,15)+IF(BC62="",0,20)))</f>
        <v/>
      </c>
      <c r="BI62" s="11">
        <f>IF(BG62="Ranked",1+COUNTIFS($BG$2:$BG$103,"Ranked",$BH$2:$BH$103,"&gt;"&amp;BH62),"")</f>
        <v/>
      </c>
      <c r="BJ62" s="11">
        <f>City_Inputs!$AH62</f>
        <v/>
      </c>
    </row>
    <row r="63">
      <c r="A63" t="inlineStr">
        <is>
          <t>mx-merida</t>
        </is>
      </c>
      <c r="B63" t="inlineStr">
        <is>
          <t>Merida</t>
        </is>
      </c>
      <c r="C63" t="inlineStr">
        <is>
          <t>Mexico</t>
        </is>
      </c>
      <c r="D63" t="inlineStr">
        <is>
          <t>North America</t>
        </is>
      </c>
      <c r="E63" t="inlineStr">
        <is>
          <t>provisional</t>
        </is>
      </c>
      <c r="F63" t="inlineStr">
        <is>
          <t>secondary</t>
        </is>
      </c>
      <c r="G63" s="11">
        <f>IF(OR(City_Inputs!$M63="",Norm_Stats!$F$2="",Norm_Stats!$G$2="",Norm_Stats!$G$2=Norm_Stats!$F$2),"",MAX(0,MIN(100,100*(MIN(MAX(City_Inputs!$M63,Norm_Stats!$F$2),Norm_Stats!$G$2)-Norm_Stats!$F$2)/(Norm_Stats!$G$2-Norm_Stats!$F$2))))</f>
        <v/>
      </c>
      <c r="H63" s="14">
        <f>IF(G63="","",1)</f>
        <v/>
      </c>
      <c r="I63" s="11">
        <f>IF(OR(City_Inputs!$N63="",Norm_Stats!$F$3="",Norm_Stats!$G$3="",Norm_Stats!$G$3=Norm_Stats!$F$3),"",MAX(0,MIN(100,100*(Norm_Stats!$G$3-MIN(MAX(City_Inputs!$N63,Norm_Stats!$F$3),Norm_Stats!$G$3))/(Norm_Stats!$G$3-Norm_Stats!$F$3))))</f>
        <v/>
      </c>
      <c r="J63" s="14">
        <f>IF(I63="","",1)</f>
        <v/>
      </c>
      <c r="K63" s="11">
        <f>IF(OR(City_Inputs!$P63="",Norm_Stats!$F$4="",Norm_Stats!$G$4="",Norm_Stats!$G$4=Norm_Stats!$F$4),"",MAX(0,MIN(100,100*(Norm_Stats!$G$4-MIN(MAX(City_Inputs!$P63,Norm_Stats!$F$4),Norm_Stats!$G$4))/(Norm_Stats!$G$4-Norm_Stats!$F$4))))</f>
        <v/>
      </c>
      <c r="L63" s="14">
        <f>IF(K63="","",1)</f>
        <v/>
      </c>
      <c r="M63" s="11">
        <f>IF(OR(City_Inputs!$Q63="",Norm_Stats!$F$5="",Norm_Stats!$G$5="",Norm_Stats!$G$5=Norm_Stats!$F$5),"",MAX(0,MIN(100,100*(Norm_Stats!$G$5-MIN(MAX(City_Inputs!$Q63,Norm_Stats!$F$5),Norm_Stats!$G$5))/(Norm_Stats!$G$5-Norm_Stats!$F$5))))</f>
        <v/>
      </c>
      <c r="N63" s="14">
        <f>IF(M63="","",1)</f>
        <v/>
      </c>
      <c r="O63" s="11">
        <f>IF(OR(City_Inputs!$R63="",Norm_Stats!$F$6="",Norm_Stats!$G$6="",Norm_Stats!$G$6=Norm_Stats!$F$6),"",MAX(0,MIN(100,100*(Norm_Stats!$G$6-MIN(MAX(City_Inputs!$R63,Norm_Stats!$F$6),Norm_Stats!$G$6))/(Norm_Stats!$G$6-Norm_Stats!$F$6))))</f>
        <v/>
      </c>
      <c r="P63" s="14">
        <f>IF(O63="","",1)</f>
        <v/>
      </c>
      <c r="Q63" s="15">
        <f>IF((IF(G63="",0,9)+IF(I63="",0,5)+IF(K63="",0,4)+IF(M63="",0,4)+IF(O63="",0,3))=0,"",(IF(G63="",0,G63*9)+IF(I63="",0,I63*5)+IF(K63="",0,K63*4)+IF(M63="",0,M63*4)+IF(O63="",0,O63*3))/(IF(G63="",0,9)+IF(I63="",0,5)+IF(K63="",0,4)+IF(M63="",0,4)+IF(O63="",0,3)))</f>
        <v/>
      </c>
      <c r="R63" s="14">
        <f>IF((IF(H63="",0,9)+IF(J63="",0,5)+IF(L63="",0,4)+IF(N63="",0,4)+IF(P63="",0,3))=0,"",(IF(H63="",0,H63*9)+IF(J63="",0,J63*5)+IF(L63="",0,L63*4)+IF(N63="",0,N63*4)+IF(P63="",0,P63*3))/25)</f>
        <v/>
      </c>
      <c r="S63" s="11">
        <f>IF(OR(City_Inputs!$S63="",Norm_Stats!$F$7="",Norm_Stats!$G$7="",Norm_Stats!$G$7=Norm_Stats!$F$7),"",MAX(0,MIN(100,100*(Norm_Stats!$G$7-MIN(MAX(City_Inputs!$S63,Norm_Stats!$F$7),Norm_Stats!$G$7))/(Norm_Stats!$G$7-Norm_Stats!$F$7))))</f>
        <v/>
      </c>
      <c r="T63" s="14">
        <f>IF(S63="","",1)</f>
        <v/>
      </c>
      <c r="U63" s="11">
        <f>IF(OR(City_Inputs!$T63="",Norm_Stats!$F$8="",Norm_Stats!$G$8="",Norm_Stats!$G$8=Norm_Stats!$F$8),"",MAX(0,MIN(100,100*(MIN(MAX(City_Inputs!$T63,Norm_Stats!$F$8),Norm_Stats!$G$8)-Norm_Stats!$F$8)/(Norm_Stats!$G$8-Norm_Stats!$F$8))))</f>
        <v/>
      </c>
      <c r="V63" s="14">
        <f>IF(U63="","",1)</f>
        <v/>
      </c>
      <c r="W63" s="11">
        <f>IF(OR(City_Inputs!$U63="",Norm_Stats!$F$9="",Norm_Stats!$G$9="",Norm_Stats!$G$9=Norm_Stats!$F$9),"",MAX(0,MIN(100,100*(Norm_Stats!$G$9-MIN(MAX(City_Inputs!$U63,Norm_Stats!$F$9),Norm_Stats!$G$9))/(Norm_Stats!$G$9-Norm_Stats!$F$9))))</f>
        <v/>
      </c>
      <c r="X63" s="14">
        <f>IF(W63="","",1)</f>
        <v/>
      </c>
      <c r="Y63" s="11">
        <f>IF(OR(City_Inputs!$V63="",Norm_Stats!$F$10="",Norm_Stats!$G$10="",Norm_Stats!$G$10=Norm_Stats!$F$10),"",MAX(0,MIN(100,100*(MIN(MAX(City_Inputs!$V63,Norm_Stats!$F$10),Norm_Stats!$G$10)-Norm_Stats!$F$10)/(Norm_Stats!$G$10-Norm_Stats!$F$10))))</f>
        <v/>
      </c>
      <c r="Z63" s="14">
        <f>IF(Y63="","",1)</f>
        <v/>
      </c>
      <c r="AA63" s="11">
        <f>IF(OR(City_Inputs!$W63="",Norm_Stats!$F$11="",Norm_Stats!$G$11="",Norm_Stats!$G$11=Norm_Stats!$F$11),"",MAX(0,MIN(100,100*(MIN(MAX(City_Inputs!$W63,Norm_Stats!$F$11),Norm_Stats!$G$11)-Norm_Stats!$F$11)/(Norm_Stats!$G$11-Norm_Stats!$F$11))))</f>
        <v/>
      </c>
      <c r="AB63" s="14">
        <f>IF(AA63="","",1)</f>
        <v/>
      </c>
      <c r="AC63" s="15">
        <f>IF((IF(S63="",0,5)+IF(U63="",0,5)+IF(W63="",0,4)+IF(Y63="",0,4)+IF(AA63="",0,4))=0,"",(IF(S63="",0,S63*5)+IF(U63="",0,U63*5)+IF(W63="",0,W63*4)+IF(Y63="",0,Y63*4)+IF(AA63="",0,AA63*4))/(IF(S63="",0,5)+IF(U63="",0,5)+IF(W63="",0,4)+IF(Y63="",0,4)+IF(AA63="",0,4)))</f>
        <v/>
      </c>
      <c r="AD63" s="14">
        <f>IF((IF(T63="",0,5)+IF(V63="",0,5)+IF(X63="",0,4)+IF(Z63="",0,4)+IF(AB63="",0,4))=0,"",(IF(T63="",0,T63*5)+IF(V63="",0,V63*5)+IF(X63="",0,X63*4)+IF(Z63="",0,Z63*4)+IF(AB63="",0,AB63*4))/22)</f>
        <v/>
      </c>
      <c r="AE63" s="11">
        <f>IF(OR(City_Inputs!$X63="",Norm_Stats!$F$12="",Norm_Stats!$G$12="",Norm_Stats!$G$12=Norm_Stats!$F$12),"",MAX(0,MIN(100,100*(MIN(MAX(City_Inputs!$X63,Norm_Stats!$F$12),Norm_Stats!$G$12)-Norm_Stats!$F$12)/(Norm_Stats!$G$12-Norm_Stats!$F$12))))</f>
        <v/>
      </c>
      <c r="AF63" s="14">
        <f>IF(AE63="","",1)</f>
        <v/>
      </c>
      <c r="AG63" s="11">
        <f>IF(OR(City_Inputs!$Y63="",Norm_Stats!$F$13="",Norm_Stats!$G$13="",Norm_Stats!$G$13=Norm_Stats!$F$13),"",MAX(0,MIN(100,100*(MIN(MAX(City_Inputs!$Y63,Norm_Stats!$F$13),Norm_Stats!$G$13)-Norm_Stats!$F$13)/(Norm_Stats!$G$13-Norm_Stats!$F$13))))</f>
        <v/>
      </c>
      <c r="AH63" s="14">
        <f>IF(AG63="","",1)</f>
        <v/>
      </c>
      <c r="AI63" s="11">
        <f>IF((IF((IF(OR(City_Inputs!$Z63="",Norm_Stats!$F$14="",Norm_Stats!$G$14="",Norm_Stats!$G$14=Norm_Stats!$F$14),"",MAX(0,MIN(100,100*(MIN(MAX(City_Inputs!$Z63,Norm_Stats!$F$14),Norm_Stats!$G$14)-Norm_Stats!$F$14)/(Norm_Stats!$G$14-Norm_Stats!$F$14)))))="",0,0.7)+IF((IF(OR(City_Inputs!$AK63="",Norm_Stats!$F$15="",Norm_Stats!$G$15="",Norm_Stats!$G$15=Norm_Stats!$F$15),"",MAX(0,MIN(100,100*(Norm_Stats!$G$15-MIN(MAX(City_Inputs!$AK63,Norm_Stats!$F$15),Norm_Stats!$G$15))/(Norm_Stats!$G$15-Norm_Stats!$F$15)))))="",0,0.3))=0,"",(IF((IF(OR(City_Inputs!$Z63="",Norm_Stats!$F$14="",Norm_Stats!$G$14="",Norm_Stats!$G$14=Norm_Stats!$F$14),"",MAX(0,MIN(100,100*(MIN(MAX(City_Inputs!$Z63,Norm_Stats!$F$14),Norm_Stats!$G$14)-Norm_Stats!$F$14)/(Norm_Stats!$G$14-Norm_Stats!$F$14)))))="",0,(IF(OR(City_Inputs!$Z63="",Norm_Stats!$F$14="",Norm_Stats!$G$14="",Norm_Stats!$G$14=Norm_Stats!$F$14),"",MAX(0,MIN(100,100*(MIN(MAX(City_Inputs!$Z63,Norm_Stats!$F$14),Norm_Stats!$G$14)-Norm_Stats!$F$14)/(Norm_Stats!$G$14-Norm_Stats!$F$14)))))*0.7)+IF((IF(OR(City_Inputs!$AK63="",Norm_Stats!$F$15="",Norm_Stats!$G$15="",Norm_Stats!$G$15=Norm_Stats!$F$15),"",MAX(0,MIN(100,100*(Norm_Stats!$G$15-MIN(MAX(City_Inputs!$AK63,Norm_Stats!$F$15),Norm_Stats!$G$15))/(Norm_Stats!$G$15-Norm_Stats!$F$15)))))="",0,(IF(OR(City_Inputs!$AK63="",Norm_Stats!$F$15="",Norm_Stats!$G$15="",Norm_Stats!$G$15=Norm_Stats!$F$15),"",MAX(0,MIN(100,100*(Norm_Stats!$G$15-MIN(MAX(City_Inputs!$AK63,Norm_Stats!$F$15),Norm_Stats!$G$15))/(Norm_Stats!$G$15-Norm_Stats!$F$15)))))*0.3))/(IF((IF(OR(City_Inputs!$Z63="",Norm_Stats!$F$14="",Norm_Stats!$G$14="",Norm_Stats!$G$14=Norm_Stats!$F$14),"",MAX(0,MIN(100,100*(MIN(MAX(City_Inputs!$Z63,Norm_Stats!$F$14),Norm_Stats!$G$14)-Norm_Stats!$F$14)/(Norm_Stats!$G$14-Norm_Stats!$F$14)))))="",0,0.7)+IF((IF(OR(City_Inputs!$AK63="",Norm_Stats!$F$15="",Norm_Stats!$G$15="",Norm_Stats!$G$15=Norm_Stats!$F$15),"",MAX(0,MIN(100,100*(Norm_Stats!$G$15-MIN(MAX(City_Inputs!$AK63,Norm_Stats!$F$15),Norm_Stats!$G$15))/(Norm_Stats!$G$15-Norm_Stats!$F$15)))))="",0,0.3)))</f>
        <v/>
      </c>
      <c r="AJ63" s="14">
        <f>IF((IF((IF(OR(City_Inputs!$Z63="",Norm_Stats!$F$14="",Norm_Stats!$G$14="",Norm_Stats!$G$14=Norm_Stats!$F$14),"",MAX(0,MIN(100,100*(MIN(MAX(City_Inputs!$Z63,Norm_Stats!$F$14),Norm_Stats!$G$14)-Norm_Stats!$F$14)/(Norm_Stats!$G$14-Norm_Stats!$F$14)))))="",0,0.7)+IF((IF(OR(City_Inputs!$AK63="",Norm_Stats!$F$15="",Norm_Stats!$G$15="",Norm_Stats!$G$15=Norm_Stats!$F$15),"",MAX(0,MIN(100,100*(Norm_Stats!$G$15-MIN(MAX(City_Inputs!$AK63,Norm_Stats!$F$15),Norm_Stats!$G$15))/(Norm_Stats!$G$15-Norm_Stats!$F$15)))))="",0,0.3))=0,"",(IF((IF(OR(City_Inputs!$Z63="",Norm_Stats!$F$14="",Norm_Stats!$G$14="",Norm_Stats!$G$14=Norm_Stats!$F$14),"",MAX(0,MIN(100,100*(MIN(MAX(City_Inputs!$Z63,Norm_Stats!$F$14),Norm_Stats!$G$14)-Norm_Stats!$F$14)/(Norm_Stats!$G$14-Norm_Stats!$F$14)))))="",0,0.7)+IF((IF(OR(City_Inputs!$AK63="",Norm_Stats!$F$15="",Norm_Stats!$G$15="",Norm_Stats!$G$15=Norm_Stats!$F$15),"",MAX(0,MIN(100,100*(Norm_Stats!$G$15-MIN(MAX(City_Inputs!$AK63,Norm_Stats!$F$15),Norm_Stats!$G$15))/(Norm_Stats!$G$15-Norm_Stats!$F$15)))))="",0,0.3)))</f>
        <v/>
      </c>
      <c r="AK63" s="15">
        <f>IF((IF(AE63="",0,8)+IF(AG63="",0,6)+IF(AI63="",0,4))=0,"",(IF(AE63="",0,AE63*8)+IF(AG63="",0,AG63*6)+IF(AI63="",0,AI63*4))/(IF(AE63="",0,8)+IF(AG63="",0,6)+IF(AI63="",0,4)))</f>
        <v/>
      </c>
      <c r="AL63" s="14">
        <f>IF((IF(AF63="",0,8)+IF(AH63="",0,6)+IF(AJ63="",0,4))=0,"",(IF(AF63="",0,AF63*8)+IF(AH63="",0,AH63*6)+IF(AJ63="",0,AJ63*4))/18)</f>
        <v/>
      </c>
      <c r="AM63" s="11">
        <f>IF(OR(City_Inputs!$AA63="",Norm_Stats!$F$16="",Norm_Stats!$G$16="",Norm_Stats!$G$16=Norm_Stats!$F$16),"",MAX(0,MIN(100,100*(MIN(MAX(City_Inputs!$AA63,Norm_Stats!$F$16),Norm_Stats!$G$16)-Norm_Stats!$F$16)/(Norm_Stats!$G$16-Norm_Stats!$F$16))))</f>
        <v/>
      </c>
      <c r="AN63" s="14">
        <f>IF(AM63="","",1)</f>
        <v/>
      </c>
      <c r="AO63" s="11">
        <f>IF(OR(City_Inputs!$AB63="",Norm_Stats!$F$17="",Norm_Stats!$G$17="",Norm_Stats!$G$17=Norm_Stats!$F$17),"",MAX(0,MIN(100,100*(MIN(MAX(City_Inputs!$AB63,Norm_Stats!$F$17),Norm_Stats!$G$17)-Norm_Stats!$F$17)/(Norm_Stats!$G$17-Norm_Stats!$F$17))))</f>
        <v/>
      </c>
      <c r="AP63" s="14">
        <f>IF(AO63="","",1)</f>
        <v/>
      </c>
      <c r="AQ63" s="11">
        <f>IF(OR(City_Inputs!$AC63="",Norm_Stats!$F$18="",Norm_Stats!$G$18="",Norm_Stats!$G$18=Norm_Stats!$F$18),"",MAX(0,MIN(100,100*(MIN(MAX(City_Inputs!$AC63,Norm_Stats!$F$18),Norm_Stats!$G$18)-Norm_Stats!$F$18)/(Norm_Stats!$G$18-Norm_Stats!$F$18))))</f>
        <v/>
      </c>
      <c r="AR63" s="14">
        <f>IF(AQ63="","",1)</f>
        <v/>
      </c>
      <c r="AS63" s="15">
        <f>IF((IF(AM63="",0,5)+IF(AO63="",0,5)+IF(AQ63="",0,5))=0,"",(IF(AM63="",0,AM63*5)+IF(AO63="",0,AO63*5)+IF(AQ63="",0,AQ63*5))/(IF(AM63="",0,5)+IF(AO63="",0,5)+IF(AQ63="",0,5)))</f>
        <v/>
      </c>
      <c r="AT63" s="14">
        <f>IF((IF(AN63="",0,5)+IF(AP63="",0,5)+IF(AR63="",0,5))=0,"",(IF(AN63="",0,AN63*5)+IF(AP63="",0,AP63*5)+IF(AR63="",0,AR63*5))/15)</f>
        <v/>
      </c>
      <c r="AU63" s="11">
        <f>IF(OR(City_Inputs!$AD63="",Norm_Stats!$F$19="",Norm_Stats!$G$19="",Norm_Stats!$G$19=Norm_Stats!$F$19),"",MAX(0,MIN(100,100*(MIN(MAX(City_Inputs!$AD63,Norm_Stats!$F$19),Norm_Stats!$G$19)-Norm_Stats!$F$19)/(Norm_Stats!$G$19-Norm_Stats!$F$19))))</f>
        <v/>
      </c>
      <c r="AV63" s="14">
        <f>IF(AU63="","",1)</f>
        <v/>
      </c>
      <c r="AW63" s="11">
        <f>IF(OR(City_Inputs!$AE63="",Norm_Stats!$F$20="",Norm_Stats!$G$20="",Norm_Stats!$G$20=Norm_Stats!$F$20),"",MAX(0,MIN(100,100*(MIN(MAX(City_Inputs!$AE63,Norm_Stats!$F$20),Norm_Stats!$G$20)-Norm_Stats!$F$20)/(Norm_Stats!$G$20-Norm_Stats!$F$20))))</f>
        <v/>
      </c>
      <c r="AX63" s="14">
        <f>IF(AW63="","",1)</f>
        <v/>
      </c>
      <c r="AY63" s="11">
        <f>IF((IF((IF(OR(City_Inputs!$AF63="",Norm_Stats!$F$21="",Norm_Stats!$G$21="",Norm_Stats!$G$21=Norm_Stats!$F$21),"",MAX(0,MIN(100,100*(MIN(MAX(City_Inputs!$AF63,Norm_Stats!$F$21),Norm_Stats!$G$21)-Norm_Stats!$F$21)/(Norm_Stats!$G$21-Norm_Stats!$F$21)))))="",0,0.5)+IF((IF(OR(City_Inputs!$AI63="",Norm_Stats!$F$22="",Norm_Stats!$G$22="",Norm_Stats!$G$22=Norm_Stats!$F$22),"",MAX(0,MIN(100,100*(MIN(MAX(City_Inputs!$AI63,Norm_Stats!$F$22),Norm_Stats!$G$22)-Norm_Stats!$F$22)/(Norm_Stats!$G$22-Norm_Stats!$F$22)))))="",0,0.3)+IF((IF(OR(City_Inputs!$AJ63="",Norm_Stats!$F$23="",Norm_Stats!$G$23="",Norm_Stats!$G$23=Norm_Stats!$F$23),"",MAX(0,MIN(100,100*(MIN(MAX(City_Inputs!$AJ63,Norm_Stats!$F$23),Norm_Stats!$G$23)-Norm_Stats!$F$23)/(Norm_Stats!$G$23-Norm_Stats!$F$23)))))="",0,0.2))=0,"",(IF((IF(OR(City_Inputs!$AF63="",Norm_Stats!$F$21="",Norm_Stats!$G$21="",Norm_Stats!$G$21=Norm_Stats!$F$21),"",MAX(0,MIN(100,100*(MIN(MAX(City_Inputs!$AF63,Norm_Stats!$F$21),Norm_Stats!$G$21)-Norm_Stats!$F$21)/(Norm_Stats!$G$21-Norm_Stats!$F$21)))))="",0,(IF(OR(City_Inputs!$AF63="",Norm_Stats!$F$21="",Norm_Stats!$G$21="",Norm_Stats!$G$21=Norm_Stats!$F$21),"",MAX(0,MIN(100,100*(MIN(MAX(City_Inputs!$AF63,Norm_Stats!$F$21),Norm_Stats!$G$21)-Norm_Stats!$F$21)/(Norm_Stats!$G$21-Norm_Stats!$F$21)))))*0.5)+IF((IF(OR(City_Inputs!$AI63="",Norm_Stats!$F$22="",Norm_Stats!$G$22="",Norm_Stats!$G$22=Norm_Stats!$F$22),"",MAX(0,MIN(100,100*(MIN(MAX(City_Inputs!$AI63,Norm_Stats!$F$22),Norm_Stats!$G$22)-Norm_Stats!$F$22)/(Norm_Stats!$G$22-Norm_Stats!$F$22)))))="",0,(IF(OR(City_Inputs!$AI63="",Norm_Stats!$F$22="",Norm_Stats!$G$22="",Norm_Stats!$G$22=Norm_Stats!$F$22),"",MAX(0,MIN(100,100*(MIN(MAX(City_Inputs!$AI63,Norm_Stats!$F$22),Norm_Stats!$G$22)-Norm_Stats!$F$22)/(Norm_Stats!$G$22-Norm_Stats!$F$22)))))*0.3)+IF((IF(OR(City_Inputs!$AJ63="",Norm_Stats!$F$23="",Norm_Stats!$G$23="",Norm_Stats!$G$23=Norm_Stats!$F$23),"",MAX(0,MIN(100,100*(MIN(MAX(City_Inputs!$AJ63,Norm_Stats!$F$23),Norm_Stats!$G$23)-Norm_Stats!$F$23)/(Norm_Stats!$G$23-Norm_Stats!$F$23)))))="",0,(IF(OR(City_Inputs!$AJ63="",Norm_Stats!$F$23="",Norm_Stats!$G$23="",Norm_Stats!$G$23=Norm_Stats!$F$23),"",MAX(0,MIN(100,100*(MIN(MAX(City_Inputs!$AJ63,Norm_Stats!$F$23),Norm_Stats!$G$23)-Norm_Stats!$F$23)/(Norm_Stats!$G$23-Norm_Stats!$F$23)))))*0.2))/(IF((IF(OR(City_Inputs!$AF63="",Norm_Stats!$F$21="",Norm_Stats!$G$21="",Norm_Stats!$G$21=Norm_Stats!$F$21),"",MAX(0,MIN(100,100*(MIN(MAX(City_Inputs!$AF63,Norm_Stats!$F$21),Norm_Stats!$G$21)-Norm_Stats!$F$21)/(Norm_Stats!$G$21-Norm_Stats!$F$21)))))="",0,0.5)+IF((IF(OR(City_Inputs!$AI63="",Norm_Stats!$F$22="",Norm_Stats!$G$22="",Norm_Stats!$G$22=Norm_Stats!$F$22),"",MAX(0,MIN(100,100*(MIN(MAX(City_Inputs!$AI63,Norm_Stats!$F$22),Norm_Stats!$G$22)-Norm_Stats!$F$22)/(Norm_Stats!$G$22-Norm_Stats!$F$22)))))="",0,0.3)+IF((IF(OR(City_Inputs!$AJ63="",Norm_Stats!$F$23="",Norm_Stats!$G$23="",Norm_Stats!$G$23=Norm_Stats!$F$23),"",MAX(0,MIN(100,100*(MIN(MAX(City_Inputs!$AJ63,Norm_Stats!$F$23),Norm_Stats!$G$23)-Norm_Stats!$F$23)/(Norm_Stats!$G$23-Norm_Stats!$F$23)))))="",0,0.2)))</f>
        <v/>
      </c>
      <c r="AZ63" s="14">
        <f>IF((IF((IF(OR(City_Inputs!$AF63="",Norm_Stats!$F$21="",Norm_Stats!$G$21="",Norm_Stats!$G$21=Norm_Stats!$F$21),"",MAX(0,MIN(100,100*(MIN(MAX(City_Inputs!$AF63,Norm_Stats!$F$21),Norm_Stats!$G$21)-Norm_Stats!$F$21)/(Norm_Stats!$G$21-Norm_Stats!$F$21)))))="",0,0.5)+IF((IF(OR(City_Inputs!$AI63="",Norm_Stats!$F$22="",Norm_Stats!$G$22="",Norm_Stats!$G$22=Norm_Stats!$F$22),"",MAX(0,MIN(100,100*(MIN(MAX(City_Inputs!$AI63,Norm_Stats!$F$22),Norm_Stats!$G$22)-Norm_Stats!$F$22)/(Norm_Stats!$G$22-Norm_Stats!$F$22)))))="",0,0.3)+IF((IF(OR(City_Inputs!$AJ63="",Norm_Stats!$F$23="",Norm_Stats!$G$23="",Norm_Stats!$G$23=Norm_Stats!$F$23),"",MAX(0,MIN(100,100*(MIN(MAX(City_Inputs!$AJ63,Norm_Stats!$F$23),Norm_Stats!$G$23)-Norm_Stats!$F$23)/(Norm_Stats!$G$23-Norm_Stats!$F$23)))))="",0,0.2))=0,"",(IF((IF(OR(City_Inputs!$AF63="",Norm_Stats!$F$21="",Norm_Stats!$G$21="",Norm_Stats!$G$21=Norm_Stats!$F$21),"",MAX(0,MIN(100,100*(MIN(MAX(City_Inputs!$AF63,Norm_Stats!$F$21),Norm_Stats!$G$21)-Norm_Stats!$F$21)/(Norm_Stats!$G$21-Norm_Stats!$F$21)))))="",0,0.5)+IF((IF(OR(City_Inputs!$AI63="",Norm_Stats!$F$22="",Norm_Stats!$G$22="",Norm_Stats!$G$22=Norm_Stats!$F$22),"",MAX(0,MIN(100,100*(MIN(MAX(City_Inputs!$AI63,Norm_Stats!$F$22),Norm_Stats!$G$22)-Norm_Stats!$F$22)/(Norm_Stats!$G$22-Norm_Stats!$F$22)))))="",0,0.3)+IF((IF(OR(City_Inputs!$AJ63="",Norm_Stats!$F$23="",Norm_Stats!$G$23="",Norm_Stats!$G$23=Norm_Stats!$F$23),"",MAX(0,MIN(100,100*(MIN(MAX(City_Inputs!$AJ63,Norm_Stats!$F$23),Norm_Stats!$G$23)-Norm_Stats!$F$23)/(Norm_Stats!$G$23-Norm_Stats!$F$23)))))="",0,0.2)))</f>
        <v/>
      </c>
      <c r="BA63" s="11">
        <f>IF(OR(City_Inputs!$AG63="",Norm_Stats!$F$24="",Norm_Stats!$G$24="",Norm_Stats!$G$24=Norm_Stats!$F$24),"",MAX(0,MIN(100,100*(Norm_Stats!$G$24-MIN(MAX(City_Inputs!$AG63,Norm_Stats!$F$24),Norm_Stats!$G$24))/(Norm_Stats!$G$24-Norm_Stats!$F$24))))</f>
        <v/>
      </c>
      <c r="BB63" s="14">
        <f>IF(BA63="","",1)</f>
        <v/>
      </c>
      <c r="BC63" s="15">
        <f>IF((IF(AU63="",0,6)+IF(AW63="",0,5)+IF(AY63="",0,5)+IF(BA63="",0,4))=0,"",(IF(AU63="",0,AU63*6)+IF(AW63="",0,AW63*5)+IF(AY63="",0,AY63*5)+IF(BA63="",0,BA63*4))/(IF(AU63="",0,6)+IF(AW63="",0,5)+IF(AY63="",0,5)+IF(BA63="",0,4)))</f>
        <v/>
      </c>
      <c r="BD63" s="14">
        <f>IF((IF(AV63="",0,6)+IF(AX63="",0,5)+IF(AZ63="",0,5)+IF(BB63="",0,4))=0,"",(IF(AV63="",0,AV63*6)+IF(AX63="",0,AX63*5)+IF(AZ63="",0,AZ63*5)+IF(BB63="",0,BB63*4))/20)</f>
        <v/>
      </c>
      <c r="BE63" s="14">
        <f>IF(AND(R63="",AD63="",AL63="",AT63="",BD63=""),"",((R63*25)+(AD63*22)+(AL63*18)+(AT63*15)+(BD63*20))/100)</f>
        <v/>
      </c>
      <c r="BF63" s="11">
        <f>IF(BE63="","",IF(BE63&gt;=0.75,"A",IF(BE63&gt;=0.5,"B",IF(BE63&gt;=0.35,"C","Watchlist"))))</f>
        <v/>
      </c>
      <c r="BG63" s="11">
        <f>IF(OR(BE63="",BE63&lt;0.5,R63="",R63&lt;0.35,AD63="",AD63&lt;0.35,AL63="",AL63&lt;0.35,AT63="",AT63&lt;0.35,BD63="",BD63&lt;0.35),"Watchlist","Ranked")</f>
        <v/>
      </c>
      <c r="BH63" s="15">
        <f>IF(AND(Q63="",AC63="",AK63="",AS63="",BC63=""),"",(IF(Q63="",0,Q63*25)+IF(AC63="",0,AC63*22)+IF(AK63="",0,AK63*18)+IF(AS63="",0,AS63*15)+IF(BC63="",0,BC63*20))/(IF(Q63="",0,25)+IF(AC63="",0,22)+IF(AK63="",0,18)+IF(AS63="",0,15)+IF(BC63="",0,20)))</f>
        <v/>
      </c>
      <c r="BI63" s="11">
        <f>IF(BG63="Ranked",1+COUNTIFS($BG$2:$BG$103,"Ranked",$BH$2:$BH$103,"&gt;"&amp;BH63),"")</f>
        <v/>
      </c>
      <c r="BJ63" s="11">
        <f>City_Inputs!$AH63</f>
        <v/>
      </c>
    </row>
    <row r="64">
      <c r="A64" t="inlineStr">
        <is>
          <t>br-sao-paulo</t>
        </is>
      </c>
      <c r="B64" t="inlineStr">
        <is>
          <t>Sao Paulo</t>
        </is>
      </c>
      <c r="C64" t="inlineStr">
        <is>
          <t>Brazil</t>
        </is>
      </c>
      <c r="D64" t="inlineStr">
        <is>
          <t>Latin America</t>
        </is>
      </c>
      <c r="E64" t="inlineStr">
        <is>
          <t>locked</t>
        </is>
      </c>
      <c r="F64" t="inlineStr">
        <is>
          <t>primary</t>
        </is>
      </c>
      <c r="G64" s="11">
        <f>IF(OR(City_Inputs!$M64="",Norm_Stats!$F$2="",Norm_Stats!$G$2="",Norm_Stats!$G$2=Norm_Stats!$F$2),"",MAX(0,MIN(100,100*(MIN(MAX(City_Inputs!$M64,Norm_Stats!$F$2),Norm_Stats!$G$2)-Norm_Stats!$F$2)/(Norm_Stats!$G$2-Norm_Stats!$F$2))))</f>
        <v/>
      </c>
      <c r="H64" s="14">
        <f>IF(G64="","",1)</f>
        <v/>
      </c>
      <c r="I64" s="11">
        <f>IF(OR(City_Inputs!$N64="",Norm_Stats!$F$3="",Norm_Stats!$G$3="",Norm_Stats!$G$3=Norm_Stats!$F$3),"",MAX(0,MIN(100,100*(Norm_Stats!$G$3-MIN(MAX(City_Inputs!$N64,Norm_Stats!$F$3),Norm_Stats!$G$3))/(Norm_Stats!$G$3-Norm_Stats!$F$3))))</f>
        <v/>
      </c>
      <c r="J64" s="14">
        <f>IF(I64="","",1)</f>
        <v/>
      </c>
      <c r="K64" s="11">
        <f>IF(OR(City_Inputs!$P64="",Norm_Stats!$F$4="",Norm_Stats!$G$4="",Norm_Stats!$G$4=Norm_Stats!$F$4),"",MAX(0,MIN(100,100*(Norm_Stats!$G$4-MIN(MAX(City_Inputs!$P64,Norm_Stats!$F$4),Norm_Stats!$G$4))/(Norm_Stats!$G$4-Norm_Stats!$F$4))))</f>
        <v/>
      </c>
      <c r="L64" s="14">
        <f>IF(K64="","",1)</f>
        <v/>
      </c>
      <c r="M64" s="11">
        <f>IF(OR(City_Inputs!$Q64="",Norm_Stats!$F$5="",Norm_Stats!$G$5="",Norm_Stats!$G$5=Norm_Stats!$F$5),"",MAX(0,MIN(100,100*(Norm_Stats!$G$5-MIN(MAX(City_Inputs!$Q64,Norm_Stats!$F$5),Norm_Stats!$G$5))/(Norm_Stats!$G$5-Norm_Stats!$F$5))))</f>
        <v/>
      </c>
      <c r="N64" s="14">
        <f>IF(M64="","",1)</f>
        <v/>
      </c>
      <c r="O64" s="11">
        <f>IF(OR(City_Inputs!$R64="",Norm_Stats!$F$6="",Norm_Stats!$G$6="",Norm_Stats!$G$6=Norm_Stats!$F$6),"",MAX(0,MIN(100,100*(Norm_Stats!$G$6-MIN(MAX(City_Inputs!$R64,Norm_Stats!$F$6),Norm_Stats!$G$6))/(Norm_Stats!$G$6-Norm_Stats!$F$6))))</f>
        <v/>
      </c>
      <c r="P64" s="14">
        <f>IF(O64="","",1)</f>
        <v/>
      </c>
      <c r="Q64" s="15">
        <f>IF((IF(G64="",0,9)+IF(I64="",0,5)+IF(K64="",0,4)+IF(M64="",0,4)+IF(O64="",0,3))=0,"",(IF(G64="",0,G64*9)+IF(I64="",0,I64*5)+IF(K64="",0,K64*4)+IF(M64="",0,M64*4)+IF(O64="",0,O64*3))/(IF(G64="",0,9)+IF(I64="",0,5)+IF(K64="",0,4)+IF(M64="",0,4)+IF(O64="",0,3)))</f>
        <v/>
      </c>
      <c r="R64" s="14">
        <f>IF((IF(H64="",0,9)+IF(J64="",0,5)+IF(L64="",0,4)+IF(N64="",0,4)+IF(P64="",0,3))=0,"",(IF(H64="",0,H64*9)+IF(J64="",0,J64*5)+IF(L64="",0,L64*4)+IF(N64="",0,N64*4)+IF(P64="",0,P64*3))/25)</f>
        <v/>
      </c>
      <c r="S64" s="11">
        <f>IF(OR(City_Inputs!$S64="",Norm_Stats!$F$7="",Norm_Stats!$G$7="",Norm_Stats!$G$7=Norm_Stats!$F$7),"",MAX(0,MIN(100,100*(Norm_Stats!$G$7-MIN(MAX(City_Inputs!$S64,Norm_Stats!$F$7),Norm_Stats!$G$7))/(Norm_Stats!$G$7-Norm_Stats!$F$7))))</f>
        <v/>
      </c>
      <c r="T64" s="14">
        <f>IF(S64="","",1)</f>
        <v/>
      </c>
      <c r="U64" s="11">
        <f>IF(OR(City_Inputs!$T64="",Norm_Stats!$F$8="",Norm_Stats!$G$8="",Norm_Stats!$G$8=Norm_Stats!$F$8),"",MAX(0,MIN(100,100*(MIN(MAX(City_Inputs!$T64,Norm_Stats!$F$8),Norm_Stats!$G$8)-Norm_Stats!$F$8)/(Norm_Stats!$G$8-Norm_Stats!$F$8))))</f>
        <v/>
      </c>
      <c r="V64" s="14">
        <f>IF(U64="","",1)</f>
        <v/>
      </c>
      <c r="W64" s="11">
        <f>IF(OR(City_Inputs!$U64="",Norm_Stats!$F$9="",Norm_Stats!$G$9="",Norm_Stats!$G$9=Norm_Stats!$F$9),"",MAX(0,MIN(100,100*(Norm_Stats!$G$9-MIN(MAX(City_Inputs!$U64,Norm_Stats!$F$9),Norm_Stats!$G$9))/(Norm_Stats!$G$9-Norm_Stats!$F$9))))</f>
        <v/>
      </c>
      <c r="X64" s="14">
        <f>IF(W64="","",1)</f>
        <v/>
      </c>
      <c r="Y64" s="11">
        <f>IF(OR(City_Inputs!$V64="",Norm_Stats!$F$10="",Norm_Stats!$G$10="",Norm_Stats!$G$10=Norm_Stats!$F$10),"",MAX(0,MIN(100,100*(MIN(MAX(City_Inputs!$V64,Norm_Stats!$F$10),Norm_Stats!$G$10)-Norm_Stats!$F$10)/(Norm_Stats!$G$10-Norm_Stats!$F$10))))</f>
        <v/>
      </c>
      <c r="Z64" s="14">
        <f>IF(Y64="","",1)</f>
        <v/>
      </c>
      <c r="AA64" s="11">
        <f>IF(OR(City_Inputs!$W64="",Norm_Stats!$F$11="",Norm_Stats!$G$11="",Norm_Stats!$G$11=Norm_Stats!$F$11),"",MAX(0,MIN(100,100*(MIN(MAX(City_Inputs!$W64,Norm_Stats!$F$11),Norm_Stats!$G$11)-Norm_Stats!$F$11)/(Norm_Stats!$G$11-Norm_Stats!$F$11))))</f>
        <v/>
      </c>
      <c r="AB64" s="14">
        <f>IF(AA64="","",1)</f>
        <v/>
      </c>
      <c r="AC64" s="15">
        <f>IF((IF(S64="",0,5)+IF(U64="",0,5)+IF(W64="",0,4)+IF(Y64="",0,4)+IF(AA64="",0,4))=0,"",(IF(S64="",0,S64*5)+IF(U64="",0,U64*5)+IF(W64="",0,W64*4)+IF(Y64="",0,Y64*4)+IF(AA64="",0,AA64*4))/(IF(S64="",0,5)+IF(U64="",0,5)+IF(W64="",0,4)+IF(Y64="",0,4)+IF(AA64="",0,4)))</f>
        <v/>
      </c>
      <c r="AD64" s="14">
        <f>IF((IF(T64="",0,5)+IF(V64="",0,5)+IF(X64="",0,4)+IF(Z64="",0,4)+IF(AB64="",0,4))=0,"",(IF(T64="",0,T64*5)+IF(V64="",0,V64*5)+IF(X64="",0,X64*4)+IF(Z64="",0,Z64*4)+IF(AB64="",0,AB64*4))/22)</f>
        <v/>
      </c>
      <c r="AE64" s="11">
        <f>IF(OR(City_Inputs!$X64="",Norm_Stats!$F$12="",Norm_Stats!$G$12="",Norm_Stats!$G$12=Norm_Stats!$F$12),"",MAX(0,MIN(100,100*(MIN(MAX(City_Inputs!$X64,Norm_Stats!$F$12),Norm_Stats!$G$12)-Norm_Stats!$F$12)/(Norm_Stats!$G$12-Norm_Stats!$F$12))))</f>
        <v/>
      </c>
      <c r="AF64" s="14">
        <f>IF(AE64="","",1)</f>
        <v/>
      </c>
      <c r="AG64" s="11">
        <f>IF(OR(City_Inputs!$Y64="",Norm_Stats!$F$13="",Norm_Stats!$G$13="",Norm_Stats!$G$13=Norm_Stats!$F$13),"",MAX(0,MIN(100,100*(MIN(MAX(City_Inputs!$Y64,Norm_Stats!$F$13),Norm_Stats!$G$13)-Norm_Stats!$F$13)/(Norm_Stats!$G$13-Norm_Stats!$F$13))))</f>
        <v/>
      </c>
      <c r="AH64" s="14">
        <f>IF(AG64="","",1)</f>
        <v/>
      </c>
      <c r="AI64" s="11">
        <f>IF((IF((IF(OR(City_Inputs!$Z64="",Norm_Stats!$F$14="",Norm_Stats!$G$14="",Norm_Stats!$G$14=Norm_Stats!$F$14),"",MAX(0,MIN(100,100*(MIN(MAX(City_Inputs!$Z64,Norm_Stats!$F$14),Norm_Stats!$G$14)-Norm_Stats!$F$14)/(Norm_Stats!$G$14-Norm_Stats!$F$14)))))="",0,0.7)+IF((IF(OR(City_Inputs!$AK64="",Norm_Stats!$F$15="",Norm_Stats!$G$15="",Norm_Stats!$G$15=Norm_Stats!$F$15),"",MAX(0,MIN(100,100*(Norm_Stats!$G$15-MIN(MAX(City_Inputs!$AK64,Norm_Stats!$F$15),Norm_Stats!$G$15))/(Norm_Stats!$G$15-Norm_Stats!$F$15)))))="",0,0.3))=0,"",(IF((IF(OR(City_Inputs!$Z64="",Norm_Stats!$F$14="",Norm_Stats!$G$14="",Norm_Stats!$G$14=Norm_Stats!$F$14),"",MAX(0,MIN(100,100*(MIN(MAX(City_Inputs!$Z64,Norm_Stats!$F$14),Norm_Stats!$G$14)-Norm_Stats!$F$14)/(Norm_Stats!$G$14-Norm_Stats!$F$14)))))="",0,(IF(OR(City_Inputs!$Z64="",Norm_Stats!$F$14="",Norm_Stats!$G$14="",Norm_Stats!$G$14=Norm_Stats!$F$14),"",MAX(0,MIN(100,100*(MIN(MAX(City_Inputs!$Z64,Norm_Stats!$F$14),Norm_Stats!$G$14)-Norm_Stats!$F$14)/(Norm_Stats!$G$14-Norm_Stats!$F$14)))))*0.7)+IF((IF(OR(City_Inputs!$AK64="",Norm_Stats!$F$15="",Norm_Stats!$G$15="",Norm_Stats!$G$15=Norm_Stats!$F$15),"",MAX(0,MIN(100,100*(Norm_Stats!$G$15-MIN(MAX(City_Inputs!$AK64,Norm_Stats!$F$15),Norm_Stats!$G$15))/(Norm_Stats!$G$15-Norm_Stats!$F$15)))))="",0,(IF(OR(City_Inputs!$AK64="",Norm_Stats!$F$15="",Norm_Stats!$G$15="",Norm_Stats!$G$15=Norm_Stats!$F$15),"",MAX(0,MIN(100,100*(Norm_Stats!$G$15-MIN(MAX(City_Inputs!$AK64,Norm_Stats!$F$15),Norm_Stats!$G$15))/(Norm_Stats!$G$15-Norm_Stats!$F$15)))))*0.3))/(IF((IF(OR(City_Inputs!$Z64="",Norm_Stats!$F$14="",Norm_Stats!$G$14="",Norm_Stats!$G$14=Norm_Stats!$F$14),"",MAX(0,MIN(100,100*(MIN(MAX(City_Inputs!$Z64,Norm_Stats!$F$14),Norm_Stats!$G$14)-Norm_Stats!$F$14)/(Norm_Stats!$G$14-Norm_Stats!$F$14)))))="",0,0.7)+IF((IF(OR(City_Inputs!$AK64="",Norm_Stats!$F$15="",Norm_Stats!$G$15="",Norm_Stats!$G$15=Norm_Stats!$F$15),"",MAX(0,MIN(100,100*(Norm_Stats!$G$15-MIN(MAX(City_Inputs!$AK64,Norm_Stats!$F$15),Norm_Stats!$G$15))/(Norm_Stats!$G$15-Norm_Stats!$F$15)))))="",0,0.3)))</f>
        <v/>
      </c>
      <c r="AJ64" s="14">
        <f>IF((IF((IF(OR(City_Inputs!$Z64="",Norm_Stats!$F$14="",Norm_Stats!$G$14="",Norm_Stats!$G$14=Norm_Stats!$F$14),"",MAX(0,MIN(100,100*(MIN(MAX(City_Inputs!$Z64,Norm_Stats!$F$14),Norm_Stats!$G$14)-Norm_Stats!$F$14)/(Norm_Stats!$G$14-Norm_Stats!$F$14)))))="",0,0.7)+IF((IF(OR(City_Inputs!$AK64="",Norm_Stats!$F$15="",Norm_Stats!$G$15="",Norm_Stats!$G$15=Norm_Stats!$F$15),"",MAX(0,MIN(100,100*(Norm_Stats!$G$15-MIN(MAX(City_Inputs!$AK64,Norm_Stats!$F$15),Norm_Stats!$G$15))/(Norm_Stats!$G$15-Norm_Stats!$F$15)))))="",0,0.3))=0,"",(IF((IF(OR(City_Inputs!$Z64="",Norm_Stats!$F$14="",Norm_Stats!$G$14="",Norm_Stats!$G$14=Norm_Stats!$F$14),"",MAX(0,MIN(100,100*(MIN(MAX(City_Inputs!$Z64,Norm_Stats!$F$14),Norm_Stats!$G$14)-Norm_Stats!$F$14)/(Norm_Stats!$G$14-Norm_Stats!$F$14)))))="",0,0.7)+IF((IF(OR(City_Inputs!$AK64="",Norm_Stats!$F$15="",Norm_Stats!$G$15="",Norm_Stats!$G$15=Norm_Stats!$F$15),"",MAX(0,MIN(100,100*(Norm_Stats!$G$15-MIN(MAX(City_Inputs!$AK64,Norm_Stats!$F$15),Norm_Stats!$G$15))/(Norm_Stats!$G$15-Norm_Stats!$F$15)))))="",0,0.3)))</f>
        <v/>
      </c>
      <c r="AK64" s="15">
        <f>IF((IF(AE64="",0,8)+IF(AG64="",0,6)+IF(AI64="",0,4))=0,"",(IF(AE64="",0,AE64*8)+IF(AG64="",0,AG64*6)+IF(AI64="",0,AI64*4))/(IF(AE64="",0,8)+IF(AG64="",0,6)+IF(AI64="",0,4)))</f>
        <v/>
      </c>
      <c r="AL64" s="14">
        <f>IF((IF(AF64="",0,8)+IF(AH64="",0,6)+IF(AJ64="",0,4))=0,"",(IF(AF64="",0,AF64*8)+IF(AH64="",0,AH64*6)+IF(AJ64="",0,AJ64*4))/18)</f>
        <v/>
      </c>
      <c r="AM64" s="11">
        <f>IF(OR(City_Inputs!$AA64="",Norm_Stats!$F$16="",Norm_Stats!$G$16="",Norm_Stats!$G$16=Norm_Stats!$F$16),"",MAX(0,MIN(100,100*(MIN(MAX(City_Inputs!$AA64,Norm_Stats!$F$16),Norm_Stats!$G$16)-Norm_Stats!$F$16)/(Norm_Stats!$G$16-Norm_Stats!$F$16))))</f>
        <v/>
      </c>
      <c r="AN64" s="14">
        <f>IF(AM64="","",1)</f>
        <v/>
      </c>
      <c r="AO64" s="11">
        <f>IF(OR(City_Inputs!$AB64="",Norm_Stats!$F$17="",Norm_Stats!$G$17="",Norm_Stats!$G$17=Norm_Stats!$F$17),"",MAX(0,MIN(100,100*(MIN(MAX(City_Inputs!$AB64,Norm_Stats!$F$17),Norm_Stats!$G$17)-Norm_Stats!$F$17)/(Norm_Stats!$G$17-Norm_Stats!$F$17))))</f>
        <v/>
      </c>
      <c r="AP64" s="14">
        <f>IF(AO64="","",1)</f>
        <v/>
      </c>
      <c r="AQ64" s="11">
        <f>IF(OR(City_Inputs!$AC64="",Norm_Stats!$F$18="",Norm_Stats!$G$18="",Norm_Stats!$G$18=Norm_Stats!$F$18),"",MAX(0,MIN(100,100*(MIN(MAX(City_Inputs!$AC64,Norm_Stats!$F$18),Norm_Stats!$G$18)-Norm_Stats!$F$18)/(Norm_Stats!$G$18-Norm_Stats!$F$18))))</f>
        <v/>
      </c>
      <c r="AR64" s="14">
        <f>IF(AQ64="","",1)</f>
        <v/>
      </c>
      <c r="AS64" s="15">
        <f>IF((IF(AM64="",0,5)+IF(AO64="",0,5)+IF(AQ64="",0,5))=0,"",(IF(AM64="",0,AM64*5)+IF(AO64="",0,AO64*5)+IF(AQ64="",0,AQ64*5))/(IF(AM64="",0,5)+IF(AO64="",0,5)+IF(AQ64="",0,5)))</f>
        <v/>
      </c>
      <c r="AT64" s="14">
        <f>IF((IF(AN64="",0,5)+IF(AP64="",0,5)+IF(AR64="",0,5))=0,"",(IF(AN64="",0,AN64*5)+IF(AP64="",0,AP64*5)+IF(AR64="",0,AR64*5))/15)</f>
        <v/>
      </c>
      <c r="AU64" s="11">
        <f>IF(OR(City_Inputs!$AD64="",Norm_Stats!$F$19="",Norm_Stats!$G$19="",Norm_Stats!$G$19=Norm_Stats!$F$19),"",MAX(0,MIN(100,100*(MIN(MAX(City_Inputs!$AD64,Norm_Stats!$F$19),Norm_Stats!$G$19)-Norm_Stats!$F$19)/(Norm_Stats!$G$19-Norm_Stats!$F$19))))</f>
        <v/>
      </c>
      <c r="AV64" s="14">
        <f>IF(AU64="","",1)</f>
        <v/>
      </c>
      <c r="AW64" s="11">
        <f>IF(OR(City_Inputs!$AE64="",Norm_Stats!$F$20="",Norm_Stats!$G$20="",Norm_Stats!$G$20=Norm_Stats!$F$20),"",MAX(0,MIN(100,100*(MIN(MAX(City_Inputs!$AE64,Norm_Stats!$F$20),Norm_Stats!$G$20)-Norm_Stats!$F$20)/(Norm_Stats!$G$20-Norm_Stats!$F$20))))</f>
        <v/>
      </c>
      <c r="AX64" s="14">
        <f>IF(AW64="","",1)</f>
        <v/>
      </c>
      <c r="AY64" s="11">
        <f>IF((IF((IF(OR(City_Inputs!$AF64="",Norm_Stats!$F$21="",Norm_Stats!$G$21="",Norm_Stats!$G$21=Norm_Stats!$F$21),"",MAX(0,MIN(100,100*(MIN(MAX(City_Inputs!$AF64,Norm_Stats!$F$21),Norm_Stats!$G$21)-Norm_Stats!$F$21)/(Norm_Stats!$G$21-Norm_Stats!$F$21)))))="",0,0.5)+IF((IF(OR(City_Inputs!$AI64="",Norm_Stats!$F$22="",Norm_Stats!$G$22="",Norm_Stats!$G$22=Norm_Stats!$F$22),"",MAX(0,MIN(100,100*(MIN(MAX(City_Inputs!$AI64,Norm_Stats!$F$22),Norm_Stats!$G$22)-Norm_Stats!$F$22)/(Norm_Stats!$G$22-Norm_Stats!$F$22)))))="",0,0.3)+IF((IF(OR(City_Inputs!$AJ64="",Norm_Stats!$F$23="",Norm_Stats!$G$23="",Norm_Stats!$G$23=Norm_Stats!$F$23),"",MAX(0,MIN(100,100*(MIN(MAX(City_Inputs!$AJ64,Norm_Stats!$F$23),Norm_Stats!$G$23)-Norm_Stats!$F$23)/(Norm_Stats!$G$23-Norm_Stats!$F$23)))))="",0,0.2))=0,"",(IF((IF(OR(City_Inputs!$AF64="",Norm_Stats!$F$21="",Norm_Stats!$G$21="",Norm_Stats!$G$21=Norm_Stats!$F$21),"",MAX(0,MIN(100,100*(MIN(MAX(City_Inputs!$AF64,Norm_Stats!$F$21),Norm_Stats!$G$21)-Norm_Stats!$F$21)/(Norm_Stats!$G$21-Norm_Stats!$F$21)))))="",0,(IF(OR(City_Inputs!$AF64="",Norm_Stats!$F$21="",Norm_Stats!$G$21="",Norm_Stats!$G$21=Norm_Stats!$F$21),"",MAX(0,MIN(100,100*(MIN(MAX(City_Inputs!$AF64,Norm_Stats!$F$21),Norm_Stats!$G$21)-Norm_Stats!$F$21)/(Norm_Stats!$G$21-Norm_Stats!$F$21)))))*0.5)+IF((IF(OR(City_Inputs!$AI64="",Norm_Stats!$F$22="",Norm_Stats!$G$22="",Norm_Stats!$G$22=Norm_Stats!$F$22),"",MAX(0,MIN(100,100*(MIN(MAX(City_Inputs!$AI64,Norm_Stats!$F$22),Norm_Stats!$G$22)-Norm_Stats!$F$22)/(Norm_Stats!$G$22-Norm_Stats!$F$22)))))="",0,(IF(OR(City_Inputs!$AI64="",Norm_Stats!$F$22="",Norm_Stats!$G$22="",Norm_Stats!$G$22=Norm_Stats!$F$22),"",MAX(0,MIN(100,100*(MIN(MAX(City_Inputs!$AI64,Norm_Stats!$F$22),Norm_Stats!$G$22)-Norm_Stats!$F$22)/(Norm_Stats!$G$22-Norm_Stats!$F$22)))))*0.3)+IF((IF(OR(City_Inputs!$AJ64="",Norm_Stats!$F$23="",Norm_Stats!$G$23="",Norm_Stats!$G$23=Norm_Stats!$F$23),"",MAX(0,MIN(100,100*(MIN(MAX(City_Inputs!$AJ64,Norm_Stats!$F$23),Norm_Stats!$G$23)-Norm_Stats!$F$23)/(Norm_Stats!$G$23-Norm_Stats!$F$23)))))="",0,(IF(OR(City_Inputs!$AJ64="",Norm_Stats!$F$23="",Norm_Stats!$G$23="",Norm_Stats!$G$23=Norm_Stats!$F$23),"",MAX(0,MIN(100,100*(MIN(MAX(City_Inputs!$AJ64,Norm_Stats!$F$23),Norm_Stats!$G$23)-Norm_Stats!$F$23)/(Norm_Stats!$G$23-Norm_Stats!$F$23)))))*0.2))/(IF((IF(OR(City_Inputs!$AF64="",Norm_Stats!$F$21="",Norm_Stats!$G$21="",Norm_Stats!$G$21=Norm_Stats!$F$21),"",MAX(0,MIN(100,100*(MIN(MAX(City_Inputs!$AF64,Norm_Stats!$F$21),Norm_Stats!$G$21)-Norm_Stats!$F$21)/(Norm_Stats!$G$21-Norm_Stats!$F$21)))))="",0,0.5)+IF((IF(OR(City_Inputs!$AI64="",Norm_Stats!$F$22="",Norm_Stats!$G$22="",Norm_Stats!$G$22=Norm_Stats!$F$22),"",MAX(0,MIN(100,100*(MIN(MAX(City_Inputs!$AI64,Norm_Stats!$F$22),Norm_Stats!$G$22)-Norm_Stats!$F$22)/(Norm_Stats!$G$22-Norm_Stats!$F$22)))))="",0,0.3)+IF((IF(OR(City_Inputs!$AJ64="",Norm_Stats!$F$23="",Norm_Stats!$G$23="",Norm_Stats!$G$23=Norm_Stats!$F$23),"",MAX(0,MIN(100,100*(MIN(MAX(City_Inputs!$AJ64,Norm_Stats!$F$23),Norm_Stats!$G$23)-Norm_Stats!$F$23)/(Norm_Stats!$G$23-Norm_Stats!$F$23)))))="",0,0.2)))</f>
        <v/>
      </c>
      <c r="AZ64" s="14">
        <f>IF((IF((IF(OR(City_Inputs!$AF64="",Norm_Stats!$F$21="",Norm_Stats!$G$21="",Norm_Stats!$G$21=Norm_Stats!$F$21),"",MAX(0,MIN(100,100*(MIN(MAX(City_Inputs!$AF64,Norm_Stats!$F$21),Norm_Stats!$G$21)-Norm_Stats!$F$21)/(Norm_Stats!$G$21-Norm_Stats!$F$21)))))="",0,0.5)+IF((IF(OR(City_Inputs!$AI64="",Norm_Stats!$F$22="",Norm_Stats!$G$22="",Norm_Stats!$G$22=Norm_Stats!$F$22),"",MAX(0,MIN(100,100*(MIN(MAX(City_Inputs!$AI64,Norm_Stats!$F$22),Norm_Stats!$G$22)-Norm_Stats!$F$22)/(Norm_Stats!$G$22-Norm_Stats!$F$22)))))="",0,0.3)+IF((IF(OR(City_Inputs!$AJ64="",Norm_Stats!$F$23="",Norm_Stats!$G$23="",Norm_Stats!$G$23=Norm_Stats!$F$23),"",MAX(0,MIN(100,100*(MIN(MAX(City_Inputs!$AJ64,Norm_Stats!$F$23),Norm_Stats!$G$23)-Norm_Stats!$F$23)/(Norm_Stats!$G$23-Norm_Stats!$F$23)))))="",0,0.2))=0,"",(IF((IF(OR(City_Inputs!$AF64="",Norm_Stats!$F$21="",Norm_Stats!$G$21="",Norm_Stats!$G$21=Norm_Stats!$F$21),"",MAX(0,MIN(100,100*(MIN(MAX(City_Inputs!$AF64,Norm_Stats!$F$21),Norm_Stats!$G$21)-Norm_Stats!$F$21)/(Norm_Stats!$G$21-Norm_Stats!$F$21)))))="",0,0.5)+IF((IF(OR(City_Inputs!$AI64="",Norm_Stats!$F$22="",Norm_Stats!$G$22="",Norm_Stats!$G$22=Norm_Stats!$F$22),"",MAX(0,MIN(100,100*(MIN(MAX(City_Inputs!$AI64,Norm_Stats!$F$22),Norm_Stats!$G$22)-Norm_Stats!$F$22)/(Norm_Stats!$G$22-Norm_Stats!$F$22)))))="",0,0.3)+IF((IF(OR(City_Inputs!$AJ64="",Norm_Stats!$F$23="",Norm_Stats!$G$23="",Norm_Stats!$G$23=Norm_Stats!$F$23),"",MAX(0,MIN(100,100*(MIN(MAX(City_Inputs!$AJ64,Norm_Stats!$F$23),Norm_Stats!$G$23)-Norm_Stats!$F$23)/(Norm_Stats!$G$23-Norm_Stats!$F$23)))))="",0,0.2)))</f>
        <v/>
      </c>
      <c r="BA64" s="11">
        <f>IF(OR(City_Inputs!$AG64="",Norm_Stats!$F$24="",Norm_Stats!$G$24="",Norm_Stats!$G$24=Norm_Stats!$F$24),"",MAX(0,MIN(100,100*(Norm_Stats!$G$24-MIN(MAX(City_Inputs!$AG64,Norm_Stats!$F$24),Norm_Stats!$G$24))/(Norm_Stats!$G$24-Norm_Stats!$F$24))))</f>
        <v/>
      </c>
      <c r="BB64" s="14">
        <f>IF(BA64="","",1)</f>
        <v/>
      </c>
      <c r="BC64" s="15">
        <f>IF((IF(AU64="",0,6)+IF(AW64="",0,5)+IF(AY64="",0,5)+IF(BA64="",0,4))=0,"",(IF(AU64="",0,AU64*6)+IF(AW64="",0,AW64*5)+IF(AY64="",0,AY64*5)+IF(BA64="",0,BA64*4))/(IF(AU64="",0,6)+IF(AW64="",0,5)+IF(AY64="",0,5)+IF(BA64="",0,4)))</f>
        <v/>
      </c>
      <c r="BD64" s="14">
        <f>IF((IF(AV64="",0,6)+IF(AX64="",0,5)+IF(AZ64="",0,5)+IF(BB64="",0,4))=0,"",(IF(AV64="",0,AV64*6)+IF(AX64="",0,AX64*5)+IF(AZ64="",0,AZ64*5)+IF(BB64="",0,BB64*4))/20)</f>
        <v/>
      </c>
      <c r="BE64" s="14">
        <f>IF(AND(R64="",AD64="",AL64="",AT64="",BD64=""),"",((R64*25)+(AD64*22)+(AL64*18)+(AT64*15)+(BD64*20))/100)</f>
        <v/>
      </c>
      <c r="BF64" s="11">
        <f>IF(BE64="","",IF(BE64&gt;=0.75,"A",IF(BE64&gt;=0.5,"B",IF(BE64&gt;=0.35,"C","Watchlist"))))</f>
        <v/>
      </c>
      <c r="BG64" s="11">
        <f>IF(OR(BE64="",BE64&lt;0.5,R64="",R64&lt;0.35,AD64="",AD64&lt;0.35,AL64="",AL64&lt;0.35,AT64="",AT64&lt;0.35,BD64="",BD64&lt;0.35),"Watchlist","Ranked")</f>
        <v/>
      </c>
      <c r="BH64" s="15">
        <f>IF(AND(Q64="",AC64="",AK64="",AS64="",BC64=""),"",(IF(Q64="",0,Q64*25)+IF(AC64="",0,AC64*22)+IF(AK64="",0,AK64*18)+IF(AS64="",0,AS64*15)+IF(BC64="",0,BC64*20))/(IF(Q64="",0,25)+IF(AC64="",0,22)+IF(AK64="",0,18)+IF(AS64="",0,15)+IF(BC64="",0,20)))</f>
        <v/>
      </c>
      <c r="BI64" s="11">
        <f>IF(BG64="Ranked",1+COUNTIFS($BG$2:$BG$103,"Ranked",$BH$2:$BH$103,"&gt;"&amp;BH64),"")</f>
        <v/>
      </c>
      <c r="BJ64" s="11">
        <f>City_Inputs!$AH64</f>
        <v/>
      </c>
    </row>
    <row r="65">
      <c r="A65" t="inlineStr">
        <is>
          <t>ar-buenos-aires</t>
        </is>
      </c>
      <c r="B65" t="inlineStr">
        <is>
          <t>Buenos Aires</t>
        </is>
      </c>
      <c r="C65" t="inlineStr">
        <is>
          <t>Argentina</t>
        </is>
      </c>
      <c r="D65" t="inlineStr">
        <is>
          <t>Latin America</t>
        </is>
      </c>
      <c r="E65" t="inlineStr">
        <is>
          <t>locked</t>
        </is>
      </c>
      <c r="F65" t="inlineStr">
        <is>
          <t>primary</t>
        </is>
      </c>
      <c r="G65" s="11">
        <f>IF(OR(City_Inputs!$M65="",Norm_Stats!$F$2="",Norm_Stats!$G$2="",Norm_Stats!$G$2=Norm_Stats!$F$2),"",MAX(0,MIN(100,100*(MIN(MAX(City_Inputs!$M65,Norm_Stats!$F$2),Norm_Stats!$G$2)-Norm_Stats!$F$2)/(Norm_Stats!$G$2-Norm_Stats!$F$2))))</f>
        <v/>
      </c>
      <c r="H65" s="14">
        <f>IF(G65="","",1)</f>
        <v/>
      </c>
      <c r="I65" s="11">
        <f>IF(OR(City_Inputs!$N65="",Norm_Stats!$F$3="",Norm_Stats!$G$3="",Norm_Stats!$G$3=Norm_Stats!$F$3),"",MAX(0,MIN(100,100*(Norm_Stats!$G$3-MIN(MAX(City_Inputs!$N65,Norm_Stats!$F$3),Norm_Stats!$G$3))/(Norm_Stats!$G$3-Norm_Stats!$F$3))))</f>
        <v/>
      </c>
      <c r="J65" s="14">
        <f>IF(I65="","",1)</f>
        <v/>
      </c>
      <c r="K65" s="11">
        <f>IF(OR(City_Inputs!$P65="",Norm_Stats!$F$4="",Norm_Stats!$G$4="",Norm_Stats!$G$4=Norm_Stats!$F$4),"",MAX(0,MIN(100,100*(Norm_Stats!$G$4-MIN(MAX(City_Inputs!$P65,Norm_Stats!$F$4),Norm_Stats!$G$4))/(Norm_Stats!$G$4-Norm_Stats!$F$4))))</f>
        <v/>
      </c>
      <c r="L65" s="14">
        <f>IF(K65="","",1)</f>
        <v/>
      </c>
      <c r="M65" s="11">
        <f>IF(OR(City_Inputs!$Q65="",Norm_Stats!$F$5="",Norm_Stats!$G$5="",Norm_Stats!$G$5=Norm_Stats!$F$5),"",MAX(0,MIN(100,100*(Norm_Stats!$G$5-MIN(MAX(City_Inputs!$Q65,Norm_Stats!$F$5),Norm_Stats!$G$5))/(Norm_Stats!$G$5-Norm_Stats!$F$5))))</f>
        <v/>
      </c>
      <c r="N65" s="14">
        <f>IF(M65="","",1)</f>
        <v/>
      </c>
      <c r="O65" s="11">
        <f>IF(OR(City_Inputs!$R65="",Norm_Stats!$F$6="",Norm_Stats!$G$6="",Norm_Stats!$G$6=Norm_Stats!$F$6),"",MAX(0,MIN(100,100*(Norm_Stats!$G$6-MIN(MAX(City_Inputs!$R65,Norm_Stats!$F$6),Norm_Stats!$G$6))/(Norm_Stats!$G$6-Norm_Stats!$F$6))))</f>
        <v/>
      </c>
      <c r="P65" s="14">
        <f>IF(O65="","",1)</f>
        <v/>
      </c>
      <c r="Q65" s="15">
        <f>IF((IF(G65="",0,9)+IF(I65="",0,5)+IF(K65="",0,4)+IF(M65="",0,4)+IF(O65="",0,3))=0,"",(IF(G65="",0,G65*9)+IF(I65="",0,I65*5)+IF(K65="",0,K65*4)+IF(M65="",0,M65*4)+IF(O65="",0,O65*3))/(IF(G65="",0,9)+IF(I65="",0,5)+IF(K65="",0,4)+IF(M65="",0,4)+IF(O65="",0,3)))</f>
        <v/>
      </c>
      <c r="R65" s="14">
        <f>IF((IF(H65="",0,9)+IF(J65="",0,5)+IF(L65="",0,4)+IF(N65="",0,4)+IF(P65="",0,3))=0,"",(IF(H65="",0,H65*9)+IF(J65="",0,J65*5)+IF(L65="",0,L65*4)+IF(N65="",0,N65*4)+IF(P65="",0,P65*3))/25)</f>
        <v/>
      </c>
      <c r="S65" s="11">
        <f>IF(OR(City_Inputs!$S65="",Norm_Stats!$F$7="",Norm_Stats!$G$7="",Norm_Stats!$G$7=Norm_Stats!$F$7),"",MAX(0,MIN(100,100*(Norm_Stats!$G$7-MIN(MAX(City_Inputs!$S65,Norm_Stats!$F$7),Norm_Stats!$G$7))/(Norm_Stats!$G$7-Norm_Stats!$F$7))))</f>
        <v/>
      </c>
      <c r="T65" s="14">
        <f>IF(S65="","",1)</f>
        <v/>
      </c>
      <c r="U65" s="11">
        <f>IF(OR(City_Inputs!$T65="",Norm_Stats!$F$8="",Norm_Stats!$G$8="",Norm_Stats!$G$8=Norm_Stats!$F$8),"",MAX(0,MIN(100,100*(MIN(MAX(City_Inputs!$T65,Norm_Stats!$F$8),Norm_Stats!$G$8)-Norm_Stats!$F$8)/(Norm_Stats!$G$8-Norm_Stats!$F$8))))</f>
        <v/>
      </c>
      <c r="V65" s="14">
        <f>IF(U65="","",1)</f>
        <v/>
      </c>
      <c r="W65" s="11">
        <f>IF(OR(City_Inputs!$U65="",Norm_Stats!$F$9="",Norm_Stats!$G$9="",Norm_Stats!$G$9=Norm_Stats!$F$9),"",MAX(0,MIN(100,100*(Norm_Stats!$G$9-MIN(MAX(City_Inputs!$U65,Norm_Stats!$F$9),Norm_Stats!$G$9))/(Norm_Stats!$G$9-Norm_Stats!$F$9))))</f>
        <v/>
      </c>
      <c r="X65" s="14">
        <f>IF(W65="","",1)</f>
        <v/>
      </c>
      <c r="Y65" s="11">
        <f>IF(OR(City_Inputs!$V65="",Norm_Stats!$F$10="",Norm_Stats!$G$10="",Norm_Stats!$G$10=Norm_Stats!$F$10),"",MAX(0,MIN(100,100*(MIN(MAX(City_Inputs!$V65,Norm_Stats!$F$10),Norm_Stats!$G$10)-Norm_Stats!$F$10)/(Norm_Stats!$G$10-Norm_Stats!$F$10))))</f>
        <v/>
      </c>
      <c r="Z65" s="14">
        <f>IF(Y65="","",1)</f>
        <v/>
      </c>
      <c r="AA65" s="11">
        <f>IF(OR(City_Inputs!$W65="",Norm_Stats!$F$11="",Norm_Stats!$G$11="",Norm_Stats!$G$11=Norm_Stats!$F$11),"",MAX(0,MIN(100,100*(MIN(MAX(City_Inputs!$W65,Norm_Stats!$F$11),Norm_Stats!$G$11)-Norm_Stats!$F$11)/(Norm_Stats!$G$11-Norm_Stats!$F$11))))</f>
        <v/>
      </c>
      <c r="AB65" s="14">
        <f>IF(AA65="","",1)</f>
        <v/>
      </c>
      <c r="AC65" s="15">
        <f>IF((IF(S65="",0,5)+IF(U65="",0,5)+IF(W65="",0,4)+IF(Y65="",0,4)+IF(AA65="",0,4))=0,"",(IF(S65="",0,S65*5)+IF(U65="",0,U65*5)+IF(W65="",0,W65*4)+IF(Y65="",0,Y65*4)+IF(AA65="",0,AA65*4))/(IF(S65="",0,5)+IF(U65="",0,5)+IF(W65="",0,4)+IF(Y65="",0,4)+IF(AA65="",0,4)))</f>
        <v/>
      </c>
      <c r="AD65" s="14">
        <f>IF((IF(T65="",0,5)+IF(V65="",0,5)+IF(X65="",0,4)+IF(Z65="",0,4)+IF(AB65="",0,4))=0,"",(IF(T65="",0,T65*5)+IF(V65="",0,V65*5)+IF(X65="",0,X65*4)+IF(Z65="",0,Z65*4)+IF(AB65="",0,AB65*4))/22)</f>
        <v/>
      </c>
      <c r="AE65" s="11">
        <f>IF(OR(City_Inputs!$X65="",Norm_Stats!$F$12="",Norm_Stats!$G$12="",Norm_Stats!$G$12=Norm_Stats!$F$12),"",MAX(0,MIN(100,100*(MIN(MAX(City_Inputs!$X65,Norm_Stats!$F$12),Norm_Stats!$G$12)-Norm_Stats!$F$12)/(Norm_Stats!$G$12-Norm_Stats!$F$12))))</f>
        <v/>
      </c>
      <c r="AF65" s="14">
        <f>IF(AE65="","",1)</f>
        <v/>
      </c>
      <c r="AG65" s="11">
        <f>IF(OR(City_Inputs!$Y65="",Norm_Stats!$F$13="",Norm_Stats!$G$13="",Norm_Stats!$G$13=Norm_Stats!$F$13),"",MAX(0,MIN(100,100*(MIN(MAX(City_Inputs!$Y65,Norm_Stats!$F$13),Norm_Stats!$G$13)-Norm_Stats!$F$13)/(Norm_Stats!$G$13-Norm_Stats!$F$13))))</f>
        <v/>
      </c>
      <c r="AH65" s="14">
        <f>IF(AG65="","",1)</f>
        <v/>
      </c>
      <c r="AI65" s="11">
        <f>IF((IF((IF(OR(City_Inputs!$Z65="",Norm_Stats!$F$14="",Norm_Stats!$G$14="",Norm_Stats!$G$14=Norm_Stats!$F$14),"",MAX(0,MIN(100,100*(MIN(MAX(City_Inputs!$Z65,Norm_Stats!$F$14),Norm_Stats!$G$14)-Norm_Stats!$F$14)/(Norm_Stats!$G$14-Norm_Stats!$F$14)))))="",0,0.7)+IF((IF(OR(City_Inputs!$AK65="",Norm_Stats!$F$15="",Norm_Stats!$G$15="",Norm_Stats!$G$15=Norm_Stats!$F$15),"",MAX(0,MIN(100,100*(Norm_Stats!$G$15-MIN(MAX(City_Inputs!$AK65,Norm_Stats!$F$15),Norm_Stats!$G$15))/(Norm_Stats!$G$15-Norm_Stats!$F$15)))))="",0,0.3))=0,"",(IF((IF(OR(City_Inputs!$Z65="",Norm_Stats!$F$14="",Norm_Stats!$G$14="",Norm_Stats!$G$14=Norm_Stats!$F$14),"",MAX(0,MIN(100,100*(MIN(MAX(City_Inputs!$Z65,Norm_Stats!$F$14),Norm_Stats!$G$14)-Norm_Stats!$F$14)/(Norm_Stats!$G$14-Norm_Stats!$F$14)))))="",0,(IF(OR(City_Inputs!$Z65="",Norm_Stats!$F$14="",Norm_Stats!$G$14="",Norm_Stats!$G$14=Norm_Stats!$F$14),"",MAX(0,MIN(100,100*(MIN(MAX(City_Inputs!$Z65,Norm_Stats!$F$14),Norm_Stats!$G$14)-Norm_Stats!$F$14)/(Norm_Stats!$G$14-Norm_Stats!$F$14)))))*0.7)+IF((IF(OR(City_Inputs!$AK65="",Norm_Stats!$F$15="",Norm_Stats!$G$15="",Norm_Stats!$G$15=Norm_Stats!$F$15),"",MAX(0,MIN(100,100*(Norm_Stats!$G$15-MIN(MAX(City_Inputs!$AK65,Norm_Stats!$F$15),Norm_Stats!$G$15))/(Norm_Stats!$G$15-Norm_Stats!$F$15)))))="",0,(IF(OR(City_Inputs!$AK65="",Norm_Stats!$F$15="",Norm_Stats!$G$15="",Norm_Stats!$G$15=Norm_Stats!$F$15),"",MAX(0,MIN(100,100*(Norm_Stats!$G$15-MIN(MAX(City_Inputs!$AK65,Norm_Stats!$F$15),Norm_Stats!$G$15))/(Norm_Stats!$G$15-Norm_Stats!$F$15)))))*0.3))/(IF((IF(OR(City_Inputs!$Z65="",Norm_Stats!$F$14="",Norm_Stats!$G$14="",Norm_Stats!$G$14=Norm_Stats!$F$14),"",MAX(0,MIN(100,100*(MIN(MAX(City_Inputs!$Z65,Norm_Stats!$F$14),Norm_Stats!$G$14)-Norm_Stats!$F$14)/(Norm_Stats!$G$14-Norm_Stats!$F$14)))))="",0,0.7)+IF((IF(OR(City_Inputs!$AK65="",Norm_Stats!$F$15="",Norm_Stats!$G$15="",Norm_Stats!$G$15=Norm_Stats!$F$15),"",MAX(0,MIN(100,100*(Norm_Stats!$G$15-MIN(MAX(City_Inputs!$AK65,Norm_Stats!$F$15),Norm_Stats!$G$15))/(Norm_Stats!$G$15-Norm_Stats!$F$15)))))="",0,0.3)))</f>
        <v/>
      </c>
      <c r="AJ65" s="14">
        <f>IF((IF((IF(OR(City_Inputs!$Z65="",Norm_Stats!$F$14="",Norm_Stats!$G$14="",Norm_Stats!$G$14=Norm_Stats!$F$14),"",MAX(0,MIN(100,100*(MIN(MAX(City_Inputs!$Z65,Norm_Stats!$F$14),Norm_Stats!$G$14)-Norm_Stats!$F$14)/(Norm_Stats!$G$14-Norm_Stats!$F$14)))))="",0,0.7)+IF((IF(OR(City_Inputs!$AK65="",Norm_Stats!$F$15="",Norm_Stats!$G$15="",Norm_Stats!$G$15=Norm_Stats!$F$15),"",MAX(0,MIN(100,100*(Norm_Stats!$G$15-MIN(MAX(City_Inputs!$AK65,Norm_Stats!$F$15),Norm_Stats!$G$15))/(Norm_Stats!$G$15-Norm_Stats!$F$15)))))="",0,0.3))=0,"",(IF((IF(OR(City_Inputs!$Z65="",Norm_Stats!$F$14="",Norm_Stats!$G$14="",Norm_Stats!$G$14=Norm_Stats!$F$14),"",MAX(0,MIN(100,100*(MIN(MAX(City_Inputs!$Z65,Norm_Stats!$F$14),Norm_Stats!$G$14)-Norm_Stats!$F$14)/(Norm_Stats!$G$14-Norm_Stats!$F$14)))))="",0,0.7)+IF((IF(OR(City_Inputs!$AK65="",Norm_Stats!$F$15="",Norm_Stats!$G$15="",Norm_Stats!$G$15=Norm_Stats!$F$15),"",MAX(0,MIN(100,100*(Norm_Stats!$G$15-MIN(MAX(City_Inputs!$AK65,Norm_Stats!$F$15),Norm_Stats!$G$15))/(Norm_Stats!$G$15-Norm_Stats!$F$15)))))="",0,0.3)))</f>
        <v/>
      </c>
      <c r="AK65" s="15">
        <f>IF((IF(AE65="",0,8)+IF(AG65="",0,6)+IF(AI65="",0,4))=0,"",(IF(AE65="",0,AE65*8)+IF(AG65="",0,AG65*6)+IF(AI65="",0,AI65*4))/(IF(AE65="",0,8)+IF(AG65="",0,6)+IF(AI65="",0,4)))</f>
        <v/>
      </c>
      <c r="AL65" s="14">
        <f>IF((IF(AF65="",0,8)+IF(AH65="",0,6)+IF(AJ65="",0,4))=0,"",(IF(AF65="",0,AF65*8)+IF(AH65="",0,AH65*6)+IF(AJ65="",0,AJ65*4))/18)</f>
        <v/>
      </c>
      <c r="AM65" s="11">
        <f>IF(OR(City_Inputs!$AA65="",Norm_Stats!$F$16="",Norm_Stats!$G$16="",Norm_Stats!$G$16=Norm_Stats!$F$16),"",MAX(0,MIN(100,100*(MIN(MAX(City_Inputs!$AA65,Norm_Stats!$F$16),Norm_Stats!$G$16)-Norm_Stats!$F$16)/(Norm_Stats!$G$16-Norm_Stats!$F$16))))</f>
        <v/>
      </c>
      <c r="AN65" s="14">
        <f>IF(AM65="","",1)</f>
        <v/>
      </c>
      <c r="AO65" s="11">
        <f>IF(OR(City_Inputs!$AB65="",Norm_Stats!$F$17="",Norm_Stats!$G$17="",Norm_Stats!$G$17=Norm_Stats!$F$17),"",MAX(0,MIN(100,100*(MIN(MAX(City_Inputs!$AB65,Norm_Stats!$F$17),Norm_Stats!$G$17)-Norm_Stats!$F$17)/(Norm_Stats!$G$17-Norm_Stats!$F$17))))</f>
        <v/>
      </c>
      <c r="AP65" s="14">
        <f>IF(AO65="","",1)</f>
        <v/>
      </c>
      <c r="AQ65" s="11">
        <f>IF(OR(City_Inputs!$AC65="",Norm_Stats!$F$18="",Norm_Stats!$G$18="",Norm_Stats!$G$18=Norm_Stats!$F$18),"",MAX(0,MIN(100,100*(MIN(MAX(City_Inputs!$AC65,Norm_Stats!$F$18),Norm_Stats!$G$18)-Norm_Stats!$F$18)/(Norm_Stats!$G$18-Norm_Stats!$F$18))))</f>
        <v/>
      </c>
      <c r="AR65" s="14">
        <f>IF(AQ65="","",1)</f>
        <v/>
      </c>
      <c r="AS65" s="15">
        <f>IF((IF(AM65="",0,5)+IF(AO65="",0,5)+IF(AQ65="",0,5))=0,"",(IF(AM65="",0,AM65*5)+IF(AO65="",0,AO65*5)+IF(AQ65="",0,AQ65*5))/(IF(AM65="",0,5)+IF(AO65="",0,5)+IF(AQ65="",0,5)))</f>
        <v/>
      </c>
      <c r="AT65" s="14">
        <f>IF((IF(AN65="",0,5)+IF(AP65="",0,5)+IF(AR65="",0,5))=0,"",(IF(AN65="",0,AN65*5)+IF(AP65="",0,AP65*5)+IF(AR65="",0,AR65*5))/15)</f>
        <v/>
      </c>
      <c r="AU65" s="11">
        <f>IF(OR(City_Inputs!$AD65="",Norm_Stats!$F$19="",Norm_Stats!$G$19="",Norm_Stats!$G$19=Norm_Stats!$F$19),"",MAX(0,MIN(100,100*(MIN(MAX(City_Inputs!$AD65,Norm_Stats!$F$19),Norm_Stats!$G$19)-Norm_Stats!$F$19)/(Norm_Stats!$G$19-Norm_Stats!$F$19))))</f>
        <v/>
      </c>
      <c r="AV65" s="14">
        <f>IF(AU65="","",1)</f>
        <v/>
      </c>
      <c r="AW65" s="11">
        <f>IF(OR(City_Inputs!$AE65="",Norm_Stats!$F$20="",Norm_Stats!$G$20="",Norm_Stats!$G$20=Norm_Stats!$F$20),"",MAX(0,MIN(100,100*(MIN(MAX(City_Inputs!$AE65,Norm_Stats!$F$20),Norm_Stats!$G$20)-Norm_Stats!$F$20)/(Norm_Stats!$G$20-Norm_Stats!$F$20))))</f>
        <v/>
      </c>
      <c r="AX65" s="14">
        <f>IF(AW65="","",1)</f>
        <v/>
      </c>
      <c r="AY65" s="11">
        <f>IF((IF((IF(OR(City_Inputs!$AF65="",Norm_Stats!$F$21="",Norm_Stats!$G$21="",Norm_Stats!$G$21=Norm_Stats!$F$21),"",MAX(0,MIN(100,100*(MIN(MAX(City_Inputs!$AF65,Norm_Stats!$F$21),Norm_Stats!$G$21)-Norm_Stats!$F$21)/(Norm_Stats!$G$21-Norm_Stats!$F$21)))))="",0,0.5)+IF((IF(OR(City_Inputs!$AI65="",Norm_Stats!$F$22="",Norm_Stats!$G$22="",Norm_Stats!$G$22=Norm_Stats!$F$22),"",MAX(0,MIN(100,100*(MIN(MAX(City_Inputs!$AI65,Norm_Stats!$F$22),Norm_Stats!$G$22)-Norm_Stats!$F$22)/(Norm_Stats!$G$22-Norm_Stats!$F$22)))))="",0,0.3)+IF((IF(OR(City_Inputs!$AJ65="",Norm_Stats!$F$23="",Norm_Stats!$G$23="",Norm_Stats!$G$23=Norm_Stats!$F$23),"",MAX(0,MIN(100,100*(MIN(MAX(City_Inputs!$AJ65,Norm_Stats!$F$23),Norm_Stats!$G$23)-Norm_Stats!$F$23)/(Norm_Stats!$G$23-Norm_Stats!$F$23)))))="",0,0.2))=0,"",(IF((IF(OR(City_Inputs!$AF65="",Norm_Stats!$F$21="",Norm_Stats!$G$21="",Norm_Stats!$G$21=Norm_Stats!$F$21),"",MAX(0,MIN(100,100*(MIN(MAX(City_Inputs!$AF65,Norm_Stats!$F$21),Norm_Stats!$G$21)-Norm_Stats!$F$21)/(Norm_Stats!$G$21-Norm_Stats!$F$21)))))="",0,(IF(OR(City_Inputs!$AF65="",Norm_Stats!$F$21="",Norm_Stats!$G$21="",Norm_Stats!$G$21=Norm_Stats!$F$21),"",MAX(0,MIN(100,100*(MIN(MAX(City_Inputs!$AF65,Norm_Stats!$F$21),Norm_Stats!$G$21)-Norm_Stats!$F$21)/(Norm_Stats!$G$21-Norm_Stats!$F$21)))))*0.5)+IF((IF(OR(City_Inputs!$AI65="",Norm_Stats!$F$22="",Norm_Stats!$G$22="",Norm_Stats!$G$22=Norm_Stats!$F$22),"",MAX(0,MIN(100,100*(MIN(MAX(City_Inputs!$AI65,Norm_Stats!$F$22),Norm_Stats!$G$22)-Norm_Stats!$F$22)/(Norm_Stats!$G$22-Norm_Stats!$F$22)))))="",0,(IF(OR(City_Inputs!$AI65="",Norm_Stats!$F$22="",Norm_Stats!$G$22="",Norm_Stats!$G$22=Norm_Stats!$F$22),"",MAX(0,MIN(100,100*(MIN(MAX(City_Inputs!$AI65,Norm_Stats!$F$22),Norm_Stats!$G$22)-Norm_Stats!$F$22)/(Norm_Stats!$G$22-Norm_Stats!$F$22)))))*0.3)+IF((IF(OR(City_Inputs!$AJ65="",Norm_Stats!$F$23="",Norm_Stats!$G$23="",Norm_Stats!$G$23=Norm_Stats!$F$23),"",MAX(0,MIN(100,100*(MIN(MAX(City_Inputs!$AJ65,Norm_Stats!$F$23),Norm_Stats!$G$23)-Norm_Stats!$F$23)/(Norm_Stats!$G$23-Norm_Stats!$F$23)))))="",0,(IF(OR(City_Inputs!$AJ65="",Norm_Stats!$F$23="",Norm_Stats!$G$23="",Norm_Stats!$G$23=Norm_Stats!$F$23),"",MAX(0,MIN(100,100*(MIN(MAX(City_Inputs!$AJ65,Norm_Stats!$F$23),Norm_Stats!$G$23)-Norm_Stats!$F$23)/(Norm_Stats!$G$23-Norm_Stats!$F$23)))))*0.2))/(IF((IF(OR(City_Inputs!$AF65="",Norm_Stats!$F$21="",Norm_Stats!$G$21="",Norm_Stats!$G$21=Norm_Stats!$F$21),"",MAX(0,MIN(100,100*(MIN(MAX(City_Inputs!$AF65,Norm_Stats!$F$21),Norm_Stats!$G$21)-Norm_Stats!$F$21)/(Norm_Stats!$G$21-Norm_Stats!$F$21)))))="",0,0.5)+IF((IF(OR(City_Inputs!$AI65="",Norm_Stats!$F$22="",Norm_Stats!$G$22="",Norm_Stats!$G$22=Norm_Stats!$F$22),"",MAX(0,MIN(100,100*(MIN(MAX(City_Inputs!$AI65,Norm_Stats!$F$22),Norm_Stats!$G$22)-Norm_Stats!$F$22)/(Norm_Stats!$G$22-Norm_Stats!$F$22)))))="",0,0.3)+IF((IF(OR(City_Inputs!$AJ65="",Norm_Stats!$F$23="",Norm_Stats!$G$23="",Norm_Stats!$G$23=Norm_Stats!$F$23),"",MAX(0,MIN(100,100*(MIN(MAX(City_Inputs!$AJ65,Norm_Stats!$F$23),Norm_Stats!$G$23)-Norm_Stats!$F$23)/(Norm_Stats!$G$23-Norm_Stats!$F$23)))))="",0,0.2)))</f>
        <v/>
      </c>
      <c r="AZ65" s="14">
        <f>IF((IF((IF(OR(City_Inputs!$AF65="",Norm_Stats!$F$21="",Norm_Stats!$G$21="",Norm_Stats!$G$21=Norm_Stats!$F$21),"",MAX(0,MIN(100,100*(MIN(MAX(City_Inputs!$AF65,Norm_Stats!$F$21),Norm_Stats!$G$21)-Norm_Stats!$F$21)/(Norm_Stats!$G$21-Norm_Stats!$F$21)))))="",0,0.5)+IF((IF(OR(City_Inputs!$AI65="",Norm_Stats!$F$22="",Norm_Stats!$G$22="",Norm_Stats!$G$22=Norm_Stats!$F$22),"",MAX(0,MIN(100,100*(MIN(MAX(City_Inputs!$AI65,Norm_Stats!$F$22),Norm_Stats!$G$22)-Norm_Stats!$F$22)/(Norm_Stats!$G$22-Norm_Stats!$F$22)))))="",0,0.3)+IF((IF(OR(City_Inputs!$AJ65="",Norm_Stats!$F$23="",Norm_Stats!$G$23="",Norm_Stats!$G$23=Norm_Stats!$F$23),"",MAX(0,MIN(100,100*(MIN(MAX(City_Inputs!$AJ65,Norm_Stats!$F$23),Norm_Stats!$G$23)-Norm_Stats!$F$23)/(Norm_Stats!$G$23-Norm_Stats!$F$23)))))="",0,0.2))=0,"",(IF((IF(OR(City_Inputs!$AF65="",Norm_Stats!$F$21="",Norm_Stats!$G$21="",Norm_Stats!$G$21=Norm_Stats!$F$21),"",MAX(0,MIN(100,100*(MIN(MAX(City_Inputs!$AF65,Norm_Stats!$F$21),Norm_Stats!$G$21)-Norm_Stats!$F$21)/(Norm_Stats!$G$21-Norm_Stats!$F$21)))))="",0,0.5)+IF((IF(OR(City_Inputs!$AI65="",Norm_Stats!$F$22="",Norm_Stats!$G$22="",Norm_Stats!$G$22=Norm_Stats!$F$22),"",MAX(0,MIN(100,100*(MIN(MAX(City_Inputs!$AI65,Norm_Stats!$F$22),Norm_Stats!$G$22)-Norm_Stats!$F$22)/(Norm_Stats!$G$22-Norm_Stats!$F$22)))))="",0,0.3)+IF((IF(OR(City_Inputs!$AJ65="",Norm_Stats!$F$23="",Norm_Stats!$G$23="",Norm_Stats!$G$23=Norm_Stats!$F$23),"",MAX(0,MIN(100,100*(MIN(MAX(City_Inputs!$AJ65,Norm_Stats!$F$23),Norm_Stats!$G$23)-Norm_Stats!$F$23)/(Norm_Stats!$G$23-Norm_Stats!$F$23)))))="",0,0.2)))</f>
        <v/>
      </c>
      <c r="BA65" s="11">
        <f>IF(OR(City_Inputs!$AG65="",Norm_Stats!$F$24="",Norm_Stats!$G$24="",Norm_Stats!$G$24=Norm_Stats!$F$24),"",MAX(0,MIN(100,100*(Norm_Stats!$G$24-MIN(MAX(City_Inputs!$AG65,Norm_Stats!$F$24),Norm_Stats!$G$24))/(Norm_Stats!$G$24-Norm_Stats!$F$24))))</f>
        <v/>
      </c>
      <c r="BB65" s="14">
        <f>IF(BA65="","",1)</f>
        <v/>
      </c>
      <c r="BC65" s="15">
        <f>IF((IF(AU65="",0,6)+IF(AW65="",0,5)+IF(AY65="",0,5)+IF(BA65="",0,4))=0,"",(IF(AU65="",0,AU65*6)+IF(AW65="",0,AW65*5)+IF(AY65="",0,AY65*5)+IF(BA65="",0,BA65*4))/(IF(AU65="",0,6)+IF(AW65="",0,5)+IF(AY65="",0,5)+IF(BA65="",0,4)))</f>
        <v/>
      </c>
      <c r="BD65" s="14">
        <f>IF((IF(AV65="",0,6)+IF(AX65="",0,5)+IF(AZ65="",0,5)+IF(BB65="",0,4))=0,"",(IF(AV65="",0,AV65*6)+IF(AX65="",0,AX65*5)+IF(AZ65="",0,AZ65*5)+IF(BB65="",0,BB65*4))/20)</f>
        <v/>
      </c>
      <c r="BE65" s="14">
        <f>IF(AND(R65="",AD65="",AL65="",AT65="",BD65=""),"",((R65*25)+(AD65*22)+(AL65*18)+(AT65*15)+(BD65*20))/100)</f>
        <v/>
      </c>
      <c r="BF65" s="11">
        <f>IF(BE65="","",IF(BE65&gt;=0.75,"A",IF(BE65&gt;=0.5,"B",IF(BE65&gt;=0.35,"C","Watchlist"))))</f>
        <v/>
      </c>
      <c r="BG65" s="11">
        <f>IF(OR(BE65="",BE65&lt;0.5,R65="",R65&lt;0.35,AD65="",AD65&lt;0.35,AL65="",AL65&lt;0.35,AT65="",AT65&lt;0.35,BD65="",BD65&lt;0.35),"Watchlist","Ranked")</f>
        <v/>
      </c>
      <c r="BH65" s="15">
        <f>IF(AND(Q65="",AC65="",AK65="",AS65="",BC65=""),"",(IF(Q65="",0,Q65*25)+IF(AC65="",0,AC65*22)+IF(AK65="",0,AK65*18)+IF(AS65="",0,AS65*15)+IF(BC65="",0,BC65*20))/(IF(Q65="",0,25)+IF(AC65="",0,22)+IF(AK65="",0,18)+IF(AS65="",0,15)+IF(BC65="",0,20)))</f>
        <v/>
      </c>
      <c r="BI65" s="11">
        <f>IF(BG65="Ranked",1+COUNTIFS($BG$2:$BG$103,"Ranked",$BH$2:$BH$103,"&gt;"&amp;BH65),"")</f>
        <v/>
      </c>
      <c r="BJ65" s="11">
        <f>City_Inputs!$AH65</f>
        <v/>
      </c>
    </row>
    <row r="66">
      <c r="A66" t="inlineStr">
        <is>
          <t>cl-santiago</t>
        </is>
      </c>
      <c r="B66" t="inlineStr">
        <is>
          <t>Santiago</t>
        </is>
      </c>
      <c r="C66" t="inlineStr">
        <is>
          <t>Chile</t>
        </is>
      </c>
      <c r="D66" t="inlineStr">
        <is>
          <t>Latin America</t>
        </is>
      </c>
      <c r="E66" t="inlineStr">
        <is>
          <t>locked</t>
        </is>
      </c>
      <c r="F66" t="inlineStr">
        <is>
          <t>primary</t>
        </is>
      </c>
      <c r="G66" s="11">
        <f>IF(OR(City_Inputs!$M66="",Norm_Stats!$F$2="",Norm_Stats!$G$2="",Norm_Stats!$G$2=Norm_Stats!$F$2),"",MAX(0,MIN(100,100*(MIN(MAX(City_Inputs!$M66,Norm_Stats!$F$2),Norm_Stats!$G$2)-Norm_Stats!$F$2)/(Norm_Stats!$G$2-Norm_Stats!$F$2))))</f>
        <v/>
      </c>
      <c r="H66" s="14">
        <f>IF(G66="","",1)</f>
        <v/>
      </c>
      <c r="I66" s="11">
        <f>IF(OR(City_Inputs!$N66="",Norm_Stats!$F$3="",Norm_Stats!$G$3="",Norm_Stats!$G$3=Norm_Stats!$F$3),"",MAX(0,MIN(100,100*(Norm_Stats!$G$3-MIN(MAX(City_Inputs!$N66,Norm_Stats!$F$3),Norm_Stats!$G$3))/(Norm_Stats!$G$3-Norm_Stats!$F$3))))</f>
        <v/>
      </c>
      <c r="J66" s="14">
        <f>IF(I66="","",1)</f>
        <v/>
      </c>
      <c r="K66" s="11">
        <f>IF(OR(City_Inputs!$P66="",Norm_Stats!$F$4="",Norm_Stats!$G$4="",Norm_Stats!$G$4=Norm_Stats!$F$4),"",MAX(0,MIN(100,100*(Norm_Stats!$G$4-MIN(MAX(City_Inputs!$P66,Norm_Stats!$F$4),Norm_Stats!$G$4))/(Norm_Stats!$G$4-Norm_Stats!$F$4))))</f>
        <v/>
      </c>
      <c r="L66" s="14">
        <f>IF(K66="","",1)</f>
        <v/>
      </c>
      <c r="M66" s="11">
        <f>IF(OR(City_Inputs!$Q66="",Norm_Stats!$F$5="",Norm_Stats!$G$5="",Norm_Stats!$G$5=Norm_Stats!$F$5),"",MAX(0,MIN(100,100*(Norm_Stats!$G$5-MIN(MAX(City_Inputs!$Q66,Norm_Stats!$F$5),Norm_Stats!$G$5))/(Norm_Stats!$G$5-Norm_Stats!$F$5))))</f>
        <v/>
      </c>
      <c r="N66" s="14">
        <f>IF(M66="","",1)</f>
        <v/>
      </c>
      <c r="O66" s="11">
        <f>IF(OR(City_Inputs!$R66="",Norm_Stats!$F$6="",Norm_Stats!$G$6="",Norm_Stats!$G$6=Norm_Stats!$F$6),"",MAX(0,MIN(100,100*(Norm_Stats!$G$6-MIN(MAX(City_Inputs!$R66,Norm_Stats!$F$6),Norm_Stats!$G$6))/(Norm_Stats!$G$6-Norm_Stats!$F$6))))</f>
        <v/>
      </c>
      <c r="P66" s="14">
        <f>IF(O66="","",1)</f>
        <v/>
      </c>
      <c r="Q66" s="15">
        <f>IF((IF(G66="",0,9)+IF(I66="",0,5)+IF(K66="",0,4)+IF(M66="",0,4)+IF(O66="",0,3))=0,"",(IF(G66="",0,G66*9)+IF(I66="",0,I66*5)+IF(K66="",0,K66*4)+IF(M66="",0,M66*4)+IF(O66="",0,O66*3))/(IF(G66="",0,9)+IF(I66="",0,5)+IF(K66="",0,4)+IF(M66="",0,4)+IF(O66="",0,3)))</f>
        <v/>
      </c>
      <c r="R66" s="14">
        <f>IF((IF(H66="",0,9)+IF(J66="",0,5)+IF(L66="",0,4)+IF(N66="",0,4)+IF(P66="",0,3))=0,"",(IF(H66="",0,H66*9)+IF(J66="",0,J66*5)+IF(L66="",0,L66*4)+IF(N66="",0,N66*4)+IF(P66="",0,P66*3))/25)</f>
        <v/>
      </c>
      <c r="S66" s="11">
        <f>IF(OR(City_Inputs!$S66="",Norm_Stats!$F$7="",Norm_Stats!$G$7="",Norm_Stats!$G$7=Norm_Stats!$F$7),"",MAX(0,MIN(100,100*(Norm_Stats!$G$7-MIN(MAX(City_Inputs!$S66,Norm_Stats!$F$7),Norm_Stats!$G$7))/(Norm_Stats!$G$7-Norm_Stats!$F$7))))</f>
        <v/>
      </c>
      <c r="T66" s="14">
        <f>IF(S66="","",1)</f>
        <v/>
      </c>
      <c r="U66" s="11">
        <f>IF(OR(City_Inputs!$T66="",Norm_Stats!$F$8="",Norm_Stats!$G$8="",Norm_Stats!$G$8=Norm_Stats!$F$8),"",MAX(0,MIN(100,100*(MIN(MAX(City_Inputs!$T66,Norm_Stats!$F$8),Norm_Stats!$G$8)-Norm_Stats!$F$8)/(Norm_Stats!$G$8-Norm_Stats!$F$8))))</f>
        <v/>
      </c>
      <c r="V66" s="14">
        <f>IF(U66="","",1)</f>
        <v/>
      </c>
      <c r="W66" s="11">
        <f>IF(OR(City_Inputs!$U66="",Norm_Stats!$F$9="",Norm_Stats!$G$9="",Norm_Stats!$G$9=Norm_Stats!$F$9),"",MAX(0,MIN(100,100*(Norm_Stats!$G$9-MIN(MAX(City_Inputs!$U66,Norm_Stats!$F$9),Norm_Stats!$G$9))/(Norm_Stats!$G$9-Norm_Stats!$F$9))))</f>
        <v/>
      </c>
      <c r="X66" s="14">
        <f>IF(W66="","",1)</f>
        <v/>
      </c>
      <c r="Y66" s="11">
        <f>IF(OR(City_Inputs!$V66="",Norm_Stats!$F$10="",Norm_Stats!$G$10="",Norm_Stats!$G$10=Norm_Stats!$F$10),"",MAX(0,MIN(100,100*(MIN(MAX(City_Inputs!$V66,Norm_Stats!$F$10),Norm_Stats!$G$10)-Norm_Stats!$F$10)/(Norm_Stats!$G$10-Norm_Stats!$F$10))))</f>
        <v/>
      </c>
      <c r="Z66" s="14">
        <f>IF(Y66="","",1)</f>
        <v/>
      </c>
      <c r="AA66" s="11">
        <f>IF(OR(City_Inputs!$W66="",Norm_Stats!$F$11="",Norm_Stats!$G$11="",Norm_Stats!$G$11=Norm_Stats!$F$11),"",MAX(0,MIN(100,100*(MIN(MAX(City_Inputs!$W66,Norm_Stats!$F$11),Norm_Stats!$G$11)-Norm_Stats!$F$11)/(Norm_Stats!$G$11-Norm_Stats!$F$11))))</f>
        <v/>
      </c>
      <c r="AB66" s="14">
        <f>IF(AA66="","",1)</f>
        <v/>
      </c>
      <c r="AC66" s="15">
        <f>IF((IF(S66="",0,5)+IF(U66="",0,5)+IF(W66="",0,4)+IF(Y66="",0,4)+IF(AA66="",0,4))=0,"",(IF(S66="",0,S66*5)+IF(U66="",0,U66*5)+IF(W66="",0,W66*4)+IF(Y66="",0,Y66*4)+IF(AA66="",0,AA66*4))/(IF(S66="",0,5)+IF(U66="",0,5)+IF(W66="",0,4)+IF(Y66="",0,4)+IF(AA66="",0,4)))</f>
        <v/>
      </c>
      <c r="AD66" s="14">
        <f>IF((IF(T66="",0,5)+IF(V66="",0,5)+IF(X66="",0,4)+IF(Z66="",0,4)+IF(AB66="",0,4))=0,"",(IF(T66="",0,T66*5)+IF(V66="",0,V66*5)+IF(X66="",0,X66*4)+IF(Z66="",0,Z66*4)+IF(AB66="",0,AB66*4))/22)</f>
        <v/>
      </c>
      <c r="AE66" s="11">
        <f>IF(OR(City_Inputs!$X66="",Norm_Stats!$F$12="",Norm_Stats!$G$12="",Norm_Stats!$G$12=Norm_Stats!$F$12),"",MAX(0,MIN(100,100*(MIN(MAX(City_Inputs!$X66,Norm_Stats!$F$12),Norm_Stats!$G$12)-Norm_Stats!$F$12)/(Norm_Stats!$G$12-Norm_Stats!$F$12))))</f>
        <v/>
      </c>
      <c r="AF66" s="14">
        <f>IF(AE66="","",1)</f>
        <v/>
      </c>
      <c r="AG66" s="11">
        <f>IF(OR(City_Inputs!$Y66="",Norm_Stats!$F$13="",Norm_Stats!$G$13="",Norm_Stats!$G$13=Norm_Stats!$F$13),"",MAX(0,MIN(100,100*(MIN(MAX(City_Inputs!$Y66,Norm_Stats!$F$13),Norm_Stats!$G$13)-Norm_Stats!$F$13)/(Norm_Stats!$G$13-Norm_Stats!$F$13))))</f>
        <v/>
      </c>
      <c r="AH66" s="14">
        <f>IF(AG66="","",1)</f>
        <v/>
      </c>
      <c r="AI66" s="11">
        <f>IF((IF((IF(OR(City_Inputs!$Z66="",Norm_Stats!$F$14="",Norm_Stats!$G$14="",Norm_Stats!$G$14=Norm_Stats!$F$14),"",MAX(0,MIN(100,100*(MIN(MAX(City_Inputs!$Z66,Norm_Stats!$F$14),Norm_Stats!$G$14)-Norm_Stats!$F$14)/(Norm_Stats!$G$14-Norm_Stats!$F$14)))))="",0,0.7)+IF((IF(OR(City_Inputs!$AK66="",Norm_Stats!$F$15="",Norm_Stats!$G$15="",Norm_Stats!$G$15=Norm_Stats!$F$15),"",MAX(0,MIN(100,100*(Norm_Stats!$G$15-MIN(MAX(City_Inputs!$AK66,Norm_Stats!$F$15),Norm_Stats!$G$15))/(Norm_Stats!$G$15-Norm_Stats!$F$15)))))="",0,0.3))=0,"",(IF((IF(OR(City_Inputs!$Z66="",Norm_Stats!$F$14="",Norm_Stats!$G$14="",Norm_Stats!$G$14=Norm_Stats!$F$14),"",MAX(0,MIN(100,100*(MIN(MAX(City_Inputs!$Z66,Norm_Stats!$F$14),Norm_Stats!$G$14)-Norm_Stats!$F$14)/(Norm_Stats!$G$14-Norm_Stats!$F$14)))))="",0,(IF(OR(City_Inputs!$Z66="",Norm_Stats!$F$14="",Norm_Stats!$G$14="",Norm_Stats!$G$14=Norm_Stats!$F$14),"",MAX(0,MIN(100,100*(MIN(MAX(City_Inputs!$Z66,Norm_Stats!$F$14),Norm_Stats!$G$14)-Norm_Stats!$F$14)/(Norm_Stats!$G$14-Norm_Stats!$F$14)))))*0.7)+IF((IF(OR(City_Inputs!$AK66="",Norm_Stats!$F$15="",Norm_Stats!$G$15="",Norm_Stats!$G$15=Norm_Stats!$F$15),"",MAX(0,MIN(100,100*(Norm_Stats!$G$15-MIN(MAX(City_Inputs!$AK66,Norm_Stats!$F$15),Norm_Stats!$G$15))/(Norm_Stats!$G$15-Norm_Stats!$F$15)))))="",0,(IF(OR(City_Inputs!$AK66="",Norm_Stats!$F$15="",Norm_Stats!$G$15="",Norm_Stats!$G$15=Norm_Stats!$F$15),"",MAX(0,MIN(100,100*(Norm_Stats!$G$15-MIN(MAX(City_Inputs!$AK66,Norm_Stats!$F$15),Norm_Stats!$G$15))/(Norm_Stats!$G$15-Norm_Stats!$F$15)))))*0.3))/(IF((IF(OR(City_Inputs!$Z66="",Norm_Stats!$F$14="",Norm_Stats!$G$14="",Norm_Stats!$G$14=Norm_Stats!$F$14),"",MAX(0,MIN(100,100*(MIN(MAX(City_Inputs!$Z66,Norm_Stats!$F$14),Norm_Stats!$G$14)-Norm_Stats!$F$14)/(Norm_Stats!$G$14-Norm_Stats!$F$14)))))="",0,0.7)+IF((IF(OR(City_Inputs!$AK66="",Norm_Stats!$F$15="",Norm_Stats!$G$15="",Norm_Stats!$G$15=Norm_Stats!$F$15),"",MAX(0,MIN(100,100*(Norm_Stats!$G$15-MIN(MAX(City_Inputs!$AK66,Norm_Stats!$F$15),Norm_Stats!$G$15))/(Norm_Stats!$G$15-Norm_Stats!$F$15)))))="",0,0.3)))</f>
        <v/>
      </c>
      <c r="AJ66" s="14">
        <f>IF((IF((IF(OR(City_Inputs!$Z66="",Norm_Stats!$F$14="",Norm_Stats!$G$14="",Norm_Stats!$G$14=Norm_Stats!$F$14),"",MAX(0,MIN(100,100*(MIN(MAX(City_Inputs!$Z66,Norm_Stats!$F$14),Norm_Stats!$G$14)-Norm_Stats!$F$14)/(Norm_Stats!$G$14-Norm_Stats!$F$14)))))="",0,0.7)+IF((IF(OR(City_Inputs!$AK66="",Norm_Stats!$F$15="",Norm_Stats!$G$15="",Norm_Stats!$G$15=Norm_Stats!$F$15),"",MAX(0,MIN(100,100*(Norm_Stats!$G$15-MIN(MAX(City_Inputs!$AK66,Norm_Stats!$F$15),Norm_Stats!$G$15))/(Norm_Stats!$G$15-Norm_Stats!$F$15)))))="",0,0.3))=0,"",(IF((IF(OR(City_Inputs!$Z66="",Norm_Stats!$F$14="",Norm_Stats!$G$14="",Norm_Stats!$G$14=Norm_Stats!$F$14),"",MAX(0,MIN(100,100*(MIN(MAX(City_Inputs!$Z66,Norm_Stats!$F$14),Norm_Stats!$G$14)-Norm_Stats!$F$14)/(Norm_Stats!$G$14-Norm_Stats!$F$14)))))="",0,0.7)+IF((IF(OR(City_Inputs!$AK66="",Norm_Stats!$F$15="",Norm_Stats!$G$15="",Norm_Stats!$G$15=Norm_Stats!$F$15),"",MAX(0,MIN(100,100*(Norm_Stats!$G$15-MIN(MAX(City_Inputs!$AK66,Norm_Stats!$F$15),Norm_Stats!$G$15))/(Norm_Stats!$G$15-Norm_Stats!$F$15)))))="",0,0.3)))</f>
        <v/>
      </c>
      <c r="AK66" s="15">
        <f>IF((IF(AE66="",0,8)+IF(AG66="",0,6)+IF(AI66="",0,4))=0,"",(IF(AE66="",0,AE66*8)+IF(AG66="",0,AG66*6)+IF(AI66="",0,AI66*4))/(IF(AE66="",0,8)+IF(AG66="",0,6)+IF(AI66="",0,4)))</f>
        <v/>
      </c>
      <c r="AL66" s="14">
        <f>IF((IF(AF66="",0,8)+IF(AH66="",0,6)+IF(AJ66="",0,4))=0,"",(IF(AF66="",0,AF66*8)+IF(AH66="",0,AH66*6)+IF(AJ66="",0,AJ66*4))/18)</f>
        <v/>
      </c>
      <c r="AM66" s="11">
        <f>IF(OR(City_Inputs!$AA66="",Norm_Stats!$F$16="",Norm_Stats!$G$16="",Norm_Stats!$G$16=Norm_Stats!$F$16),"",MAX(0,MIN(100,100*(MIN(MAX(City_Inputs!$AA66,Norm_Stats!$F$16),Norm_Stats!$G$16)-Norm_Stats!$F$16)/(Norm_Stats!$G$16-Norm_Stats!$F$16))))</f>
        <v/>
      </c>
      <c r="AN66" s="14">
        <f>IF(AM66="","",1)</f>
        <v/>
      </c>
      <c r="AO66" s="11">
        <f>IF(OR(City_Inputs!$AB66="",Norm_Stats!$F$17="",Norm_Stats!$G$17="",Norm_Stats!$G$17=Norm_Stats!$F$17),"",MAX(0,MIN(100,100*(MIN(MAX(City_Inputs!$AB66,Norm_Stats!$F$17),Norm_Stats!$G$17)-Norm_Stats!$F$17)/(Norm_Stats!$G$17-Norm_Stats!$F$17))))</f>
        <v/>
      </c>
      <c r="AP66" s="14">
        <f>IF(AO66="","",1)</f>
        <v/>
      </c>
      <c r="AQ66" s="11">
        <f>IF(OR(City_Inputs!$AC66="",Norm_Stats!$F$18="",Norm_Stats!$G$18="",Norm_Stats!$G$18=Norm_Stats!$F$18),"",MAX(0,MIN(100,100*(MIN(MAX(City_Inputs!$AC66,Norm_Stats!$F$18),Norm_Stats!$G$18)-Norm_Stats!$F$18)/(Norm_Stats!$G$18-Norm_Stats!$F$18))))</f>
        <v/>
      </c>
      <c r="AR66" s="14">
        <f>IF(AQ66="","",1)</f>
        <v/>
      </c>
      <c r="AS66" s="15">
        <f>IF((IF(AM66="",0,5)+IF(AO66="",0,5)+IF(AQ66="",0,5))=0,"",(IF(AM66="",0,AM66*5)+IF(AO66="",0,AO66*5)+IF(AQ66="",0,AQ66*5))/(IF(AM66="",0,5)+IF(AO66="",0,5)+IF(AQ66="",0,5)))</f>
        <v/>
      </c>
      <c r="AT66" s="14">
        <f>IF((IF(AN66="",0,5)+IF(AP66="",0,5)+IF(AR66="",0,5))=0,"",(IF(AN66="",0,AN66*5)+IF(AP66="",0,AP66*5)+IF(AR66="",0,AR66*5))/15)</f>
        <v/>
      </c>
      <c r="AU66" s="11">
        <f>IF(OR(City_Inputs!$AD66="",Norm_Stats!$F$19="",Norm_Stats!$G$19="",Norm_Stats!$G$19=Norm_Stats!$F$19),"",MAX(0,MIN(100,100*(MIN(MAX(City_Inputs!$AD66,Norm_Stats!$F$19),Norm_Stats!$G$19)-Norm_Stats!$F$19)/(Norm_Stats!$G$19-Norm_Stats!$F$19))))</f>
        <v/>
      </c>
      <c r="AV66" s="14">
        <f>IF(AU66="","",1)</f>
        <v/>
      </c>
      <c r="AW66" s="11">
        <f>IF(OR(City_Inputs!$AE66="",Norm_Stats!$F$20="",Norm_Stats!$G$20="",Norm_Stats!$G$20=Norm_Stats!$F$20),"",MAX(0,MIN(100,100*(MIN(MAX(City_Inputs!$AE66,Norm_Stats!$F$20),Norm_Stats!$G$20)-Norm_Stats!$F$20)/(Norm_Stats!$G$20-Norm_Stats!$F$20))))</f>
        <v/>
      </c>
      <c r="AX66" s="14">
        <f>IF(AW66="","",1)</f>
        <v/>
      </c>
      <c r="AY66" s="11">
        <f>IF((IF((IF(OR(City_Inputs!$AF66="",Norm_Stats!$F$21="",Norm_Stats!$G$21="",Norm_Stats!$G$21=Norm_Stats!$F$21),"",MAX(0,MIN(100,100*(MIN(MAX(City_Inputs!$AF66,Norm_Stats!$F$21),Norm_Stats!$G$21)-Norm_Stats!$F$21)/(Norm_Stats!$G$21-Norm_Stats!$F$21)))))="",0,0.5)+IF((IF(OR(City_Inputs!$AI66="",Norm_Stats!$F$22="",Norm_Stats!$G$22="",Norm_Stats!$G$22=Norm_Stats!$F$22),"",MAX(0,MIN(100,100*(MIN(MAX(City_Inputs!$AI66,Norm_Stats!$F$22),Norm_Stats!$G$22)-Norm_Stats!$F$22)/(Norm_Stats!$G$22-Norm_Stats!$F$22)))))="",0,0.3)+IF((IF(OR(City_Inputs!$AJ66="",Norm_Stats!$F$23="",Norm_Stats!$G$23="",Norm_Stats!$G$23=Norm_Stats!$F$23),"",MAX(0,MIN(100,100*(MIN(MAX(City_Inputs!$AJ66,Norm_Stats!$F$23),Norm_Stats!$G$23)-Norm_Stats!$F$23)/(Norm_Stats!$G$23-Norm_Stats!$F$23)))))="",0,0.2))=0,"",(IF((IF(OR(City_Inputs!$AF66="",Norm_Stats!$F$21="",Norm_Stats!$G$21="",Norm_Stats!$G$21=Norm_Stats!$F$21),"",MAX(0,MIN(100,100*(MIN(MAX(City_Inputs!$AF66,Norm_Stats!$F$21),Norm_Stats!$G$21)-Norm_Stats!$F$21)/(Norm_Stats!$G$21-Norm_Stats!$F$21)))))="",0,(IF(OR(City_Inputs!$AF66="",Norm_Stats!$F$21="",Norm_Stats!$G$21="",Norm_Stats!$G$21=Norm_Stats!$F$21),"",MAX(0,MIN(100,100*(MIN(MAX(City_Inputs!$AF66,Norm_Stats!$F$21),Norm_Stats!$G$21)-Norm_Stats!$F$21)/(Norm_Stats!$G$21-Norm_Stats!$F$21)))))*0.5)+IF((IF(OR(City_Inputs!$AI66="",Norm_Stats!$F$22="",Norm_Stats!$G$22="",Norm_Stats!$G$22=Norm_Stats!$F$22),"",MAX(0,MIN(100,100*(MIN(MAX(City_Inputs!$AI66,Norm_Stats!$F$22),Norm_Stats!$G$22)-Norm_Stats!$F$22)/(Norm_Stats!$G$22-Norm_Stats!$F$22)))))="",0,(IF(OR(City_Inputs!$AI66="",Norm_Stats!$F$22="",Norm_Stats!$G$22="",Norm_Stats!$G$22=Norm_Stats!$F$22),"",MAX(0,MIN(100,100*(MIN(MAX(City_Inputs!$AI66,Norm_Stats!$F$22),Norm_Stats!$G$22)-Norm_Stats!$F$22)/(Norm_Stats!$G$22-Norm_Stats!$F$22)))))*0.3)+IF((IF(OR(City_Inputs!$AJ66="",Norm_Stats!$F$23="",Norm_Stats!$G$23="",Norm_Stats!$G$23=Norm_Stats!$F$23),"",MAX(0,MIN(100,100*(MIN(MAX(City_Inputs!$AJ66,Norm_Stats!$F$23),Norm_Stats!$G$23)-Norm_Stats!$F$23)/(Norm_Stats!$G$23-Norm_Stats!$F$23)))))="",0,(IF(OR(City_Inputs!$AJ66="",Norm_Stats!$F$23="",Norm_Stats!$G$23="",Norm_Stats!$G$23=Norm_Stats!$F$23),"",MAX(0,MIN(100,100*(MIN(MAX(City_Inputs!$AJ66,Norm_Stats!$F$23),Norm_Stats!$G$23)-Norm_Stats!$F$23)/(Norm_Stats!$G$23-Norm_Stats!$F$23)))))*0.2))/(IF((IF(OR(City_Inputs!$AF66="",Norm_Stats!$F$21="",Norm_Stats!$G$21="",Norm_Stats!$G$21=Norm_Stats!$F$21),"",MAX(0,MIN(100,100*(MIN(MAX(City_Inputs!$AF66,Norm_Stats!$F$21),Norm_Stats!$G$21)-Norm_Stats!$F$21)/(Norm_Stats!$G$21-Norm_Stats!$F$21)))))="",0,0.5)+IF((IF(OR(City_Inputs!$AI66="",Norm_Stats!$F$22="",Norm_Stats!$G$22="",Norm_Stats!$G$22=Norm_Stats!$F$22),"",MAX(0,MIN(100,100*(MIN(MAX(City_Inputs!$AI66,Norm_Stats!$F$22),Norm_Stats!$G$22)-Norm_Stats!$F$22)/(Norm_Stats!$G$22-Norm_Stats!$F$22)))))="",0,0.3)+IF((IF(OR(City_Inputs!$AJ66="",Norm_Stats!$F$23="",Norm_Stats!$G$23="",Norm_Stats!$G$23=Norm_Stats!$F$23),"",MAX(0,MIN(100,100*(MIN(MAX(City_Inputs!$AJ66,Norm_Stats!$F$23),Norm_Stats!$G$23)-Norm_Stats!$F$23)/(Norm_Stats!$G$23-Norm_Stats!$F$23)))))="",0,0.2)))</f>
        <v/>
      </c>
      <c r="AZ66" s="14">
        <f>IF((IF((IF(OR(City_Inputs!$AF66="",Norm_Stats!$F$21="",Norm_Stats!$G$21="",Norm_Stats!$G$21=Norm_Stats!$F$21),"",MAX(0,MIN(100,100*(MIN(MAX(City_Inputs!$AF66,Norm_Stats!$F$21),Norm_Stats!$G$21)-Norm_Stats!$F$21)/(Norm_Stats!$G$21-Norm_Stats!$F$21)))))="",0,0.5)+IF((IF(OR(City_Inputs!$AI66="",Norm_Stats!$F$22="",Norm_Stats!$G$22="",Norm_Stats!$G$22=Norm_Stats!$F$22),"",MAX(0,MIN(100,100*(MIN(MAX(City_Inputs!$AI66,Norm_Stats!$F$22),Norm_Stats!$G$22)-Norm_Stats!$F$22)/(Norm_Stats!$G$22-Norm_Stats!$F$22)))))="",0,0.3)+IF((IF(OR(City_Inputs!$AJ66="",Norm_Stats!$F$23="",Norm_Stats!$G$23="",Norm_Stats!$G$23=Norm_Stats!$F$23),"",MAX(0,MIN(100,100*(MIN(MAX(City_Inputs!$AJ66,Norm_Stats!$F$23),Norm_Stats!$G$23)-Norm_Stats!$F$23)/(Norm_Stats!$G$23-Norm_Stats!$F$23)))))="",0,0.2))=0,"",(IF((IF(OR(City_Inputs!$AF66="",Norm_Stats!$F$21="",Norm_Stats!$G$21="",Norm_Stats!$G$21=Norm_Stats!$F$21),"",MAX(0,MIN(100,100*(MIN(MAX(City_Inputs!$AF66,Norm_Stats!$F$21),Norm_Stats!$G$21)-Norm_Stats!$F$21)/(Norm_Stats!$G$21-Norm_Stats!$F$21)))))="",0,0.5)+IF((IF(OR(City_Inputs!$AI66="",Norm_Stats!$F$22="",Norm_Stats!$G$22="",Norm_Stats!$G$22=Norm_Stats!$F$22),"",MAX(0,MIN(100,100*(MIN(MAX(City_Inputs!$AI66,Norm_Stats!$F$22),Norm_Stats!$G$22)-Norm_Stats!$F$22)/(Norm_Stats!$G$22-Norm_Stats!$F$22)))))="",0,0.3)+IF((IF(OR(City_Inputs!$AJ66="",Norm_Stats!$F$23="",Norm_Stats!$G$23="",Norm_Stats!$G$23=Norm_Stats!$F$23),"",MAX(0,MIN(100,100*(MIN(MAX(City_Inputs!$AJ66,Norm_Stats!$F$23),Norm_Stats!$G$23)-Norm_Stats!$F$23)/(Norm_Stats!$G$23-Norm_Stats!$F$23)))))="",0,0.2)))</f>
        <v/>
      </c>
      <c r="BA66" s="11">
        <f>IF(OR(City_Inputs!$AG66="",Norm_Stats!$F$24="",Norm_Stats!$G$24="",Norm_Stats!$G$24=Norm_Stats!$F$24),"",MAX(0,MIN(100,100*(Norm_Stats!$G$24-MIN(MAX(City_Inputs!$AG66,Norm_Stats!$F$24),Norm_Stats!$G$24))/(Norm_Stats!$G$24-Norm_Stats!$F$24))))</f>
        <v/>
      </c>
      <c r="BB66" s="14">
        <f>IF(BA66="","",1)</f>
        <v/>
      </c>
      <c r="BC66" s="15">
        <f>IF((IF(AU66="",0,6)+IF(AW66="",0,5)+IF(AY66="",0,5)+IF(BA66="",0,4))=0,"",(IF(AU66="",0,AU66*6)+IF(AW66="",0,AW66*5)+IF(AY66="",0,AY66*5)+IF(BA66="",0,BA66*4))/(IF(AU66="",0,6)+IF(AW66="",0,5)+IF(AY66="",0,5)+IF(BA66="",0,4)))</f>
        <v/>
      </c>
      <c r="BD66" s="14">
        <f>IF((IF(AV66="",0,6)+IF(AX66="",0,5)+IF(AZ66="",0,5)+IF(BB66="",0,4))=0,"",(IF(AV66="",0,AV66*6)+IF(AX66="",0,AX66*5)+IF(AZ66="",0,AZ66*5)+IF(BB66="",0,BB66*4))/20)</f>
        <v/>
      </c>
      <c r="BE66" s="14">
        <f>IF(AND(R66="",AD66="",AL66="",AT66="",BD66=""),"",((R66*25)+(AD66*22)+(AL66*18)+(AT66*15)+(BD66*20))/100)</f>
        <v/>
      </c>
      <c r="BF66" s="11">
        <f>IF(BE66="","",IF(BE66&gt;=0.75,"A",IF(BE66&gt;=0.5,"B",IF(BE66&gt;=0.35,"C","Watchlist"))))</f>
        <v/>
      </c>
      <c r="BG66" s="11">
        <f>IF(OR(BE66="",BE66&lt;0.5,R66="",R66&lt;0.35,AD66="",AD66&lt;0.35,AL66="",AL66&lt;0.35,AT66="",AT66&lt;0.35,BD66="",BD66&lt;0.35),"Watchlist","Ranked")</f>
        <v/>
      </c>
      <c r="BH66" s="15">
        <f>IF(AND(Q66="",AC66="",AK66="",AS66="",BC66=""),"",(IF(Q66="",0,Q66*25)+IF(AC66="",0,AC66*22)+IF(AK66="",0,AK66*18)+IF(AS66="",0,AS66*15)+IF(BC66="",0,BC66*20))/(IF(Q66="",0,25)+IF(AC66="",0,22)+IF(AK66="",0,18)+IF(AS66="",0,15)+IF(BC66="",0,20)))</f>
        <v/>
      </c>
      <c r="BI66" s="11">
        <f>IF(BG66="Ranked",1+COUNTIFS($BG$2:$BG$103,"Ranked",$BH$2:$BH$103,"&gt;"&amp;BH66),"")</f>
        <v/>
      </c>
      <c r="BJ66" s="11">
        <f>City_Inputs!$AH66</f>
        <v/>
      </c>
    </row>
    <row r="67">
      <c r="A67" t="inlineStr">
        <is>
          <t>co-bogota</t>
        </is>
      </c>
      <c r="B67" t="inlineStr">
        <is>
          <t>Bogota</t>
        </is>
      </c>
      <c r="C67" t="inlineStr">
        <is>
          <t>Colombia</t>
        </is>
      </c>
      <c r="D67" t="inlineStr">
        <is>
          <t>Latin America</t>
        </is>
      </c>
      <c r="E67" t="inlineStr">
        <is>
          <t>locked</t>
        </is>
      </c>
      <c r="F67" t="inlineStr">
        <is>
          <t>primary</t>
        </is>
      </c>
      <c r="G67" s="11">
        <f>IF(OR(City_Inputs!$M67="",Norm_Stats!$F$2="",Norm_Stats!$G$2="",Norm_Stats!$G$2=Norm_Stats!$F$2),"",MAX(0,MIN(100,100*(MIN(MAX(City_Inputs!$M67,Norm_Stats!$F$2),Norm_Stats!$G$2)-Norm_Stats!$F$2)/(Norm_Stats!$G$2-Norm_Stats!$F$2))))</f>
        <v/>
      </c>
      <c r="H67" s="14">
        <f>IF(G67="","",1)</f>
        <v/>
      </c>
      <c r="I67" s="11">
        <f>IF(OR(City_Inputs!$N67="",Norm_Stats!$F$3="",Norm_Stats!$G$3="",Norm_Stats!$G$3=Norm_Stats!$F$3),"",MAX(0,MIN(100,100*(Norm_Stats!$G$3-MIN(MAX(City_Inputs!$N67,Norm_Stats!$F$3),Norm_Stats!$G$3))/(Norm_Stats!$G$3-Norm_Stats!$F$3))))</f>
        <v/>
      </c>
      <c r="J67" s="14">
        <f>IF(I67="","",1)</f>
        <v/>
      </c>
      <c r="K67" s="11">
        <f>IF(OR(City_Inputs!$P67="",Norm_Stats!$F$4="",Norm_Stats!$G$4="",Norm_Stats!$G$4=Norm_Stats!$F$4),"",MAX(0,MIN(100,100*(Norm_Stats!$G$4-MIN(MAX(City_Inputs!$P67,Norm_Stats!$F$4),Norm_Stats!$G$4))/(Norm_Stats!$G$4-Norm_Stats!$F$4))))</f>
        <v/>
      </c>
      <c r="L67" s="14">
        <f>IF(K67="","",1)</f>
        <v/>
      </c>
      <c r="M67" s="11">
        <f>IF(OR(City_Inputs!$Q67="",Norm_Stats!$F$5="",Norm_Stats!$G$5="",Norm_Stats!$G$5=Norm_Stats!$F$5),"",MAX(0,MIN(100,100*(Norm_Stats!$G$5-MIN(MAX(City_Inputs!$Q67,Norm_Stats!$F$5),Norm_Stats!$G$5))/(Norm_Stats!$G$5-Norm_Stats!$F$5))))</f>
        <v/>
      </c>
      <c r="N67" s="14">
        <f>IF(M67="","",1)</f>
        <v/>
      </c>
      <c r="O67" s="11">
        <f>IF(OR(City_Inputs!$R67="",Norm_Stats!$F$6="",Norm_Stats!$G$6="",Norm_Stats!$G$6=Norm_Stats!$F$6),"",MAX(0,MIN(100,100*(Norm_Stats!$G$6-MIN(MAX(City_Inputs!$R67,Norm_Stats!$F$6),Norm_Stats!$G$6))/(Norm_Stats!$G$6-Norm_Stats!$F$6))))</f>
        <v/>
      </c>
      <c r="P67" s="14">
        <f>IF(O67="","",1)</f>
        <v/>
      </c>
      <c r="Q67" s="15">
        <f>IF((IF(G67="",0,9)+IF(I67="",0,5)+IF(K67="",0,4)+IF(M67="",0,4)+IF(O67="",0,3))=0,"",(IF(G67="",0,G67*9)+IF(I67="",0,I67*5)+IF(K67="",0,K67*4)+IF(M67="",0,M67*4)+IF(O67="",0,O67*3))/(IF(G67="",0,9)+IF(I67="",0,5)+IF(K67="",0,4)+IF(M67="",0,4)+IF(O67="",0,3)))</f>
        <v/>
      </c>
      <c r="R67" s="14">
        <f>IF((IF(H67="",0,9)+IF(J67="",0,5)+IF(L67="",0,4)+IF(N67="",0,4)+IF(P67="",0,3))=0,"",(IF(H67="",0,H67*9)+IF(J67="",0,J67*5)+IF(L67="",0,L67*4)+IF(N67="",0,N67*4)+IF(P67="",0,P67*3))/25)</f>
        <v/>
      </c>
      <c r="S67" s="11">
        <f>IF(OR(City_Inputs!$S67="",Norm_Stats!$F$7="",Norm_Stats!$G$7="",Norm_Stats!$G$7=Norm_Stats!$F$7),"",MAX(0,MIN(100,100*(Norm_Stats!$G$7-MIN(MAX(City_Inputs!$S67,Norm_Stats!$F$7),Norm_Stats!$G$7))/(Norm_Stats!$G$7-Norm_Stats!$F$7))))</f>
        <v/>
      </c>
      <c r="T67" s="14">
        <f>IF(S67="","",1)</f>
        <v/>
      </c>
      <c r="U67" s="11">
        <f>IF(OR(City_Inputs!$T67="",Norm_Stats!$F$8="",Norm_Stats!$G$8="",Norm_Stats!$G$8=Norm_Stats!$F$8),"",MAX(0,MIN(100,100*(MIN(MAX(City_Inputs!$T67,Norm_Stats!$F$8),Norm_Stats!$G$8)-Norm_Stats!$F$8)/(Norm_Stats!$G$8-Norm_Stats!$F$8))))</f>
        <v/>
      </c>
      <c r="V67" s="14">
        <f>IF(U67="","",1)</f>
        <v/>
      </c>
      <c r="W67" s="11">
        <f>IF(OR(City_Inputs!$U67="",Norm_Stats!$F$9="",Norm_Stats!$G$9="",Norm_Stats!$G$9=Norm_Stats!$F$9),"",MAX(0,MIN(100,100*(Norm_Stats!$G$9-MIN(MAX(City_Inputs!$U67,Norm_Stats!$F$9),Norm_Stats!$G$9))/(Norm_Stats!$G$9-Norm_Stats!$F$9))))</f>
        <v/>
      </c>
      <c r="X67" s="14">
        <f>IF(W67="","",1)</f>
        <v/>
      </c>
      <c r="Y67" s="11">
        <f>IF(OR(City_Inputs!$V67="",Norm_Stats!$F$10="",Norm_Stats!$G$10="",Norm_Stats!$G$10=Norm_Stats!$F$10),"",MAX(0,MIN(100,100*(MIN(MAX(City_Inputs!$V67,Norm_Stats!$F$10),Norm_Stats!$G$10)-Norm_Stats!$F$10)/(Norm_Stats!$G$10-Norm_Stats!$F$10))))</f>
        <v/>
      </c>
      <c r="Z67" s="14">
        <f>IF(Y67="","",1)</f>
        <v/>
      </c>
      <c r="AA67" s="11">
        <f>IF(OR(City_Inputs!$W67="",Norm_Stats!$F$11="",Norm_Stats!$G$11="",Norm_Stats!$G$11=Norm_Stats!$F$11),"",MAX(0,MIN(100,100*(MIN(MAX(City_Inputs!$W67,Norm_Stats!$F$11),Norm_Stats!$G$11)-Norm_Stats!$F$11)/(Norm_Stats!$G$11-Norm_Stats!$F$11))))</f>
        <v/>
      </c>
      <c r="AB67" s="14">
        <f>IF(AA67="","",1)</f>
        <v/>
      </c>
      <c r="AC67" s="15">
        <f>IF((IF(S67="",0,5)+IF(U67="",0,5)+IF(W67="",0,4)+IF(Y67="",0,4)+IF(AA67="",0,4))=0,"",(IF(S67="",0,S67*5)+IF(U67="",0,U67*5)+IF(W67="",0,W67*4)+IF(Y67="",0,Y67*4)+IF(AA67="",0,AA67*4))/(IF(S67="",0,5)+IF(U67="",0,5)+IF(W67="",0,4)+IF(Y67="",0,4)+IF(AA67="",0,4)))</f>
        <v/>
      </c>
      <c r="AD67" s="14">
        <f>IF((IF(T67="",0,5)+IF(V67="",0,5)+IF(X67="",0,4)+IF(Z67="",0,4)+IF(AB67="",0,4))=0,"",(IF(T67="",0,T67*5)+IF(V67="",0,V67*5)+IF(X67="",0,X67*4)+IF(Z67="",0,Z67*4)+IF(AB67="",0,AB67*4))/22)</f>
        <v/>
      </c>
      <c r="AE67" s="11">
        <f>IF(OR(City_Inputs!$X67="",Norm_Stats!$F$12="",Norm_Stats!$G$12="",Norm_Stats!$G$12=Norm_Stats!$F$12),"",MAX(0,MIN(100,100*(MIN(MAX(City_Inputs!$X67,Norm_Stats!$F$12),Norm_Stats!$G$12)-Norm_Stats!$F$12)/(Norm_Stats!$G$12-Norm_Stats!$F$12))))</f>
        <v/>
      </c>
      <c r="AF67" s="14">
        <f>IF(AE67="","",1)</f>
        <v/>
      </c>
      <c r="AG67" s="11">
        <f>IF(OR(City_Inputs!$Y67="",Norm_Stats!$F$13="",Norm_Stats!$G$13="",Norm_Stats!$G$13=Norm_Stats!$F$13),"",MAX(0,MIN(100,100*(MIN(MAX(City_Inputs!$Y67,Norm_Stats!$F$13),Norm_Stats!$G$13)-Norm_Stats!$F$13)/(Norm_Stats!$G$13-Norm_Stats!$F$13))))</f>
        <v/>
      </c>
      <c r="AH67" s="14">
        <f>IF(AG67="","",1)</f>
        <v/>
      </c>
      <c r="AI67" s="11">
        <f>IF((IF((IF(OR(City_Inputs!$Z67="",Norm_Stats!$F$14="",Norm_Stats!$G$14="",Norm_Stats!$G$14=Norm_Stats!$F$14),"",MAX(0,MIN(100,100*(MIN(MAX(City_Inputs!$Z67,Norm_Stats!$F$14),Norm_Stats!$G$14)-Norm_Stats!$F$14)/(Norm_Stats!$G$14-Norm_Stats!$F$14)))))="",0,0.7)+IF((IF(OR(City_Inputs!$AK67="",Norm_Stats!$F$15="",Norm_Stats!$G$15="",Norm_Stats!$G$15=Norm_Stats!$F$15),"",MAX(0,MIN(100,100*(Norm_Stats!$G$15-MIN(MAX(City_Inputs!$AK67,Norm_Stats!$F$15),Norm_Stats!$G$15))/(Norm_Stats!$G$15-Norm_Stats!$F$15)))))="",0,0.3))=0,"",(IF((IF(OR(City_Inputs!$Z67="",Norm_Stats!$F$14="",Norm_Stats!$G$14="",Norm_Stats!$G$14=Norm_Stats!$F$14),"",MAX(0,MIN(100,100*(MIN(MAX(City_Inputs!$Z67,Norm_Stats!$F$14),Norm_Stats!$G$14)-Norm_Stats!$F$14)/(Norm_Stats!$G$14-Norm_Stats!$F$14)))))="",0,(IF(OR(City_Inputs!$Z67="",Norm_Stats!$F$14="",Norm_Stats!$G$14="",Norm_Stats!$G$14=Norm_Stats!$F$14),"",MAX(0,MIN(100,100*(MIN(MAX(City_Inputs!$Z67,Norm_Stats!$F$14),Norm_Stats!$G$14)-Norm_Stats!$F$14)/(Norm_Stats!$G$14-Norm_Stats!$F$14)))))*0.7)+IF((IF(OR(City_Inputs!$AK67="",Norm_Stats!$F$15="",Norm_Stats!$G$15="",Norm_Stats!$G$15=Norm_Stats!$F$15),"",MAX(0,MIN(100,100*(Norm_Stats!$G$15-MIN(MAX(City_Inputs!$AK67,Norm_Stats!$F$15),Norm_Stats!$G$15))/(Norm_Stats!$G$15-Norm_Stats!$F$15)))))="",0,(IF(OR(City_Inputs!$AK67="",Norm_Stats!$F$15="",Norm_Stats!$G$15="",Norm_Stats!$G$15=Norm_Stats!$F$15),"",MAX(0,MIN(100,100*(Norm_Stats!$G$15-MIN(MAX(City_Inputs!$AK67,Norm_Stats!$F$15),Norm_Stats!$G$15))/(Norm_Stats!$G$15-Norm_Stats!$F$15)))))*0.3))/(IF((IF(OR(City_Inputs!$Z67="",Norm_Stats!$F$14="",Norm_Stats!$G$14="",Norm_Stats!$G$14=Norm_Stats!$F$14),"",MAX(0,MIN(100,100*(MIN(MAX(City_Inputs!$Z67,Norm_Stats!$F$14),Norm_Stats!$G$14)-Norm_Stats!$F$14)/(Norm_Stats!$G$14-Norm_Stats!$F$14)))))="",0,0.7)+IF((IF(OR(City_Inputs!$AK67="",Norm_Stats!$F$15="",Norm_Stats!$G$15="",Norm_Stats!$G$15=Norm_Stats!$F$15),"",MAX(0,MIN(100,100*(Norm_Stats!$G$15-MIN(MAX(City_Inputs!$AK67,Norm_Stats!$F$15),Norm_Stats!$G$15))/(Norm_Stats!$G$15-Norm_Stats!$F$15)))))="",0,0.3)))</f>
        <v/>
      </c>
      <c r="AJ67" s="14">
        <f>IF((IF((IF(OR(City_Inputs!$Z67="",Norm_Stats!$F$14="",Norm_Stats!$G$14="",Norm_Stats!$G$14=Norm_Stats!$F$14),"",MAX(0,MIN(100,100*(MIN(MAX(City_Inputs!$Z67,Norm_Stats!$F$14),Norm_Stats!$G$14)-Norm_Stats!$F$14)/(Norm_Stats!$G$14-Norm_Stats!$F$14)))))="",0,0.7)+IF((IF(OR(City_Inputs!$AK67="",Norm_Stats!$F$15="",Norm_Stats!$G$15="",Norm_Stats!$G$15=Norm_Stats!$F$15),"",MAX(0,MIN(100,100*(Norm_Stats!$G$15-MIN(MAX(City_Inputs!$AK67,Norm_Stats!$F$15),Norm_Stats!$G$15))/(Norm_Stats!$G$15-Norm_Stats!$F$15)))))="",0,0.3))=0,"",(IF((IF(OR(City_Inputs!$Z67="",Norm_Stats!$F$14="",Norm_Stats!$G$14="",Norm_Stats!$G$14=Norm_Stats!$F$14),"",MAX(0,MIN(100,100*(MIN(MAX(City_Inputs!$Z67,Norm_Stats!$F$14),Norm_Stats!$G$14)-Norm_Stats!$F$14)/(Norm_Stats!$G$14-Norm_Stats!$F$14)))))="",0,0.7)+IF((IF(OR(City_Inputs!$AK67="",Norm_Stats!$F$15="",Norm_Stats!$G$15="",Norm_Stats!$G$15=Norm_Stats!$F$15),"",MAX(0,MIN(100,100*(Norm_Stats!$G$15-MIN(MAX(City_Inputs!$AK67,Norm_Stats!$F$15),Norm_Stats!$G$15))/(Norm_Stats!$G$15-Norm_Stats!$F$15)))))="",0,0.3)))</f>
        <v/>
      </c>
      <c r="AK67" s="15">
        <f>IF((IF(AE67="",0,8)+IF(AG67="",0,6)+IF(AI67="",0,4))=0,"",(IF(AE67="",0,AE67*8)+IF(AG67="",0,AG67*6)+IF(AI67="",0,AI67*4))/(IF(AE67="",0,8)+IF(AG67="",0,6)+IF(AI67="",0,4)))</f>
        <v/>
      </c>
      <c r="AL67" s="14">
        <f>IF((IF(AF67="",0,8)+IF(AH67="",0,6)+IF(AJ67="",0,4))=0,"",(IF(AF67="",0,AF67*8)+IF(AH67="",0,AH67*6)+IF(AJ67="",0,AJ67*4))/18)</f>
        <v/>
      </c>
      <c r="AM67" s="11">
        <f>IF(OR(City_Inputs!$AA67="",Norm_Stats!$F$16="",Norm_Stats!$G$16="",Norm_Stats!$G$16=Norm_Stats!$F$16),"",MAX(0,MIN(100,100*(MIN(MAX(City_Inputs!$AA67,Norm_Stats!$F$16),Norm_Stats!$G$16)-Norm_Stats!$F$16)/(Norm_Stats!$G$16-Norm_Stats!$F$16))))</f>
        <v/>
      </c>
      <c r="AN67" s="14">
        <f>IF(AM67="","",1)</f>
        <v/>
      </c>
      <c r="AO67" s="11">
        <f>IF(OR(City_Inputs!$AB67="",Norm_Stats!$F$17="",Norm_Stats!$G$17="",Norm_Stats!$G$17=Norm_Stats!$F$17),"",MAX(0,MIN(100,100*(MIN(MAX(City_Inputs!$AB67,Norm_Stats!$F$17),Norm_Stats!$G$17)-Norm_Stats!$F$17)/(Norm_Stats!$G$17-Norm_Stats!$F$17))))</f>
        <v/>
      </c>
      <c r="AP67" s="14">
        <f>IF(AO67="","",1)</f>
        <v/>
      </c>
      <c r="AQ67" s="11">
        <f>IF(OR(City_Inputs!$AC67="",Norm_Stats!$F$18="",Norm_Stats!$G$18="",Norm_Stats!$G$18=Norm_Stats!$F$18),"",MAX(0,MIN(100,100*(MIN(MAX(City_Inputs!$AC67,Norm_Stats!$F$18),Norm_Stats!$G$18)-Norm_Stats!$F$18)/(Norm_Stats!$G$18-Norm_Stats!$F$18))))</f>
        <v/>
      </c>
      <c r="AR67" s="14">
        <f>IF(AQ67="","",1)</f>
        <v/>
      </c>
      <c r="AS67" s="15">
        <f>IF((IF(AM67="",0,5)+IF(AO67="",0,5)+IF(AQ67="",0,5))=0,"",(IF(AM67="",0,AM67*5)+IF(AO67="",0,AO67*5)+IF(AQ67="",0,AQ67*5))/(IF(AM67="",0,5)+IF(AO67="",0,5)+IF(AQ67="",0,5)))</f>
        <v/>
      </c>
      <c r="AT67" s="14">
        <f>IF((IF(AN67="",0,5)+IF(AP67="",0,5)+IF(AR67="",0,5))=0,"",(IF(AN67="",0,AN67*5)+IF(AP67="",0,AP67*5)+IF(AR67="",0,AR67*5))/15)</f>
        <v/>
      </c>
      <c r="AU67" s="11">
        <f>IF(OR(City_Inputs!$AD67="",Norm_Stats!$F$19="",Norm_Stats!$G$19="",Norm_Stats!$G$19=Norm_Stats!$F$19),"",MAX(0,MIN(100,100*(MIN(MAX(City_Inputs!$AD67,Norm_Stats!$F$19),Norm_Stats!$G$19)-Norm_Stats!$F$19)/(Norm_Stats!$G$19-Norm_Stats!$F$19))))</f>
        <v/>
      </c>
      <c r="AV67" s="14">
        <f>IF(AU67="","",1)</f>
        <v/>
      </c>
      <c r="AW67" s="11">
        <f>IF(OR(City_Inputs!$AE67="",Norm_Stats!$F$20="",Norm_Stats!$G$20="",Norm_Stats!$G$20=Norm_Stats!$F$20),"",MAX(0,MIN(100,100*(MIN(MAX(City_Inputs!$AE67,Norm_Stats!$F$20),Norm_Stats!$G$20)-Norm_Stats!$F$20)/(Norm_Stats!$G$20-Norm_Stats!$F$20))))</f>
        <v/>
      </c>
      <c r="AX67" s="14">
        <f>IF(AW67="","",1)</f>
        <v/>
      </c>
      <c r="AY67" s="11">
        <f>IF((IF((IF(OR(City_Inputs!$AF67="",Norm_Stats!$F$21="",Norm_Stats!$G$21="",Norm_Stats!$G$21=Norm_Stats!$F$21),"",MAX(0,MIN(100,100*(MIN(MAX(City_Inputs!$AF67,Norm_Stats!$F$21),Norm_Stats!$G$21)-Norm_Stats!$F$21)/(Norm_Stats!$G$21-Norm_Stats!$F$21)))))="",0,0.5)+IF((IF(OR(City_Inputs!$AI67="",Norm_Stats!$F$22="",Norm_Stats!$G$22="",Norm_Stats!$G$22=Norm_Stats!$F$22),"",MAX(0,MIN(100,100*(MIN(MAX(City_Inputs!$AI67,Norm_Stats!$F$22),Norm_Stats!$G$22)-Norm_Stats!$F$22)/(Norm_Stats!$G$22-Norm_Stats!$F$22)))))="",0,0.3)+IF((IF(OR(City_Inputs!$AJ67="",Norm_Stats!$F$23="",Norm_Stats!$G$23="",Norm_Stats!$G$23=Norm_Stats!$F$23),"",MAX(0,MIN(100,100*(MIN(MAX(City_Inputs!$AJ67,Norm_Stats!$F$23),Norm_Stats!$G$23)-Norm_Stats!$F$23)/(Norm_Stats!$G$23-Norm_Stats!$F$23)))))="",0,0.2))=0,"",(IF((IF(OR(City_Inputs!$AF67="",Norm_Stats!$F$21="",Norm_Stats!$G$21="",Norm_Stats!$G$21=Norm_Stats!$F$21),"",MAX(0,MIN(100,100*(MIN(MAX(City_Inputs!$AF67,Norm_Stats!$F$21),Norm_Stats!$G$21)-Norm_Stats!$F$21)/(Norm_Stats!$G$21-Norm_Stats!$F$21)))))="",0,(IF(OR(City_Inputs!$AF67="",Norm_Stats!$F$21="",Norm_Stats!$G$21="",Norm_Stats!$G$21=Norm_Stats!$F$21),"",MAX(0,MIN(100,100*(MIN(MAX(City_Inputs!$AF67,Norm_Stats!$F$21),Norm_Stats!$G$21)-Norm_Stats!$F$21)/(Norm_Stats!$G$21-Norm_Stats!$F$21)))))*0.5)+IF((IF(OR(City_Inputs!$AI67="",Norm_Stats!$F$22="",Norm_Stats!$G$22="",Norm_Stats!$G$22=Norm_Stats!$F$22),"",MAX(0,MIN(100,100*(MIN(MAX(City_Inputs!$AI67,Norm_Stats!$F$22),Norm_Stats!$G$22)-Norm_Stats!$F$22)/(Norm_Stats!$G$22-Norm_Stats!$F$22)))))="",0,(IF(OR(City_Inputs!$AI67="",Norm_Stats!$F$22="",Norm_Stats!$G$22="",Norm_Stats!$G$22=Norm_Stats!$F$22),"",MAX(0,MIN(100,100*(MIN(MAX(City_Inputs!$AI67,Norm_Stats!$F$22),Norm_Stats!$G$22)-Norm_Stats!$F$22)/(Norm_Stats!$G$22-Norm_Stats!$F$22)))))*0.3)+IF((IF(OR(City_Inputs!$AJ67="",Norm_Stats!$F$23="",Norm_Stats!$G$23="",Norm_Stats!$G$23=Norm_Stats!$F$23),"",MAX(0,MIN(100,100*(MIN(MAX(City_Inputs!$AJ67,Norm_Stats!$F$23),Norm_Stats!$G$23)-Norm_Stats!$F$23)/(Norm_Stats!$G$23-Norm_Stats!$F$23)))))="",0,(IF(OR(City_Inputs!$AJ67="",Norm_Stats!$F$23="",Norm_Stats!$G$23="",Norm_Stats!$G$23=Norm_Stats!$F$23),"",MAX(0,MIN(100,100*(MIN(MAX(City_Inputs!$AJ67,Norm_Stats!$F$23),Norm_Stats!$G$23)-Norm_Stats!$F$23)/(Norm_Stats!$G$23-Norm_Stats!$F$23)))))*0.2))/(IF((IF(OR(City_Inputs!$AF67="",Norm_Stats!$F$21="",Norm_Stats!$G$21="",Norm_Stats!$G$21=Norm_Stats!$F$21),"",MAX(0,MIN(100,100*(MIN(MAX(City_Inputs!$AF67,Norm_Stats!$F$21),Norm_Stats!$G$21)-Norm_Stats!$F$21)/(Norm_Stats!$G$21-Norm_Stats!$F$21)))))="",0,0.5)+IF((IF(OR(City_Inputs!$AI67="",Norm_Stats!$F$22="",Norm_Stats!$G$22="",Norm_Stats!$G$22=Norm_Stats!$F$22),"",MAX(0,MIN(100,100*(MIN(MAX(City_Inputs!$AI67,Norm_Stats!$F$22),Norm_Stats!$G$22)-Norm_Stats!$F$22)/(Norm_Stats!$G$22-Norm_Stats!$F$22)))))="",0,0.3)+IF((IF(OR(City_Inputs!$AJ67="",Norm_Stats!$F$23="",Norm_Stats!$G$23="",Norm_Stats!$G$23=Norm_Stats!$F$23),"",MAX(0,MIN(100,100*(MIN(MAX(City_Inputs!$AJ67,Norm_Stats!$F$23),Norm_Stats!$G$23)-Norm_Stats!$F$23)/(Norm_Stats!$G$23-Norm_Stats!$F$23)))))="",0,0.2)))</f>
        <v/>
      </c>
      <c r="AZ67" s="14">
        <f>IF((IF((IF(OR(City_Inputs!$AF67="",Norm_Stats!$F$21="",Norm_Stats!$G$21="",Norm_Stats!$G$21=Norm_Stats!$F$21),"",MAX(0,MIN(100,100*(MIN(MAX(City_Inputs!$AF67,Norm_Stats!$F$21),Norm_Stats!$G$21)-Norm_Stats!$F$21)/(Norm_Stats!$G$21-Norm_Stats!$F$21)))))="",0,0.5)+IF((IF(OR(City_Inputs!$AI67="",Norm_Stats!$F$22="",Norm_Stats!$G$22="",Norm_Stats!$G$22=Norm_Stats!$F$22),"",MAX(0,MIN(100,100*(MIN(MAX(City_Inputs!$AI67,Norm_Stats!$F$22),Norm_Stats!$G$22)-Norm_Stats!$F$22)/(Norm_Stats!$G$22-Norm_Stats!$F$22)))))="",0,0.3)+IF((IF(OR(City_Inputs!$AJ67="",Norm_Stats!$F$23="",Norm_Stats!$G$23="",Norm_Stats!$G$23=Norm_Stats!$F$23),"",MAX(0,MIN(100,100*(MIN(MAX(City_Inputs!$AJ67,Norm_Stats!$F$23),Norm_Stats!$G$23)-Norm_Stats!$F$23)/(Norm_Stats!$G$23-Norm_Stats!$F$23)))))="",0,0.2))=0,"",(IF((IF(OR(City_Inputs!$AF67="",Norm_Stats!$F$21="",Norm_Stats!$G$21="",Norm_Stats!$G$21=Norm_Stats!$F$21),"",MAX(0,MIN(100,100*(MIN(MAX(City_Inputs!$AF67,Norm_Stats!$F$21),Norm_Stats!$G$21)-Norm_Stats!$F$21)/(Norm_Stats!$G$21-Norm_Stats!$F$21)))))="",0,0.5)+IF((IF(OR(City_Inputs!$AI67="",Norm_Stats!$F$22="",Norm_Stats!$G$22="",Norm_Stats!$G$22=Norm_Stats!$F$22),"",MAX(0,MIN(100,100*(MIN(MAX(City_Inputs!$AI67,Norm_Stats!$F$22),Norm_Stats!$G$22)-Norm_Stats!$F$22)/(Norm_Stats!$G$22-Norm_Stats!$F$22)))))="",0,0.3)+IF((IF(OR(City_Inputs!$AJ67="",Norm_Stats!$F$23="",Norm_Stats!$G$23="",Norm_Stats!$G$23=Norm_Stats!$F$23),"",MAX(0,MIN(100,100*(MIN(MAX(City_Inputs!$AJ67,Norm_Stats!$F$23),Norm_Stats!$G$23)-Norm_Stats!$F$23)/(Norm_Stats!$G$23-Norm_Stats!$F$23)))))="",0,0.2)))</f>
        <v/>
      </c>
      <c r="BA67" s="11">
        <f>IF(OR(City_Inputs!$AG67="",Norm_Stats!$F$24="",Norm_Stats!$G$24="",Norm_Stats!$G$24=Norm_Stats!$F$24),"",MAX(0,MIN(100,100*(Norm_Stats!$G$24-MIN(MAX(City_Inputs!$AG67,Norm_Stats!$F$24),Norm_Stats!$G$24))/(Norm_Stats!$G$24-Norm_Stats!$F$24))))</f>
        <v/>
      </c>
      <c r="BB67" s="14">
        <f>IF(BA67="","",1)</f>
        <v/>
      </c>
      <c r="BC67" s="15">
        <f>IF((IF(AU67="",0,6)+IF(AW67="",0,5)+IF(AY67="",0,5)+IF(BA67="",0,4))=0,"",(IF(AU67="",0,AU67*6)+IF(AW67="",0,AW67*5)+IF(AY67="",0,AY67*5)+IF(BA67="",0,BA67*4))/(IF(AU67="",0,6)+IF(AW67="",0,5)+IF(AY67="",0,5)+IF(BA67="",0,4)))</f>
        <v/>
      </c>
      <c r="BD67" s="14">
        <f>IF((IF(AV67="",0,6)+IF(AX67="",0,5)+IF(AZ67="",0,5)+IF(BB67="",0,4))=0,"",(IF(AV67="",0,AV67*6)+IF(AX67="",0,AX67*5)+IF(AZ67="",0,AZ67*5)+IF(BB67="",0,BB67*4))/20)</f>
        <v/>
      </c>
      <c r="BE67" s="14">
        <f>IF(AND(R67="",AD67="",AL67="",AT67="",BD67=""),"",((R67*25)+(AD67*22)+(AL67*18)+(AT67*15)+(BD67*20))/100)</f>
        <v/>
      </c>
      <c r="BF67" s="11">
        <f>IF(BE67="","",IF(BE67&gt;=0.75,"A",IF(BE67&gt;=0.5,"B",IF(BE67&gt;=0.35,"C","Watchlist"))))</f>
        <v/>
      </c>
      <c r="BG67" s="11">
        <f>IF(OR(BE67="",BE67&lt;0.5,R67="",R67&lt;0.35,AD67="",AD67&lt;0.35,AL67="",AL67&lt;0.35,AT67="",AT67&lt;0.35,BD67="",BD67&lt;0.35),"Watchlist","Ranked")</f>
        <v/>
      </c>
      <c r="BH67" s="15">
        <f>IF(AND(Q67="",AC67="",AK67="",AS67="",BC67=""),"",(IF(Q67="",0,Q67*25)+IF(AC67="",0,AC67*22)+IF(AK67="",0,AK67*18)+IF(AS67="",0,AS67*15)+IF(BC67="",0,BC67*20))/(IF(Q67="",0,25)+IF(AC67="",0,22)+IF(AK67="",0,18)+IF(AS67="",0,15)+IF(BC67="",0,20)))</f>
        <v/>
      </c>
      <c r="BI67" s="11">
        <f>IF(BG67="Ranked",1+COUNTIFS($BG$2:$BG$103,"Ranked",$BH$2:$BH$103,"&gt;"&amp;BH67),"")</f>
        <v/>
      </c>
      <c r="BJ67" s="11">
        <f>City_Inputs!$AH67</f>
        <v/>
      </c>
    </row>
    <row r="68">
      <c r="A68" t="inlineStr">
        <is>
          <t>pe-lima</t>
        </is>
      </c>
      <c r="B68" t="inlineStr">
        <is>
          <t>Lima</t>
        </is>
      </c>
      <c r="C68" t="inlineStr">
        <is>
          <t>Peru</t>
        </is>
      </c>
      <c r="D68" t="inlineStr">
        <is>
          <t>Latin America</t>
        </is>
      </c>
      <c r="E68" t="inlineStr">
        <is>
          <t>provisional</t>
        </is>
      </c>
      <c r="F68" t="inlineStr">
        <is>
          <t>primary</t>
        </is>
      </c>
      <c r="G68" s="11">
        <f>IF(OR(City_Inputs!$M68="",Norm_Stats!$F$2="",Norm_Stats!$G$2="",Norm_Stats!$G$2=Norm_Stats!$F$2),"",MAX(0,MIN(100,100*(MIN(MAX(City_Inputs!$M68,Norm_Stats!$F$2),Norm_Stats!$G$2)-Norm_Stats!$F$2)/(Norm_Stats!$G$2-Norm_Stats!$F$2))))</f>
        <v/>
      </c>
      <c r="H68" s="14">
        <f>IF(G68="","",1)</f>
        <v/>
      </c>
      <c r="I68" s="11">
        <f>IF(OR(City_Inputs!$N68="",Norm_Stats!$F$3="",Norm_Stats!$G$3="",Norm_Stats!$G$3=Norm_Stats!$F$3),"",MAX(0,MIN(100,100*(Norm_Stats!$G$3-MIN(MAX(City_Inputs!$N68,Norm_Stats!$F$3),Norm_Stats!$G$3))/(Norm_Stats!$G$3-Norm_Stats!$F$3))))</f>
        <v/>
      </c>
      <c r="J68" s="14">
        <f>IF(I68="","",1)</f>
        <v/>
      </c>
      <c r="K68" s="11">
        <f>IF(OR(City_Inputs!$P68="",Norm_Stats!$F$4="",Norm_Stats!$G$4="",Norm_Stats!$G$4=Norm_Stats!$F$4),"",MAX(0,MIN(100,100*(Norm_Stats!$G$4-MIN(MAX(City_Inputs!$P68,Norm_Stats!$F$4),Norm_Stats!$G$4))/(Norm_Stats!$G$4-Norm_Stats!$F$4))))</f>
        <v/>
      </c>
      <c r="L68" s="14">
        <f>IF(K68="","",1)</f>
        <v/>
      </c>
      <c r="M68" s="11">
        <f>IF(OR(City_Inputs!$Q68="",Norm_Stats!$F$5="",Norm_Stats!$G$5="",Norm_Stats!$G$5=Norm_Stats!$F$5),"",MAX(0,MIN(100,100*(Norm_Stats!$G$5-MIN(MAX(City_Inputs!$Q68,Norm_Stats!$F$5),Norm_Stats!$G$5))/(Norm_Stats!$G$5-Norm_Stats!$F$5))))</f>
        <v/>
      </c>
      <c r="N68" s="14">
        <f>IF(M68="","",1)</f>
        <v/>
      </c>
      <c r="O68" s="11">
        <f>IF(OR(City_Inputs!$R68="",Norm_Stats!$F$6="",Norm_Stats!$G$6="",Norm_Stats!$G$6=Norm_Stats!$F$6),"",MAX(0,MIN(100,100*(Norm_Stats!$G$6-MIN(MAX(City_Inputs!$R68,Norm_Stats!$F$6),Norm_Stats!$G$6))/(Norm_Stats!$G$6-Norm_Stats!$F$6))))</f>
        <v/>
      </c>
      <c r="P68" s="14">
        <f>IF(O68="","",1)</f>
        <v/>
      </c>
      <c r="Q68" s="15">
        <f>IF((IF(G68="",0,9)+IF(I68="",0,5)+IF(K68="",0,4)+IF(M68="",0,4)+IF(O68="",0,3))=0,"",(IF(G68="",0,G68*9)+IF(I68="",0,I68*5)+IF(K68="",0,K68*4)+IF(M68="",0,M68*4)+IF(O68="",0,O68*3))/(IF(G68="",0,9)+IF(I68="",0,5)+IF(K68="",0,4)+IF(M68="",0,4)+IF(O68="",0,3)))</f>
        <v/>
      </c>
      <c r="R68" s="14">
        <f>IF((IF(H68="",0,9)+IF(J68="",0,5)+IF(L68="",0,4)+IF(N68="",0,4)+IF(P68="",0,3))=0,"",(IF(H68="",0,H68*9)+IF(J68="",0,J68*5)+IF(L68="",0,L68*4)+IF(N68="",0,N68*4)+IF(P68="",0,P68*3))/25)</f>
        <v/>
      </c>
      <c r="S68" s="11">
        <f>IF(OR(City_Inputs!$S68="",Norm_Stats!$F$7="",Norm_Stats!$G$7="",Norm_Stats!$G$7=Norm_Stats!$F$7),"",MAX(0,MIN(100,100*(Norm_Stats!$G$7-MIN(MAX(City_Inputs!$S68,Norm_Stats!$F$7),Norm_Stats!$G$7))/(Norm_Stats!$G$7-Norm_Stats!$F$7))))</f>
        <v/>
      </c>
      <c r="T68" s="14">
        <f>IF(S68="","",1)</f>
        <v/>
      </c>
      <c r="U68" s="11">
        <f>IF(OR(City_Inputs!$T68="",Norm_Stats!$F$8="",Norm_Stats!$G$8="",Norm_Stats!$G$8=Norm_Stats!$F$8),"",MAX(0,MIN(100,100*(MIN(MAX(City_Inputs!$T68,Norm_Stats!$F$8),Norm_Stats!$G$8)-Norm_Stats!$F$8)/(Norm_Stats!$G$8-Norm_Stats!$F$8))))</f>
        <v/>
      </c>
      <c r="V68" s="14">
        <f>IF(U68="","",1)</f>
        <v/>
      </c>
      <c r="W68" s="11">
        <f>IF(OR(City_Inputs!$U68="",Norm_Stats!$F$9="",Norm_Stats!$G$9="",Norm_Stats!$G$9=Norm_Stats!$F$9),"",MAX(0,MIN(100,100*(Norm_Stats!$G$9-MIN(MAX(City_Inputs!$U68,Norm_Stats!$F$9),Norm_Stats!$G$9))/(Norm_Stats!$G$9-Norm_Stats!$F$9))))</f>
        <v/>
      </c>
      <c r="X68" s="14">
        <f>IF(W68="","",1)</f>
        <v/>
      </c>
      <c r="Y68" s="11">
        <f>IF(OR(City_Inputs!$V68="",Norm_Stats!$F$10="",Norm_Stats!$G$10="",Norm_Stats!$G$10=Norm_Stats!$F$10),"",MAX(0,MIN(100,100*(MIN(MAX(City_Inputs!$V68,Norm_Stats!$F$10),Norm_Stats!$G$10)-Norm_Stats!$F$10)/(Norm_Stats!$G$10-Norm_Stats!$F$10))))</f>
        <v/>
      </c>
      <c r="Z68" s="14">
        <f>IF(Y68="","",1)</f>
        <v/>
      </c>
      <c r="AA68" s="11">
        <f>IF(OR(City_Inputs!$W68="",Norm_Stats!$F$11="",Norm_Stats!$G$11="",Norm_Stats!$G$11=Norm_Stats!$F$11),"",MAX(0,MIN(100,100*(MIN(MAX(City_Inputs!$W68,Norm_Stats!$F$11),Norm_Stats!$G$11)-Norm_Stats!$F$11)/(Norm_Stats!$G$11-Norm_Stats!$F$11))))</f>
        <v/>
      </c>
      <c r="AB68" s="14">
        <f>IF(AA68="","",1)</f>
        <v/>
      </c>
      <c r="AC68" s="15">
        <f>IF((IF(S68="",0,5)+IF(U68="",0,5)+IF(W68="",0,4)+IF(Y68="",0,4)+IF(AA68="",0,4))=0,"",(IF(S68="",0,S68*5)+IF(U68="",0,U68*5)+IF(W68="",0,W68*4)+IF(Y68="",0,Y68*4)+IF(AA68="",0,AA68*4))/(IF(S68="",0,5)+IF(U68="",0,5)+IF(W68="",0,4)+IF(Y68="",0,4)+IF(AA68="",0,4)))</f>
        <v/>
      </c>
      <c r="AD68" s="14">
        <f>IF((IF(T68="",0,5)+IF(V68="",0,5)+IF(X68="",0,4)+IF(Z68="",0,4)+IF(AB68="",0,4))=0,"",(IF(T68="",0,T68*5)+IF(V68="",0,V68*5)+IF(X68="",0,X68*4)+IF(Z68="",0,Z68*4)+IF(AB68="",0,AB68*4))/22)</f>
        <v/>
      </c>
      <c r="AE68" s="11">
        <f>IF(OR(City_Inputs!$X68="",Norm_Stats!$F$12="",Norm_Stats!$G$12="",Norm_Stats!$G$12=Norm_Stats!$F$12),"",MAX(0,MIN(100,100*(MIN(MAX(City_Inputs!$X68,Norm_Stats!$F$12),Norm_Stats!$G$12)-Norm_Stats!$F$12)/(Norm_Stats!$G$12-Norm_Stats!$F$12))))</f>
        <v/>
      </c>
      <c r="AF68" s="14">
        <f>IF(AE68="","",1)</f>
        <v/>
      </c>
      <c r="AG68" s="11">
        <f>IF(OR(City_Inputs!$Y68="",Norm_Stats!$F$13="",Norm_Stats!$G$13="",Norm_Stats!$G$13=Norm_Stats!$F$13),"",MAX(0,MIN(100,100*(MIN(MAX(City_Inputs!$Y68,Norm_Stats!$F$13),Norm_Stats!$G$13)-Norm_Stats!$F$13)/(Norm_Stats!$G$13-Norm_Stats!$F$13))))</f>
        <v/>
      </c>
      <c r="AH68" s="14">
        <f>IF(AG68="","",1)</f>
        <v/>
      </c>
      <c r="AI68" s="11">
        <f>IF((IF((IF(OR(City_Inputs!$Z68="",Norm_Stats!$F$14="",Norm_Stats!$G$14="",Norm_Stats!$G$14=Norm_Stats!$F$14),"",MAX(0,MIN(100,100*(MIN(MAX(City_Inputs!$Z68,Norm_Stats!$F$14),Norm_Stats!$G$14)-Norm_Stats!$F$14)/(Norm_Stats!$G$14-Norm_Stats!$F$14)))))="",0,0.7)+IF((IF(OR(City_Inputs!$AK68="",Norm_Stats!$F$15="",Norm_Stats!$G$15="",Norm_Stats!$G$15=Norm_Stats!$F$15),"",MAX(0,MIN(100,100*(Norm_Stats!$G$15-MIN(MAX(City_Inputs!$AK68,Norm_Stats!$F$15),Norm_Stats!$G$15))/(Norm_Stats!$G$15-Norm_Stats!$F$15)))))="",0,0.3))=0,"",(IF((IF(OR(City_Inputs!$Z68="",Norm_Stats!$F$14="",Norm_Stats!$G$14="",Norm_Stats!$G$14=Norm_Stats!$F$14),"",MAX(0,MIN(100,100*(MIN(MAX(City_Inputs!$Z68,Norm_Stats!$F$14),Norm_Stats!$G$14)-Norm_Stats!$F$14)/(Norm_Stats!$G$14-Norm_Stats!$F$14)))))="",0,(IF(OR(City_Inputs!$Z68="",Norm_Stats!$F$14="",Norm_Stats!$G$14="",Norm_Stats!$G$14=Norm_Stats!$F$14),"",MAX(0,MIN(100,100*(MIN(MAX(City_Inputs!$Z68,Norm_Stats!$F$14),Norm_Stats!$G$14)-Norm_Stats!$F$14)/(Norm_Stats!$G$14-Norm_Stats!$F$14)))))*0.7)+IF((IF(OR(City_Inputs!$AK68="",Norm_Stats!$F$15="",Norm_Stats!$G$15="",Norm_Stats!$G$15=Norm_Stats!$F$15),"",MAX(0,MIN(100,100*(Norm_Stats!$G$15-MIN(MAX(City_Inputs!$AK68,Norm_Stats!$F$15),Norm_Stats!$G$15))/(Norm_Stats!$G$15-Norm_Stats!$F$15)))))="",0,(IF(OR(City_Inputs!$AK68="",Norm_Stats!$F$15="",Norm_Stats!$G$15="",Norm_Stats!$G$15=Norm_Stats!$F$15),"",MAX(0,MIN(100,100*(Norm_Stats!$G$15-MIN(MAX(City_Inputs!$AK68,Norm_Stats!$F$15),Norm_Stats!$G$15))/(Norm_Stats!$G$15-Norm_Stats!$F$15)))))*0.3))/(IF((IF(OR(City_Inputs!$Z68="",Norm_Stats!$F$14="",Norm_Stats!$G$14="",Norm_Stats!$G$14=Norm_Stats!$F$14),"",MAX(0,MIN(100,100*(MIN(MAX(City_Inputs!$Z68,Norm_Stats!$F$14),Norm_Stats!$G$14)-Norm_Stats!$F$14)/(Norm_Stats!$G$14-Norm_Stats!$F$14)))))="",0,0.7)+IF((IF(OR(City_Inputs!$AK68="",Norm_Stats!$F$15="",Norm_Stats!$G$15="",Norm_Stats!$G$15=Norm_Stats!$F$15),"",MAX(0,MIN(100,100*(Norm_Stats!$G$15-MIN(MAX(City_Inputs!$AK68,Norm_Stats!$F$15),Norm_Stats!$G$15))/(Norm_Stats!$G$15-Norm_Stats!$F$15)))))="",0,0.3)))</f>
        <v/>
      </c>
      <c r="AJ68" s="14">
        <f>IF((IF((IF(OR(City_Inputs!$Z68="",Norm_Stats!$F$14="",Norm_Stats!$G$14="",Norm_Stats!$G$14=Norm_Stats!$F$14),"",MAX(0,MIN(100,100*(MIN(MAX(City_Inputs!$Z68,Norm_Stats!$F$14),Norm_Stats!$G$14)-Norm_Stats!$F$14)/(Norm_Stats!$G$14-Norm_Stats!$F$14)))))="",0,0.7)+IF((IF(OR(City_Inputs!$AK68="",Norm_Stats!$F$15="",Norm_Stats!$G$15="",Norm_Stats!$G$15=Norm_Stats!$F$15),"",MAX(0,MIN(100,100*(Norm_Stats!$G$15-MIN(MAX(City_Inputs!$AK68,Norm_Stats!$F$15),Norm_Stats!$G$15))/(Norm_Stats!$G$15-Norm_Stats!$F$15)))))="",0,0.3))=0,"",(IF((IF(OR(City_Inputs!$Z68="",Norm_Stats!$F$14="",Norm_Stats!$G$14="",Norm_Stats!$G$14=Norm_Stats!$F$14),"",MAX(0,MIN(100,100*(MIN(MAX(City_Inputs!$Z68,Norm_Stats!$F$14),Norm_Stats!$G$14)-Norm_Stats!$F$14)/(Norm_Stats!$G$14-Norm_Stats!$F$14)))))="",0,0.7)+IF((IF(OR(City_Inputs!$AK68="",Norm_Stats!$F$15="",Norm_Stats!$G$15="",Norm_Stats!$G$15=Norm_Stats!$F$15),"",MAX(0,MIN(100,100*(Norm_Stats!$G$15-MIN(MAX(City_Inputs!$AK68,Norm_Stats!$F$15),Norm_Stats!$G$15))/(Norm_Stats!$G$15-Norm_Stats!$F$15)))))="",0,0.3)))</f>
        <v/>
      </c>
      <c r="AK68" s="15">
        <f>IF((IF(AE68="",0,8)+IF(AG68="",0,6)+IF(AI68="",0,4))=0,"",(IF(AE68="",0,AE68*8)+IF(AG68="",0,AG68*6)+IF(AI68="",0,AI68*4))/(IF(AE68="",0,8)+IF(AG68="",0,6)+IF(AI68="",0,4)))</f>
        <v/>
      </c>
      <c r="AL68" s="14">
        <f>IF((IF(AF68="",0,8)+IF(AH68="",0,6)+IF(AJ68="",0,4))=0,"",(IF(AF68="",0,AF68*8)+IF(AH68="",0,AH68*6)+IF(AJ68="",0,AJ68*4))/18)</f>
        <v/>
      </c>
      <c r="AM68" s="11">
        <f>IF(OR(City_Inputs!$AA68="",Norm_Stats!$F$16="",Norm_Stats!$G$16="",Norm_Stats!$G$16=Norm_Stats!$F$16),"",MAX(0,MIN(100,100*(MIN(MAX(City_Inputs!$AA68,Norm_Stats!$F$16),Norm_Stats!$G$16)-Norm_Stats!$F$16)/(Norm_Stats!$G$16-Norm_Stats!$F$16))))</f>
        <v/>
      </c>
      <c r="AN68" s="14">
        <f>IF(AM68="","",1)</f>
        <v/>
      </c>
      <c r="AO68" s="11">
        <f>IF(OR(City_Inputs!$AB68="",Norm_Stats!$F$17="",Norm_Stats!$G$17="",Norm_Stats!$G$17=Norm_Stats!$F$17),"",MAX(0,MIN(100,100*(MIN(MAX(City_Inputs!$AB68,Norm_Stats!$F$17),Norm_Stats!$G$17)-Norm_Stats!$F$17)/(Norm_Stats!$G$17-Norm_Stats!$F$17))))</f>
        <v/>
      </c>
      <c r="AP68" s="14">
        <f>IF(AO68="","",1)</f>
        <v/>
      </c>
      <c r="AQ68" s="11">
        <f>IF(OR(City_Inputs!$AC68="",Norm_Stats!$F$18="",Norm_Stats!$G$18="",Norm_Stats!$G$18=Norm_Stats!$F$18),"",MAX(0,MIN(100,100*(MIN(MAX(City_Inputs!$AC68,Norm_Stats!$F$18),Norm_Stats!$G$18)-Norm_Stats!$F$18)/(Norm_Stats!$G$18-Norm_Stats!$F$18))))</f>
        <v/>
      </c>
      <c r="AR68" s="14">
        <f>IF(AQ68="","",1)</f>
        <v/>
      </c>
      <c r="AS68" s="15">
        <f>IF((IF(AM68="",0,5)+IF(AO68="",0,5)+IF(AQ68="",0,5))=0,"",(IF(AM68="",0,AM68*5)+IF(AO68="",0,AO68*5)+IF(AQ68="",0,AQ68*5))/(IF(AM68="",0,5)+IF(AO68="",0,5)+IF(AQ68="",0,5)))</f>
        <v/>
      </c>
      <c r="AT68" s="14">
        <f>IF((IF(AN68="",0,5)+IF(AP68="",0,5)+IF(AR68="",0,5))=0,"",(IF(AN68="",0,AN68*5)+IF(AP68="",0,AP68*5)+IF(AR68="",0,AR68*5))/15)</f>
        <v/>
      </c>
      <c r="AU68" s="11">
        <f>IF(OR(City_Inputs!$AD68="",Norm_Stats!$F$19="",Norm_Stats!$G$19="",Norm_Stats!$G$19=Norm_Stats!$F$19),"",MAX(0,MIN(100,100*(MIN(MAX(City_Inputs!$AD68,Norm_Stats!$F$19),Norm_Stats!$G$19)-Norm_Stats!$F$19)/(Norm_Stats!$G$19-Norm_Stats!$F$19))))</f>
        <v/>
      </c>
      <c r="AV68" s="14">
        <f>IF(AU68="","",1)</f>
        <v/>
      </c>
      <c r="AW68" s="11">
        <f>IF(OR(City_Inputs!$AE68="",Norm_Stats!$F$20="",Norm_Stats!$G$20="",Norm_Stats!$G$20=Norm_Stats!$F$20),"",MAX(0,MIN(100,100*(MIN(MAX(City_Inputs!$AE68,Norm_Stats!$F$20),Norm_Stats!$G$20)-Norm_Stats!$F$20)/(Norm_Stats!$G$20-Norm_Stats!$F$20))))</f>
        <v/>
      </c>
      <c r="AX68" s="14">
        <f>IF(AW68="","",1)</f>
        <v/>
      </c>
      <c r="AY68" s="11">
        <f>IF((IF((IF(OR(City_Inputs!$AF68="",Norm_Stats!$F$21="",Norm_Stats!$G$21="",Norm_Stats!$G$21=Norm_Stats!$F$21),"",MAX(0,MIN(100,100*(MIN(MAX(City_Inputs!$AF68,Norm_Stats!$F$21),Norm_Stats!$G$21)-Norm_Stats!$F$21)/(Norm_Stats!$G$21-Norm_Stats!$F$21)))))="",0,0.5)+IF((IF(OR(City_Inputs!$AI68="",Norm_Stats!$F$22="",Norm_Stats!$G$22="",Norm_Stats!$G$22=Norm_Stats!$F$22),"",MAX(0,MIN(100,100*(MIN(MAX(City_Inputs!$AI68,Norm_Stats!$F$22),Norm_Stats!$G$22)-Norm_Stats!$F$22)/(Norm_Stats!$G$22-Norm_Stats!$F$22)))))="",0,0.3)+IF((IF(OR(City_Inputs!$AJ68="",Norm_Stats!$F$23="",Norm_Stats!$G$23="",Norm_Stats!$G$23=Norm_Stats!$F$23),"",MAX(0,MIN(100,100*(MIN(MAX(City_Inputs!$AJ68,Norm_Stats!$F$23),Norm_Stats!$G$23)-Norm_Stats!$F$23)/(Norm_Stats!$G$23-Norm_Stats!$F$23)))))="",0,0.2))=0,"",(IF((IF(OR(City_Inputs!$AF68="",Norm_Stats!$F$21="",Norm_Stats!$G$21="",Norm_Stats!$G$21=Norm_Stats!$F$21),"",MAX(0,MIN(100,100*(MIN(MAX(City_Inputs!$AF68,Norm_Stats!$F$21),Norm_Stats!$G$21)-Norm_Stats!$F$21)/(Norm_Stats!$G$21-Norm_Stats!$F$21)))))="",0,(IF(OR(City_Inputs!$AF68="",Norm_Stats!$F$21="",Norm_Stats!$G$21="",Norm_Stats!$G$21=Norm_Stats!$F$21),"",MAX(0,MIN(100,100*(MIN(MAX(City_Inputs!$AF68,Norm_Stats!$F$21),Norm_Stats!$G$21)-Norm_Stats!$F$21)/(Norm_Stats!$G$21-Norm_Stats!$F$21)))))*0.5)+IF((IF(OR(City_Inputs!$AI68="",Norm_Stats!$F$22="",Norm_Stats!$G$22="",Norm_Stats!$G$22=Norm_Stats!$F$22),"",MAX(0,MIN(100,100*(MIN(MAX(City_Inputs!$AI68,Norm_Stats!$F$22),Norm_Stats!$G$22)-Norm_Stats!$F$22)/(Norm_Stats!$G$22-Norm_Stats!$F$22)))))="",0,(IF(OR(City_Inputs!$AI68="",Norm_Stats!$F$22="",Norm_Stats!$G$22="",Norm_Stats!$G$22=Norm_Stats!$F$22),"",MAX(0,MIN(100,100*(MIN(MAX(City_Inputs!$AI68,Norm_Stats!$F$22),Norm_Stats!$G$22)-Norm_Stats!$F$22)/(Norm_Stats!$G$22-Norm_Stats!$F$22)))))*0.3)+IF((IF(OR(City_Inputs!$AJ68="",Norm_Stats!$F$23="",Norm_Stats!$G$23="",Norm_Stats!$G$23=Norm_Stats!$F$23),"",MAX(0,MIN(100,100*(MIN(MAX(City_Inputs!$AJ68,Norm_Stats!$F$23),Norm_Stats!$G$23)-Norm_Stats!$F$23)/(Norm_Stats!$G$23-Norm_Stats!$F$23)))))="",0,(IF(OR(City_Inputs!$AJ68="",Norm_Stats!$F$23="",Norm_Stats!$G$23="",Norm_Stats!$G$23=Norm_Stats!$F$23),"",MAX(0,MIN(100,100*(MIN(MAX(City_Inputs!$AJ68,Norm_Stats!$F$23),Norm_Stats!$G$23)-Norm_Stats!$F$23)/(Norm_Stats!$G$23-Norm_Stats!$F$23)))))*0.2))/(IF((IF(OR(City_Inputs!$AF68="",Norm_Stats!$F$21="",Norm_Stats!$G$21="",Norm_Stats!$G$21=Norm_Stats!$F$21),"",MAX(0,MIN(100,100*(MIN(MAX(City_Inputs!$AF68,Norm_Stats!$F$21),Norm_Stats!$G$21)-Norm_Stats!$F$21)/(Norm_Stats!$G$21-Norm_Stats!$F$21)))))="",0,0.5)+IF((IF(OR(City_Inputs!$AI68="",Norm_Stats!$F$22="",Norm_Stats!$G$22="",Norm_Stats!$G$22=Norm_Stats!$F$22),"",MAX(0,MIN(100,100*(MIN(MAX(City_Inputs!$AI68,Norm_Stats!$F$22),Norm_Stats!$G$22)-Norm_Stats!$F$22)/(Norm_Stats!$G$22-Norm_Stats!$F$22)))))="",0,0.3)+IF((IF(OR(City_Inputs!$AJ68="",Norm_Stats!$F$23="",Norm_Stats!$G$23="",Norm_Stats!$G$23=Norm_Stats!$F$23),"",MAX(0,MIN(100,100*(MIN(MAX(City_Inputs!$AJ68,Norm_Stats!$F$23),Norm_Stats!$G$23)-Norm_Stats!$F$23)/(Norm_Stats!$G$23-Norm_Stats!$F$23)))))="",0,0.2)))</f>
        <v/>
      </c>
      <c r="AZ68" s="14">
        <f>IF((IF((IF(OR(City_Inputs!$AF68="",Norm_Stats!$F$21="",Norm_Stats!$G$21="",Norm_Stats!$G$21=Norm_Stats!$F$21),"",MAX(0,MIN(100,100*(MIN(MAX(City_Inputs!$AF68,Norm_Stats!$F$21),Norm_Stats!$G$21)-Norm_Stats!$F$21)/(Norm_Stats!$G$21-Norm_Stats!$F$21)))))="",0,0.5)+IF((IF(OR(City_Inputs!$AI68="",Norm_Stats!$F$22="",Norm_Stats!$G$22="",Norm_Stats!$G$22=Norm_Stats!$F$22),"",MAX(0,MIN(100,100*(MIN(MAX(City_Inputs!$AI68,Norm_Stats!$F$22),Norm_Stats!$G$22)-Norm_Stats!$F$22)/(Norm_Stats!$G$22-Norm_Stats!$F$22)))))="",0,0.3)+IF((IF(OR(City_Inputs!$AJ68="",Norm_Stats!$F$23="",Norm_Stats!$G$23="",Norm_Stats!$G$23=Norm_Stats!$F$23),"",MAX(0,MIN(100,100*(MIN(MAX(City_Inputs!$AJ68,Norm_Stats!$F$23),Norm_Stats!$G$23)-Norm_Stats!$F$23)/(Norm_Stats!$G$23-Norm_Stats!$F$23)))))="",0,0.2))=0,"",(IF((IF(OR(City_Inputs!$AF68="",Norm_Stats!$F$21="",Norm_Stats!$G$21="",Norm_Stats!$G$21=Norm_Stats!$F$21),"",MAX(0,MIN(100,100*(MIN(MAX(City_Inputs!$AF68,Norm_Stats!$F$21),Norm_Stats!$G$21)-Norm_Stats!$F$21)/(Norm_Stats!$G$21-Norm_Stats!$F$21)))))="",0,0.5)+IF((IF(OR(City_Inputs!$AI68="",Norm_Stats!$F$22="",Norm_Stats!$G$22="",Norm_Stats!$G$22=Norm_Stats!$F$22),"",MAX(0,MIN(100,100*(MIN(MAX(City_Inputs!$AI68,Norm_Stats!$F$22),Norm_Stats!$G$22)-Norm_Stats!$F$22)/(Norm_Stats!$G$22-Norm_Stats!$F$22)))))="",0,0.3)+IF((IF(OR(City_Inputs!$AJ68="",Norm_Stats!$F$23="",Norm_Stats!$G$23="",Norm_Stats!$G$23=Norm_Stats!$F$23),"",MAX(0,MIN(100,100*(MIN(MAX(City_Inputs!$AJ68,Norm_Stats!$F$23),Norm_Stats!$G$23)-Norm_Stats!$F$23)/(Norm_Stats!$G$23-Norm_Stats!$F$23)))))="",0,0.2)))</f>
        <v/>
      </c>
      <c r="BA68" s="11">
        <f>IF(OR(City_Inputs!$AG68="",Norm_Stats!$F$24="",Norm_Stats!$G$24="",Norm_Stats!$G$24=Norm_Stats!$F$24),"",MAX(0,MIN(100,100*(Norm_Stats!$G$24-MIN(MAX(City_Inputs!$AG68,Norm_Stats!$F$24),Norm_Stats!$G$24))/(Norm_Stats!$G$24-Norm_Stats!$F$24))))</f>
        <v/>
      </c>
      <c r="BB68" s="14">
        <f>IF(BA68="","",1)</f>
        <v/>
      </c>
      <c r="BC68" s="15">
        <f>IF((IF(AU68="",0,6)+IF(AW68="",0,5)+IF(AY68="",0,5)+IF(BA68="",0,4))=0,"",(IF(AU68="",0,AU68*6)+IF(AW68="",0,AW68*5)+IF(AY68="",0,AY68*5)+IF(BA68="",0,BA68*4))/(IF(AU68="",0,6)+IF(AW68="",0,5)+IF(AY68="",0,5)+IF(BA68="",0,4)))</f>
        <v/>
      </c>
      <c r="BD68" s="14">
        <f>IF((IF(AV68="",0,6)+IF(AX68="",0,5)+IF(AZ68="",0,5)+IF(BB68="",0,4))=0,"",(IF(AV68="",0,AV68*6)+IF(AX68="",0,AX68*5)+IF(AZ68="",0,AZ68*5)+IF(BB68="",0,BB68*4))/20)</f>
        <v/>
      </c>
      <c r="BE68" s="14">
        <f>IF(AND(R68="",AD68="",AL68="",AT68="",BD68=""),"",((R68*25)+(AD68*22)+(AL68*18)+(AT68*15)+(BD68*20))/100)</f>
        <v/>
      </c>
      <c r="BF68" s="11">
        <f>IF(BE68="","",IF(BE68&gt;=0.75,"A",IF(BE68&gt;=0.5,"B",IF(BE68&gt;=0.35,"C","Watchlist"))))</f>
        <v/>
      </c>
      <c r="BG68" s="11">
        <f>IF(OR(BE68="",BE68&lt;0.5,R68="",R68&lt;0.35,AD68="",AD68&lt;0.35,AL68="",AL68&lt;0.35,AT68="",AT68&lt;0.35,BD68="",BD68&lt;0.35),"Watchlist","Ranked")</f>
        <v/>
      </c>
      <c r="BH68" s="15">
        <f>IF(AND(Q68="",AC68="",AK68="",AS68="",BC68=""),"",(IF(Q68="",0,Q68*25)+IF(AC68="",0,AC68*22)+IF(AK68="",0,AK68*18)+IF(AS68="",0,AS68*15)+IF(BC68="",0,BC68*20))/(IF(Q68="",0,25)+IF(AC68="",0,22)+IF(AK68="",0,18)+IF(AS68="",0,15)+IF(BC68="",0,20)))</f>
        <v/>
      </c>
      <c r="BI68" s="11">
        <f>IF(BG68="Ranked",1+COUNTIFS($BG$2:$BG$103,"Ranked",$BH$2:$BH$103,"&gt;"&amp;BH68),"")</f>
        <v/>
      </c>
      <c r="BJ68" s="11">
        <f>City_Inputs!$AH68</f>
        <v/>
      </c>
    </row>
    <row r="69">
      <c r="A69" t="inlineStr">
        <is>
          <t>br-curitiba</t>
        </is>
      </c>
      <c r="B69" t="inlineStr">
        <is>
          <t>Curitiba</t>
        </is>
      </c>
      <c r="C69" t="inlineStr">
        <is>
          <t>Brazil</t>
        </is>
      </c>
      <c r="D69" t="inlineStr">
        <is>
          <t>Latin America</t>
        </is>
      </c>
      <c r="E69" t="inlineStr">
        <is>
          <t>locked</t>
        </is>
      </c>
      <c r="F69" t="inlineStr">
        <is>
          <t>secondary</t>
        </is>
      </c>
      <c r="G69" s="11">
        <f>IF(OR(City_Inputs!$M69="",Norm_Stats!$F$2="",Norm_Stats!$G$2="",Norm_Stats!$G$2=Norm_Stats!$F$2),"",MAX(0,MIN(100,100*(MIN(MAX(City_Inputs!$M69,Norm_Stats!$F$2),Norm_Stats!$G$2)-Norm_Stats!$F$2)/(Norm_Stats!$G$2-Norm_Stats!$F$2))))</f>
        <v/>
      </c>
      <c r="H69" s="14">
        <f>IF(G69="","",1)</f>
        <v/>
      </c>
      <c r="I69" s="11">
        <f>IF(OR(City_Inputs!$N69="",Norm_Stats!$F$3="",Norm_Stats!$G$3="",Norm_Stats!$G$3=Norm_Stats!$F$3),"",MAX(0,MIN(100,100*(Norm_Stats!$G$3-MIN(MAX(City_Inputs!$N69,Norm_Stats!$F$3),Norm_Stats!$G$3))/(Norm_Stats!$G$3-Norm_Stats!$F$3))))</f>
        <v/>
      </c>
      <c r="J69" s="14">
        <f>IF(I69="","",1)</f>
        <v/>
      </c>
      <c r="K69" s="11">
        <f>IF(OR(City_Inputs!$P69="",Norm_Stats!$F$4="",Norm_Stats!$G$4="",Norm_Stats!$G$4=Norm_Stats!$F$4),"",MAX(0,MIN(100,100*(Norm_Stats!$G$4-MIN(MAX(City_Inputs!$P69,Norm_Stats!$F$4),Norm_Stats!$G$4))/(Norm_Stats!$G$4-Norm_Stats!$F$4))))</f>
        <v/>
      </c>
      <c r="L69" s="14">
        <f>IF(K69="","",1)</f>
        <v/>
      </c>
      <c r="M69" s="11">
        <f>IF(OR(City_Inputs!$Q69="",Norm_Stats!$F$5="",Norm_Stats!$G$5="",Norm_Stats!$G$5=Norm_Stats!$F$5),"",MAX(0,MIN(100,100*(Norm_Stats!$G$5-MIN(MAX(City_Inputs!$Q69,Norm_Stats!$F$5),Norm_Stats!$G$5))/(Norm_Stats!$G$5-Norm_Stats!$F$5))))</f>
        <v/>
      </c>
      <c r="N69" s="14">
        <f>IF(M69="","",1)</f>
        <v/>
      </c>
      <c r="O69" s="11">
        <f>IF(OR(City_Inputs!$R69="",Norm_Stats!$F$6="",Norm_Stats!$G$6="",Norm_Stats!$G$6=Norm_Stats!$F$6),"",MAX(0,MIN(100,100*(Norm_Stats!$G$6-MIN(MAX(City_Inputs!$R69,Norm_Stats!$F$6),Norm_Stats!$G$6))/(Norm_Stats!$G$6-Norm_Stats!$F$6))))</f>
        <v/>
      </c>
      <c r="P69" s="14">
        <f>IF(O69="","",1)</f>
        <v/>
      </c>
      <c r="Q69" s="15">
        <f>IF((IF(G69="",0,9)+IF(I69="",0,5)+IF(K69="",0,4)+IF(M69="",0,4)+IF(O69="",0,3))=0,"",(IF(G69="",0,G69*9)+IF(I69="",0,I69*5)+IF(K69="",0,K69*4)+IF(M69="",0,M69*4)+IF(O69="",0,O69*3))/(IF(G69="",0,9)+IF(I69="",0,5)+IF(K69="",0,4)+IF(M69="",0,4)+IF(O69="",0,3)))</f>
        <v/>
      </c>
      <c r="R69" s="14">
        <f>IF((IF(H69="",0,9)+IF(J69="",0,5)+IF(L69="",0,4)+IF(N69="",0,4)+IF(P69="",0,3))=0,"",(IF(H69="",0,H69*9)+IF(J69="",0,J69*5)+IF(L69="",0,L69*4)+IF(N69="",0,N69*4)+IF(P69="",0,P69*3))/25)</f>
        <v/>
      </c>
      <c r="S69" s="11">
        <f>IF(OR(City_Inputs!$S69="",Norm_Stats!$F$7="",Norm_Stats!$G$7="",Norm_Stats!$G$7=Norm_Stats!$F$7),"",MAX(0,MIN(100,100*(Norm_Stats!$G$7-MIN(MAX(City_Inputs!$S69,Norm_Stats!$F$7),Norm_Stats!$G$7))/(Norm_Stats!$G$7-Norm_Stats!$F$7))))</f>
        <v/>
      </c>
      <c r="T69" s="14">
        <f>IF(S69="","",1)</f>
        <v/>
      </c>
      <c r="U69" s="11">
        <f>IF(OR(City_Inputs!$T69="",Norm_Stats!$F$8="",Norm_Stats!$G$8="",Norm_Stats!$G$8=Norm_Stats!$F$8),"",MAX(0,MIN(100,100*(MIN(MAX(City_Inputs!$T69,Norm_Stats!$F$8),Norm_Stats!$G$8)-Norm_Stats!$F$8)/(Norm_Stats!$G$8-Norm_Stats!$F$8))))</f>
        <v/>
      </c>
      <c r="V69" s="14">
        <f>IF(U69="","",1)</f>
        <v/>
      </c>
      <c r="W69" s="11">
        <f>IF(OR(City_Inputs!$U69="",Norm_Stats!$F$9="",Norm_Stats!$G$9="",Norm_Stats!$G$9=Norm_Stats!$F$9),"",MAX(0,MIN(100,100*(Norm_Stats!$G$9-MIN(MAX(City_Inputs!$U69,Norm_Stats!$F$9),Norm_Stats!$G$9))/(Norm_Stats!$G$9-Norm_Stats!$F$9))))</f>
        <v/>
      </c>
      <c r="X69" s="14">
        <f>IF(W69="","",1)</f>
        <v/>
      </c>
      <c r="Y69" s="11">
        <f>IF(OR(City_Inputs!$V69="",Norm_Stats!$F$10="",Norm_Stats!$G$10="",Norm_Stats!$G$10=Norm_Stats!$F$10),"",MAX(0,MIN(100,100*(MIN(MAX(City_Inputs!$V69,Norm_Stats!$F$10),Norm_Stats!$G$10)-Norm_Stats!$F$10)/(Norm_Stats!$G$10-Norm_Stats!$F$10))))</f>
        <v/>
      </c>
      <c r="Z69" s="14">
        <f>IF(Y69="","",1)</f>
        <v/>
      </c>
      <c r="AA69" s="11">
        <f>IF(OR(City_Inputs!$W69="",Norm_Stats!$F$11="",Norm_Stats!$G$11="",Norm_Stats!$G$11=Norm_Stats!$F$11),"",MAX(0,MIN(100,100*(MIN(MAX(City_Inputs!$W69,Norm_Stats!$F$11),Norm_Stats!$G$11)-Norm_Stats!$F$11)/(Norm_Stats!$G$11-Norm_Stats!$F$11))))</f>
        <v/>
      </c>
      <c r="AB69" s="14">
        <f>IF(AA69="","",1)</f>
        <v/>
      </c>
      <c r="AC69" s="15">
        <f>IF((IF(S69="",0,5)+IF(U69="",0,5)+IF(W69="",0,4)+IF(Y69="",0,4)+IF(AA69="",0,4))=0,"",(IF(S69="",0,S69*5)+IF(U69="",0,U69*5)+IF(W69="",0,W69*4)+IF(Y69="",0,Y69*4)+IF(AA69="",0,AA69*4))/(IF(S69="",0,5)+IF(U69="",0,5)+IF(W69="",0,4)+IF(Y69="",0,4)+IF(AA69="",0,4)))</f>
        <v/>
      </c>
      <c r="AD69" s="14">
        <f>IF((IF(T69="",0,5)+IF(V69="",0,5)+IF(X69="",0,4)+IF(Z69="",0,4)+IF(AB69="",0,4))=0,"",(IF(T69="",0,T69*5)+IF(V69="",0,V69*5)+IF(X69="",0,X69*4)+IF(Z69="",0,Z69*4)+IF(AB69="",0,AB69*4))/22)</f>
        <v/>
      </c>
      <c r="AE69" s="11">
        <f>IF(OR(City_Inputs!$X69="",Norm_Stats!$F$12="",Norm_Stats!$G$12="",Norm_Stats!$G$12=Norm_Stats!$F$12),"",MAX(0,MIN(100,100*(MIN(MAX(City_Inputs!$X69,Norm_Stats!$F$12),Norm_Stats!$G$12)-Norm_Stats!$F$12)/(Norm_Stats!$G$12-Norm_Stats!$F$12))))</f>
        <v/>
      </c>
      <c r="AF69" s="14">
        <f>IF(AE69="","",1)</f>
        <v/>
      </c>
      <c r="AG69" s="11">
        <f>IF(OR(City_Inputs!$Y69="",Norm_Stats!$F$13="",Norm_Stats!$G$13="",Norm_Stats!$G$13=Norm_Stats!$F$13),"",MAX(0,MIN(100,100*(MIN(MAX(City_Inputs!$Y69,Norm_Stats!$F$13),Norm_Stats!$G$13)-Norm_Stats!$F$13)/(Norm_Stats!$G$13-Norm_Stats!$F$13))))</f>
        <v/>
      </c>
      <c r="AH69" s="14">
        <f>IF(AG69="","",1)</f>
        <v/>
      </c>
      <c r="AI69" s="11">
        <f>IF((IF((IF(OR(City_Inputs!$Z69="",Norm_Stats!$F$14="",Norm_Stats!$G$14="",Norm_Stats!$G$14=Norm_Stats!$F$14),"",MAX(0,MIN(100,100*(MIN(MAX(City_Inputs!$Z69,Norm_Stats!$F$14),Norm_Stats!$G$14)-Norm_Stats!$F$14)/(Norm_Stats!$G$14-Norm_Stats!$F$14)))))="",0,0.7)+IF((IF(OR(City_Inputs!$AK69="",Norm_Stats!$F$15="",Norm_Stats!$G$15="",Norm_Stats!$G$15=Norm_Stats!$F$15),"",MAX(0,MIN(100,100*(Norm_Stats!$G$15-MIN(MAX(City_Inputs!$AK69,Norm_Stats!$F$15),Norm_Stats!$G$15))/(Norm_Stats!$G$15-Norm_Stats!$F$15)))))="",0,0.3))=0,"",(IF((IF(OR(City_Inputs!$Z69="",Norm_Stats!$F$14="",Norm_Stats!$G$14="",Norm_Stats!$G$14=Norm_Stats!$F$14),"",MAX(0,MIN(100,100*(MIN(MAX(City_Inputs!$Z69,Norm_Stats!$F$14),Norm_Stats!$G$14)-Norm_Stats!$F$14)/(Norm_Stats!$G$14-Norm_Stats!$F$14)))))="",0,(IF(OR(City_Inputs!$Z69="",Norm_Stats!$F$14="",Norm_Stats!$G$14="",Norm_Stats!$G$14=Norm_Stats!$F$14),"",MAX(0,MIN(100,100*(MIN(MAX(City_Inputs!$Z69,Norm_Stats!$F$14),Norm_Stats!$G$14)-Norm_Stats!$F$14)/(Norm_Stats!$G$14-Norm_Stats!$F$14)))))*0.7)+IF((IF(OR(City_Inputs!$AK69="",Norm_Stats!$F$15="",Norm_Stats!$G$15="",Norm_Stats!$G$15=Norm_Stats!$F$15),"",MAX(0,MIN(100,100*(Norm_Stats!$G$15-MIN(MAX(City_Inputs!$AK69,Norm_Stats!$F$15),Norm_Stats!$G$15))/(Norm_Stats!$G$15-Norm_Stats!$F$15)))))="",0,(IF(OR(City_Inputs!$AK69="",Norm_Stats!$F$15="",Norm_Stats!$G$15="",Norm_Stats!$G$15=Norm_Stats!$F$15),"",MAX(0,MIN(100,100*(Norm_Stats!$G$15-MIN(MAX(City_Inputs!$AK69,Norm_Stats!$F$15),Norm_Stats!$G$15))/(Norm_Stats!$G$15-Norm_Stats!$F$15)))))*0.3))/(IF((IF(OR(City_Inputs!$Z69="",Norm_Stats!$F$14="",Norm_Stats!$G$14="",Norm_Stats!$G$14=Norm_Stats!$F$14),"",MAX(0,MIN(100,100*(MIN(MAX(City_Inputs!$Z69,Norm_Stats!$F$14),Norm_Stats!$G$14)-Norm_Stats!$F$14)/(Norm_Stats!$G$14-Norm_Stats!$F$14)))))="",0,0.7)+IF((IF(OR(City_Inputs!$AK69="",Norm_Stats!$F$15="",Norm_Stats!$G$15="",Norm_Stats!$G$15=Norm_Stats!$F$15),"",MAX(0,MIN(100,100*(Norm_Stats!$G$15-MIN(MAX(City_Inputs!$AK69,Norm_Stats!$F$15),Norm_Stats!$G$15))/(Norm_Stats!$G$15-Norm_Stats!$F$15)))))="",0,0.3)))</f>
        <v/>
      </c>
      <c r="AJ69" s="14">
        <f>IF((IF((IF(OR(City_Inputs!$Z69="",Norm_Stats!$F$14="",Norm_Stats!$G$14="",Norm_Stats!$G$14=Norm_Stats!$F$14),"",MAX(0,MIN(100,100*(MIN(MAX(City_Inputs!$Z69,Norm_Stats!$F$14),Norm_Stats!$G$14)-Norm_Stats!$F$14)/(Norm_Stats!$G$14-Norm_Stats!$F$14)))))="",0,0.7)+IF((IF(OR(City_Inputs!$AK69="",Norm_Stats!$F$15="",Norm_Stats!$G$15="",Norm_Stats!$G$15=Norm_Stats!$F$15),"",MAX(0,MIN(100,100*(Norm_Stats!$G$15-MIN(MAX(City_Inputs!$AK69,Norm_Stats!$F$15),Norm_Stats!$G$15))/(Norm_Stats!$G$15-Norm_Stats!$F$15)))))="",0,0.3))=0,"",(IF((IF(OR(City_Inputs!$Z69="",Norm_Stats!$F$14="",Norm_Stats!$G$14="",Norm_Stats!$G$14=Norm_Stats!$F$14),"",MAX(0,MIN(100,100*(MIN(MAX(City_Inputs!$Z69,Norm_Stats!$F$14),Norm_Stats!$G$14)-Norm_Stats!$F$14)/(Norm_Stats!$G$14-Norm_Stats!$F$14)))))="",0,0.7)+IF((IF(OR(City_Inputs!$AK69="",Norm_Stats!$F$15="",Norm_Stats!$G$15="",Norm_Stats!$G$15=Norm_Stats!$F$15),"",MAX(0,MIN(100,100*(Norm_Stats!$G$15-MIN(MAX(City_Inputs!$AK69,Norm_Stats!$F$15),Norm_Stats!$G$15))/(Norm_Stats!$G$15-Norm_Stats!$F$15)))))="",0,0.3)))</f>
        <v/>
      </c>
      <c r="AK69" s="15">
        <f>IF((IF(AE69="",0,8)+IF(AG69="",0,6)+IF(AI69="",0,4))=0,"",(IF(AE69="",0,AE69*8)+IF(AG69="",0,AG69*6)+IF(AI69="",0,AI69*4))/(IF(AE69="",0,8)+IF(AG69="",0,6)+IF(AI69="",0,4)))</f>
        <v/>
      </c>
      <c r="AL69" s="14">
        <f>IF((IF(AF69="",0,8)+IF(AH69="",0,6)+IF(AJ69="",0,4))=0,"",(IF(AF69="",0,AF69*8)+IF(AH69="",0,AH69*6)+IF(AJ69="",0,AJ69*4))/18)</f>
        <v/>
      </c>
      <c r="AM69" s="11">
        <f>IF(OR(City_Inputs!$AA69="",Norm_Stats!$F$16="",Norm_Stats!$G$16="",Norm_Stats!$G$16=Norm_Stats!$F$16),"",MAX(0,MIN(100,100*(MIN(MAX(City_Inputs!$AA69,Norm_Stats!$F$16),Norm_Stats!$G$16)-Norm_Stats!$F$16)/(Norm_Stats!$G$16-Norm_Stats!$F$16))))</f>
        <v/>
      </c>
      <c r="AN69" s="14">
        <f>IF(AM69="","",1)</f>
        <v/>
      </c>
      <c r="AO69" s="11">
        <f>IF(OR(City_Inputs!$AB69="",Norm_Stats!$F$17="",Norm_Stats!$G$17="",Norm_Stats!$G$17=Norm_Stats!$F$17),"",MAX(0,MIN(100,100*(MIN(MAX(City_Inputs!$AB69,Norm_Stats!$F$17),Norm_Stats!$G$17)-Norm_Stats!$F$17)/(Norm_Stats!$G$17-Norm_Stats!$F$17))))</f>
        <v/>
      </c>
      <c r="AP69" s="14">
        <f>IF(AO69="","",1)</f>
        <v/>
      </c>
      <c r="AQ69" s="11">
        <f>IF(OR(City_Inputs!$AC69="",Norm_Stats!$F$18="",Norm_Stats!$G$18="",Norm_Stats!$G$18=Norm_Stats!$F$18),"",MAX(0,MIN(100,100*(MIN(MAX(City_Inputs!$AC69,Norm_Stats!$F$18),Norm_Stats!$G$18)-Norm_Stats!$F$18)/(Norm_Stats!$G$18-Norm_Stats!$F$18))))</f>
        <v/>
      </c>
      <c r="AR69" s="14">
        <f>IF(AQ69="","",1)</f>
        <v/>
      </c>
      <c r="AS69" s="15">
        <f>IF((IF(AM69="",0,5)+IF(AO69="",0,5)+IF(AQ69="",0,5))=0,"",(IF(AM69="",0,AM69*5)+IF(AO69="",0,AO69*5)+IF(AQ69="",0,AQ69*5))/(IF(AM69="",0,5)+IF(AO69="",0,5)+IF(AQ69="",0,5)))</f>
        <v/>
      </c>
      <c r="AT69" s="14">
        <f>IF((IF(AN69="",0,5)+IF(AP69="",0,5)+IF(AR69="",0,5))=0,"",(IF(AN69="",0,AN69*5)+IF(AP69="",0,AP69*5)+IF(AR69="",0,AR69*5))/15)</f>
        <v/>
      </c>
      <c r="AU69" s="11">
        <f>IF(OR(City_Inputs!$AD69="",Norm_Stats!$F$19="",Norm_Stats!$G$19="",Norm_Stats!$G$19=Norm_Stats!$F$19),"",MAX(0,MIN(100,100*(MIN(MAX(City_Inputs!$AD69,Norm_Stats!$F$19),Norm_Stats!$G$19)-Norm_Stats!$F$19)/(Norm_Stats!$G$19-Norm_Stats!$F$19))))</f>
        <v/>
      </c>
      <c r="AV69" s="14">
        <f>IF(AU69="","",1)</f>
        <v/>
      </c>
      <c r="AW69" s="11">
        <f>IF(OR(City_Inputs!$AE69="",Norm_Stats!$F$20="",Norm_Stats!$G$20="",Norm_Stats!$G$20=Norm_Stats!$F$20),"",MAX(0,MIN(100,100*(MIN(MAX(City_Inputs!$AE69,Norm_Stats!$F$20),Norm_Stats!$G$20)-Norm_Stats!$F$20)/(Norm_Stats!$G$20-Norm_Stats!$F$20))))</f>
        <v/>
      </c>
      <c r="AX69" s="14">
        <f>IF(AW69="","",1)</f>
        <v/>
      </c>
      <c r="AY69" s="11">
        <f>IF((IF((IF(OR(City_Inputs!$AF69="",Norm_Stats!$F$21="",Norm_Stats!$G$21="",Norm_Stats!$G$21=Norm_Stats!$F$21),"",MAX(0,MIN(100,100*(MIN(MAX(City_Inputs!$AF69,Norm_Stats!$F$21),Norm_Stats!$G$21)-Norm_Stats!$F$21)/(Norm_Stats!$G$21-Norm_Stats!$F$21)))))="",0,0.5)+IF((IF(OR(City_Inputs!$AI69="",Norm_Stats!$F$22="",Norm_Stats!$G$22="",Norm_Stats!$G$22=Norm_Stats!$F$22),"",MAX(0,MIN(100,100*(MIN(MAX(City_Inputs!$AI69,Norm_Stats!$F$22),Norm_Stats!$G$22)-Norm_Stats!$F$22)/(Norm_Stats!$G$22-Norm_Stats!$F$22)))))="",0,0.3)+IF((IF(OR(City_Inputs!$AJ69="",Norm_Stats!$F$23="",Norm_Stats!$G$23="",Norm_Stats!$G$23=Norm_Stats!$F$23),"",MAX(0,MIN(100,100*(MIN(MAX(City_Inputs!$AJ69,Norm_Stats!$F$23),Norm_Stats!$G$23)-Norm_Stats!$F$23)/(Norm_Stats!$G$23-Norm_Stats!$F$23)))))="",0,0.2))=0,"",(IF((IF(OR(City_Inputs!$AF69="",Norm_Stats!$F$21="",Norm_Stats!$G$21="",Norm_Stats!$G$21=Norm_Stats!$F$21),"",MAX(0,MIN(100,100*(MIN(MAX(City_Inputs!$AF69,Norm_Stats!$F$21),Norm_Stats!$G$21)-Norm_Stats!$F$21)/(Norm_Stats!$G$21-Norm_Stats!$F$21)))))="",0,(IF(OR(City_Inputs!$AF69="",Norm_Stats!$F$21="",Norm_Stats!$G$21="",Norm_Stats!$G$21=Norm_Stats!$F$21),"",MAX(0,MIN(100,100*(MIN(MAX(City_Inputs!$AF69,Norm_Stats!$F$21),Norm_Stats!$G$21)-Norm_Stats!$F$21)/(Norm_Stats!$G$21-Norm_Stats!$F$21)))))*0.5)+IF((IF(OR(City_Inputs!$AI69="",Norm_Stats!$F$22="",Norm_Stats!$G$22="",Norm_Stats!$G$22=Norm_Stats!$F$22),"",MAX(0,MIN(100,100*(MIN(MAX(City_Inputs!$AI69,Norm_Stats!$F$22),Norm_Stats!$G$22)-Norm_Stats!$F$22)/(Norm_Stats!$G$22-Norm_Stats!$F$22)))))="",0,(IF(OR(City_Inputs!$AI69="",Norm_Stats!$F$22="",Norm_Stats!$G$22="",Norm_Stats!$G$22=Norm_Stats!$F$22),"",MAX(0,MIN(100,100*(MIN(MAX(City_Inputs!$AI69,Norm_Stats!$F$22),Norm_Stats!$G$22)-Norm_Stats!$F$22)/(Norm_Stats!$G$22-Norm_Stats!$F$22)))))*0.3)+IF((IF(OR(City_Inputs!$AJ69="",Norm_Stats!$F$23="",Norm_Stats!$G$23="",Norm_Stats!$G$23=Norm_Stats!$F$23),"",MAX(0,MIN(100,100*(MIN(MAX(City_Inputs!$AJ69,Norm_Stats!$F$23),Norm_Stats!$G$23)-Norm_Stats!$F$23)/(Norm_Stats!$G$23-Norm_Stats!$F$23)))))="",0,(IF(OR(City_Inputs!$AJ69="",Norm_Stats!$F$23="",Norm_Stats!$G$23="",Norm_Stats!$G$23=Norm_Stats!$F$23),"",MAX(0,MIN(100,100*(MIN(MAX(City_Inputs!$AJ69,Norm_Stats!$F$23),Norm_Stats!$G$23)-Norm_Stats!$F$23)/(Norm_Stats!$G$23-Norm_Stats!$F$23)))))*0.2))/(IF((IF(OR(City_Inputs!$AF69="",Norm_Stats!$F$21="",Norm_Stats!$G$21="",Norm_Stats!$G$21=Norm_Stats!$F$21),"",MAX(0,MIN(100,100*(MIN(MAX(City_Inputs!$AF69,Norm_Stats!$F$21),Norm_Stats!$G$21)-Norm_Stats!$F$21)/(Norm_Stats!$G$21-Norm_Stats!$F$21)))))="",0,0.5)+IF((IF(OR(City_Inputs!$AI69="",Norm_Stats!$F$22="",Norm_Stats!$G$22="",Norm_Stats!$G$22=Norm_Stats!$F$22),"",MAX(0,MIN(100,100*(MIN(MAX(City_Inputs!$AI69,Norm_Stats!$F$22),Norm_Stats!$G$22)-Norm_Stats!$F$22)/(Norm_Stats!$G$22-Norm_Stats!$F$22)))))="",0,0.3)+IF((IF(OR(City_Inputs!$AJ69="",Norm_Stats!$F$23="",Norm_Stats!$G$23="",Norm_Stats!$G$23=Norm_Stats!$F$23),"",MAX(0,MIN(100,100*(MIN(MAX(City_Inputs!$AJ69,Norm_Stats!$F$23),Norm_Stats!$G$23)-Norm_Stats!$F$23)/(Norm_Stats!$G$23-Norm_Stats!$F$23)))))="",0,0.2)))</f>
        <v/>
      </c>
      <c r="AZ69" s="14">
        <f>IF((IF((IF(OR(City_Inputs!$AF69="",Norm_Stats!$F$21="",Norm_Stats!$G$21="",Norm_Stats!$G$21=Norm_Stats!$F$21),"",MAX(0,MIN(100,100*(MIN(MAX(City_Inputs!$AF69,Norm_Stats!$F$21),Norm_Stats!$G$21)-Norm_Stats!$F$21)/(Norm_Stats!$G$21-Norm_Stats!$F$21)))))="",0,0.5)+IF((IF(OR(City_Inputs!$AI69="",Norm_Stats!$F$22="",Norm_Stats!$G$22="",Norm_Stats!$G$22=Norm_Stats!$F$22),"",MAX(0,MIN(100,100*(MIN(MAX(City_Inputs!$AI69,Norm_Stats!$F$22),Norm_Stats!$G$22)-Norm_Stats!$F$22)/(Norm_Stats!$G$22-Norm_Stats!$F$22)))))="",0,0.3)+IF((IF(OR(City_Inputs!$AJ69="",Norm_Stats!$F$23="",Norm_Stats!$G$23="",Norm_Stats!$G$23=Norm_Stats!$F$23),"",MAX(0,MIN(100,100*(MIN(MAX(City_Inputs!$AJ69,Norm_Stats!$F$23),Norm_Stats!$G$23)-Norm_Stats!$F$23)/(Norm_Stats!$G$23-Norm_Stats!$F$23)))))="",0,0.2))=0,"",(IF((IF(OR(City_Inputs!$AF69="",Norm_Stats!$F$21="",Norm_Stats!$G$21="",Norm_Stats!$G$21=Norm_Stats!$F$21),"",MAX(0,MIN(100,100*(MIN(MAX(City_Inputs!$AF69,Norm_Stats!$F$21),Norm_Stats!$G$21)-Norm_Stats!$F$21)/(Norm_Stats!$G$21-Norm_Stats!$F$21)))))="",0,0.5)+IF((IF(OR(City_Inputs!$AI69="",Norm_Stats!$F$22="",Norm_Stats!$G$22="",Norm_Stats!$G$22=Norm_Stats!$F$22),"",MAX(0,MIN(100,100*(MIN(MAX(City_Inputs!$AI69,Norm_Stats!$F$22),Norm_Stats!$G$22)-Norm_Stats!$F$22)/(Norm_Stats!$G$22-Norm_Stats!$F$22)))))="",0,0.3)+IF((IF(OR(City_Inputs!$AJ69="",Norm_Stats!$F$23="",Norm_Stats!$G$23="",Norm_Stats!$G$23=Norm_Stats!$F$23),"",MAX(0,MIN(100,100*(MIN(MAX(City_Inputs!$AJ69,Norm_Stats!$F$23),Norm_Stats!$G$23)-Norm_Stats!$F$23)/(Norm_Stats!$G$23-Norm_Stats!$F$23)))))="",0,0.2)))</f>
        <v/>
      </c>
      <c r="BA69" s="11">
        <f>IF(OR(City_Inputs!$AG69="",Norm_Stats!$F$24="",Norm_Stats!$G$24="",Norm_Stats!$G$24=Norm_Stats!$F$24),"",MAX(0,MIN(100,100*(Norm_Stats!$G$24-MIN(MAX(City_Inputs!$AG69,Norm_Stats!$F$24),Norm_Stats!$G$24))/(Norm_Stats!$G$24-Norm_Stats!$F$24))))</f>
        <v/>
      </c>
      <c r="BB69" s="14">
        <f>IF(BA69="","",1)</f>
        <v/>
      </c>
      <c r="BC69" s="15">
        <f>IF((IF(AU69="",0,6)+IF(AW69="",0,5)+IF(AY69="",0,5)+IF(BA69="",0,4))=0,"",(IF(AU69="",0,AU69*6)+IF(AW69="",0,AW69*5)+IF(AY69="",0,AY69*5)+IF(BA69="",0,BA69*4))/(IF(AU69="",0,6)+IF(AW69="",0,5)+IF(AY69="",0,5)+IF(BA69="",0,4)))</f>
        <v/>
      </c>
      <c r="BD69" s="14">
        <f>IF((IF(AV69="",0,6)+IF(AX69="",0,5)+IF(AZ69="",0,5)+IF(BB69="",0,4))=0,"",(IF(AV69="",0,AV69*6)+IF(AX69="",0,AX69*5)+IF(AZ69="",0,AZ69*5)+IF(BB69="",0,BB69*4))/20)</f>
        <v/>
      </c>
      <c r="BE69" s="14">
        <f>IF(AND(R69="",AD69="",AL69="",AT69="",BD69=""),"",((R69*25)+(AD69*22)+(AL69*18)+(AT69*15)+(BD69*20))/100)</f>
        <v/>
      </c>
      <c r="BF69" s="11">
        <f>IF(BE69="","",IF(BE69&gt;=0.75,"A",IF(BE69&gt;=0.5,"B",IF(BE69&gt;=0.35,"C","Watchlist"))))</f>
        <v/>
      </c>
      <c r="BG69" s="11">
        <f>IF(OR(BE69="",BE69&lt;0.5,R69="",R69&lt;0.35,AD69="",AD69&lt;0.35,AL69="",AL69&lt;0.35,AT69="",AT69&lt;0.35,BD69="",BD69&lt;0.35),"Watchlist","Ranked")</f>
        <v/>
      </c>
      <c r="BH69" s="15">
        <f>IF(AND(Q69="",AC69="",AK69="",AS69="",BC69=""),"",(IF(Q69="",0,Q69*25)+IF(AC69="",0,AC69*22)+IF(AK69="",0,AK69*18)+IF(AS69="",0,AS69*15)+IF(BC69="",0,BC69*20))/(IF(Q69="",0,25)+IF(AC69="",0,22)+IF(AK69="",0,18)+IF(AS69="",0,15)+IF(BC69="",0,20)))</f>
        <v/>
      </c>
      <c r="BI69" s="11">
        <f>IF(BG69="Ranked",1+COUNTIFS($BG$2:$BG$103,"Ranked",$BH$2:$BH$103,"&gt;"&amp;BH69),"")</f>
        <v/>
      </c>
      <c r="BJ69" s="11">
        <f>City_Inputs!$AH69</f>
        <v/>
      </c>
    </row>
    <row r="70">
      <c r="A70" t="inlineStr">
        <is>
          <t>co-medellin</t>
        </is>
      </c>
      <c r="B70" t="inlineStr">
        <is>
          <t>Medellin</t>
        </is>
      </c>
      <c r="C70" t="inlineStr">
        <is>
          <t>Colombia</t>
        </is>
      </c>
      <c r="D70" t="inlineStr">
        <is>
          <t>Latin America</t>
        </is>
      </c>
      <c r="E70" t="inlineStr">
        <is>
          <t>locked</t>
        </is>
      </c>
      <c r="F70" t="inlineStr">
        <is>
          <t>secondary</t>
        </is>
      </c>
      <c r="G70" s="11">
        <f>IF(OR(City_Inputs!$M70="",Norm_Stats!$F$2="",Norm_Stats!$G$2="",Norm_Stats!$G$2=Norm_Stats!$F$2),"",MAX(0,MIN(100,100*(MIN(MAX(City_Inputs!$M70,Norm_Stats!$F$2),Norm_Stats!$G$2)-Norm_Stats!$F$2)/(Norm_Stats!$G$2-Norm_Stats!$F$2))))</f>
        <v/>
      </c>
      <c r="H70" s="14">
        <f>IF(G70="","",1)</f>
        <v/>
      </c>
      <c r="I70" s="11">
        <f>IF(OR(City_Inputs!$N70="",Norm_Stats!$F$3="",Norm_Stats!$G$3="",Norm_Stats!$G$3=Norm_Stats!$F$3),"",MAX(0,MIN(100,100*(Norm_Stats!$G$3-MIN(MAX(City_Inputs!$N70,Norm_Stats!$F$3),Norm_Stats!$G$3))/(Norm_Stats!$G$3-Norm_Stats!$F$3))))</f>
        <v/>
      </c>
      <c r="J70" s="14">
        <f>IF(I70="","",1)</f>
        <v/>
      </c>
      <c r="K70" s="11">
        <f>IF(OR(City_Inputs!$P70="",Norm_Stats!$F$4="",Norm_Stats!$G$4="",Norm_Stats!$G$4=Norm_Stats!$F$4),"",MAX(0,MIN(100,100*(Norm_Stats!$G$4-MIN(MAX(City_Inputs!$P70,Norm_Stats!$F$4),Norm_Stats!$G$4))/(Norm_Stats!$G$4-Norm_Stats!$F$4))))</f>
        <v/>
      </c>
      <c r="L70" s="14">
        <f>IF(K70="","",1)</f>
        <v/>
      </c>
      <c r="M70" s="11">
        <f>IF(OR(City_Inputs!$Q70="",Norm_Stats!$F$5="",Norm_Stats!$G$5="",Norm_Stats!$G$5=Norm_Stats!$F$5),"",MAX(0,MIN(100,100*(Norm_Stats!$G$5-MIN(MAX(City_Inputs!$Q70,Norm_Stats!$F$5),Norm_Stats!$G$5))/(Norm_Stats!$G$5-Norm_Stats!$F$5))))</f>
        <v/>
      </c>
      <c r="N70" s="14">
        <f>IF(M70="","",1)</f>
        <v/>
      </c>
      <c r="O70" s="11">
        <f>IF(OR(City_Inputs!$R70="",Norm_Stats!$F$6="",Norm_Stats!$G$6="",Norm_Stats!$G$6=Norm_Stats!$F$6),"",MAX(0,MIN(100,100*(Norm_Stats!$G$6-MIN(MAX(City_Inputs!$R70,Norm_Stats!$F$6),Norm_Stats!$G$6))/(Norm_Stats!$G$6-Norm_Stats!$F$6))))</f>
        <v/>
      </c>
      <c r="P70" s="14">
        <f>IF(O70="","",1)</f>
        <v/>
      </c>
      <c r="Q70" s="15">
        <f>IF((IF(G70="",0,9)+IF(I70="",0,5)+IF(K70="",0,4)+IF(M70="",0,4)+IF(O70="",0,3))=0,"",(IF(G70="",0,G70*9)+IF(I70="",0,I70*5)+IF(K70="",0,K70*4)+IF(M70="",0,M70*4)+IF(O70="",0,O70*3))/(IF(G70="",0,9)+IF(I70="",0,5)+IF(K70="",0,4)+IF(M70="",0,4)+IF(O70="",0,3)))</f>
        <v/>
      </c>
      <c r="R70" s="14">
        <f>IF((IF(H70="",0,9)+IF(J70="",0,5)+IF(L70="",0,4)+IF(N70="",0,4)+IF(P70="",0,3))=0,"",(IF(H70="",0,H70*9)+IF(J70="",0,J70*5)+IF(L70="",0,L70*4)+IF(N70="",0,N70*4)+IF(P70="",0,P70*3))/25)</f>
        <v/>
      </c>
      <c r="S70" s="11">
        <f>IF(OR(City_Inputs!$S70="",Norm_Stats!$F$7="",Norm_Stats!$G$7="",Norm_Stats!$G$7=Norm_Stats!$F$7),"",MAX(0,MIN(100,100*(Norm_Stats!$G$7-MIN(MAX(City_Inputs!$S70,Norm_Stats!$F$7),Norm_Stats!$G$7))/(Norm_Stats!$G$7-Norm_Stats!$F$7))))</f>
        <v/>
      </c>
      <c r="T70" s="14">
        <f>IF(S70="","",1)</f>
        <v/>
      </c>
      <c r="U70" s="11">
        <f>IF(OR(City_Inputs!$T70="",Norm_Stats!$F$8="",Norm_Stats!$G$8="",Norm_Stats!$G$8=Norm_Stats!$F$8),"",MAX(0,MIN(100,100*(MIN(MAX(City_Inputs!$T70,Norm_Stats!$F$8),Norm_Stats!$G$8)-Norm_Stats!$F$8)/(Norm_Stats!$G$8-Norm_Stats!$F$8))))</f>
        <v/>
      </c>
      <c r="V70" s="14">
        <f>IF(U70="","",1)</f>
        <v/>
      </c>
      <c r="W70" s="11">
        <f>IF(OR(City_Inputs!$U70="",Norm_Stats!$F$9="",Norm_Stats!$G$9="",Norm_Stats!$G$9=Norm_Stats!$F$9),"",MAX(0,MIN(100,100*(Norm_Stats!$G$9-MIN(MAX(City_Inputs!$U70,Norm_Stats!$F$9),Norm_Stats!$G$9))/(Norm_Stats!$G$9-Norm_Stats!$F$9))))</f>
        <v/>
      </c>
      <c r="X70" s="14">
        <f>IF(W70="","",1)</f>
        <v/>
      </c>
      <c r="Y70" s="11">
        <f>IF(OR(City_Inputs!$V70="",Norm_Stats!$F$10="",Norm_Stats!$G$10="",Norm_Stats!$G$10=Norm_Stats!$F$10),"",MAX(0,MIN(100,100*(MIN(MAX(City_Inputs!$V70,Norm_Stats!$F$10),Norm_Stats!$G$10)-Norm_Stats!$F$10)/(Norm_Stats!$G$10-Norm_Stats!$F$10))))</f>
        <v/>
      </c>
      <c r="Z70" s="14">
        <f>IF(Y70="","",1)</f>
        <v/>
      </c>
      <c r="AA70" s="11">
        <f>IF(OR(City_Inputs!$W70="",Norm_Stats!$F$11="",Norm_Stats!$G$11="",Norm_Stats!$G$11=Norm_Stats!$F$11),"",MAX(0,MIN(100,100*(MIN(MAX(City_Inputs!$W70,Norm_Stats!$F$11),Norm_Stats!$G$11)-Norm_Stats!$F$11)/(Norm_Stats!$G$11-Norm_Stats!$F$11))))</f>
        <v/>
      </c>
      <c r="AB70" s="14">
        <f>IF(AA70="","",1)</f>
        <v/>
      </c>
      <c r="AC70" s="15">
        <f>IF((IF(S70="",0,5)+IF(U70="",0,5)+IF(W70="",0,4)+IF(Y70="",0,4)+IF(AA70="",0,4))=0,"",(IF(S70="",0,S70*5)+IF(U70="",0,U70*5)+IF(W70="",0,W70*4)+IF(Y70="",0,Y70*4)+IF(AA70="",0,AA70*4))/(IF(S70="",0,5)+IF(U70="",0,5)+IF(W70="",0,4)+IF(Y70="",0,4)+IF(AA70="",0,4)))</f>
        <v/>
      </c>
      <c r="AD70" s="14">
        <f>IF((IF(T70="",0,5)+IF(V70="",0,5)+IF(X70="",0,4)+IF(Z70="",0,4)+IF(AB70="",0,4))=0,"",(IF(T70="",0,T70*5)+IF(V70="",0,V70*5)+IF(X70="",0,X70*4)+IF(Z70="",0,Z70*4)+IF(AB70="",0,AB70*4))/22)</f>
        <v/>
      </c>
      <c r="AE70" s="11">
        <f>IF(OR(City_Inputs!$X70="",Norm_Stats!$F$12="",Norm_Stats!$G$12="",Norm_Stats!$G$12=Norm_Stats!$F$12),"",MAX(0,MIN(100,100*(MIN(MAX(City_Inputs!$X70,Norm_Stats!$F$12),Norm_Stats!$G$12)-Norm_Stats!$F$12)/(Norm_Stats!$G$12-Norm_Stats!$F$12))))</f>
        <v/>
      </c>
      <c r="AF70" s="14">
        <f>IF(AE70="","",1)</f>
        <v/>
      </c>
      <c r="AG70" s="11">
        <f>IF(OR(City_Inputs!$Y70="",Norm_Stats!$F$13="",Norm_Stats!$G$13="",Norm_Stats!$G$13=Norm_Stats!$F$13),"",MAX(0,MIN(100,100*(MIN(MAX(City_Inputs!$Y70,Norm_Stats!$F$13),Norm_Stats!$G$13)-Norm_Stats!$F$13)/(Norm_Stats!$G$13-Norm_Stats!$F$13))))</f>
        <v/>
      </c>
      <c r="AH70" s="14">
        <f>IF(AG70="","",1)</f>
        <v/>
      </c>
      <c r="AI70" s="11">
        <f>IF((IF((IF(OR(City_Inputs!$Z70="",Norm_Stats!$F$14="",Norm_Stats!$G$14="",Norm_Stats!$G$14=Norm_Stats!$F$14),"",MAX(0,MIN(100,100*(MIN(MAX(City_Inputs!$Z70,Norm_Stats!$F$14),Norm_Stats!$G$14)-Norm_Stats!$F$14)/(Norm_Stats!$G$14-Norm_Stats!$F$14)))))="",0,0.7)+IF((IF(OR(City_Inputs!$AK70="",Norm_Stats!$F$15="",Norm_Stats!$G$15="",Norm_Stats!$G$15=Norm_Stats!$F$15),"",MAX(0,MIN(100,100*(Norm_Stats!$G$15-MIN(MAX(City_Inputs!$AK70,Norm_Stats!$F$15),Norm_Stats!$G$15))/(Norm_Stats!$G$15-Norm_Stats!$F$15)))))="",0,0.3))=0,"",(IF((IF(OR(City_Inputs!$Z70="",Norm_Stats!$F$14="",Norm_Stats!$G$14="",Norm_Stats!$G$14=Norm_Stats!$F$14),"",MAX(0,MIN(100,100*(MIN(MAX(City_Inputs!$Z70,Norm_Stats!$F$14),Norm_Stats!$G$14)-Norm_Stats!$F$14)/(Norm_Stats!$G$14-Norm_Stats!$F$14)))))="",0,(IF(OR(City_Inputs!$Z70="",Norm_Stats!$F$14="",Norm_Stats!$G$14="",Norm_Stats!$G$14=Norm_Stats!$F$14),"",MAX(0,MIN(100,100*(MIN(MAX(City_Inputs!$Z70,Norm_Stats!$F$14),Norm_Stats!$G$14)-Norm_Stats!$F$14)/(Norm_Stats!$G$14-Norm_Stats!$F$14)))))*0.7)+IF((IF(OR(City_Inputs!$AK70="",Norm_Stats!$F$15="",Norm_Stats!$G$15="",Norm_Stats!$G$15=Norm_Stats!$F$15),"",MAX(0,MIN(100,100*(Norm_Stats!$G$15-MIN(MAX(City_Inputs!$AK70,Norm_Stats!$F$15),Norm_Stats!$G$15))/(Norm_Stats!$G$15-Norm_Stats!$F$15)))))="",0,(IF(OR(City_Inputs!$AK70="",Norm_Stats!$F$15="",Norm_Stats!$G$15="",Norm_Stats!$G$15=Norm_Stats!$F$15),"",MAX(0,MIN(100,100*(Norm_Stats!$G$15-MIN(MAX(City_Inputs!$AK70,Norm_Stats!$F$15),Norm_Stats!$G$15))/(Norm_Stats!$G$15-Norm_Stats!$F$15)))))*0.3))/(IF((IF(OR(City_Inputs!$Z70="",Norm_Stats!$F$14="",Norm_Stats!$G$14="",Norm_Stats!$G$14=Norm_Stats!$F$14),"",MAX(0,MIN(100,100*(MIN(MAX(City_Inputs!$Z70,Norm_Stats!$F$14),Norm_Stats!$G$14)-Norm_Stats!$F$14)/(Norm_Stats!$G$14-Norm_Stats!$F$14)))))="",0,0.7)+IF((IF(OR(City_Inputs!$AK70="",Norm_Stats!$F$15="",Norm_Stats!$G$15="",Norm_Stats!$G$15=Norm_Stats!$F$15),"",MAX(0,MIN(100,100*(Norm_Stats!$G$15-MIN(MAX(City_Inputs!$AK70,Norm_Stats!$F$15),Norm_Stats!$G$15))/(Norm_Stats!$G$15-Norm_Stats!$F$15)))))="",0,0.3)))</f>
        <v/>
      </c>
      <c r="AJ70" s="14">
        <f>IF((IF((IF(OR(City_Inputs!$Z70="",Norm_Stats!$F$14="",Norm_Stats!$G$14="",Norm_Stats!$G$14=Norm_Stats!$F$14),"",MAX(0,MIN(100,100*(MIN(MAX(City_Inputs!$Z70,Norm_Stats!$F$14),Norm_Stats!$G$14)-Norm_Stats!$F$14)/(Norm_Stats!$G$14-Norm_Stats!$F$14)))))="",0,0.7)+IF((IF(OR(City_Inputs!$AK70="",Norm_Stats!$F$15="",Norm_Stats!$G$15="",Norm_Stats!$G$15=Norm_Stats!$F$15),"",MAX(0,MIN(100,100*(Norm_Stats!$G$15-MIN(MAX(City_Inputs!$AK70,Norm_Stats!$F$15),Norm_Stats!$G$15))/(Norm_Stats!$G$15-Norm_Stats!$F$15)))))="",0,0.3))=0,"",(IF((IF(OR(City_Inputs!$Z70="",Norm_Stats!$F$14="",Norm_Stats!$G$14="",Norm_Stats!$G$14=Norm_Stats!$F$14),"",MAX(0,MIN(100,100*(MIN(MAX(City_Inputs!$Z70,Norm_Stats!$F$14),Norm_Stats!$G$14)-Norm_Stats!$F$14)/(Norm_Stats!$G$14-Norm_Stats!$F$14)))))="",0,0.7)+IF((IF(OR(City_Inputs!$AK70="",Norm_Stats!$F$15="",Norm_Stats!$G$15="",Norm_Stats!$G$15=Norm_Stats!$F$15),"",MAX(0,MIN(100,100*(Norm_Stats!$G$15-MIN(MAX(City_Inputs!$AK70,Norm_Stats!$F$15),Norm_Stats!$G$15))/(Norm_Stats!$G$15-Norm_Stats!$F$15)))))="",0,0.3)))</f>
        <v/>
      </c>
      <c r="AK70" s="15">
        <f>IF((IF(AE70="",0,8)+IF(AG70="",0,6)+IF(AI70="",0,4))=0,"",(IF(AE70="",0,AE70*8)+IF(AG70="",0,AG70*6)+IF(AI70="",0,AI70*4))/(IF(AE70="",0,8)+IF(AG70="",0,6)+IF(AI70="",0,4)))</f>
        <v/>
      </c>
      <c r="AL70" s="14">
        <f>IF((IF(AF70="",0,8)+IF(AH70="",0,6)+IF(AJ70="",0,4))=0,"",(IF(AF70="",0,AF70*8)+IF(AH70="",0,AH70*6)+IF(AJ70="",0,AJ70*4))/18)</f>
        <v/>
      </c>
      <c r="AM70" s="11">
        <f>IF(OR(City_Inputs!$AA70="",Norm_Stats!$F$16="",Norm_Stats!$G$16="",Norm_Stats!$G$16=Norm_Stats!$F$16),"",MAX(0,MIN(100,100*(MIN(MAX(City_Inputs!$AA70,Norm_Stats!$F$16),Norm_Stats!$G$16)-Norm_Stats!$F$16)/(Norm_Stats!$G$16-Norm_Stats!$F$16))))</f>
        <v/>
      </c>
      <c r="AN70" s="14">
        <f>IF(AM70="","",1)</f>
        <v/>
      </c>
      <c r="AO70" s="11">
        <f>IF(OR(City_Inputs!$AB70="",Norm_Stats!$F$17="",Norm_Stats!$G$17="",Norm_Stats!$G$17=Norm_Stats!$F$17),"",MAX(0,MIN(100,100*(MIN(MAX(City_Inputs!$AB70,Norm_Stats!$F$17),Norm_Stats!$G$17)-Norm_Stats!$F$17)/(Norm_Stats!$G$17-Norm_Stats!$F$17))))</f>
        <v/>
      </c>
      <c r="AP70" s="14">
        <f>IF(AO70="","",1)</f>
        <v/>
      </c>
      <c r="AQ70" s="11">
        <f>IF(OR(City_Inputs!$AC70="",Norm_Stats!$F$18="",Norm_Stats!$G$18="",Norm_Stats!$G$18=Norm_Stats!$F$18),"",MAX(0,MIN(100,100*(MIN(MAX(City_Inputs!$AC70,Norm_Stats!$F$18),Norm_Stats!$G$18)-Norm_Stats!$F$18)/(Norm_Stats!$G$18-Norm_Stats!$F$18))))</f>
        <v/>
      </c>
      <c r="AR70" s="14">
        <f>IF(AQ70="","",1)</f>
        <v/>
      </c>
      <c r="AS70" s="15">
        <f>IF((IF(AM70="",0,5)+IF(AO70="",0,5)+IF(AQ70="",0,5))=0,"",(IF(AM70="",0,AM70*5)+IF(AO70="",0,AO70*5)+IF(AQ70="",0,AQ70*5))/(IF(AM70="",0,5)+IF(AO70="",0,5)+IF(AQ70="",0,5)))</f>
        <v/>
      </c>
      <c r="AT70" s="14">
        <f>IF((IF(AN70="",0,5)+IF(AP70="",0,5)+IF(AR70="",0,5))=0,"",(IF(AN70="",0,AN70*5)+IF(AP70="",0,AP70*5)+IF(AR70="",0,AR70*5))/15)</f>
        <v/>
      </c>
      <c r="AU70" s="11">
        <f>IF(OR(City_Inputs!$AD70="",Norm_Stats!$F$19="",Norm_Stats!$G$19="",Norm_Stats!$G$19=Norm_Stats!$F$19),"",MAX(0,MIN(100,100*(MIN(MAX(City_Inputs!$AD70,Norm_Stats!$F$19),Norm_Stats!$G$19)-Norm_Stats!$F$19)/(Norm_Stats!$G$19-Norm_Stats!$F$19))))</f>
        <v/>
      </c>
      <c r="AV70" s="14">
        <f>IF(AU70="","",1)</f>
        <v/>
      </c>
      <c r="AW70" s="11">
        <f>IF(OR(City_Inputs!$AE70="",Norm_Stats!$F$20="",Norm_Stats!$G$20="",Norm_Stats!$G$20=Norm_Stats!$F$20),"",MAX(0,MIN(100,100*(MIN(MAX(City_Inputs!$AE70,Norm_Stats!$F$20),Norm_Stats!$G$20)-Norm_Stats!$F$20)/(Norm_Stats!$G$20-Norm_Stats!$F$20))))</f>
        <v/>
      </c>
      <c r="AX70" s="14">
        <f>IF(AW70="","",1)</f>
        <v/>
      </c>
      <c r="AY70" s="11">
        <f>IF((IF((IF(OR(City_Inputs!$AF70="",Norm_Stats!$F$21="",Norm_Stats!$G$21="",Norm_Stats!$G$21=Norm_Stats!$F$21),"",MAX(0,MIN(100,100*(MIN(MAX(City_Inputs!$AF70,Norm_Stats!$F$21),Norm_Stats!$G$21)-Norm_Stats!$F$21)/(Norm_Stats!$G$21-Norm_Stats!$F$21)))))="",0,0.5)+IF((IF(OR(City_Inputs!$AI70="",Norm_Stats!$F$22="",Norm_Stats!$G$22="",Norm_Stats!$G$22=Norm_Stats!$F$22),"",MAX(0,MIN(100,100*(MIN(MAX(City_Inputs!$AI70,Norm_Stats!$F$22),Norm_Stats!$G$22)-Norm_Stats!$F$22)/(Norm_Stats!$G$22-Norm_Stats!$F$22)))))="",0,0.3)+IF((IF(OR(City_Inputs!$AJ70="",Norm_Stats!$F$23="",Norm_Stats!$G$23="",Norm_Stats!$G$23=Norm_Stats!$F$23),"",MAX(0,MIN(100,100*(MIN(MAX(City_Inputs!$AJ70,Norm_Stats!$F$23),Norm_Stats!$G$23)-Norm_Stats!$F$23)/(Norm_Stats!$G$23-Norm_Stats!$F$23)))))="",0,0.2))=0,"",(IF((IF(OR(City_Inputs!$AF70="",Norm_Stats!$F$21="",Norm_Stats!$G$21="",Norm_Stats!$G$21=Norm_Stats!$F$21),"",MAX(0,MIN(100,100*(MIN(MAX(City_Inputs!$AF70,Norm_Stats!$F$21),Norm_Stats!$G$21)-Norm_Stats!$F$21)/(Norm_Stats!$G$21-Norm_Stats!$F$21)))))="",0,(IF(OR(City_Inputs!$AF70="",Norm_Stats!$F$21="",Norm_Stats!$G$21="",Norm_Stats!$G$21=Norm_Stats!$F$21),"",MAX(0,MIN(100,100*(MIN(MAX(City_Inputs!$AF70,Norm_Stats!$F$21),Norm_Stats!$G$21)-Norm_Stats!$F$21)/(Norm_Stats!$G$21-Norm_Stats!$F$21)))))*0.5)+IF((IF(OR(City_Inputs!$AI70="",Norm_Stats!$F$22="",Norm_Stats!$G$22="",Norm_Stats!$G$22=Norm_Stats!$F$22),"",MAX(0,MIN(100,100*(MIN(MAX(City_Inputs!$AI70,Norm_Stats!$F$22),Norm_Stats!$G$22)-Norm_Stats!$F$22)/(Norm_Stats!$G$22-Norm_Stats!$F$22)))))="",0,(IF(OR(City_Inputs!$AI70="",Norm_Stats!$F$22="",Norm_Stats!$G$22="",Norm_Stats!$G$22=Norm_Stats!$F$22),"",MAX(0,MIN(100,100*(MIN(MAX(City_Inputs!$AI70,Norm_Stats!$F$22),Norm_Stats!$G$22)-Norm_Stats!$F$22)/(Norm_Stats!$G$22-Norm_Stats!$F$22)))))*0.3)+IF((IF(OR(City_Inputs!$AJ70="",Norm_Stats!$F$23="",Norm_Stats!$G$23="",Norm_Stats!$G$23=Norm_Stats!$F$23),"",MAX(0,MIN(100,100*(MIN(MAX(City_Inputs!$AJ70,Norm_Stats!$F$23),Norm_Stats!$G$23)-Norm_Stats!$F$23)/(Norm_Stats!$G$23-Norm_Stats!$F$23)))))="",0,(IF(OR(City_Inputs!$AJ70="",Norm_Stats!$F$23="",Norm_Stats!$G$23="",Norm_Stats!$G$23=Norm_Stats!$F$23),"",MAX(0,MIN(100,100*(MIN(MAX(City_Inputs!$AJ70,Norm_Stats!$F$23),Norm_Stats!$G$23)-Norm_Stats!$F$23)/(Norm_Stats!$G$23-Norm_Stats!$F$23)))))*0.2))/(IF((IF(OR(City_Inputs!$AF70="",Norm_Stats!$F$21="",Norm_Stats!$G$21="",Norm_Stats!$G$21=Norm_Stats!$F$21),"",MAX(0,MIN(100,100*(MIN(MAX(City_Inputs!$AF70,Norm_Stats!$F$21),Norm_Stats!$G$21)-Norm_Stats!$F$21)/(Norm_Stats!$G$21-Norm_Stats!$F$21)))))="",0,0.5)+IF((IF(OR(City_Inputs!$AI70="",Norm_Stats!$F$22="",Norm_Stats!$G$22="",Norm_Stats!$G$22=Norm_Stats!$F$22),"",MAX(0,MIN(100,100*(MIN(MAX(City_Inputs!$AI70,Norm_Stats!$F$22),Norm_Stats!$G$22)-Norm_Stats!$F$22)/(Norm_Stats!$G$22-Norm_Stats!$F$22)))))="",0,0.3)+IF((IF(OR(City_Inputs!$AJ70="",Norm_Stats!$F$23="",Norm_Stats!$G$23="",Norm_Stats!$G$23=Norm_Stats!$F$23),"",MAX(0,MIN(100,100*(MIN(MAX(City_Inputs!$AJ70,Norm_Stats!$F$23),Norm_Stats!$G$23)-Norm_Stats!$F$23)/(Norm_Stats!$G$23-Norm_Stats!$F$23)))))="",0,0.2)))</f>
        <v/>
      </c>
      <c r="AZ70" s="14">
        <f>IF((IF((IF(OR(City_Inputs!$AF70="",Norm_Stats!$F$21="",Norm_Stats!$G$21="",Norm_Stats!$G$21=Norm_Stats!$F$21),"",MAX(0,MIN(100,100*(MIN(MAX(City_Inputs!$AF70,Norm_Stats!$F$21),Norm_Stats!$G$21)-Norm_Stats!$F$21)/(Norm_Stats!$G$21-Norm_Stats!$F$21)))))="",0,0.5)+IF((IF(OR(City_Inputs!$AI70="",Norm_Stats!$F$22="",Norm_Stats!$G$22="",Norm_Stats!$G$22=Norm_Stats!$F$22),"",MAX(0,MIN(100,100*(MIN(MAX(City_Inputs!$AI70,Norm_Stats!$F$22),Norm_Stats!$G$22)-Norm_Stats!$F$22)/(Norm_Stats!$G$22-Norm_Stats!$F$22)))))="",0,0.3)+IF((IF(OR(City_Inputs!$AJ70="",Norm_Stats!$F$23="",Norm_Stats!$G$23="",Norm_Stats!$G$23=Norm_Stats!$F$23),"",MAX(0,MIN(100,100*(MIN(MAX(City_Inputs!$AJ70,Norm_Stats!$F$23),Norm_Stats!$G$23)-Norm_Stats!$F$23)/(Norm_Stats!$G$23-Norm_Stats!$F$23)))))="",0,0.2))=0,"",(IF((IF(OR(City_Inputs!$AF70="",Norm_Stats!$F$21="",Norm_Stats!$G$21="",Norm_Stats!$G$21=Norm_Stats!$F$21),"",MAX(0,MIN(100,100*(MIN(MAX(City_Inputs!$AF70,Norm_Stats!$F$21),Norm_Stats!$G$21)-Norm_Stats!$F$21)/(Norm_Stats!$G$21-Norm_Stats!$F$21)))))="",0,0.5)+IF((IF(OR(City_Inputs!$AI70="",Norm_Stats!$F$22="",Norm_Stats!$G$22="",Norm_Stats!$G$22=Norm_Stats!$F$22),"",MAX(0,MIN(100,100*(MIN(MAX(City_Inputs!$AI70,Norm_Stats!$F$22),Norm_Stats!$G$22)-Norm_Stats!$F$22)/(Norm_Stats!$G$22-Norm_Stats!$F$22)))))="",0,0.3)+IF((IF(OR(City_Inputs!$AJ70="",Norm_Stats!$F$23="",Norm_Stats!$G$23="",Norm_Stats!$G$23=Norm_Stats!$F$23),"",MAX(0,MIN(100,100*(MIN(MAX(City_Inputs!$AJ70,Norm_Stats!$F$23),Norm_Stats!$G$23)-Norm_Stats!$F$23)/(Norm_Stats!$G$23-Norm_Stats!$F$23)))))="",0,0.2)))</f>
        <v/>
      </c>
      <c r="BA70" s="11">
        <f>IF(OR(City_Inputs!$AG70="",Norm_Stats!$F$24="",Norm_Stats!$G$24="",Norm_Stats!$G$24=Norm_Stats!$F$24),"",MAX(0,MIN(100,100*(Norm_Stats!$G$24-MIN(MAX(City_Inputs!$AG70,Norm_Stats!$F$24),Norm_Stats!$G$24))/(Norm_Stats!$G$24-Norm_Stats!$F$24))))</f>
        <v/>
      </c>
      <c r="BB70" s="14">
        <f>IF(BA70="","",1)</f>
        <v/>
      </c>
      <c r="BC70" s="15">
        <f>IF((IF(AU70="",0,6)+IF(AW70="",0,5)+IF(AY70="",0,5)+IF(BA70="",0,4))=0,"",(IF(AU70="",0,AU70*6)+IF(AW70="",0,AW70*5)+IF(AY70="",0,AY70*5)+IF(BA70="",0,BA70*4))/(IF(AU70="",0,6)+IF(AW70="",0,5)+IF(AY70="",0,5)+IF(BA70="",0,4)))</f>
        <v/>
      </c>
      <c r="BD70" s="14">
        <f>IF((IF(AV70="",0,6)+IF(AX70="",0,5)+IF(AZ70="",0,5)+IF(BB70="",0,4))=0,"",(IF(AV70="",0,AV70*6)+IF(AX70="",0,AX70*5)+IF(AZ70="",0,AZ70*5)+IF(BB70="",0,BB70*4))/20)</f>
        <v/>
      </c>
      <c r="BE70" s="14">
        <f>IF(AND(R70="",AD70="",AL70="",AT70="",BD70=""),"",((R70*25)+(AD70*22)+(AL70*18)+(AT70*15)+(BD70*20))/100)</f>
        <v/>
      </c>
      <c r="BF70" s="11">
        <f>IF(BE70="","",IF(BE70&gt;=0.75,"A",IF(BE70&gt;=0.5,"B",IF(BE70&gt;=0.35,"C","Watchlist"))))</f>
        <v/>
      </c>
      <c r="BG70" s="11">
        <f>IF(OR(BE70="",BE70&lt;0.5,R70="",R70&lt;0.35,AD70="",AD70&lt;0.35,AL70="",AL70&lt;0.35,AT70="",AT70&lt;0.35,BD70="",BD70&lt;0.35),"Watchlist","Ranked")</f>
        <v/>
      </c>
      <c r="BH70" s="15">
        <f>IF(AND(Q70="",AC70="",AK70="",AS70="",BC70=""),"",(IF(Q70="",0,Q70*25)+IF(AC70="",0,AC70*22)+IF(AK70="",0,AK70*18)+IF(AS70="",0,AS70*15)+IF(BC70="",0,BC70*20))/(IF(Q70="",0,25)+IF(AC70="",0,22)+IF(AK70="",0,18)+IF(AS70="",0,15)+IF(BC70="",0,20)))</f>
        <v/>
      </c>
      <c r="BI70" s="11">
        <f>IF(BG70="Ranked",1+COUNTIFS($BG$2:$BG$103,"Ranked",$BH$2:$BH$103,"&gt;"&amp;BH70),"")</f>
        <v/>
      </c>
      <c r="BJ70" s="11">
        <f>City_Inputs!$AH70</f>
        <v/>
      </c>
    </row>
    <row r="71">
      <c r="A71" t="inlineStr">
        <is>
          <t>uy-montevideo</t>
        </is>
      </c>
      <c r="B71" t="inlineStr">
        <is>
          <t>Montevideo</t>
        </is>
      </c>
      <c r="C71" t="inlineStr">
        <is>
          <t>Uruguay</t>
        </is>
      </c>
      <c r="D71" t="inlineStr">
        <is>
          <t>Latin America</t>
        </is>
      </c>
      <c r="E71" t="inlineStr">
        <is>
          <t>locked</t>
        </is>
      </c>
      <c r="F71" t="inlineStr">
        <is>
          <t>secondary</t>
        </is>
      </c>
      <c r="G71" s="11">
        <f>IF(OR(City_Inputs!$M71="",Norm_Stats!$F$2="",Norm_Stats!$G$2="",Norm_Stats!$G$2=Norm_Stats!$F$2),"",MAX(0,MIN(100,100*(MIN(MAX(City_Inputs!$M71,Norm_Stats!$F$2),Norm_Stats!$G$2)-Norm_Stats!$F$2)/(Norm_Stats!$G$2-Norm_Stats!$F$2))))</f>
        <v/>
      </c>
      <c r="H71" s="14">
        <f>IF(G71="","",1)</f>
        <v/>
      </c>
      <c r="I71" s="11">
        <f>IF(OR(City_Inputs!$N71="",Norm_Stats!$F$3="",Norm_Stats!$G$3="",Norm_Stats!$G$3=Norm_Stats!$F$3),"",MAX(0,MIN(100,100*(Norm_Stats!$G$3-MIN(MAX(City_Inputs!$N71,Norm_Stats!$F$3),Norm_Stats!$G$3))/(Norm_Stats!$G$3-Norm_Stats!$F$3))))</f>
        <v/>
      </c>
      <c r="J71" s="14">
        <f>IF(I71="","",1)</f>
        <v/>
      </c>
      <c r="K71" s="11">
        <f>IF(OR(City_Inputs!$P71="",Norm_Stats!$F$4="",Norm_Stats!$G$4="",Norm_Stats!$G$4=Norm_Stats!$F$4),"",MAX(0,MIN(100,100*(Norm_Stats!$G$4-MIN(MAX(City_Inputs!$P71,Norm_Stats!$F$4),Norm_Stats!$G$4))/(Norm_Stats!$G$4-Norm_Stats!$F$4))))</f>
        <v/>
      </c>
      <c r="L71" s="14">
        <f>IF(K71="","",1)</f>
        <v/>
      </c>
      <c r="M71" s="11">
        <f>IF(OR(City_Inputs!$Q71="",Norm_Stats!$F$5="",Norm_Stats!$G$5="",Norm_Stats!$G$5=Norm_Stats!$F$5),"",MAX(0,MIN(100,100*(Norm_Stats!$G$5-MIN(MAX(City_Inputs!$Q71,Norm_Stats!$F$5),Norm_Stats!$G$5))/(Norm_Stats!$G$5-Norm_Stats!$F$5))))</f>
        <v/>
      </c>
      <c r="N71" s="14">
        <f>IF(M71="","",1)</f>
        <v/>
      </c>
      <c r="O71" s="11">
        <f>IF(OR(City_Inputs!$R71="",Norm_Stats!$F$6="",Norm_Stats!$G$6="",Norm_Stats!$G$6=Norm_Stats!$F$6),"",MAX(0,MIN(100,100*(Norm_Stats!$G$6-MIN(MAX(City_Inputs!$R71,Norm_Stats!$F$6),Norm_Stats!$G$6))/(Norm_Stats!$G$6-Norm_Stats!$F$6))))</f>
        <v/>
      </c>
      <c r="P71" s="14">
        <f>IF(O71="","",1)</f>
        <v/>
      </c>
      <c r="Q71" s="15">
        <f>IF((IF(G71="",0,9)+IF(I71="",0,5)+IF(K71="",0,4)+IF(M71="",0,4)+IF(O71="",0,3))=0,"",(IF(G71="",0,G71*9)+IF(I71="",0,I71*5)+IF(K71="",0,K71*4)+IF(M71="",0,M71*4)+IF(O71="",0,O71*3))/(IF(G71="",0,9)+IF(I71="",0,5)+IF(K71="",0,4)+IF(M71="",0,4)+IF(O71="",0,3)))</f>
        <v/>
      </c>
      <c r="R71" s="14">
        <f>IF((IF(H71="",0,9)+IF(J71="",0,5)+IF(L71="",0,4)+IF(N71="",0,4)+IF(P71="",0,3))=0,"",(IF(H71="",0,H71*9)+IF(J71="",0,J71*5)+IF(L71="",0,L71*4)+IF(N71="",0,N71*4)+IF(P71="",0,P71*3))/25)</f>
        <v/>
      </c>
      <c r="S71" s="11">
        <f>IF(OR(City_Inputs!$S71="",Norm_Stats!$F$7="",Norm_Stats!$G$7="",Norm_Stats!$G$7=Norm_Stats!$F$7),"",MAX(0,MIN(100,100*(Norm_Stats!$G$7-MIN(MAX(City_Inputs!$S71,Norm_Stats!$F$7),Norm_Stats!$G$7))/(Norm_Stats!$G$7-Norm_Stats!$F$7))))</f>
        <v/>
      </c>
      <c r="T71" s="14">
        <f>IF(S71="","",1)</f>
        <v/>
      </c>
      <c r="U71" s="11">
        <f>IF(OR(City_Inputs!$T71="",Norm_Stats!$F$8="",Norm_Stats!$G$8="",Norm_Stats!$G$8=Norm_Stats!$F$8),"",MAX(0,MIN(100,100*(MIN(MAX(City_Inputs!$T71,Norm_Stats!$F$8),Norm_Stats!$G$8)-Norm_Stats!$F$8)/(Norm_Stats!$G$8-Norm_Stats!$F$8))))</f>
        <v/>
      </c>
      <c r="V71" s="14">
        <f>IF(U71="","",1)</f>
        <v/>
      </c>
      <c r="W71" s="11">
        <f>IF(OR(City_Inputs!$U71="",Norm_Stats!$F$9="",Norm_Stats!$G$9="",Norm_Stats!$G$9=Norm_Stats!$F$9),"",MAX(0,MIN(100,100*(Norm_Stats!$G$9-MIN(MAX(City_Inputs!$U71,Norm_Stats!$F$9),Norm_Stats!$G$9))/(Norm_Stats!$G$9-Norm_Stats!$F$9))))</f>
        <v/>
      </c>
      <c r="X71" s="14">
        <f>IF(W71="","",1)</f>
        <v/>
      </c>
      <c r="Y71" s="11">
        <f>IF(OR(City_Inputs!$V71="",Norm_Stats!$F$10="",Norm_Stats!$G$10="",Norm_Stats!$G$10=Norm_Stats!$F$10),"",MAX(0,MIN(100,100*(MIN(MAX(City_Inputs!$V71,Norm_Stats!$F$10),Norm_Stats!$G$10)-Norm_Stats!$F$10)/(Norm_Stats!$G$10-Norm_Stats!$F$10))))</f>
        <v/>
      </c>
      <c r="Z71" s="14">
        <f>IF(Y71="","",1)</f>
        <v/>
      </c>
      <c r="AA71" s="11">
        <f>IF(OR(City_Inputs!$W71="",Norm_Stats!$F$11="",Norm_Stats!$G$11="",Norm_Stats!$G$11=Norm_Stats!$F$11),"",MAX(0,MIN(100,100*(MIN(MAX(City_Inputs!$W71,Norm_Stats!$F$11),Norm_Stats!$G$11)-Norm_Stats!$F$11)/(Norm_Stats!$G$11-Norm_Stats!$F$11))))</f>
        <v/>
      </c>
      <c r="AB71" s="14">
        <f>IF(AA71="","",1)</f>
        <v/>
      </c>
      <c r="AC71" s="15">
        <f>IF((IF(S71="",0,5)+IF(U71="",0,5)+IF(W71="",0,4)+IF(Y71="",0,4)+IF(AA71="",0,4))=0,"",(IF(S71="",0,S71*5)+IF(U71="",0,U71*5)+IF(W71="",0,W71*4)+IF(Y71="",0,Y71*4)+IF(AA71="",0,AA71*4))/(IF(S71="",0,5)+IF(U71="",0,5)+IF(W71="",0,4)+IF(Y71="",0,4)+IF(AA71="",0,4)))</f>
        <v/>
      </c>
      <c r="AD71" s="14">
        <f>IF((IF(T71="",0,5)+IF(V71="",0,5)+IF(X71="",0,4)+IF(Z71="",0,4)+IF(AB71="",0,4))=0,"",(IF(T71="",0,T71*5)+IF(V71="",0,V71*5)+IF(X71="",0,X71*4)+IF(Z71="",0,Z71*4)+IF(AB71="",0,AB71*4))/22)</f>
        <v/>
      </c>
      <c r="AE71" s="11">
        <f>IF(OR(City_Inputs!$X71="",Norm_Stats!$F$12="",Norm_Stats!$G$12="",Norm_Stats!$G$12=Norm_Stats!$F$12),"",MAX(0,MIN(100,100*(MIN(MAX(City_Inputs!$X71,Norm_Stats!$F$12),Norm_Stats!$G$12)-Norm_Stats!$F$12)/(Norm_Stats!$G$12-Norm_Stats!$F$12))))</f>
        <v/>
      </c>
      <c r="AF71" s="14">
        <f>IF(AE71="","",1)</f>
        <v/>
      </c>
      <c r="AG71" s="11">
        <f>IF(OR(City_Inputs!$Y71="",Norm_Stats!$F$13="",Norm_Stats!$G$13="",Norm_Stats!$G$13=Norm_Stats!$F$13),"",MAX(0,MIN(100,100*(MIN(MAX(City_Inputs!$Y71,Norm_Stats!$F$13),Norm_Stats!$G$13)-Norm_Stats!$F$13)/(Norm_Stats!$G$13-Norm_Stats!$F$13))))</f>
        <v/>
      </c>
      <c r="AH71" s="14">
        <f>IF(AG71="","",1)</f>
        <v/>
      </c>
      <c r="AI71" s="11">
        <f>IF((IF((IF(OR(City_Inputs!$Z71="",Norm_Stats!$F$14="",Norm_Stats!$G$14="",Norm_Stats!$G$14=Norm_Stats!$F$14),"",MAX(0,MIN(100,100*(MIN(MAX(City_Inputs!$Z71,Norm_Stats!$F$14),Norm_Stats!$G$14)-Norm_Stats!$F$14)/(Norm_Stats!$G$14-Norm_Stats!$F$14)))))="",0,0.7)+IF((IF(OR(City_Inputs!$AK71="",Norm_Stats!$F$15="",Norm_Stats!$G$15="",Norm_Stats!$G$15=Norm_Stats!$F$15),"",MAX(0,MIN(100,100*(Norm_Stats!$G$15-MIN(MAX(City_Inputs!$AK71,Norm_Stats!$F$15),Norm_Stats!$G$15))/(Norm_Stats!$G$15-Norm_Stats!$F$15)))))="",0,0.3))=0,"",(IF((IF(OR(City_Inputs!$Z71="",Norm_Stats!$F$14="",Norm_Stats!$G$14="",Norm_Stats!$G$14=Norm_Stats!$F$14),"",MAX(0,MIN(100,100*(MIN(MAX(City_Inputs!$Z71,Norm_Stats!$F$14),Norm_Stats!$G$14)-Norm_Stats!$F$14)/(Norm_Stats!$G$14-Norm_Stats!$F$14)))))="",0,(IF(OR(City_Inputs!$Z71="",Norm_Stats!$F$14="",Norm_Stats!$G$14="",Norm_Stats!$G$14=Norm_Stats!$F$14),"",MAX(0,MIN(100,100*(MIN(MAX(City_Inputs!$Z71,Norm_Stats!$F$14),Norm_Stats!$G$14)-Norm_Stats!$F$14)/(Norm_Stats!$G$14-Norm_Stats!$F$14)))))*0.7)+IF((IF(OR(City_Inputs!$AK71="",Norm_Stats!$F$15="",Norm_Stats!$G$15="",Norm_Stats!$G$15=Norm_Stats!$F$15),"",MAX(0,MIN(100,100*(Norm_Stats!$G$15-MIN(MAX(City_Inputs!$AK71,Norm_Stats!$F$15),Norm_Stats!$G$15))/(Norm_Stats!$G$15-Norm_Stats!$F$15)))))="",0,(IF(OR(City_Inputs!$AK71="",Norm_Stats!$F$15="",Norm_Stats!$G$15="",Norm_Stats!$G$15=Norm_Stats!$F$15),"",MAX(0,MIN(100,100*(Norm_Stats!$G$15-MIN(MAX(City_Inputs!$AK71,Norm_Stats!$F$15),Norm_Stats!$G$15))/(Norm_Stats!$G$15-Norm_Stats!$F$15)))))*0.3))/(IF((IF(OR(City_Inputs!$Z71="",Norm_Stats!$F$14="",Norm_Stats!$G$14="",Norm_Stats!$G$14=Norm_Stats!$F$14),"",MAX(0,MIN(100,100*(MIN(MAX(City_Inputs!$Z71,Norm_Stats!$F$14),Norm_Stats!$G$14)-Norm_Stats!$F$14)/(Norm_Stats!$G$14-Norm_Stats!$F$14)))))="",0,0.7)+IF((IF(OR(City_Inputs!$AK71="",Norm_Stats!$F$15="",Norm_Stats!$G$15="",Norm_Stats!$G$15=Norm_Stats!$F$15),"",MAX(0,MIN(100,100*(Norm_Stats!$G$15-MIN(MAX(City_Inputs!$AK71,Norm_Stats!$F$15),Norm_Stats!$G$15))/(Norm_Stats!$G$15-Norm_Stats!$F$15)))))="",0,0.3)))</f>
        <v/>
      </c>
      <c r="AJ71" s="14">
        <f>IF((IF((IF(OR(City_Inputs!$Z71="",Norm_Stats!$F$14="",Norm_Stats!$G$14="",Norm_Stats!$G$14=Norm_Stats!$F$14),"",MAX(0,MIN(100,100*(MIN(MAX(City_Inputs!$Z71,Norm_Stats!$F$14),Norm_Stats!$G$14)-Norm_Stats!$F$14)/(Norm_Stats!$G$14-Norm_Stats!$F$14)))))="",0,0.7)+IF((IF(OR(City_Inputs!$AK71="",Norm_Stats!$F$15="",Norm_Stats!$G$15="",Norm_Stats!$G$15=Norm_Stats!$F$15),"",MAX(0,MIN(100,100*(Norm_Stats!$G$15-MIN(MAX(City_Inputs!$AK71,Norm_Stats!$F$15),Norm_Stats!$G$15))/(Norm_Stats!$G$15-Norm_Stats!$F$15)))))="",0,0.3))=0,"",(IF((IF(OR(City_Inputs!$Z71="",Norm_Stats!$F$14="",Norm_Stats!$G$14="",Norm_Stats!$G$14=Norm_Stats!$F$14),"",MAX(0,MIN(100,100*(MIN(MAX(City_Inputs!$Z71,Norm_Stats!$F$14),Norm_Stats!$G$14)-Norm_Stats!$F$14)/(Norm_Stats!$G$14-Norm_Stats!$F$14)))))="",0,0.7)+IF((IF(OR(City_Inputs!$AK71="",Norm_Stats!$F$15="",Norm_Stats!$G$15="",Norm_Stats!$G$15=Norm_Stats!$F$15),"",MAX(0,MIN(100,100*(Norm_Stats!$G$15-MIN(MAX(City_Inputs!$AK71,Norm_Stats!$F$15),Norm_Stats!$G$15))/(Norm_Stats!$G$15-Norm_Stats!$F$15)))))="",0,0.3)))</f>
        <v/>
      </c>
      <c r="AK71" s="15">
        <f>IF((IF(AE71="",0,8)+IF(AG71="",0,6)+IF(AI71="",0,4))=0,"",(IF(AE71="",0,AE71*8)+IF(AG71="",0,AG71*6)+IF(AI71="",0,AI71*4))/(IF(AE71="",0,8)+IF(AG71="",0,6)+IF(AI71="",0,4)))</f>
        <v/>
      </c>
      <c r="AL71" s="14">
        <f>IF((IF(AF71="",0,8)+IF(AH71="",0,6)+IF(AJ71="",0,4))=0,"",(IF(AF71="",0,AF71*8)+IF(AH71="",0,AH71*6)+IF(AJ71="",0,AJ71*4))/18)</f>
        <v/>
      </c>
      <c r="AM71" s="11">
        <f>IF(OR(City_Inputs!$AA71="",Norm_Stats!$F$16="",Norm_Stats!$G$16="",Norm_Stats!$G$16=Norm_Stats!$F$16),"",MAX(0,MIN(100,100*(MIN(MAX(City_Inputs!$AA71,Norm_Stats!$F$16),Norm_Stats!$G$16)-Norm_Stats!$F$16)/(Norm_Stats!$G$16-Norm_Stats!$F$16))))</f>
        <v/>
      </c>
      <c r="AN71" s="14">
        <f>IF(AM71="","",1)</f>
        <v/>
      </c>
      <c r="AO71" s="11">
        <f>IF(OR(City_Inputs!$AB71="",Norm_Stats!$F$17="",Norm_Stats!$G$17="",Norm_Stats!$G$17=Norm_Stats!$F$17),"",MAX(0,MIN(100,100*(MIN(MAX(City_Inputs!$AB71,Norm_Stats!$F$17),Norm_Stats!$G$17)-Norm_Stats!$F$17)/(Norm_Stats!$G$17-Norm_Stats!$F$17))))</f>
        <v/>
      </c>
      <c r="AP71" s="14">
        <f>IF(AO71="","",1)</f>
        <v/>
      </c>
      <c r="AQ71" s="11">
        <f>IF(OR(City_Inputs!$AC71="",Norm_Stats!$F$18="",Norm_Stats!$G$18="",Norm_Stats!$G$18=Norm_Stats!$F$18),"",MAX(0,MIN(100,100*(MIN(MAX(City_Inputs!$AC71,Norm_Stats!$F$18),Norm_Stats!$G$18)-Norm_Stats!$F$18)/(Norm_Stats!$G$18-Norm_Stats!$F$18))))</f>
        <v/>
      </c>
      <c r="AR71" s="14">
        <f>IF(AQ71="","",1)</f>
        <v/>
      </c>
      <c r="AS71" s="15">
        <f>IF((IF(AM71="",0,5)+IF(AO71="",0,5)+IF(AQ71="",0,5))=0,"",(IF(AM71="",0,AM71*5)+IF(AO71="",0,AO71*5)+IF(AQ71="",0,AQ71*5))/(IF(AM71="",0,5)+IF(AO71="",0,5)+IF(AQ71="",0,5)))</f>
        <v/>
      </c>
      <c r="AT71" s="14">
        <f>IF((IF(AN71="",0,5)+IF(AP71="",0,5)+IF(AR71="",0,5))=0,"",(IF(AN71="",0,AN71*5)+IF(AP71="",0,AP71*5)+IF(AR71="",0,AR71*5))/15)</f>
        <v/>
      </c>
      <c r="AU71" s="11">
        <f>IF(OR(City_Inputs!$AD71="",Norm_Stats!$F$19="",Norm_Stats!$G$19="",Norm_Stats!$G$19=Norm_Stats!$F$19),"",MAX(0,MIN(100,100*(MIN(MAX(City_Inputs!$AD71,Norm_Stats!$F$19),Norm_Stats!$G$19)-Norm_Stats!$F$19)/(Norm_Stats!$G$19-Norm_Stats!$F$19))))</f>
        <v/>
      </c>
      <c r="AV71" s="14">
        <f>IF(AU71="","",1)</f>
        <v/>
      </c>
      <c r="AW71" s="11">
        <f>IF(OR(City_Inputs!$AE71="",Norm_Stats!$F$20="",Norm_Stats!$G$20="",Norm_Stats!$G$20=Norm_Stats!$F$20),"",MAX(0,MIN(100,100*(MIN(MAX(City_Inputs!$AE71,Norm_Stats!$F$20),Norm_Stats!$G$20)-Norm_Stats!$F$20)/(Norm_Stats!$G$20-Norm_Stats!$F$20))))</f>
        <v/>
      </c>
      <c r="AX71" s="14">
        <f>IF(AW71="","",1)</f>
        <v/>
      </c>
      <c r="AY71" s="11">
        <f>IF((IF((IF(OR(City_Inputs!$AF71="",Norm_Stats!$F$21="",Norm_Stats!$G$21="",Norm_Stats!$G$21=Norm_Stats!$F$21),"",MAX(0,MIN(100,100*(MIN(MAX(City_Inputs!$AF71,Norm_Stats!$F$21),Norm_Stats!$G$21)-Norm_Stats!$F$21)/(Norm_Stats!$G$21-Norm_Stats!$F$21)))))="",0,0.5)+IF((IF(OR(City_Inputs!$AI71="",Norm_Stats!$F$22="",Norm_Stats!$G$22="",Norm_Stats!$G$22=Norm_Stats!$F$22),"",MAX(0,MIN(100,100*(MIN(MAX(City_Inputs!$AI71,Norm_Stats!$F$22),Norm_Stats!$G$22)-Norm_Stats!$F$22)/(Norm_Stats!$G$22-Norm_Stats!$F$22)))))="",0,0.3)+IF((IF(OR(City_Inputs!$AJ71="",Norm_Stats!$F$23="",Norm_Stats!$G$23="",Norm_Stats!$G$23=Norm_Stats!$F$23),"",MAX(0,MIN(100,100*(MIN(MAX(City_Inputs!$AJ71,Norm_Stats!$F$23),Norm_Stats!$G$23)-Norm_Stats!$F$23)/(Norm_Stats!$G$23-Norm_Stats!$F$23)))))="",0,0.2))=0,"",(IF((IF(OR(City_Inputs!$AF71="",Norm_Stats!$F$21="",Norm_Stats!$G$21="",Norm_Stats!$G$21=Norm_Stats!$F$21),"",MAX(0,MIN(100,100*(MIN(MAX(City_Inputs!$AF71,Norm_Stats!$F$21),Norm_Stats!$G$21)-Norm_Stats!$F$21)/(Norm_Stats!$G$21-Norm_Stats!$F$21)))))="",0,(IF(OR(City_Inputs!$AF71="",Norm_Stats!$F$21="",Norm_Stats!$G$21="",Norm_Stats!$G$21=Norm_Stats!$F$21),"",MAX(0,MIN(100,100*(MIN(MAX(City_Inputs!$AF71,Norm_Stats!$F$21),Norm_Stats!$G$21)-Norm_Stats!$F$21)/(Norm_Stats!$G$21-Norm_Stats!$F$21)))))*0.5)+IF((IF(OR(City_Inputs!$AI71="",Norm_Stats!$F$22="",Norm_Stats!$G$22="",Norm_Stats!$G$22=Norm_Stats!$F$22),"",MAX(0,MIN(100,100*(MIN(MAX(City_Inputs!$AI71,Norm_Stats!$F$22),Norm_Stats!$G$22)-Norm_Stats!$F$22)/(Norm_Stats!$G$22-Norm_Stats!$F$22)))))="",0,(IF(OR(City_Inputs!$AI71="",Norm_Stats!$F$22="",Norm_Stats!$G$22="",Norm_Stats!$G$22=Norm_Stats!$F$22),"",MAX(0,MIN(100,100*(MIN(MAX(City_Inputs!$AI71,Norm_Stats!$F$22),Norm_Stats!$G$22)-Norm_Stats!$F$22)/(Norm_Stats!$G$22-Norm_Stats!$F$22)))))*0.3)+IF((IF(OR(City_Inputs!$AJ71="",Norm_Stats!$F$23="",Norm_Stats!$G$23="",Norm_Stats!$G$23=Norm_Stats!$F$23),"",MAX(0,MIN(100,100*(MIN(MAX(City_Inputs!$AJ71,Norm_Stats!$F$23),Norm_Stats!$G$23)-Norm_Stats!$F$23)/(Norm_Stats!$G$23-Norm_Stats!$F$23)))))="",0,(IF(OR(City_Inputs!$AJ71="",Norm_Stats!$F$23="",Norm_Stats!$G$23="",Norm_Stats!$G$23=Norm_Stats!$F$23),"",MAX(0,MIN(100,100*(MIN(MAX(City_Inputs!$AJ71,Norm_Stats!$F$23),Norm_Stats!$G$23)-Norm_Stats!$F$23)/(Norm_Stats!$G$23-Norm_Stats!$F$23)))))*0.2))/(IF((IF(OR(City_Inputs!$AF71="",Norm_Stats!$F$21="",Norm_Stats!$G$21="",Norm_Stats!$G$21=Norm_Stats!$F$21),"",MAX(0,MIN(100,100*(MIN(MAX(City_Inputs!$AF71,Norm_Stats!$F$21),Norm_Stats!$G$21)-Norm_Stats!$F$21)/(Norm_Stats!$G$21-Norm_Stats!$F$21)))))="",0,0.5)+IF((IF(OR(City_Inputs!$AI71="",Norm_Stats!$F$22="",Norm_Stats!$G$22="",Norm_Stats!$G$22=Norm_Stats!$F$22),"",MAX(0,MIN(100,100*(MIN(MAX(City_Inputs!$AI71,Norm_Stats!$F$22),Norm_Stats!$G$22)-Norm_Stats!$F$22)/(Norm_Stats!$G$22-Norm_Stats!$F$22)))))="",0,0.3)+IF((IF(OR(City_Inputs!$AJ71="",Norm_Stats!$F$23="",Norm_Stats!$G$23="",Norm_Stats!$G$23=Norm_Stats!$F$23),"",MAX(0,MIN(100,100*(MIN(MAX(City_Inputs!$AJ71,Norm_Stats!$F$23),Norm_Stats!$G$23)-Norm_Stats!$F$23)/(Norm_Stats!$G$23-Norm_Stats!$F$23)))))="",0,0.2)))</f>
        <v/>
      </c>
      <c r="AZ71" s="14">
        <f>IF((IF((IF(OR(City_Inputs!$AF71="",Norm_Stats!$F$21="",Norm_Stats!$G$21="",Norm_Stats!$G$21=Norm_Stats!$F$21),"",MAX(0,MIN(100,100*(MIN(MAX(City_Inputs!$AF71,Norm_Stats!$F$21),Norm_Stats!$G$21)-Norm_Stats!$F$21)/(Norm_Stats!$G$21-Norm_Stats!$F$21)))))="",0,0.5)+IF((IF(OR(City_Inputs!$AI71="",Norm_Stats!$F$22="",Norm_Stats!$G$22="",Norm_Stats!$G$22=Norm_Stats!$F$22),"",MAX(0,MIN(100,100*(MIN(MAX(City_Inputs!$AI71,Norm_Stats!$F$22),Norm_Stats!$G$22)-Norm_Stats!$F$22)/(Norm_Stats!$G$22-Norm_Stats!$F$22)))))="",0,0.3)+IF((IF(OR(City_Inputs!$AJ71="",Norm_Stats!$F$23="",Norm_Stats!$G$23="",Norm_Stats!$G$23=Norm_Stats!$F$23),"",MAX(0,MIN(100,100*(MIN(MAX(City_Inputs!$AJ71,Norm_Stats!$F$23),Norm_Stats!$G$23)-Norm_Stats!$F$23)/(Norm_Stats!$G$23-Norm_Stats!$F$23)))))="",0,0.2))=0,"",(IF((IF(OR(City_Inputs!$AF71="",Norm_Stats!$F$21="",Norm_Stats!$G$21="",Norm_Stats!$G$21=Norm_Stats!$F$21),"",MAX(0,MIN(100,100*(MIN(MAX(City_Inputs!$AF71,Norm_Stats!$F$21),Norm_Stats!$G$21)-Norm_Stats!$F$21)/(Norm_Stats!$G$21-Norm_Stats!$F$21)))))="",0,0.5)+IF((IF(OR(City_Inputs!$AI71="",Norm_Stats!$F$22="",Norm_Stats!$G$22="",Norm_Stats!$G$22=Norm_Stats!$F$22),"",MAX(0,MIN(100,100*(MIN(MAX(City_Inputs!$AI71,Norm_Stats!$F$22),Norm_Stats!$G$22)-Norm_Stats!$F$22)/(Norm_Stats!$G$22-Norm_Stats!$F$22)))))="",0,0.3)+IF((IF(OR(City_Inputs!$AJ71="",Norm_Stats!$F$23="",Norm_Stats!$G$23="",Norm_Stats!$G$23=Norm_Stats!$F$23),"",MAX(0,MIN(100,100*(MIN(MAX(City_Inputs!$AJ71,Norm_Stats!$F$23),Norm_Stats!$G$23)-Norm_Stats!$F$23)/(Norm_Stats!$G$23-Norm_Stats!$F$23)))))="",0,0.2)))</f>
        <v/>
      </c>
      <c r="BA71" s="11">
        <f>IF(OR(City_Inputs!$AG71="",Norm_Stats!$F$24="",Norm_Stats!$G$24="",Norm_Stats!$G$24=Norm_Stats!$F$24),"",MAX(0,MIN(100,100*(Norm_Stats!$G$24-MIN(MAX(City_Inputs!$AG71,Norm_Stats!$F$24),Norm_Stats!$G$24))/(Norm_Stats!$G$24-Norm_Stats!$F$24))))</f>
        <v/>
      </c>
      <c r="BB71" s="14">
        <f>IF(BA71="","",1)</f>
        <v/>
      </c>
      <c r="BC71" s="15">
        <f>IF((IF(AU71="",0,6)+IF(AW71="",0,5)+IF(AY71="",0,5)+IF(BA71="",0,4))=0,"",(IF(AU71="",0,AU71*6)+IF(AW71="",0,AW71*5)+IF(AY71="",0,AY71*5)+IF(BA71="",0,BA71*4))/(IF(AU71="",0,6)+IF(AW71="",0,5)+IF(AY71="",0,5)+IF(BA71="",0,4)))</f>
        <v/>
      </c>
      <c r="BD71" s="14">
        <f>IF((IF(AV71="",0,6)+IF(AX71="",0,5)+IF(AZ71="",0,5)+IF(BB71="",0,4))=0,"",(IF(AV71="",0,AV71*6)+IF(AX71="",0,AX71*5)+IF(AZ71="",0,AZ71*5)+IF(BB71="",0,BB71*4))/20)</f>
        <v/>
      </c>
      <c r="BE71" s="14">
        <f>IF(AND(R71="",AD71="",AL71="",AT71="",BD71=""),"",((R71*25)+(AD71*22)+(AL71*18)+(AT71*15)+(BD71*20))/100)</f>
        <v/>
      </c>
      <c r="BF71" s="11">
        <f>IF(BE71="","",IF(BE71&gt;=0.75,"A",IF(BE71&gt;=0.5,"B",IF(BE71&gt;=0.35,"C","Watchlist"))))</f>
        <v/>
      </c>
      <c r="BG71" s="11">
        <f>IF(OR(BE71="",BE71&lt;0.5,R71="",R71&lt;0.35,AD71="",AD71&lt;0.35,AL71="",AL71&lt;0.35,AT71="",AT71&lt;0.35,BD71="",BD71&lt;0.35),"Watchlist","Ranked")</f>
        <v/>
      </c>
      <c r="BH71" s="15">
        <f>IF(AND(Q71="",AC71="",AK71="",AS71="",BC71=""),"",(IF(Q71="",0,Q71*25)+IF(AC71="",0,AC71*22)+IF(AK71="",0,AK71*18)+IF(AS71="",0,AS71*15)+IF(BC71="",0,BC71*20))/(IF(Q71="",0,25)+IF(AC71="",0,22)+IF(AK71="",0,18)+IF(AS71="",0,15)+IF(BC71="",0,20)))</f>
        <v/>
      </c>
      <c r="BI71" s="11">
        <f>IF(BG71="Ranked",1+COUNTIFS($BG$2:$BG$103,"Ranked",$BH$2:$BH$103,"&gt;"&amp;BH71),"")</f>
        <v/>
      </c>
      <c r="BJ71" s="11">
        <f>City_Inputs!$AH71</f>
        <v/>
      </c>
    </row>
    <row r="72">
      <c r="A72" t="inlineStr">
        <is>
          <t>ar-cordoba</t>
        </is>
      </c>
      <c r="B72" t="inlineStr">
        <is>
          <t>Cordoba</t>
        </is>
      </c>
      <c r="C72" t="inlineStr">
        <is>
          <t>Argentina</t>
        </is>
      </c>
      <c r="D72" t="inlineStr">
        <is>
          <t>Latin America</t>
        </is>
      </c>
      <c r="E72" t="inlineStr">
        <is>
          <t>provisional</t>
        </is>
      </c>
      <c r="F72" t="inlineStr">
        <is>
          <t>secondary</t>
        </is>
      </c>
      <c r="G72" s="11">
        <f>IF(OR(City_Inputs!$M72="",Norm_Stats!$F$2="",Norm_Stats!$G$2="",Norm_Stats!$G$2=Norm_Stats!$F$2),"",MAX(0,MIN(100,100*(MIN(MAX(City_Inputs!$M72,Norm_Stats!$F$2),Norm_Stats!$G$2)-Norm_Stats!$F$2)/(Norm_Stats!$G$2-Norm_Stats!$F$2))))</f>
        <v/>
      </c>
      <c r="H72" s="14">
        <f>IF(G72="","",1)</f>
        <v/>
      </c>
      <c r="I72" s="11">
        <f>IF(OR(City_Inputs!$N72="",Norm_Stats!$F$3="",Norm_Stats!$G$3="",Norm_Stats!$G$3=Norm_Stats!$F$3),"",MAX(0,MIN(100,100*(Norm_Stats!$G$3-MIN(MAX(City_Inputs!$N72,Norm_Stats!$F$3),Norm_Stats!$G$3))/(Norm_Stats!$G$3-Norm_Stats!$F$3))))</f>
        <v/>
      </c>
      <c r="J72" s="14">
        <f>IF(I72="","",1)</f>
        <v/>
      </c>
      <c r="K72" s="11">
        <f>IF(OR(City_Inputs!$P72="",Norm_Stats!$F$4="",Norm_Stats!$G$4="",Norm_Stats!$G$4=Norm_Stats!$F$4),"",MAX(0,MIN(100,100*(Norm_Stats!$G$4-MIN(MAX(City_Inputs!$P72,Norm_Stats!$F$4),Norm_Stats!$G$4))/(Norm_Stats!$G$4-Norm_Stats!$F$4))))</f>
        <v/>
      </c>
      <c r="L72" s="14">
        <f>IF(K72="","",1)</f>
        <v/>
      </c>
      <c r="M72" s="11">
        <f>IF(OR(City_Inputs!$Q72="",Norm_Stats!$F$5="",Norm_Stats!$G$5="",Norm_Stats!$G$5=Norm_Stats!$F$5),"",MAX(0,MIN(100,100*(Norm_Stats!$G$5-MIN(MAX(City_Inputs!$Q72,Norm_Stats!$F$5),Norm_Stats!$G$5))/(Norm_Stats!$G$5-Norm_Stats!$F$5))))</f>
        <v/>
      </c>
      <c r="N72" s="14">
        <f>IF(M72="","",1)</f>
        <v/>
      </c>
      <c r="O72" s="11">
        <f>IF(OR(City_Inputs!$R72="",Norm_Stats!$F$6="",Norm_Stats!$G$6="",Norm_Stats!$G$6=Norm_Stats!$F$6),"",MAX(0,MIN(100,100*(Norm_Stats!$G$6-MIN(MAX(City_Inputs!$R72,Norm_Stats!$F$6),Norm_Stats!$G$6))/(Norm_Stats!$G$6-Norm_Stats!$F$6))))</f>
        <v/>
      </c>
      <c r="P72" s="14">
        <f>IF(O72="","",1)</f>
        <v/>
      </c>
      <c r="Q72" s="15">
        <f>IF((IF(G72="",0,9)+IF(I72="",0,5)+IF(K72="",0,4)+IF(M72="",0,4)+IF(O72="",0,3))=0,"",(IF(G72="",0,G72*9)+IF(I72="",0,I72*5)+IF(K72="",0,K72*4)+IF(M72="",0,M72*4)+IF(O72="",0,O72*3))/(IF(G72="",0,9)+IF(I72="",0,5)+IF(K72="",0,4)+IF(M72="",0,4)+IF(O72="",0,3)))</f>
        <v/>
      </c>
      <c r="R72" s="14">
        <f>IF((IF(H72="",0,9)+IF(J72="",0,5)+IF(L72="",0,4)+IF(N72="",0,4)+IF(P72="",0,3))=0,"",(IF(H72="",0,H72*9)+IF(J72="",0,J72*5)+IF(L72="",0,L72*4)+IF(N72="",0,N72*4)+IF(P72="",0,P72*3))/25)</f>
        <v/>
      </c>
      <c r="S72" s="11">
        <f>IF(OR(City_Inputs!$S72="",Norm_Stats!$F$7="",Norm_Stats!$G$7="",Norm_Stats!$G$7=Norm_Stats!$F$7),"",MAX(0,MIN(100,100*(Norm_Stats!$G$7-MIN(MAX(City_Inputs!$S72,Norm_Stats!$F$7),Norm_Stats!$G$7))/(Norm_Stats!$G$7-Norm_Stats!$F$7))))</f>
        <v/>
      </c>
      <c r="T72" s="14">
        <f>IF(S72="","",1)</f>
        <v/>
      </c>
      <c r="U72" s="11">
        <f>IF(OR(City_Inputs!$T72="",Norm_Stats!$F$8="",Norm_Stats!$G$8="",Norm_Stats!$G$8=Norm_Stats!$F$8),"",MAX(0,MIN(100,100*(MIN(MAX(City_Inputs!$T72,Norm_Stats!$F$8),Norm_Stats!$G$8)-Norm_Stats!$F$8)/(Norm_Stats!$G$8-Norm_Stats!$F$8))))</f>
        <v/>
      </c>
      <c r="V72" s="14">
        <f>IF(U72="","",1)</f>
        <v/>
      </c>
      <c r="W72" s="11">
        <f>IF(OR(City_Inputs!$U72="",Norm_Stats!$F$9="",Norm_Stats!$G$9="",Norm_Stats!$G$9=Norm_Stats!$F$9),"",MAX(0,MIN(100,100*(Norm_Stats!$G$9-MIN(MAX(City_Inputs!$U72,Norm_Stats!$F$9),Norm_Stats!$G$9))/(Norm_Stats!$G$9-Norm_Stats!$F$9))))</f>
        <v/>
      </c>
      <c r="X72" s="14">
        <f>IF(W72="","",1)</f>
        <v/>
      </c>
      <c r="Y72" s="11">
        <f>IF(OR(City_Inputs!$V72="",Norm_Stats!$F$10="",Norm_Stats!$G$10="",Norm_Stats!$G$10=Norm_Stats!$F$10),"",MAX(0,MIN(100,100*(MIN(MAX(City_Inputs!$V72,Norm_Stats!$F$10),Norm_Stats!$G$10)-Norm_Stats!$F$10)/(Norm_Stats!$G$10-Norm_Stats!$F$10))))</f>
        <v/>
      </c>
      <c r="Z72" s="14">
        <f>IF(Y72="","",1)</f>
        <v/>
      </c>
      <c r="AA72" s="11">
        <f>IF(OR(City_Inputs!$W72="",Norm_Stats!$F$11="",Norm_Stats!$G$11="",Norm_Stats!$G$11=Norm_Stats!$F$11),"",MAX(0,MIN(100,100*(MIN(MAX(City_Inputs!$W72,Norm_Stats!$F$11),Norm_Stats!$G$11)-Norm_Stats!$F$11)/(Norm_Stats!$G$11-Norm_Stats!$F$11))))</f>
        <v/>
      </c>
      <c r="AB72" s="14">
        <f>IF(AA72="","",1)</f>
        <v/>
      </c>
      <c r="AC72" s="15">
        <f>IF((IF(S72="",0,5)+IF(U72="",0,5)+IF(W72="",0,4)+IF(Y72="",0,4)+IF(AA72="",0,4))=0,"",(IF(S72="",0,S72*5)+IF(U72="",0,U72*5)+IF(W72="",0,W72*4)+IF(Y72="",0,Y72*4)+IF(AA72="",0,AA72*4))/(IF(S72="",0,5)+IF(U72="",0,5)+IF(W72="",0,4)+IF(Y72="",0,4)+IF(AA72="",0,4)))</f>
        <v/>
      </c>
      <c r="AD72" s="14">
        <f>IF((IF(T72="",0,5)+IF(V72="",0,5)+IF(X72="",0,4)+IF(Z72="",0,4)+IF(AB72="",0,4))=0,"",(IF(T72="",0,T72*5)+IF(V72="",0,V72*5)+IF(X72="",0,X72*4)+IF(Z72="",0,Z72*4)+IF(AB72="",0,AB72*4))/22)</f>
        <v/>
      </c>
      <c r="AE72" s="11">
        <f>IF(OR(City_Inputs!$X72="",Norm_Stats!$F$12="",Norm_Stats!$G$12="",Norm_Stats!$G$12=Norm_Stats!$F$12),"",MAX(0,MIN(100,100*(MIN(MAX(City_Inputs!$X72,Norm_Stats!$F$12),Norm_Stats!$G$12)-Norm_Stats!$F$12)/(Norm_Stats!$G$12-Norm_Stats!$F$12))))</f>
        <v/>
      </c>
      <c r="AF72" s="14">
        <f>IF(AE72="","",1)</f>
        <v/>
      </c>
      <c r="AG72" s="11">
        <f>IF(OR(City_Inputs!$Y72="",Norm_Stats!$F$13="",Norm_Stats!$G$13="",Norm_Stats!$G$13=Norm_Stats!$F$13),"",MAX(0,MIN(100,100*(MIN(MAX(City_Inputs!$Y72,Norm_Stats!$F$13),Norm_Stats!$G$13)-Norm_Stats!$F$13)/(Norm_Stats!$G$13-Norm_Stats!$F$13))))</f>
        <v/>
      </c>
      <c r="AH72" s="14">
        <f>IF(AG72="","",1)</f>
        <v/>
      </c>
      <c r="AI72" s="11">
        <f>IF((IF((IF(OR(City_Inputs!$Z72="",Norm_Stats!$F$14="",Norm_Stats!$G$14="",Norm_Stats!$G$14=Norm_Stats!$F$14),"",MAX(0,MIN(100,100*(MIN(MAX(City_Inputs!$Z72,Norm_Stats!$F$14),Norm_Stats!$G$14)-Norm_Stats!$F$14)/(Norm_Stats!$G$14-Norm_Stats!$F$14)))))="",0,0.7)+IF((IF(OR(City_Inputs!$AK72="",Norm_Stats!$F$15="",Norm_Stats!$G$15="",Norm_Stats!$G$15=Norm_Stats!$F$15),"",MAX(0,MIN(100,100*(Norm_Stats!$G$15-MIN(MAX(City_Inputs!$AK72,Norm_Stats!$F$15),Norm_Stats!$G$15))/(Norm_Stats!$G$15-Norm_Stats!$F$15)))))="",0,0.3))=0,"",(IF((IF(OR(City_Inputs!$Z72="",Norm_Stats!$F$14="",Norm_Stats!$G$14="",Norm_Stats!$G$14=Norm_Stats!$F$14),"",MAX(0,MIN(100,100*(MIN(MAX(City_Inputs!$Z72,Norm_Stats!$F$14),Norm_Stats!$G$14)-Norm_Stats!$F$14)/(Norm_Stats!$G$14-Norm_Stats!$F$14)))))="",0,(IF(OR(City_Inputs!$Z72="",Norm_Stats!$F$14="",Norm_Stats!$G$14="",Norm_Stats!$G$14=Norm_Stats!$F$14),"",MAX(0,MIN(100,100*(MIN(MAX(City_Inputs!$Z72,Norm_Stats!$F$14),Norm_Stats!$G$14)-Norm_Stats!$F$14)/(Norm_Stats!$G$14-Norm_Stats!$F$14)))))*0.7)+IF((IF(OR(City_Inputs!$AK72="",Norm_Stats!$F$15="",Norm_Stats!$G$15="",Norm_Stats!$G$15=Norm_Stats!$F$15),"",MAX(0,MIN(100,100*(Norm_Stats!$G$15-MIN(MAX(City_Inputs!$AK72,Norm_Stats!$F$15),Norm_Stats!$G$15))/(Norm_Stats!$G$15-Norm_Stats!$F$15)))))="",0,(IF(OR(City_Inputs!$AK72="",Norm_Stats!$F$15="",Norm_Stats!$G$15="",Norm_Stats!$G$15=Norm_Stats!$F$15),"",MAX(0,MIN(100,100*(Norm_Stats!$G$15-MIN(MAX(City_Inputs!$AK72,Norm_Stats!$F$15),Norm_Stats!$G$15))/(Norm_Stats!$G$15-Norm_Stats!$F$15)))))*0.3))/(IF((IF(OR(City_Inputs!$Z72="",Norm_Stats!$F$14="",Norm_Stats!$G$14="",Norm_Stats!$G$14=Norm_Stats!$F$14),"",MAX(0,MIN(100,100*(MIN(MAX(City_Inputs!$Z72,Norm_Stats!$F$14),Norm_Stats!$G$14)-Norm_Stats!$F$14)/(Norm_Stats!$G$14-Norm_Stats!$F$14)))))="",0,0.7)+IF((IF(OR(City_Inputs!$AK72="",Norm_Stats!$F$15="",Norm_Stats!$G$15="",Norm_Stats!$G$15=Norm_Stats!$F$15),"",MAX(0,MIN(100,100*(Norm_Stats!$G$15-MIN(MAX(City_Inputs!$AK72,Norm_Stats!$F$15),Norm_Stats!$G$15))/(Norm_Stats!$G$15-Norm_Stats!$F$15)))))="",0,0.3)))</f>
        <v/>
      </c>
      <c r="AJ72" s="14">
        <f>IF((IF((IF(OR(City_Inputs!$Z72="",Norm_Stats!$F$14="",Norm_Stats!$G$14="",Norm_Stats!$G$14=Norm_Stats!$F$14),"",MAX(0,MIN(100,100*(MIN(MAX(City_Inputs!$Z72,Norm_Stats!$F$14),Norm_Stats!$G$14)-Norm_Stats!$F$14)/(Norm_Stats!$G$14-Norm_Stats!$F$14)))))="",0,0.7)+IF((IF(OR(City_Inputs!$AK72="",Norm_Stats!$F$15="",Norm_Stats!$G$15="",Norm_Stats!$G$15=Norm_Stats!$F$15),"",MAX(0,MIN(100,100*(Norm_Stats!$G$15-MIN(MAX(City_Inputs!$AK72,Norm_Stats!$F$15),Norm_Stats!$G$15))/(Norm_Stats!$G$15-Norm_Stats!$F$15)))))="",0,0.3))=0,"",(IF((IF(OR(City_Inputs!$Z72="",Norm_Stats!$F$14="",Norm_Stats!$G$14="",Norm_Stats!$G$14=Norm_Stats!$F$14),"",MAX(0,MIN(100,100*(MIN(MAX(City_Inputs!$Z72,Norm_Stats!$F$14),Norm_Stats!$G$14)-Norm_Stats!$F$14)/(Norm_Stats!$G$14-Norm_Stats!$F$14)))))="",0,0.7)+IF((IF(OR(City_Inputs!$AK72="",Norm_Stats!$F$15="",Norm_Stats!$G$15="",Norm_Stats!$G$15=Norm_Stats!$F$15),"",MAX(0,MIN(100,100*(Norm_Stats!$G$15-MIN(MAX(City_Inputs!$AK72,Norm_Stats!$F$15),Norm_Stats!$G$15))/(Norm_Stats!$G$15-Norm_Stats!$F$15)))))="",0,0.3)))</f>
        <v/>
      </c>
      <c r="AK72" s="15">
        <f>IF((IF(AE72="",0,8)+IF(AG72="",0,6)+IF(AI72="",0,4))=0,"",(IF(AE72="",0,AE72*8)+IF(AG72="",0,AG72*6)+IF(AI72="",0,AI72*4))/(IF(AE72="",0,8)+IF(AG72="",0,6)+IF(AI72="",0,4)))</f>
        <v/>
      </c>
      <c r="AL72" s="14">
        <f>IF((IF(AF72="",0,8)+IF(AH72="",0,6)+IF(AJ72="",0,4))=0,"",(IF(AF72="",0,AF72*8)+IF(AH72="",0,AH72*6)+IF(AJ72="",0,AJ72*4))/18)</f>
        <v/>
      </c>
      <c r="AM72" s="11">
        <f>IF(OR(City_Inputs!$AA72="",Norm_Stats!$F$16="",Norm_Stats!$G$16="",Norm_Stats!$G$16=Norm_Stats!$F$16),"",MAX(0,MIN(100,100*(MIN(MAX(City_Inputs!$AA72,Norm_Stats!$F$16),Norm_Stats!$G$16)-Norm_Stats!$F$16)/(Norm_Stats!$G$16-Norm_Stats!$F$16))))</f>
        <v/>
      </c>
      <c r="AN72" s="14">
        <f>IF(AM72="","",1)</f>
        <v/>
      </c>
      <c r="AO72" s="11">
        <f>IF(OR(City_Inputs!$AB72="",Norm_Stats!$F$17="",Norm_Stats!$G$17="",Norm_Stats!$G$17=Norm_Stats!$F$17),"",MAX(0,MIN(100,100*(MIN(MAX(City_Inputs!$AB72,Norm_Stats!$F$17),Norm_Stats!$G$17)-Norm_Stats!$F$17)/(Norm_Stats!$G$17-Norm_Stats!$F$17))))</f>
        <v/>
      </c>
      <c r="AP72" s="14">
        <f>IF(AO72="","",1)</f>
        <v/>
      </c>
      <c r="AQ72" s="11">
        <f>IF(OR(City_Inputs!$AC72="",Norm_Stats!$F$18="",Norm_Stats!$G$18="",Norm_Stats!$G$18=Norm_Stats!$F$18),"",MAX(0,MIN(100,100*(MIN(MAX(City_Inputs!$AC72,Norm_Stats!$F$18),Norm_Stats!$G$18)-Norm_Stats!$F$18)/(Norm_Stats!$G$18-Norm_Stats!$F$18))))</f>
        <v/>
      </c>
      <c r="AR72" s="14">
        <f>IF(AQ72="","",1)</f>
        <v/>
      </c>
      <c r="AS72" s="15">
        <f>IF((IF(AM72="",0,5)+IF(AO72="",0,5)+IF(AQ72="",0,5))=0,"",(IF(AM72="",0,AM72*5)+IF(AO72="",0,AO72*5)+IF(AQ72="",0,AQ72*5))/(IF(AM72="",0,5)+IF(AO72="",0,5)+IF(AQ72="",0,5)))</f>
        <v/>
      </c>
      <c r="AT72" s="14">
        <f>IF((IF(AN72="",0,5)+IF(AP72="",0,5)+IF(AR72="",0,5))=0,"",(IF(AN72="",0,AN72*5)+IF(AP72="",0,AP72*5)+IF(AR72="",0,AR72*5))/15)</f>
        <v/>
      </c>
      <c r="AU72" s="11">
        <f>IF(OR(City_Inputs!$AD72="",Norm_Stats!$F$19="",Norm_Stats!$G$19="",Norm_Stats!$G$19=Norm_Stats!$F$19),"",MAX(0,MIN(100,100*(MIN(MAX(City_Inputs!$AD72,Norm_Stats!$F$19),Norm_Stats!$G$19)-Norm_Stats!$F$19)/(Norm_Stats!$G$19-Norm_Stats!$F$19))))</f>
        <v/>
      </c>
      <c r="AV72" s="14">
        <f>IF(AU72="","",1)</f>
        <v/>
      </c>
      <c r="AW72" s="11">
        <f>IF(OR(City_Inputs!$AE72="",Norm_Stats!$F$20="",Norm_Stats!$G$20="",Norm_Stats!$G$20=Norm_Stats!$F$20),"",MAX(0,MIN(100,100*(MIN(MAX(City_Inputs!$AE72,Norm_Stats!$F$20),Norm_Stats!$G$20)-Norm_Stats!$F$20)/(Norm_Stats!$G$20-Norm_Stats!$F$20))))</f>
        <v/>
      </c>
      <c r="AX72" s="14">
        <f>IF(AW72="","",1)</f>
        <v/>
      </c>
      <c r="AY72" s="11">
        <f>IF((IF((IF(OR(City_Inputs!$AF72="",Norm_Stats!$F$21="",Norm_Stats!$G$21="",Norm_Stats!$G$21=Norm_Stats!$F$21),"",MAX(0,MIN(100,100*(MIN(MAX(City_Inputs!$AF72,Norm_Stats!$F$21),Norm_Stats!$G$21)-Norm_Stats!$F$21)/(Norm_Stats!$G$21-Norm_Stats!$F$21)))))="",0,0.5)+IF((IF(OR(City_Inputs!$AI72="",Norm_Stats!$F$22="",Norm_Stats!$G$22="",Norm_Stats!$G$22=Norm_Stats!$F$22),"",MAX(0,MIN(100,100*(MIN(MAX(City_Inputs!$AI72,Norm_Stats!$F$22),Norm_Stats!$G$22)-Norm_Stats!$F$22)/(Norm_Stats!$G$22-Norm_Stats!$F$22)))))="",0,0.3)+IF((IF(OR(City_Inputs!$AJ72="",Norm_Stats!$F$23="",Norm_Stats!$G$23="",Norm_Stats!$G$23=Norm_Stats!$F$23),"",MAX(0,MIN(100,100*(MIN(MAX(City_Inputs!$AJ72,Norm_Stats!$F$23),Norm_Stats!$G$23)-Norm_Stats!$F$23)/(Norm_Stats!$G$23-Norm_Stats!$F$23)))))="",0,0.2))=0,"",(IF((IF(OR(City_Inputs!$AF72="",Norm_Stats!$F$21="",Norm_Stats!$G$21="",Norm_Stats!$G$21=Norm_Stats!$F$21),"",MAX(0,MIN(100,100*(MIN(MAX(City_Inputs!$AF72,Norm_Stats!$F$21),Norm_Stats!$G$21)-Norm_Stats!$F$21)/(Norm_Stats!$G$21-Norm_Stats!$F$21)))))="",0,(IF(OR(City_Inputs!$AF72="",Norm_Stats!$F$21="",Norm_Stats!$G$21="",Norm_Stats!$G$21=Norm_Stats!$F$21),"",MAX(0,MIN(100,100*(MIN(MAX(City_Inputs!$AF72,Norm_Stats!$F$21),Norm_Stats!$G$21)-Norm_Stats!$F$21)/(Norm_Stats!$G$21-Norm_Stats!$F$21)))))*0.5)+IF((IF(OR(City_Inputs!$AI72="",Norm_Stats!$F$22="",Norm_Stats!$G$22="",Norm_Stats!$G$22=Norm_Stats!$F$22),"",MAX(0,MIN(100,100*(MIN(MAX(City_Inputs!$AI72,Norm_Stats!$F$22),Norm_Stats!$G$22)-Norm_Stats!$F$22)/(Norm_Stats!$G$22-Norm_Stats!$F$22)))))="",0,(IF(OR(City_Inputs!$AI72="",Norm_Stats!$F$22="",Norm_Stats!$G$22="",Norm_Stats!$G$22=Norm_Stats!$F$22),"",MAX(0,MIN(100,100*(MIN(MAX(City_Inputs!$AI72,Norm_Stats!$F$22),Norm_Stats!$G$22)-Norm_Stats!$F$22)/(Norm_Stats!$G$22-Norm_Stats!$F$22)))))*0.3)+IF((IF(OR(City_Inputs!$AJ72="",Norm_Stats!$F$23="",Norm_Stats!$G$23="",Norm_Stats!$G$23=Norm_Stats!$F$23),"",MAX(0,MIN(100,100*(MIN(MAX(City_Inputs!$AJ72,Norm_Stats!$F$23),Norm_Stats!$G$23)-Norm_Stats!$F$23)/(Norm_Stats!$G$23-Norm_Stats!$F$23)))))="",0,(IF(OR(City_Inputs!$AJ72="",Norm_Stats!$F$23="",Norm_Stats!$G$23="",Norm_Stats!$G$23=Norm_Stats!$F$23),"",MAX(0,MIN(100,100*(MIN(MAX(City_Inputs!$AJ72,Norm_Stats!$F$23),Norm_Stats!$G$23)-Norm_Stats!$F$23)/(Norm_Stats!$G$23-Norm_Stats!$F$23)))))*0.2))/(IF((IF(OR(City_Inputs!$AF72="",Norm_Stats!$F$21="",Norm_Stats!$G$21="",Norm_Stats!$G$21=Norm_Stats!$F$21),"",MAX(0,MIN(100,100*(MIN(MAX(City_Inputs!$AF72,Norm_Stats!$F$21),Norm_Stats!$G$21)-Norm_Stats!$F$21)/(Norm_Stats!$G$21-Norm_Stats!$F$21)))))="",0,0.5)+IF((IF(OR(City_Inputs!$AI72="",Norm_Stats!$F$22="",Norm_Stats!$G$22="",Norm_Stats!$G$22=Norm_Stats!$F$22),"",MAX(0,MIN(100,100*(MIN(MAX(City_Inputs!$AI72,Norm_Stats!$F$22),Norm_Stats!$G$22)-Norm_Stats!$F$22)/(Norm_Stats!$G$22-Norm_Stats!$F$22)))))="",0,0.3)+IF((IF(OR(City_Inputs!$AJ72="",Norm_Stats!$F$23="",Norm_Stats!$G$23="",Norm_Stats!$G$23=Norm_Stats!$F$23),"",MAX(0,MIN(100,100*(MIN(MAX(City_Inputs!$AJ72,Norm_Stats!$F$23),Norm_Stats!$G$23)-Norm_Stats!$F$23)/(Norm_Stats!$G$23-Norm_Stats!$F$23)))))="",0,0.2)))</f>
        <v/>
      </c>
      <c r="AZ72" s="14">
        <f>IF((IF((IF(OR(City_Inputs!$AF72="",Norm_Stats!$F$21="",Norm_Stats!$G$21="",Norm_Stats!$G$21=Norm_Stats!$F$21),"",MAX(0,MIN(100,100*(MIN(MAX(City_Inputs!$AF72,Norm_Stats!$F$21),Norm_Stats!$G$21)-Norm_Stats!$F$21)/(Norm_Stats!$G$21-Norm_Stats!$F$21)))))="",0,0.5)+IF((IF(OR(City_Inputs!$AI72="",Norm_Stats!$F$22="",Norm_Stats!$G$22="",Norm_Stats!$G$22=Norm_Stats!$F$22),"",MAX(0,MIN(100,100*(MIN(MAX(City_Inputs!$AI72,Norm_Stats!$F$22),Norm_Stats!$G$22)-Norm_Stats!$F$22)/(Norm_Stats!$G$22-Norm_Stats!$F$22)))))="",0,0.3)+IF((IF(OR(City_Inputs!$AJ72="",Norm_Stats!$F$23="",Norm_Stats!$G$23="",Norm_Stats!$G$23=Norm_Stats!$F$23),"",MAX(0,MIN(100,100*(MIN(MAX(City_Inputs!$AJ72,Norm_Stats!$F$23),Norm_Stats!$G$23)-Norm_Stats!$F$23)/(Norm_Stats!$G$23-Norm_Stats!$F$23)))))="",0,0.2))=0,"",(IF((IF(OR(City_Inputs!$AF72="",Norm_Stats!$F$21="",Norm_Stats!$G$21="",Norm_Stats!$G$21=Norm_Stats!$F$21),"",MAX(0,MIN(100,100*(MIN(MAX(City_Inputs!$AF72,Norm_Stats!$F$21),Norm_Stats!$G$21)-Norm_Stats!$F$21)/(Norm_Stats!$G$21-Norm_Stats!$F$21)))))="",0,0.5)+IF((IF(OR(City_Inputs!$AI72="",Norm_Stats!$F$22="",Norm_Stats!$G$22="",Norm_Stats!$G$22=Norm_Stats!$F$22),"",MAX(0,MIN(100,100*(MIN(MAX(City_Inputs!$AI72,Norm_Stats!$F$22),Norm_Stats!$G$22)-Norm_Stats!$F$22)/(Norm_Stats!$G$22-Norm_Stats!$F$22)))))="",0,0.3)+IF((IF(OR(City_Inputs!$AJ72="",Norm_Stats!$F$23="",Norm_Stats!$G$23="",Norm_Stats!$G$23=Norm_Stats!$F$23),"",MAX(0,MIN(100,100*(MIN(MAX(City_Inputs!$AJ72,Norm_Stats!$F$23),Norm_Stats!$G$23)-Norm_Stats!$F$23)/(Norm_Stats!$G$23-Norm_Stats!$F$23)))))="",0,0.2)))</f>
        <v/>
      </c>
      <c r="BA72" s="11">
        <f>IF(OR(City_Inputs!$AG72="",Norm_Stats!$F$24="",Norm_Stats!$G$24="",Norm_Stats!$G$24=Norm_Stats!$F$24),"",MAX(0,MIN(100,100*(Norm_Stats!$G$24-MIN(MAX(City_Inputs!$AG72,Norm_Stats!$F$24),Norm_Stats!$G$24))/(Norm_Stats!$G$24-Norm_Stats!$F$24))))</f>
        <v/>
      </c>
      <c r="BB72" s="14">
        <f>IF(BA72="","",1)</f>
        <v/>
      </c>
      <c r="BC72" s="15">
        <f>IF((IF(AU72="",0,6)+IF(AW72="",0,5)+IF(AY72="",0,5)+IF(BA72="",0,4))=0,"",(IF(AU72="",0,AU72*6)+IF(AW72="",0,AW72*5)+IF(AY72="",0,AY72*5)+IF(BA72="",0,BA72*4))/(IF(AU72="",0,6)+IF(AW72="",0,5)+IF(AY72="",0,5)+IF(BA72="",0,4)))</f>
        <v/>
      </c>
      <c r="BD72" s="14">
        <f>IF((IF(AV72="",0,6)+IF(AX72="",0,5)+IF(AZ72="",0,5)+IF(BB72="",0,4))=0,"",(IF(AV72="",0,AV72*6)+IF(AX72="",0,AX72*5)+IF(AZ72="",0,AZ72*5)+IF(BB72="",0,BB72*4))/20)</f>
        <v/>
      </c>
      <c r="BE72" s="14">
        <f>IF(AND(R72="",AD72="",AL72="",AT72="",BD72=""),"",((R72*25)+(AD72*22)+(AL72*18)+(AT72*15)+(BD72*20))/100)</f>
        <v/>
      </c>
      <c r="BF72" s="11">
        <f>IF(BE72="","",IF(BE72&gt;=0.75,"A",IF(BE72&gt;=0.5,"B",IF(BE72&gt;=0.35,"C","Watchlist"))))</f>
        <v/>
      </c>
      <c r="BG72" s="11">
        <f>IF(OR(BE72="",BE72&lt;0.5,R72="",R72&lt;0.35,AD72="",AD72&lt;0.35,AL72="",AL72&lt;0.35,AT72="",AT72&lt;0.35,BD72="",BD72&lt;0.35),"Watchlist","Ranked")</f>
        <v/>
      </c>
      <c r="BH72" s="15">
        <f>IF(AND(Q72="",AC72="",AK72="",AS72="",BC72=""),"",(IF(Q72="",0,Q72*25)+IF(AC72="",0,AC72*22)+IF(AK72="",0,AK72*18)+IF(AS72="",0,AS72*15)+IF(BC72="",0,BC72*20))/(IF(Q72="",0,25)+IF(AC72="",0,22)+IF(AK72="",0,18)+IF(AS72="",0,15)+IF(BC72="",0,20)))</f>
        <v/>
      </c>
      <c r="BI72" s="11">
        <f>IF(BG72="Ranked",1+COUNTIFS($BG$2:$BG$103,"Ranked",$BH$2:$BH$103,"&gt;"&amp;BH72),"")</f>
        <v/>
      </c>
      <c r="BJ72" s="11">
        <f>City_Inputs!$AH72</f>
        <v/>
      </c>
    </row>
    <row r="73">
      <c r="A73" t="inlineStr">
        <is>
          <t>cl-valparaiso</t>
        </is>
      </c>
      <c r="B73" t="inlineStr">
        <is>
          <t>Valparaiso</t>
        </is>
      </c>
      <c r="C73" t="inlineStr">
        <is>
          <t>Chile</t>
        </is>
      </c>
      <c r="D73" t="inlineStr">
        <is>
          <t>Latin America</t>
        </is>
      </c>
      <c r="E73" t="inlineStr">
        <is>
          <t>provisional</t>
        </is>
      </c>
      <c r="F73" t="inlineStr">
        <is>
          <t>secondary</t>
        </is>
      </c>
      <c r="G73" s="11">
        <f>IF(OR(City_Inputs!$M73="",Norm_Stats!$F$2="",Norm_Stats!$G$2="",Norm_Stats!$G$2=Norm_Stats!$F$2),"",MAX(0,MIN(100,100*(MIN(MAX(City_Inputs!$M73,Norm_Stats!$F$2),Norm_Stats!$G$2)-Norm_Stats!$F$2)/(Norm_Stats!$G$2-Norm_Stats!$F$2))))</f>
        <v/>
      </c>
      <c r="H73" s="14">
        <f>IF(G73="","",1)</f>
        <v/>
      </c>
      <c r="I73" s="11">
        <f>IF(OR(City_Inputs!$N73="",Norm_Stats!$F$3="",Norm_Stats!$G$3="",Norm_Stats!$G$3=Norm_Stats!$F$3),"",MAX(0,MIN(100,100*(Norm_Stats!$G$3-MIN(MAX(City_Inputs!$N73,Norm_Stats!$F$3),Norm_Stats!$G$3))/(Norm_Stats!$G$3-Norm_Stats!$F$3))))</f>
        <v/>
      </c>
      <c r="J73" s="14">
        <f>IF(I73="","",1)</f>
        <v/>
      </c>
      <c r="K73" s="11">
        <f>IF(OR(City_Inputs!$P73="",Norm_Stats!$F$4="",Norm_Stats!$G$4="",Norm_Stats!$G$4=Norm_Stats!$F$4),"",MAX(0,MIN(100,100*(Norm_Stats!$G$4-MIN(MAX(City_Inputs!$P73,Norm_Stats!$F$4),Norm_Stats!$G$4))/(Norm_Stats!$G$4-Norm_Stats!$F$4))))</f>
        <v/>
      </c>
      <c r="L73" s="14">
        <f>IF(K73="","",1)</f>
        <v/>
      </c>
      <c r="M73" s="11">
        <f>IF(OR(City_Inputs!$Q73="",Norm_Stats!$F$5="",Norm_Stats!$G$5="",Norm_Stats!$G$5=Norm_Stats!$F$5),"",MAX(0,MIN(100,100*(Norm_Stats!$G$5-MIN(MAX(City_Inputs!$Q73,Norm_Stats!$F$5),Norm_Stats!$G$5))/(Norm_Stats!$G$5-Norm_Stats!$F$5))))</f>
        <v/>
      </c>
      <c r="N73" s="14">
        <f>IF(M73="","",1)</f>
        <v/>
      </c>
      <c r="O73" s="11">
        <f>IF(OR(City_Inputs!$R73="",Norm_Stats!$F$6="",Norm_Stats!$G$6="",Norm_Stats!$G$6=Norm_Stats!$F$6),"",MAX(0,MIN(100,100*(Norm_Stats!$G$6-MIN(MAX(City_Inputs!$R73,Norm_Stats!$F$6),Norm_Stats!$G$6))/(Norm_Stats!$G$6-Norm_Stats!$F$6))))</f>
        <v/>
      </c>
      <c r="P73" s="14">
        <f>IF(O73="","",1)</f>
        <v/>
      </c>
      <c r="Q73" s="15">
        <f>IF((IF(G73="",0,9)+IF(I73="",0,5)+IF(K73="",0,4)+IF(M73="",0,4)+IF(O73="",0,3))=0,"",(IF(G73="",0,G73*9)+IF(I73="",0,I73*5)+IF(K73="",0,K73*4)+IF(M73="",0,M73*4)+IF(O73="",0,O73*3))/(IF(G73="",0,9)+IF(I73="",0,5)+IF(K73="",0,4)+IF(M73="",0,4)+IF(O73="",0,3)))</f>
        <v/>
      </c>
      <c r="R73" s="14">
        <f>IF((IF(H73="",0,9)+IF(J73="",0,5)+IF(L73="",0,4)+IF(N73="",0,4)+IF(P73="",0,3))=0,"",(IF(H73="",0,H73*9)+IF(J73="",0,J73*5)+IF(L73="",0,L73*4)+IF(N73="",0,N73*4)+IF(P73="",0,P73*3))/25)</f>
        <v/>
      </c>
      <c r="S73" s="11">
        <f>IF(OR(City_Inputs!$S73="",Norm_Stats!$F$7="",Norm_Stats!$G$7="",Norm_Stats!$G$7=Norm_Stats!$F$7),"",MAX(0,MIN(100,100*(Norm_Stats!$G$7-MIN(MAX(City_Inputs!$S73,Norm_Stats!$F$7),Norm_Stats!$G$7))/(Norm_Stats!$G$7-Norm_Stats!$F$7))))</f>
        <v/>
      </c>
      <c r="T73" s="14">
        <f>IF(S73="","",1)</f>
        <v/>
      </c>
      <c r="U73" s="11">
        <f>IF(OR(City_Inputs!$T73="",Norm_Stats!$F$8="",Norm_Stats!$G$8="",Norm_Stats!$G$8=Norm_Stats!$F$8),"",MAX(0,MIN(100,100*(MIN(MAX(City_Inputs!$T73,Norm_Stats!$F$8),Norm_Stats!$G$8)-Norm_Stats!$F$8)/(Norm_Stats!$G$8-Norm_Stats!$F$8))))</f>
        <v/>
      </c>
      <c r="V73" s="14">
        <f>IF(U73="","",1)</f>
        <v/>
      </c>
      <c r="W73" s="11">
        <f>IF(OR(City_Inputs!$U73="",Norm_Stats!$F$9="",Norm_Stats!$G$9="",Norm_Stats!$G$9=Norm_Stats!$F$9),"",MAX(0,MIN(100,100*(Norm_Stats!$G$9-MIN(MAX(City_Inputs!$U73,Norm_Stats!$F$9),Norm_Stats!$G$9))/(Norm_Stats!$G$9-Norm_Stats!$F$9))))</f>
        <v/>
      </c>
      <c r="X73" s="14">
        <f>IF(W73="","",1)</f>
        <v/>
      </c>
      <c r="Y73" s="11">
        <f>IF(OR(City_Inputs!$V73="",Norm_Stats!$F$10="",Norm_Stats!$G$10="",Norm_Stats!$G$10=Norm_Stats!$F$10),"",MAX(0,MIN(100,100*(MIN(MAX(City_Inputs!$V73,Norm_Stats!$F$10),Norm_Stats!$G$10)-Norm_Stats!$F$10)/(Norm_Stats!$G$10-Norm_Stats!$F$10))))</f>
        <v/>
      </c>
      <c r="Z73" s="14">
        <f>IF(Y73="","",1)</f>
        <v/>
      </c>
      <c r="AA73" s="11">
        <f>IF(OR(City_Inputs!$W73="",Norm_Stats!$F$11="",Norm_Stats!$G$11="",Norm_Stats!$G$11=Norm_Stats!$F$11),"",MAX(0,MIN(100,100*(MIN(MAX(City_Inputs!$W73,Norm_Stats!$F$11),Norm_Stats!$G$11)-Norm_Stats!$F$11)/(Norm_Stats!$G$11-Norm_Stats!$F$11))))</f>
        <v/>
      </c>
      <c r="AB73" s="14">
        <f>IF(AA73="","",1)</f>
        <v/>
      </c>
      <c r="AC73" s="15">
        <f>IF((IF(S73="",0,5)+IF(U73="",0,5)+IF(W73="",0,4)+IF(Y73="",0,4)+IF(AA73="",0,4))=0,"",(IF(S73="",0,S73*5)+IF(U73="",0,U73*5)+IF(W73="",0,W73*4)+IF(Y73="",0,Y73*4)+IF(AA73="",0,AA73*4))/(IF(S73="",0,5)+IF(U73="",0,5)+IF(W73="",0,4)+IF(Y73="",0,4)+IF(AA73="",0,4)))</f>
        <v/>
      </c>
      <c r="AD73" s="14">
        <f>IF((IF(T73="",0,5)+IF(V73="",0,5)+IF(X73="",0,4)+IF(Z73="",0,4)+IF(AB73="",0,4))=0,"",(IF(T73="",0,T73*5)+IF(V73="",0,V73*5)+IF(X73="",0,X73*4)+IF(Z73="",0,Z73*4)+IF(AB73="",0,AB73*4))/22)</f>
        <v/>
      </c>
      <c r="AE73" s="11">
        <f>IF(OR(City_Inputs!$X73="",Norm_Stats!$F$12="",Norm_Stats!$G$12="",Norm_Stats!$G$12=Norm_Stats!$F$12),"",MAX(0,MIN(100,100*(MIN(MAX(City_Inputs!$X73,Norm_Stats!$F$12),Norm_Stats!$G$12)-Norm_Stats!$F$12)/(Norm_Stats!$G$12-Norm_Stats!$F$12))))</f>
        <v/>
      </c>
      <c r="AF73" s="14">
        <f>IF(AE73="","",1)</f>
        <v/>
      </c>
      <c r="AG73" s="11">
        <f>IF(OR(City_Inputs!$Y73="",Norm_Stats!$F$13="",Norm_Stats!$G$13="",Norm_Stats!$G$13=Norm_Stats!$F$13),"",MAX(0,MIN(100,100*(MIN(MAX(City_Inputs!$Y73,Norm_Stats!$F$13),Norm_Stats!$G$13)-Norm_Stats!$F$13)/(Norm_Stats!$G$13-Norm_Stats!$F$13))))</f>
        <v/>
      </c>
      <c r="AH73" s="14">
        <f>IF(AG73="","",1)</f>
        <v/>
      </c>
      <c r="AI73" s="11">
        <f>IF((IF((IF(OR(City_Inputs!$Z73="",Norm_Stats!$F$14="",Norm_Stats!$G$14="",Norm_Stats!$G$14=Norm_Stats!$F$14),"",MAX(0,MIN(100,100*(MIN(MAX(City_Inputs!$Z73,Norm_Stats!$F$14),Norm_Stats!$G$14)-Norm_Stats!$F$14)/(Norm_Stats!$G$14-Norm_Stats!$F$14)))))="",0,0.7)+IF((IF(OR(City_Inputs!$AK73="",Norm_Stats!$F$15="",Norm_Stats!$G$15="",Norm_Stats!$G$15=Norm_Stats!$F$15),"",MAX(0,MIN(100,100*(Norm_Stats!$G$15-MIN(MAX(City_Inputs!$AK73,Norm_Stats!$F$15),Norm_Stats!$G$15))/(Norm_Stats!$G$15-Norm_Stats!$F$15)))))="",0,0.3))=0,"",(IF((IF(OR(City_Inputs!$Z73="",Norm_Stats!$F$14="",Norm_Stats!$G$14="",Norm_Stats!$G$14=Norm_Stats!$F$14),"",MAX(0,MIN(100,100*(MIN(MAX(City_Inputs!$Z73,Norm_Stats!$F$14),Norm_Stats!$G$14)-Norm_Stats!$F$14)/(Norm_Stats!$G$14-Norm_Stats!$F$14)))))="",0,(IF(OR(City_Inputs!$Z73="",Norm_Stats!$F$14="",Norm_Stats!$G$14="",Norm_Stats!$G$14=Norm_Stats!$F$14),"",MAX(0,MIN(100,100*(MIN(MAX(City_Inputs!$Z73,Norm_Stats!$F$14),Norm_Stats!$G$14)-Norm_Stats!$F$14)/(Norm_Stats!$G$14-Norm_Stats!$F$14)))))*0.7)+IF((IF(OR(City_Inputs!$AK73="",Norm_Stats!$F$15="",Norm_Stats!$G$15="",Norm_Stats!$G$15=Norm_Stats!$F$15),"",MAX(0,MIN(100,100*(Norm_Stats!$G$15-MIN(MAX(City_Inputs!$AK73,Norm_Stats!$F$15),Norm_Stats!$G$15))/(Norm_Stats!$G$15-Norm_Stats!$F$15)))))="",0,(IF(OR(City_Inputs!$AK73="",Norm_Stats!$F$15="",Norm_Stats!$G$15="",Norm_Stats!$G$15=Norm_Stats!$F$15),"",MAX(0,MIN(100,100*(Norm_Stats!$G$15-MIN(MAX(City_Inputs!$AK73,Norm_Stats!$F$15),Norm_Stats!$G$15))/(Norm_Stats!$G$15-Norm_Stats!$F$15)))))*0.3))/(IF((IF(OR(City_Inputs!$Z73="",Norm_Stats!$F$14="",Norm_Stats!$G$14="",Norm_Stats!$G$14=Norm_Stats!$F$14),"",MAX(0,MIN(100,100*(MIN(MAX(City_Inputs!$Z73,Norm_Stats!$F$14),Norm_Stats!$G$14)-Norm_Stats!$F$14)/(Norm_Stats!$G$14-Norm_Stats!$F$14)))))="",0,0.7)+IF((IF(OR(City_Inputs!$AK73="",Norm_Stats!$F$15="",Norm_Stats!$G$15="",Norm_Stats!$G$15=Norm_Stats!$F$15),"",MAX(0,MIN(100,100*(Norm_Stats!$G$15-MIN(MAX(City_Inputs!$AK73,Norm_Stats!$F$15),Norm_Stats!$G$15))/(Norm_Stats!$G$15-Norm_Stats!$F$15)))))="",0,0.3)))</f>
        <v/>
      </c>
      <c r="AJ73" s="14">
        <f>IF((IF((IF(OR(City_Inputs!$Z73="",Norm_Stats!$F$14="",Norm_Stats!$G$14="",Norm_Stats!$G$14=Norm_Stats!$F$14),"",MAX(0,MIN(100,100*(MIN(MAX(City_Inputs!$Z73,Norm_Stats!$F$14),Norm_Stats!$G$14)-Norm_Stats!$F$14)/(Norm_Stats!$G$14-Norm_Stats!$F$14)))))="",0,0.7)+IF((IF(OR(City_Inputs!$AK73="",Norm_Stats!$F$15="",Norm_Stats!$G$15="",Norm_Stats!$G$15=Norm_Stats!$F$15),"",MAX(0,MIN(100,100*(Norm_Stats!$G$15-MIN(MAX(City_Inputs!$AK73,Norm_Stats!$F$15),Norm_Stats!$G$15))/(Norm_Stats!$G$15-Norm_Stats!$F$15)))))="",0,0.3))=0,"",(IF((IF(OR(City_Inputs!$Z73="",Norm_Stats!$F$14="",Norm_Stats!$G$14="",Norm_Stats!$G$14=Norm_Stats!$F$14),"",MAX(0,MIN(100,100*(MIN(MAX(City_Inputs!$Z73,Norm_Stats!$F$14),Norm_Stats!$G$14)-Norm_Stats!$F$14)/(Norm_Stats!$G$14-Norm_Stats!$F$14)))))="",0,0.7)+IF((IF(OR(City_Inputs!$AK73="",Norm_Stats!$F$15="",Norm_Stats!$G$15="",Norm_Stats!$G$15=Norm_Stats!$F$15),"",MAX(0,MIN(100,100*(Norm_Stats!$G$15-MIN(MAX(City_Inputs!$AK73,Norm_Stats!$F$15),Norm_Stats!$G$15))/(Norm_Stats!$G$15-Norm_Stats!$F$15)))))="",0,0.3)))</f>
        <v/>
      </c>
      <c r="AK73" s="15">
        <f>IF((IF(AE73="",0,8)+IF(AG73="",0,6)+IF(AI73="",0,4))=0,"",(IF(AE73="",0,AE73*8)+IF(AG73="",0,AG73*6)+IF(AI73="",0,AI73*4))/(IF(AE73="",0,8)+IF(AG73="",0,6)+IF(AI73="",0,4)))</f>
        <v/>
      </c>
      <c r="AL73" s="14">
        <f>IF((IF(AF73="",0,8)+IF(AH73="",0,6)+IF(AJ73="",0,4))=0,"",(IF(AF73="",0,AF73*8)+IF(AH73="",0,AH73*6)+IF(AJ73="",0,AJ73*4))/18)</f>
        <v/>
      </c>
      <c r="AM73" s="11">
        <f>IF(OR(City_Inputs!$AA73="",Norm_Stats!$F$16="",Norm_Stats!$G$16="",Norm_Stats!$G$16=Norm_Stats!$F$16),"",MAX(0,MIN(100,100*(MIN(MAX(City_Inputs!$AA73,Norm_Stats!$F$16),Norm_Stats!$G$16)-Norm_Stats!$F$16)/(Norm_Stats!$G$16-Norm_Stats!$F$16))))</f>
        <v/>
      </c>
      <c r="AN73" s="14">
        <f>IF(AM73="","",1)</f>
        <v/>
      </c>
      <c r="AO73" s="11">
        <f>IF(OR(City_Inputs!$AB73="",Norm_Stats!$F$17="",Norm_Stats!$G$17="",Norm_Stats!$G$17=Norm_Stats!$F$17),"",MAX(0,MIN(100,100*(MIN(MAX(City_Inputs!$AB73,Norm_Stats!$F$17),Norm_Stats!$G$17)-Norm_Stats!$F$17)/(Norm_Stats!$G$17-Norm_Stats!$F$17))))</f>
        <v/>
      </c>
      <c r="AP73" s="14">
        <f>IF(AO73="","",1)</f>
        <v/>
      </c>
      <c r="AQ73" s="11">
        <f>IF(OR(City_Inputs!$AC73="",Norm_Stats!$F$18="",Norm_Stats!$G$18="",Norm_Stats!$G$18=Norm_Stats!$F$18),"",MAX(0,MIN(100,100*(MIN(MAX(City_Inputs!$AC73,Norm_Stats!$F$18),Norm_Stats!$G$18)-Norm_Stats!$F$18)/(Norm_Stats!$G$18-Norm_Stats!$F$18))))</f>
        <v/>
      </c>
      <c r="AR73" s="14">
        <f>IF(AQ73="","",1)</f>
        <v/>
      </c>
      <c r="AS73" s="15">
        <f>IF((IF(AM73="",0,5)+IF(AO73="",0,5)+IF(AQ73="",0,5))=0,"",(IF(AM73="",0,AM73*5)+IF(AO73="",0,AO73*5)+IF(AQ73="",0,AQ73*5))/(IF(AM73="",0,5)+IF(AO73="",0,5)+IF(AQ73="",0,5)))</f>
        <v/>
      </c>
      <c r="AT73" s="14">
        <f>IF((IF(AN73="",0,5)+IF(AP73="",0,5)+IF(AR73="",0,5))=0,"",(IF(AN73="",0,AN73*5)+IF(AP73="",0,AP73*5)+IF(AR73="",0,AR73*5))/15)</f>
        <v/>
      </c>
      <c r="AU73" s="11">
        <f>IF(OR(City_Inputs!$AD73="",Norm_Stats!$F$19="",Norm_Stats!$G$19="",Norm_Stats!$G$19=Norm_Stats!$F$19),"",MAX(0,MIN(100,100*(MIN(MAX(City_Inputs!$AD73,Norm_Stats!$F$19),Norm_Stats!$G$19)-Norm_Stats!$F$19)/(Norm_Stats!$G$19-Norm_Stats!$F$19))))</f>
        <v/>
      </c>
      <c r="AV73" s="14">
        <f>IF(AU73="","",1)</f>
        <v/>
      </c>
      <c r="AW73" s="11">
        <f>IF(OR(City_Inputs!$AE73="",Norm_Stats!$F$20="",Norm_Stats!$G$20="",Norm_Stats!$G$20=Norm_Stats!$F$20),"",MAX(0,MIN(100,100*(MIN(MAX(City_Inputs!$AE73,Norm_Stats!$F$20),Norm_Stats!$G$20)-Norm_Stats!$F$20)/(Norm_Stats!$G$20-Norm_Stats!$F$20))))</f>
        <v/>
      </c>
      <c r="AX73" s="14">
        <f>IF(AW73="","",1)</f>
        <v/>
      </c>
      <c r="AY73" s="11">
        <f>IF((IF((IF(OR(City_Inputs!$AF73="",Norm_Stats!$F$21="",Norm_Stats!$G$21="",Norm_Stats!$G$21=Norm_Stats!$F$21),"",MAX(0,MIN(100,100*(MIN(MAX(City_Inputs!$AF73,Norm_Stats!$F$21),Norm_Stats!$G$21)-Norm_Stats!$F$21)/(Norm_Stats!$G$21-Norm_Stats!$F$21)))))="",0,0.5)+IF((IF(OR(City_Inputs!$AI73="",Norm_Stats!$F$22="",Norm_Stats!$G$22="",Norm_Stats!$G$22=Norm_Stats!$F$22),"",MAX(0,MIN(100,100*(MIN(MAX(City_Inputs!$AI73,Norm_Stats!$F$22),Norm_Stats!$G$22)-Norm_Stats!$F$22)/(Norm_Stats!$G$22-Norm_Stats!$F$22)))))="",0,0.3)+IF((IF(OR(City_Inputs!$AJ73="",Norm_Stats!$F$23="",Norm_Stats!$G$23="",Norm_Stats!$G$23=Norm_Stats!$F$23),"",MAX(0,MIN(100,100*(MIN(MAX(City_Inputs!$AJ73,Norm_Stats!$F$23),Norm_Stats!$G$23)-Norm_Stats!$F$23)/(Norm_Stats!$G$23-Norm_Stats!$F$23)))))="",0,0.2))=0,"",(IF((IF(OR(City_Inputs!$AF73="",Norm_Stats!$F$21="",Norm_Stats!$G$21="",Norm_Stats!$G$21=Norm_Stats!$F$21),"",MAX(0,MIN(100,100*(MIN(MAX(City_Inputs!$AF73,Norm_Stats!$F$21),Norm_Stats!$G$21)-Norm_Stats!$F$21)/(Norm_Stats!$G$21-Norm_Stats!$F$21)))))="",0,(IF(OR(City_Inputs!$AF73="",Norm_Stats!$F$21="",Norm_Stats!$G$21="",Norm_Stats!$G$21=Norm_Stats!$F$21),"",MAX(0,MIN(100,100*(MIN(MAX(City_Inputs!$AF73,Norm_Stats!$F$21),Norm_Stats!$G$21)-Norm_Stats!$F$21)/(Norm_Stats!$G$21-Norm_Stats!$F$21)))))*0.5)+IF((IF(OR(City_Inputs!$AI73="",Norm_Stats!$F$22="",Norm_Stats!$G$22="",Norm_Stats!$G$22=Norm_Stats!$F$22),"",MAX(0,MIN(100,100*(MIN(MAX(City_Inputs!$AI73,Norm_Stats!$F$22),Norm_Stats!$G$22)-Norm_Stats!$F$22)/(Norm_Stats!$G$22-Norm_Stats!$F$22)))))="",0,(IF(OR(City_Inputs!$AI73="",Norm_Stats!$F$22="",Norm_Stats!$G$22="",Norm_Stats!$G$22=Norm_Stats!$F$22),"",MAX(0,MIN(100,100*(MIN(MAX(City_Inputs!$AI73,Norm_Stats!$F$22),Norm_Stats!$G$22)-Norm_Stats!$F$22)/(Norm_Stats!$G$22-Norm_Stats!$F$22)))))*0.3)+IF((IF(OR(City_Inputs!$AJ73="",Norm_Stats!$F$23="",Norm_Stats!$G$23="",Norm_Stats!$G$23=Norm_Stats!$F$23),"",MAX(0,MIN(100,100*(MIN(MAX(City_Inputs!$AJ73,Norm_Stats!$F$23),Norm_Stats!$G$23)-Norm_Stats!$F$23)/(Norm_Stats!$G$23-Norm_Stats!$F$23)))))="",0,(IF(OR(City_Inputs!$AJ73="",Norm_Stats!$F$23="",Norm_Stats!$G$23="",Norm_Stats!$G$23=Norm_Stats!$F$23),"",MAX(0,MIN(100,100*(MIN(MAX(City_Inputs!$AJ73,Norm_Stats!$F$23),Norm_Stats!$G$23)-Norm_Stats!$F$23)/(Norm_Stats!$G$23-Norm_Stats!$F$23)))))*0.2))/(IF((IF(OR(City_Inputs!$AF73="",Norm_Stats!$F$21="",Norm_Stats!$G$21="",Norm_Stats!$G$21=Norm_Stats!$F$21),"",MAX(0,MIN(100,100*(MIN(MAX(City_Inputs!$AF73,Norm_Stats!$F$21),Norm_Stats!$G$21)-Norm_Stats!$F$21)/(Norm_Stats!$G$21-Norm_Stats!$F$21)))))="",0,0.5)+IF((IF(OR(City_Inputs!$AI73="",Norm_Stats!$F$22="",Norm_Stats!$G$22="",Norm_Stats!$G$22=Norm_Stats!$F$22),"",MAX(0,MIN(100,100*(MIN(MAX(City_Inputs!$AI73,Norm_Stats!$F$22),Norm_Stats!$G$22)-Norm_Stats!$F$22)/(Norm_Stats!$G$22-Norm_Stats!$F$22)))))="",0,0.3)+IF((IF(OR(City_Inputs!$AJ73="",Norm_Stats!$F$23="",Norm_Stats!$G$23="",Norm_Stats!$G$23=Norm_Stats!$F$23),"",MAX(0,MIN(100,100*(MIN(MAX(City_Inputs!$AJ73,Norm_Stats!$F$23),Norm_Stats!$G$23)-Norm_Stats!$F$23)/(Norm_Stats!$G$23-Norm_Stats!$F$23)))))="",0,0.2)))</f>
        <v/>
      </c>
      <c r="AZ73" s="14">
        <f>IF((IF((IF(OR(City_Inputs!$AF73="",Norm_Stats!$F$21="",Norm_Stats!$G$21="",Norm_Stats!$G$21=Norm_Stats!$F$21),"",MAX(0,MIN(100,100*(MIN(MAX(City_Inputs!$AF73,Norm_Stats!$F$21),Norm_Stats!$G$21)-Norm_Stats!$F$21)/(Norm_Stats!$G$21-Norm_Stats!$F$21)))))="",0,0.5)+IF((IF(OR(City_Inputs!$AI73="",Norm_Stats!$F$22="",Norm_Stats!$G$22="",Norm_Stats!$G$22=Norm_Stats!$F$22),"",MAX(0,MIN(100,100*(MIN(MAX(City_Inputs!$AI73,Norm_Stats!$F$22),Norm_Stats!$G$22)-Norm_Stats!$F$22)/(Norm_Stats!$G$22-Norm_Stats!$F$22)))))="",0,0.3)+IF((IF(OR(City_Inputs!$AJ73="",Norm_Stats!$F$23="",Norm_Stats!$G$23="",Norm_Stats!$G$23=Norm_Stats!$F$23),"",MAX(0,MIN(100,100*(MIN(MAX(City_Inputs!$AJ73,Norm_Stats!$F$23),Norm_Stats!$G$23)-Norm_Stats!$F$23)/(Norm_Stats!$G$23-Norm_Stats!$F$23)))))="",0,0.2))=0,"",(IF((IF(OR(City_Inputs!$AF73="",Norm_Stats!$F$21="",Norm_Stats!$G$21="",Norm_Stats!$G$21=Norm_Stats!$F$21),"",MAX(0,MIN(100,100*(MIN(MAX(City_Inputs!$AF73,Norm_Stats!$F$21),Norm_Stats!$G$21)-Norm_Stats!$F$21)/(Norm_Stats!$G$21-Norm_Stats!$F$21)))))="",0,0.5)+IF((IF(OR(City_Inputs!$AI73="",Norm_Stats!$F$22="",Norm_Stats!$G$22="",Norm_Stats!$G$22=Norm_Stats!$F$22),"",MAX(0,MIN(100,100*(MIN(MAX(City_Inputs!$AI73,Norm_Stats!$F$22),Norm_Stats!$G$22)-Norm_Stats!$F$22)/(Norm_Stats!$G$22-Norm_Stats!$F$22)))))="",0,0.3)+IF((IF(OR(City_Inputs!$AJ73="",Norm_Stats!$F$23="",Norm_Stats!$G$23="",Norm_Stats!$G$23=Norm_Stats!$F$23),"",MAX(0,MIN(100,100*(MIN(MAX(City_Inputs!$AJ73,Norm_Stats!$F$23),Norm_Stats!$G$23)-Norm_Stats!$F$23)/(Norm_Stats!$G$23-Norm_Stats!$F$23)))))="",0,0.2)))</f>
        <v/>
      </c>
      <c r="BA73" s="11">
        <f>IF(OR(City_Inputs!$AG73="",Norm_Stats!$F$24="",Norm_Stats!$G$24="",Norm_Stats!$G$24=Norm_Stats!$F$24),"",MAX(0,MIN(100,100*(Norm_Stats!$G$24-MIN(MAX(City_Inputs!$AG73,Norm_Stats!$F$24),Norm_Stats!$G$24))/(Norm_Stats!$G$24-Norm_Stats!$F$24))))</f>
        <v/>
      </c>
      <c r="BB73" s="14">
        <f>IF(BA73="","",1)</f>
        <v/>
      </c>
      <c r="BC73" s="15">
        <f>IF((IF(AU73="",0,6)+IF(AW73="",0,5)+IF(AY73="",0,5)+IF(BA73="",0,4))=0,"",(IF(AU73="",0,AU73*6)+IF(AW73="",0,AW73*5)+IF(AY73="",0,AY73*5)+IF(BA73="",0,BA73*4))/(IF(AU73="",0,6)+IF(AW73="",0,5)+IF(AY73="",0,5)+IF(BA73="",0,4)))</f>
        <v/>
      </c>
      <c r="BD73" s="14">
        <f>IF((IF(AV73="",0,6)+IF(AX73="",0,5)+IF(AZ73="",0,5)+IF(BB73="",0,4))=0,"",(IF(AV73="",0,AV73*6)+IF(AX73="",0,AX73*5)+IF(AZ73="",0,AZ73*5)+IF(BB73="",0,BB73*4))/20)</f>
        <v/>
      </c>
      <c r="BE73" s="14">
        <f>IF(AND(R73="",AD73="",AL73="",AT73="",BD73=""),"",((R73*25)+(AD73*22)+(AL73*18)+(AT73*15)+(BD73*20))/100)</f>
        <v/>
      </c>
      <c r="BF73" s="11">
        <f>IF(BE73="","",IF(BE73&gt;=0.75,"A",IF(BE73&gt;=0.5,"B",IF(BE73&gt;=0.35,"C","Watchlist"))))</f>
        <v/>
      </c>
      <c r="BG73" s="11">
        <f>IF(OR(BE73="",BE73&lt;0.5,R73="",R73&lt;0.35,AD73="",AD73&lt;0.35,AL73="",AL73&lt;0.35,AT73="",AT73&lt;0.35,BD73="",BD73&lt;0.35),"Watchlist","Ranked")</f>
        <v/>
      </c>
      <c r="BH73" s="15">
        <f>IF(AND(Q73="",AC73="",AK73="",AS73="",BC73=""),"",(IF(Q73="",0,Q73*25)+IF(AC73="",0,AC73*22)+IF(AK73="",0,AK73*18)+IF(AS73="",0,AS73*15)+IF(BC73="",0,BC73*20))/(IF(Q73="",0,25)+IF(AC73="",0,22)+IF(AK73="",0,18)+IF(AS73="",0,15)+IF(BC73="",0,20)))</f>
        <v/>
      </c>
      <c r="BI73" s="11">
        <f>IF(BG73="Ranked",1+COUNTIFS($BG$2:$BG$103,"Ranked",$BH$2:$BH$103,"&gt;"&amp;BH73),"")</f>
        <v/>
      </c>
      <c r="BJ73" s="11">
        <f>City_Inputs!$AH73</f>
        <v/>
      </c>
    </row>
    <row r="74">
      <c r="A74" t="inlineStr">
        <is>
          <t>ae-dubai</t>
        </is>
      </c>
      <c r="B74" t="inlineStr">
        <is>
          <t>Dubai</t>
        </is>
      </c>
      <c r="C74" t="inlineStr">
        <is>
          <t>United Arab Emirates</t>
        </is>
      </c>
      <c r="D74" t="inlineStr">
        <is>
          <t>Middle East</t>
        </is>
      </c>
      <c r="E74" t="inlineStr">
        <is>
          <t>locked</t>
        </is>
      </c>
      <c r="F74" t="inlineStr">
        <is>
          <t>primary</t>
        </is>
      </c>
      <c r="G74" s="11">
        <f>IF(OR(City_Inputs!$M74="",Norm_Stats!$F$2="",Norm_Stats!$G$2="",Norm_Stats!$G$2=Norm_Stats!$F$2),"",MAX(0,MIN(100,100*(MIN(MAX(City_Inputs!$M74,Norm_Stats!$F$2),Norm_Stats!$G$2)-Norm_Stats!$F$2)/(Norm_Stats!$G$2-Norm_Stats!$F$2))))</f>
        <v/>
      </c>
      <c r="H74" s="14">
        <f>IF(G74="","",1)</f>
        <v/>
      </c>
      <c r="I74" s="11">
        <f>IF(OR(City_Inputs!$N74="",Norm_Stats!$F$3="",Norm_Stats!$G$3="",Norm_Stats!$G$3=Norm_Stats!$F$3),"",MAX(0,MIN(100,100*(Norm_Stats!$G$3-MIN(MAX(City_Inputs!$N74,Norm_Stats!$F$3),Norm_Stats!$G$3))/(Norm_Stats!$G$3-Norm_Stats!$F$3))))</f>
        <v/>
      </c>
      <c r="J74" s="14">
        <f>IF(I74="","",1)</f>
        <v/>
      </c>
      <c r="K74" s="11">
        <f>IF(OR(City_Inputs!$P74="",Norm_Stats!$F$4="",Norm_Stats!$G$4="",Norm_Stats!$G$4=Norm_Stats!$F$4),"",MAX(0,MIN(100,100*(Norm_Stats!$G$4-MIN(MAX(City_Inputs!$P74,Norm_Stats!$F$4),Norm_Stats!$G$4))/(Norm_Stats!$G$4-Norm_Stats!$F$4))))</f>
        <v/>
      </c>
      <c r="L74" s="14">
        <f>IF(K74="","",1)</f>
        <v/>
      </c>
      <c r="M74" s="11">
        <f>IF(OR(City_Inputs!$Q74="",Norm_Stats!$F$5="",Norm_Stats!$G$5="",Norm_Stats!$G$5=Norm_Stats!$F$5),"",MAX(0,MIN(100,100*(Norm_Stats!$G$5-MIN(MAX(City_Inputs!$Q74,Norm_Stats!$F$5),Norm_Stats!$G$5))/(Norm_Stats!$G$5-Norm_Stats!$F$5))))</f>
        <v/>
      </c>
      <c r="N74" s="14">
        <f>IF(M74="","",1)</f>
        <v/>
      </c>
      <c r="O74" s="11">
        <f>IF(OR(City_Inputs!$R74="",Norm_Stats!$F$6="",Norm_Stats!$G$6="",Norm_Stats!$G$6=Norm_Stats!$F$6),"",MAX(0,MIN(100,100*(Norm_Stats!$G$6-MIN(MAX(City_Inputs!$R74,Norm_Stats!$F$6),Norm_Stats!$G$6))/(Norm_Stats!$G$6-Norm_Stats!$F$6))))</f>
        <v/>
      </c>
      <c r="P74" s="14">
        <f>IF(O74="","",1)</f>
        <v/>
      </c>
      <c r="Q74" s="15">
        <f>IF((IF(G74="",0,9)+IF(I74="",0,5)+IF(K74="",0,4)+IF(M74="",0,4)+IF(O74="",0,3))=0,"",(IF(G74="",0,G74*9)+IF(I74="",0,I74*5)+IF(K74="",0,K74*4)+IF(M74="",0,M74*4)+IF(O74="",0,O74*3))/(IF(G74="",0,9)+IF(I74="",0,5)+IF(K74="",0,4)+IF(M74="",0,4)+IF(O74="",0,3)))</f>
        <v/>
      </c>
      <c r="R74" s="14">
        <f>IF((IF(H74="",0,9)+IF(J74="",0,5)+IF(L74="",0,4)+IF(N74="",0,4)+IF(P74="",0,3))=0,"",(IF(H74="",0,H74*9)+IF(J74="",0,J74*5)+IF(L74="",0,L74*4)+IF(N74="",0,N74*4)+IF(P74="",0,P74*3))/25)</f>
        <v/>
      </c>
      <c r="S74" s="11">
        <f>IF(OR(City_Inputs!$S74="",Norm_Stats!$F$7="",Norm_Stats!$G$7="",Norm_Stats!$G$7=Norm_Stats!$F$7),"",MAX(0,MIN(100,100*(Norm_Stats!$G$7-MIN(MAX(City_Inputs!$S74,Norm_Stats!$F$7),Norm_Stats!$G$7))/(Norm_Stats!$G$7-Norm_Stats!$F$7))))</f>
        <v/>
      </c>
      <c r="T74" s="14">
        <f>IF(S74="","",1)</f>
        <v/>
      </c>
      <c r="U74" s="11">
        <f>IF(OR(City_Inputs!$T74="",Norm_Stats!$F$8="",Norm_Stats!$G$8="",Norm_Stats!$G$8=Norm_Stats!$F$8),"",MAX(0,MIN(100,100*(MIN(MAX(City_Inputs!$T74,Norm_Stats!$F$8),Norm_Stats!$G$8)-Norm_Stats!$F$8)/(Norm_Stats!$G$8-Norm_Stats!$F$8))))</f>
        <v/>
      </c>
      <c r="V74" s="14">
        <f>IF(U74="","",1)</f>
        <v/>
      </c>
      <c r="W74" s="11">
        <f>IF(OR(City_Inputs!$U74="",Norm_Stats!$F$9="",Norm_Stats!$G$9="",Norm_Stats!$G$9=Norm_Stats!$F$9),"",MAX(0,MIN(100,100*(Norm_Stats!$G$9-MIN(MAX(City_Inputs!$U74,Norm_Stats!$F$9),Norm_Stats!$G$9))/(Norm_Stats!$G$9-Norm_Stats!$F$9))))</f>
        <v/>
      </c>
      <c r="X74" s="14">
        <f>IF(W74="","",1)</f>
        <v/>
      </c>
      <c r="Y74" s="11">
        <f>IF(OR(City_Inputs!$V74="",Norm_Stats!$F$10="",Norm_Stats!$G$10="",Norm_Stats!$G$10=Norm_Stats!$F$10),"",MAX(0,MIN(100,100*(MIN(MAX(City_Inputs!$V74,Norm_Stats!$F$10),Norm_Stats!$G$10)-Norm_Stats!$F$10)/(Norm_Stats!$G$10-Norm_Stats!$F$10))))</f>
        <v/>
      </c>
      <c r="Z74" s="14">
        <f>IF(Y74="","",1)</f>
        <v/>
      </c>
      <c r="AA74" s="11">
        <f>IF(OR(City_Inputs!$W74="",Norm_Stats!$F$11="",Norm_Stats!$G$11="",Norm_Stats!$G$11=Norm_Stats!$F$11),"",MAX(0,MIN(100,100*(MIN(MAX(City_Inputs!$W74,Norm_Stats!$F$11),Norm_Stats!$G$11)-Norm_Stats!$F$11)/(Norm_Stats!$G$11-Norm_Stats!$F$11))))</f>
        <v/>
      </c>
      <c r="AB74" s="14">
        <f>IF(AA74="","",1)</f>
        <v/>
      </c>
      <c r="AC74" s="15">
        <f>IF((IF(S74="",0,5)+IF(U74="",0,5)+IF(W74="",0,4)+IF(Y74="",0,4)+IF(AA74="",0,4))=0,"",(IF(S74="",0,S74*5)+IF(U74="",0,U74*5)+IF(W74="",0,W74*4)+IF(Y74="",0,Y74*4)+IF(AA74="",0,AA74*4))/(IF(S74="",0,5)+IF(U74="",0,5)+IF(W74="",0,4)+IF(Y74="",0,4)+IF(AA74="",0,4)))</f>
        <v/>
      </c>
      <c r="AD74" s="14">
        <f>IF((IF(T74="",0,5)+IF(V74="",0,5)+IF(X74="",0,4)+IF(Z74="",0,4)+IF(AB74="",0,4))=0,"",(IF(T74="",0,T74*5)+IF(V74="",0,V74*5)+IF(X74="",0,X74*4)+IF(Z74="",0,Z74*4)+IF(AB74="",0,AB74*4))/22)</f>
        <v/>
      </c>
      <c r="AE74" s="11">
        <f>IF(OR(City_Inputs!$X74="",Norm_Stats!$F$12="",Norm_Stats!$G$12="",Norm_Stats!$G$12=Norm_Stats!$F$12),"",MAX(0,MIN(100,100*(MIN(MAX(City_Inputs!$X74,Norm_Stats!$F$12),Norm_Stats!$G$12)-Norm_Stats!$F$12)/(Norm_Stats!$G$12-Norm_Stats!$F$12))))</f>
        <v/>
      </c>
      <c r="AF74" s="14">
        <f>IF(AE74="","",1)</f>
        <v/>
      </c>
      <c r="AG74" s="11">
        <f>IF(OR(City_Inputs!$Y74="",Norm_Stats!$F$13="",Norm_Stats!$G$13="",Norm_Stats!$G$13=Norm_Stats!$F$13),"",MAX(0,MIN(100,100*(MIN(MAX(City_Inputs!$Y74,Norm_Stats!$F$13),Norm_Stats!$G$13)-Norm_Stats!$F$13)/(Norm_Stats!$G$13-Norm_Stats!$F$13))))</f>
        <v/>
      </c>
      <c r="AH74" s="14">
        <f>IF(AG74="","",1)</f>
        <v/>
      </c>
      <c r="AI74" s="11">
        <f>IF((IF((IF(OR(City_Inputs!$Z74="",Norm_Stats!$F$14="",Norm_Stats!$G$14="",Norm_Stats!$G$14=Norm_Stats!$F$14),"",MAX(0,MIN(100,100*(MIN(MAX(City_Inputs!$Z74,Norm_Stats!$F$14),Norm_Stats!$G$14)-Norm_Stats!$F$14)/(Norm_Stats!$G$14-Norm_Stats!$F$14)))))="",0,0.7)+IF((IF(OR(City_Inputs!$AK74="",Norm_Stats!$F$15="",Norm_Stats!$G$15="",Norm_Stats!$G$15=Norm_Stats!$F$15),"",MAX(0,MIN(100,100*(Norm_Stats!$G$15-MIN(MAX(City_Inputs!$AK74,Norm_Stats!$F$15),Norm_Stats!$G$15))/(Norm_Stats!$G$15-Norm_Stats!$F$15)))))="",0,0.3))=0,"",(IF((IF(OR(City_Inputs!$Z74="",Norm_Stats!$F$14="",Norm_Stats!$G$14="",Norm_Stats!$G$14=Norm_Stats!$F$14),"",MAX(0,MIN(100,100*(MIN(MAX(City_Inputs!$Z74,Norm_Stats!$F$14),Norm_Stats!$G$14)-Norm_Stats!$F$14)/(Norm_Stats!$G$14-Norm_Stats!$F$14)))))="",0,(IF(OR(City_Inputs!$Z74="",Norm_Stats!$F$14="",Norm_Stats!$G$14="",Norm_Stats!$G$14=Norm_Stats!$F$14),"",MAX(0,MIN(100,100*(MIN(MAX(City_Inputs!$Z74,Norm_Stats!$F$14),Norm_Stats!$G$14)-Norm_Stats!$F$14)/(Norm_Stats!$G$14-Norm_Stats!$F$14)))))*0.7)+IF((IF(OR(City_Inputs!$AK74="",Norm_Stats!$F$15="",Norm_Stats!$G$15="",Norm_Stats!$G$15=Norm_Stats!$F$15),"",MAX(0,MIN(100,100*(Norm_Stats!$G$15-MIN(MAX(City_Inputs!$AK74,Norm_Stats!$F$15),Norm_Stats!$G$15))/(Norm_Stats!$G$15-Norm_Stats!$F$15)))))="",0,(IF(OR(City_Inputs!$AK74="",Norm_Stats!$F$15="",Norm_Stats!$G$15="",Norm_Stats!$G$15=Norm_Stats!$F$15),"",MAX(0,MIN(100,100*(Norm_Stats!$G$15-MIN(MAX(City_Inputs!$AK74,Norm_Stats!$F$15),Norm_Stats!$G$15))/(Norm_Stats!$G$15-Norm_Stats!$F$15)))))*0.3))/(IF((IF(OR(City_Inputs!$Z74="",Norm_Stats!$F$14="",Norm_Stats!$G$14="",Norm_Stats!$G$14=Norm_Stats!$F$14),"",MAX(0,MIN(100,100*(MIN(MAX(City_Inputs!$Z74,Norm_Stats!$F$14),Norm_Stats!$G$14)-Norm_Stats!$F$14)/(Norm_Stats!$G$14-Norm_Stats!$F$14)))))="",0,0.7)+IF((IF(OR(City_Inputs!$AK74="",Norm_Stats!$F$15="",Norm_Stats!$G$15="",Norm_Stats!$G$15=Norm_Stats!$F$15),"",MAX(0,MIN(100,100*(Norm_Stats!$G$15-MIN(MAX(City_Inputs!$AK74,Norm_Stats!$F$15),Norm_Stats!$G$15))/(Norm_Stats!$G$15-Norm_Stats!$F$15)))))="",0,0.3)))</f>
        <v/>
      </c>
      <c r="AJ74" s="14">
        <f>IF((IF((IF(OR(City_Inputs!$Z74="",Norm_Stats!$F$14="",Norm_Stats!$G$14="",Norm_Stats!$G$14=Norm_Stats!$F$14),"",MAX(0,MIN(100,100*(MIN(MAX(City_Inputs!$Z74,Norm_Stats!$F$14),Norm_Stats!$G$14)-Norm_Stats!$F$14)/(Norm_Stats!$G$14-Norm_Stats!$F$14)))))="",0,0.7)+IF((IF(OR(City_Inputs!$AK74="",Norm_Stats!$F$15="",Norm_Stats!$G$15="",Norm_Stats!$G$15=Norm_Stats!$F$15),"",MAX(0,MIN(100,100*(Norm_Stats!$G$15-MIN(MAX(City_Inputs!$AK74,Norm_Stats!$F$15),Norm_Stats!$G$15))/(Norm_Stats!$G$15-Norm_Stats!$F$15)))))="",0,0.3))=0,"",(IF((IF(OR(City_Inputs!$Z74="",Norm_Stats!$F$14="",Norm_Stats!$G$14="",Norm_Stats!$G$14=Norm_Stats!$F$14),"",MAX(0,MIN(100,100*(MIN(MAX(City_Inputs!$Z74,Norm_Stats!$F$14),Norm_Stats!$G$14)-Norm_Stats!$F$14)/(Norm_Stats!$G$14-Norm_Stats!$F$14)))))="",0,0.7)+IF((IF(OR(City_Inputs!$AK74="",Norm_Stats!$F$15="",Norm_Stats!$G$15="",Norm_Stats!$G$15=Norm_Stats!$F$15),"",MAX(0,MIN(100,100*(Norm_Stats!$G$15-MIN(MAX(City_Inputs!$AK74,Norm_Stats!$F$15),Norm_Stats!$G$15))/(Norm_Stats!$G$15-Norm_Stats!$F$15)))))="",0,0.3)))</f>
        <v/>
      </c>
      <c r="AK74" s="15">
        <f>IF((IF(AE74="",0,8)+IF(AG74="",0,6)+IF(AI74="",0,4))=0,"",(IF(AE74="",0,AE74*8)+IF(AG74="",0,AG74*6)+IF(AI74="",0,AI74*4))/(IF(AE74="",0,8)+IF(AG74="",0,6)+IF(AI74="",0,4)))</f>
        <v/>
      </c>
      <c r="AL74" s="14">
        <f>IF((IF(AF74="",0,8)+IF(AH74="",0,6)+IF(AJ74="",0,4))=0,"",(IF(AF74="",0,AF74*8)+IF(AH74="",0,AH74*6)+IF(AJ74="",0,AJ74*4))/18)</f>
        <v/>
      </c>
      <c r="AM74" s="11">
        <f>IF(OR(City_Inputs!$AA74="",Norm_Stats!$F$16="",Norm_Stats!$G$16="",Norm_Stats!$G$16=Norm_Stats!$F$16),"",MAX(0,MIN(100,100*(MIN(MAX(City_Inputs!$AA74,Norm_Stats!$F$16),Norm_Stats!$G$16)-Norm_Stats!$F$16)/(Norm_Stats!$G$16-Norm_Stats!$F$16))))</f>
        <v/>
      </c>
      <c r="AN74" s="14">
        <f>IF(AM74="","",1)</f>
        <v/>
      </c>
      <c r="AO74" s="11">
        <f>IF(OR(City_Inputs!$AB74="",Norm_Stats!$F$17="",Norm_Stats!$G$17="",Norm_Stats!$G$17=Norm_Stats!$F$17),"",MAX(0,MIN(100,100*(MIN(MAX(City_Inputs!$AB74,Norm_Stats!$F$17),Norm_Stats!$G$17)-Norm_Stats!$F$17)/(Norm_Stats!$G$17-Norm_Stats!$F$17))))</f>
        <v/>
      </c>
      <c r="AP74" s="14">
        <f>IF(AO74="","",1)</f>
        <v/>
      </c>
      <c r="AQ74" s="11">
        <f>IF(OR(City_Inputs!$AC74="",Norm_Stats!$F$18="",Norm_Stats!$G$18="",Norm_Stats!$G$18=Norm_Stats!$F$18),"",MAX(0,MIN(100,100*(MIN(MAX(City_Inputs!$AC74,Norm_Stats!$F$18),Norm_Stats!$G$18)-Norm_Stats!$F$18)/(Norm_Stats!$G$18-Norm_Stats!$F$18))))</f>
        <v/>
      </c>
      <c r="AR74" s="14">
        <f>IF(AQ74="","",1)</f>
        <v/>
      </c>
      <c r="AS74" s="15">
        <f>IF((IF(AM74="",0,5)+IF(AO74="",0,5)+IF(AQ74="",0,5))=0,"",(IF(AM74="",0,AM74*5)+IF(AO74="",0,AO74*5)+IF(AQ74="",0,AQ74*5))/(IF(AM74="",0,5)+IF(AO74="",0,5)+IF(AQ74="",0,5)))</f>
        <v/>
      </c>
      <c r="AT74" s="14">
        <f>IF((IF(AN74="",0,5)+IF(AP74="",0,5)+IF(AR74="",0,5))=0,"",(IF(AN74="",0,AN74*5)+IF(AP74="",0,AP74*5)+IF(AR74="",0,AR74*5))/15)</f>
        <v/>
      </c>
      <c r="AU74" s="11">
        <f>IF(OR(City_Inputs!$AD74="",Norm_Stats!$F$19="",Norm_Stats!$G$19="",Norm_Stats!$G$19=Norm_Stats!$F$19),"",MAX(0,MIN(100,100*(MIN(MAX(City_Inputs!$AD74,Norm_Stats!$F$19),Norm_Stats!$G$19)-Norm_Stats!$F$19)/(Norm_Stats!$G$19-Norm_Stats!$F$19))))</f>
        <v/>
      </c>
      <c r="AV74" s="14">
        <f>IF(AU74="","",1)</f>
        <v/>
      </c>
      <c r="AW74" s="11">
        <f>IF(OR(City_Inputs!$AE74="",Norm_Stats!$F$20="",Norm_Stats!$G$20="",Norm_Stats!$G$20=Norm_Stats!$F$20),"",MAX(0,MIN(100,100*(MIN(MAX(City_Inputs!$AE74,Norm_Stats!$F$20),Norm_Stats!$G$20)-Norm_Stats!$F$20)/(Norm_Stats!$G$20-Norm_Stats!$F$20))))</f>
        <v/>
      </c>
      <c r="AX74" s="14">
        <f>IF(AW74="","",1)</f>
        <v/>
      </c>
      <c r="AY74" s="11">
        <f>IF((IF((IF(OR(City_Inputs!$AF74="",Norm_Stats!$F$21="",Norm_Stats!$G$21="",Norm_Stats!$G$21=Norm_Stats!$F$21),"",MAX(0,MIN(100,100*(MIN(MAX(City_Inputs!$AF74,Norm_Stats!$F$21),Norm_Stats!$G$21)-Norm_Stats!$F$21)/(Norm_Stats!$G$21-Norm_Stats!$F$21)))))="",0,0.5)+IF((IF(OR(City_Inputs!$AI74="",Norm_Stats!$F$22="",Norm_Stats!$G$22="",Norm_Stats!$G$22=Norm_Stats!$F$22),"",MAX(0,MIN(100,100*(MIN(MAX(City_Inputs!$AI74,Norm_Stats!$F$22),Norm_Stats!$G$22)-Norm_Stats!$F$22)/(Norm_Stats!$G$22-Norm_Stats!$F$22)))))="",0,0.3)+IF((IF(OR(City_Inputs!$AJ74="",Norm_Stats!$F$23="",Norm_Stats!$G$23="",Norm_Stats!$G$23=Norm_Stats!$F$23),"",MAX(0,MIN(100,100*(MIN(MAX(City_Inputs!$AJ74,Norm_Stats!$F$23),Norm_Stats!$G$23)-Norm_Stats!$F$23)/(Norm_Stats!$G$23-Norm_Stats!$F$23)))))="",0,0.2))=0,"",(IF((IF(OR(City_Inputs!$AF74="",Norm_Stats!$F$21="",Norm_Stats!$G$21="",Norm_Stats!$G$21=Norm_Stats!$F$21),"",MAX(0,MIN(100,100*(MIN(MAX(City_Inputs!$AF74,Norm_Stats!$F$21),Norm_Stats!$G$21)-Norm_Stats!$F$21)/(Norm_Stats!$G$21-Norm_Stats!$F$21)))))="",0,(IF(OR(City_Inputs!$AF74="",Norm_Stats!$F$21="",Norm_Stats!$G$21="",Norm_Stats!$G$21=Norm_Stats!$F$21),"",MAX(0,MIN(100,100*(MIN(MAX(City_Inputs!$AF74,Norm_Stats!$F$21),Norm_Stats!$G$21)-Norm_Stats!$F$21)/(Norm_Stats!$G$21-Norm_Stats!$F$21)))))*0.5)+IF((IF(OR(City_Inputs!$AI74="",Norm_Stats!$F$22="",Norm_Stats!$G$22="",Norm_Stats!$G$22=Norm_Stats!$F$22),"",MAX(0,MIN(100,100*(MIN(MAX(City_Inputs!$AI74,Norm_Stats!$F$22),Norm_Stats!$G$22)-Norm_Stats!$F$22)/(Norm_Stats!$G$22-Norm_Stats!$F$22)))))="",0,(IF(OR(City_Inputs!$AI74="",Norm_Stats!$F$22="",Norm_Stats!$G$22="",Norm_Stats!$G$22=Norm_Stats!$F$22),"",MAX(0,MIN(100,100*(MIN(MAX(City_Inputs!$AI74,Norm_Stats!$F$22),Norm_Stats!$G$22)-Norm_Stats!$F$22)/(Norm_Stats!$G$22-Norm_Stats!$F$22)))))*0.3)+IF((IF(OR(City_Inputs!$AJ74="",Norm_Stats!$F$23="",Norm_Stats!$G$23="",Norm_Stats!$G$23=Norm_Stats!$F$23),"",MAX(0,MIN(100,100*(MIN(MAX(City_Inputs!$AJ74,Norm_Stats!$F$23),Norm_Stats!$G$23)-Norm_Stats!$F$23)/(Norm_Stats!$G$23-Norm_Stats!$F$23)))))="",0,(IF(OR(City_Inputs!$AJ74="",Norm_Stats!$F$23="",Norm_Stats!$G$23="",Norm_Stats!$G$23=Norm_Stats!$F$23),"",MAX(0,MIN(100,100*(MIN(MAX(City_Inputs!$AJ74,Norm_Stats!$F$23),Norm_Stats!$G$23)-Norm_Stats!$F$23)/(Norm_Stats!$G$23-Norm_Stats!$F$23)))))*0.2))/(IF((IF(OR(City_Inputs!$AF74="",Norm_Stats!$F$21="",Norm_Stats!$G$21="",Norm_Stats!$G$21=Norm_Stats!$F$21),"",MAX(0,MIN(100,100*(MIN(MAX(City_Inputs!$AF74,Norm_Stats!$F$21),Norm_Stats!$G$21)-Norm_Stats!$F$21)/(Norm_Stats!$G$21-Norm_Stats!$F$21)))))="",0,0.5)+IF((IF(OR(City_Inputs!$AI74="",Norm_Stats!$F$22="",Norm_Stats!$G$22="",Norm_Stats!$G$22=Norm_Stats!$F$22),"",MAX(0,MIN(100,100*(MIN(MAX(City_Inputs!$AI74,Norm_Stats!$F$22),Norm_Stats!$G$22)-Norm_Stats!$F$22)/(Norm_Stats!$G$22-Norm_Stats!$F$22)))))="",0,0.3)+IF((IF(OR(City_Inputs!$AJ74="",Norm_Stats!$F$23="",Norm_Stats!$G$23="",Norm_Stats!$G$23=Norm_Stats!$F$23),"",MAX(0,MIN(100,100*(MIN(MAX(City_Inputs!$AJ74,Norm_Stats!$F$23),Norm_Stats!$G$23)-Norm_Stats!$F$23)/(Norm_Stats!$G$23-Norm_Stats!$F$23)))))="",0,0.2)))</f>
        <v/>
      </c>
      <c r="AZ74" s="14">
        <f>IF((IF((IF(OR(City_Inputs!$AF74="",Norm_Stats!$F$21="",Norm_Stats!$G$21="",Norm_Stats!$G$21=Norm_Stats!$F$21),"",MAX(0,MIN(100,100*(MIN(MAX(City_Inputs!$AF74,Norm_Stats!$F$21),Norm_Stats!$G$21)-Norm_Stats!$F$21)/(Norm_Stats!$G$21-Norm_Stats!$F$21)))))="",0,0.5)+IF((IF(OR(City_Inputs!$AI74="",Norm_Stats!$F$22="",Norm_Stats!$G$22="",Norm_Stats!$G$22=Norm_Stats!$F$22),"",MAX(0,MIN(100,100*(MIN(MAX(City_Inputs!$AI74,Norm_Stats!$F$22),Norm_Stats!$G$22)-Norm_Stats!$F$22)/(Norm_Stats!$G$22-Norm_Stats!$F$22)))))="",0,0.3)+IF((IF(OR(City_Inputs!$AJ74="",Norm_Stats!$F$23="",Norm_Stats!$G$23="",Norm_Stats!$G$23=Norm_Stats!$F$23),"",MAX(0,MIN(100,100*(MIN(MAX(City_Inputs!$AJ74,Norm_Stats!$F$23),Norm_Stats!$G$23)-Norm_Stats!$F$23)/(Norm_Stats!$G$23-Norm_Stats!$F$23)))))="",0,0.2))=0,"",(IF((IF(OR(City_Inputs!$AF74="",Norm_Stats!$F$21="",Norm_Stats!$G$21="",Norm_Stats!$G$21=Norm_Stats!$F$21),"",MAX(0,MIN(100,100*(MIN(MAX(City_Inputs!$AF74,Norm_Stats!$F$21),Norm_Stats!$G$21)-Norm_Stats!$F$21)/(Norm_Stats!$G$21-Norm_Stats!$F$21)))))="",0,0.5)+IF((IF(OR(City_Inputs!$AI74="",Norm_Stats!$F$22="",Norm_Stats!$G$22="",Norm_Stats!$G$22=Norm_Stats!$F$22),"",MAX(0,MIN(100,100*(MIN(MAX(City_Inputs!$AI74,Norm_Stats!$F$22),Norm_Stats!$G$22)-Norm_Stats!$F$22)/(Norm_Stats!$G$22-Norm_Stats!$F$22)))))="",0,0.3)+IF((IF(OR(City_Inputs!$AJ74="",Norm_Stats!$F$23="",Norm_Stats!$G$23="",Norm_Stats!$G$23=Norm_Stats!$F$23),"",MAX(0,MIN(100,100*(MIN(MAX(City_Inputs!$AJ74,Norm_Stats!$F$23),Norm_Stats!$G$23)-Norm_Stats!$F$23)/(Norm_Stats!$G$23-Norm_Stats!$F$23)))))="",0,0.2)))</f>
        <v/>
      </c>
      <c r="BA74" s="11">
        <f>IF(OR(City_Inputs!$AG74="",Norm_Stats!$F$24="",Norm_Stats!$G$24="",Norm_Stats!$G$24=Norm_Stats!$F$24),"",MAX(0,MIN(100,100*(Norm_Stats!$G$24-MIN(MAX(City_Inputs!$AG74,Norm_Stats!$F$24),Norm_Stats!$G$24))/(Norm_Stats!$G$24-Norm_Stats!$F$24))))</f>
        <v/>
      </c>
      <c r="BB74" s="14">
        <f>IF(BA74="","",1)</f>
        <v/>
      </c>
      <c r="BC74" s="15">
        <f>IF((IF(AU74="",0,6)+IF(AW74="",0,5)+IF(AY74="",0,5)+IF(BA74="",0,4))=0,"",(IF(AU74="",0,AU74*6)+IF(AW74="",0,AW74*5)+IF(AY74="",0,AY74*5)+IF(BA74="",0,BA74*4))/(IF(AU74="",0,6)+IF(AW74="",0,5)+IF(AY74="",0,5)+IF(BA74="",0,4)))</f>
        <v/>
      </c>
      <c r="BD74" s="14">
        <f>IF((IF(AV74="",0,6)+IF(AX74="",0,5)+IF(AZ74="",0,5)+IF(BB74="",0,4))=0,"",(IF(AV74="",0,AV74*6)+IF(AX74="",0,AX74*5)+IF(AZ74="",0,AZ74*5)+IF(BB74="",0,BB74*4))/20)</f>
        <v/>
      </c>
      <c r="BE74" s="14">
        <f>IF(AND(R74="",AD74="",AL74="",AT74="",BD74=""),"",((R74*25)+(AD74*22)+(AL74*18)+(AT74*15)+(BD74*20))/100)</f>
        <v/>
      </c>
      <c r="BF74" s="11">
        <f>IF(BE74="","",IF(BE74&gt;=0.75,"A",IF(BE74&gt;=0.5,"B",IF(BE74&gt;=0.35,"C","Watchlist"))))</f>
        <v/>
      </c>
      <c r="BG74" s="11">
        <f>IF(OR(BE74="",BE74&lt;0.5,R74="",R74&lt;0.35,AD74="",AD74&lt;0.35,AL74="",AL74&lt;0.35,AT74="",AT74&lt;0.35,BD74="",BD74&lt;0.35),"Watchlist","Ranked")</f>
        <v/>
      </c>
      <c r="BH74" s="15">
        <f>IF(AND(Q74="",AC74="",AK74="",AS74="",BC74=""),"",(IF(Q74="",0,Q74*25)+IF(AC74="",0,AC74*22)+IF(AK74="",0,AK74*18)+IF(AS74="",0,AS74*15)+IF(BC74="",0,BC74*20))/(IF(Q74="",0,25)+IF(AC74="",0,22)+IF(AK74="",0,18)+IF(AS74="",0,15)+IF(BC74="",0,20)))</f>
        <v/>
      </c>
      <c r="BI74" s="11">
        <f>IF(BG74="Ranked",1+COUNTIFS($BG$2:$BG$103,"Ranked",$BH$2:$BH$103,"&gt;"&amp;BH74),"")</f>
        <v/>
      </c>
      <c r="BJ74" s="11">
        <f>City_Inputs!$AH74</f>
        <v/>
      </c>
    </row>
    <row r="75">
      <c r="A75" t="inlineStr">
        <is>
          <t>ae-abu-dhabi</t>
        </is>
      </c>
      <c r="B75" t="inlineStr">
        <is>
          <t>Abu Dhabi</t>
        </is>
      </c>
      <c r="C75" t="inlineStr">
        <is>
          <t>United Arab Emirates</t>
        </is>
      </c>
      <c r="D75" t="inlineStr">
        <is>
          <t>Middle East</t>
        </is>
      </c>
      <c r="E75" t="inlineStr">
        <is>
          <t>locked</t>
        </is>
      </c>
      <c r="F75" t="inlineStr">
        <is>
          <t>primary</t>
        </is>
      </c>
      <c r="G75" s="11">
        <f>IF(OR(City_Inputs!$M75="",Norm_Stats!$F$2="",Norm_Stats!$G$2="",Norm_Stats!$G$2=Norm_Stats!$F$2),"",MAX(0,MIN(100,100*(MIN(MAX(City_Inputs!$M75,Norm_Stats!$F$2),Norm_Stats!$G$2)-Norm_Stats!$F$2)/(Norm_Stats!$G$2-Norm_Stats!$F$2))))</f>
        <v/>
      </c>
      <c r="H75" s="14">
        <f>IF(G75="","",1)</f>
        <v/>
      </c>
      <c r="I75" s="11">
        <f>IF(OR(City_Inputs!$N75="",Norm_Stats!$F$3="",Norm_Stats!$G$3="",Norm_Stats!$G$3=Norm_Stats!$F$3),"",MAX(0,MIN(100,100*(Norm_Stats!$G$3-MIN(MAX(City_Inputs!$N75,Norm_Stats!$F$3),Norm_Stats!$G$3))/(Norm_Stats!$G$3-Norm_Stats!$F$3))))</f>
        <v/>
      </c>
      <c r="J75" s="14">
        <f>IF(I75="","",1)</f>
        <v/>
      </c>
      <c r="K75" s="11">
        <f>IF(OR(City_Inputs!$P75="",Norm_Stats!$F$4="",Norm_Stats!$G$4="",Norm_Stats!$G$4=Norm_Stats!$F$4),"",MAX(0,MIN(100,100*(Norm_Stats!$G$4-MIN(MAX(City_Inputs!$P75,Norm_Stats!$F$4),Norm_Stats!$G$4))/(Norm_Stats!$G$4-Norm_Stats!$F$4))))</f>
        <v/>
      </c>
      <c r="L75" s="14">
        <f>IF(K75="","",1)</f>
        <v/>
      </c>
      <c r="M75" s="11">
        <f>IF(OR(City_Inputs!$Q75="",Norm_Stats!$F$5="",Norm_Stats!$G$5="",Norm_Stats!$G$5=Norm_Stats!$F$5),"",MAX(0,MIN(100,100*(Norm_Stats!$G$5-MIN(MAX(City_Inputs!$Q75,Norm_Stats!$F$5),Norm_Stats!$G$5))/(Norm_Stats!$G$5-Norm_Stats!$F$5))))</f>
        <v/>
      </c>
      <c r="N75" s="14">
        <f>IF(M75="","",1)</f>
        <v/>
      </c>
      <c r="O75" s="11">
        <f>IF(OR(City_Inputs!$R75="",Norm_Stats!$F$6="",Norm_Stats!$G$6="",Norm_Stats!$G$6=Norm_Stats!$F$6),"",MAX(0,MIN(100,100*(Norm_Stats!$G$6-MIN(MAX(City_Inputs!$R75,Norm_Stats!$F$6),Norm_Stats!$G$6))/(Norm_Stats!$G$6-Norm_Stats!$F$6))))</f>
        <v/>
      </c>
      <c r="P75" s="14">
        <f>IF(O75="","",1)</f>
        <v/>
      </c>
      <c r="Q75" s="15">
        <f>IF((IF(G75="",0,9)+IF(I75="",0,5)+IF(K75="",0,4)+IF(M75="",0,4)+IF(O75="",0,3))=0,"",(IF(G75="",0,G75*9)+IF(I75="",0,I75*5)+IF(K75="",0,K75*4)+IF(M75="",0,M75*4)+IF(O75="",0,O75*3))/(IF(G75="",0,9)+IF(I75="",0,5)+IF(K75="",0,4)+IF(M75="",0,4)+IF(O75="",0,3)))</f>
        <v/>
      </c>
      <c r="R75" s="14">
        <f>IF((IF(H75="",0,9)+IF(J75="",0,5)+IF(L75="",0,4)+IF(N75="",0,4)+IF(P75="",0,3))=0,"",(IF(H75="",0,H75*9)+IF(J75="",0,J75*5)+IF(L75="",0,L75*4)+IF(N75="",0,N75*4)+IF(P75="",0,P75*3))/25)</f>
        <v/>
      </c>
      <c r="S75" s="11">
        <f>IF(OR(City_Inputs!$S75="",Norm_Stats!$F$7="",Norm_Stats!$G$7="",Norm_Stats!$G$7=Norm_Stats!$F$7),"",MAX(0,MIN(100,100*(Norm_Stats!$G$7-MIN(MAX(City_Inputs!$S75,Norm_Stats!$F$7),Norm_Stats!$G$7))/(Norm_Stats!$G$7-Norm_Stats!$F$7))))</f>
        <v/>
      </c>
      <c r="T75" s="14">
        <f>IF(S75="","",1)</f>
        <v/>
      </c>
      <c r="U75" s="11">
        <f>IF(OR(City_Inputs!$T75="",Norm_Stats!$F$8="",Norm_Stats!$G$8="",Norm_Stats!$G$8=Norm_Stats!$F$8),"",MAX(0,MIN(100,100*(MIN(MAX(City_Inputs!$T75,Norm_Stats!$F$8),Norm_Stats!$G$8)-Norm_Stats!$F$8)/(Norm_Stats!$G$8-Norm_Stats!$F$8))))</f>
        <v/>
      </c>
      <c r="V75" s="14">
        <f>IF(U75="","",1)</f>
        <v/>
      </c>
      <c r="W75" s="11">
        <f>IF(OR(City_Inputs!$U75="",Norm_Stats!$F$9="",Norm_Stats!$G$9="",Norm_Stats!$G$9=Norm_Stats!$F$9),"",MAX(0,MIN(100,100*(Norm_Stats!$G$9-MIN(MAX(City_Inputs!$U75,Norm_Stats!$F$9),Norm_Stats!$G$9))/(Norm_Stats!$G$9-Norm_Stats!$F$9))))</f>
        <v/>
      </c>
      <c r="X75" s="14">
        <f>IF(W75="","",1)</f>
        <v/>
      </c>
      <c r="Y75" s="11">
        <f>IF(OR(City_Inputs!$V75="",Norm_Stats!$F$10="",Norm_Stats!$G$10="",Norm_Stats!$G$10=Norm_Stats!$F$10),"",MAX(0,MIN(100,100*(MIN(MAX(City_Inputs!$V75,Norm_Stats!$F$10),Norm_Stats!$G$10)-Norm_Stats!$F$10)/(Norm_Stats!$G$10-Norm_Stats!$F$10))))</f>
        <v/>
      </c>
      <c r="Z75" s="14">
        <f>IF(Y75="","",1)</f>
        <v/>
      </c>
      <c r="AA75" s="11">
        <f>IF(OR(City_Inputs!$W75="",Norm_Stats!$F$11="",Norm_Stats!$G$11="",Norm_Stats!$G$11=Norm_Stats!$F$11),"",MAX(0,MIN(100,100*(MIN(MAX(City_Inputs!$W75,Norm_Stats!$F$11),Norm_Stats!$G$11)-Norm_Stats!$F$11)/(Norm_Stats!$G$11-Norm_Stats!$F$11))))</f>
        <v/>
      </c>
      <c r="AB75" s="14">
        <f>IF(AA75="","",1)</f>
        <v/>
      </c>
      <c r="AC75" s="15">
        <f>IF((IF(S75="",0,5)+IF(U75="",0,5)+IF(W75="",0,4)+IF(Y75="",0,4)+IF(AA75="",0,4))=0,"",(IF(S75="",0,S75*5)+IF(U75="",0,U75*5)+IF(W75="",0,W75*4)+IF(Y75="",0,Y75*4)+IF(AA75="",0,AA75*4))/(IF(S75="",0,5)+IF(U75="",0,5)+IF(W75="",0,4)+IF(Y75="",0,4)+IF(AA75="",0,4)))</f>
        <v/>
      </c>
      <c r="AD75" s="14">
        <f>IF((IF(T75="",0,5)+IF(V75="",0,5)+IF(X75="",0,4)+IF(Z75="",0,4)+IF(AB75="",0,4))=0,"",(IF(T75="",0,T75*5)+IF(V75="",0,V75*5)+IF(X75="",0,X75*4)+IF(Z75="",0,Z75*4)+IF(AB75="",0,AB75*4))/22)</f>
        <v/>
      </c>
      <c r="AE75" s="11">
        <f>IF(OR(City_Inputs!$X75="",Norm_Stats!$F$12="",Norm_Stats!$G$12="",Norm_Stats!$G$12=Norm_Stats!$F$12),"",MAX(0,MIN(100,100*(MIN(MAX(City_Inputs!$X75,Norm_Stats!$F$12),Norm_Stats!$G$12)-Norm_Stats!$F$12)/(Norm_Stats!$G$12-Norm_Stats!$F$12))))</f>
        <v/>
      </c>
      <c r="AF75" s="14">
        <f>IF(AE75="","",1)</f>
        <v/>
      </c>
      <c r="AG75" s="11">
        <f>IF(OR(City_Inputs!$Y75="",Norm_Stats!$F$13="",Norm_Stats!$G$13="",Norm_Stats!$G$13=Norm_Stats!$F$13),"",MAX(0,MIN(100,100*(MIN(MAX(City_Inputs!$Y75,Norm_Stats!$F$13),Norm_Stats!$G$13)-Norm_Stats!$F$13)/(Norm_Stats!$G$13-Norm_Stats!$F$13))))</f>
        <v/>
      </c>
      <c r="AH75" s="14">
        <f>IF(AG75="","",1)</f>
        <v/>
      </c>
      <c r="AI75" s="11">
        <f>IF((IF((IF(OR(City_Inputs!$Z75="",Norm_Stats!$F$14="",Norm_Stats!$G$14="",Norm_Stats!$G$14=Norm_Stats!$F$14),"",MAX(0,MIN(100,100*(MIN(MAX(City_Inputs!$Z75,Norm_Stats!$F$14),Norm_Stats!$G$14)-Norm_Stats!$F$14)/(Norm_Stats!$G$14-Norm_Stats!$F$14)))))="",0,0.7)+IF((IF(OR(City_Inputs!$AK75="",Norm_Stats!$F$15="",Norm_Stats!$G$15="",Norm_Stats!$G$15=Norm_Stats!$F$15),"",MAX(0,MIN(100,100*(Norm_Stats!$G$15-MIN(MAX(City_Inputs!$AK75,Norm_Stats!$F$15),Norm_Stats!$G$15))/(Norm_Stats!$G$15-Norm_Stats!$F$15)))))="",0,0.3))=0,"",(IF((IF(OR(City_Inputs!$Z75="",Norm_Stats!$F$14="",Norm_Stats!$G$14="",Norm_Stats!$G$14=Norm_Stats!$F$14),"",MAX(0,MIN(100,100*(MIN(MAX(City_Inputs!$Z75,Norm_Stats!$F$14),Norm_Stats!$G$14)-Norm_Stats!$F$14)/(Norm_Stats!$G$14-Norm_Stats!$F$14)))))="",0,(IF(OR(City_Inputs!$Z75="",Norm_Stats!$F$14="",Norm_Stats!$G$14="",Norm_Stats!$G$14=Norm_Stats!$F$14),"",MAX(0,MIN(100,100*(MIN(MAX(City_Inputs!$Z75,Norm_Stats!$F$14),Norm_Stats!$G$14)-Norm_Stats!$F$14)/(Norm_Stats!$G$14-Norm_Stats!$F$14)))))*0.7)+IF((IF(OR(City_Inputs!$AK75="",Norm_Stats!$F$15="",Norm_Stats!$G$15="",Norm_Stats!$G$15=Norm_Stats!$F$15),"",MAX(0,MIN(100,100*(Norm_Stats!$G$15-MIN(MAX(City_Inputs!$AK75,Norm_Stats!$F$15),Norm_Stats!$G$15))/(Norm_Stats!$G$15-Norm_Stats!$F$15)))))="",0,(IF(OR(City_Inputs!$AK75="",Norm_Stats!$F$15="",Norm_Stats!$G$15="",Norm_Stats!$G$15=Norm_Stats!$F$15),"",MAX(0,MIN(100,100*(Norm_Stats!$G$15-MIN(MAX(City_Inputs!$AK75,Norm_Stats!$F$15),Norm_Stats!$G$15))/(Norm_Stats!$G$15-Norm_Stats!$F$15)))))*0.3))/(IF((IF(OR(City_Inputs!$Z75="",Norm_Stats!$F$14="",Norm_Stats!$G$14="",Norm_Stats!$G$14=Norm_Stats!$F$14),"",MAX(0,MIN(100,100*(MIN(MAX(City_Inputs!$Z75,Norm_Stats!$F$14),Norm_Stats!$G$14)-Norm_Stats!$F$14)/(Norm_Stats!$G$14-Norm_Stats!$F$14)))))="",0,0.7)+IF((IF(OR(City_Inputs!$AK75="",Norm_Stats!$F$15="",Norm_Stats!$G$15="",Norm_Stats!$G$15=Norm_Stats!$F$15),"",MAX(0,MIN(100,100*(Norm_Stats!$G$15-MIN(MAX(City_Inputs!$AK75,Norm_Stats!$F$15),Norm_Stats!$G$15))/(Norm_Stats!$G$15-Norm_Stats!$F$15)))))="",0,0.3)))</f>
        <v/>
      </c>
      <c r="AJ75" s="14">
        <f>IF((IF((IF(OR(City_Inputs!$Z75="",Norm_Stats!$F$14="",Norm_Stats!$G$14="",Norm_Stats!$G$14=Norm_Stats!$F$14),"",MAX(0,MIN(100,100*(MIN(MAX(City_Inputs!$Z75,Norm_Stats!$F$14),Norm_Stats!$G$14)-Norm_Stats!$F$14)/(Norm_Stats!$G$14-Norm_Stats!$F$14)))))="",0,0.7)+IF((IF(OR(City_Inputs!$AK75="",Norm_Stats!$F$15="",Norm_Stats!$G$15="",Norm_Stats!$G$15=Norm_Stats!$F$15),"",MAX(0,MIN(100,100*(Norm_Stats!$G$15-MIN(MAX(City_Inputs!$AK75,Norm_Stats!$F$15),Norm_Stats!$G$15))/(Norm_Stats!$G$15-Norm_Stats!$F$15)))))="",0,0.3))=0,"",(IF((IF(OR(City_Inputs!$Z75="",Norm_Stats!$F$14="",Norm_Stats!$G$14="",Norm_Stats!$G$14=Norm_Stats!$F$14),"",MAX(0,MIN(100,100*(MIN(MAX(City_Inputs!$Z75,Norm_Stats!$F$14),Norm_Stats!$G$14)-Norm_Stats!$F$14)/(Norm_Stats!$G$14-Norm_Stats!$F$14)))))="",0,0.7)+IF((IF(OR(City_Inputs!$AK75="",Norm_Stats!$F$15="",Norm_Stats!$G$15="",Norm_Stats!$G$15=Norm_Stats!$F$15),"",MAX(0,MIN(100,100*(Norm_Stats!$G$15-MIN(MAX(City_Inputs!$AK75,Norm_Stats!$F$15),Norm_Stats!$G$15))/(Norm_Stats!$G$15-Norm_Stats!$F$15)))))="",0,0.3)))</f>
        <v/>
      </c>
      <c r="AK75" s="15">
        <f>IF((IF(AE75="",0,8)+IF(AG75="",0,6)+IF(AI75="",0,4))=0,"",(IF(AE75="",0,AE75*8)+IF(AG75="",0,AG75*6)+IF(AI75="",0,AI75*4))/(IF(AE75="",0,8)+IF(AG75="",0,6)+IF(AI75="",0,4)))</f>
        <v/>
      </c>
      <c r="AL75" s="14">
        <f>IF((IF(AF75="",0,8)+IF(AH75="",0,6)+IF(AJ75="",0,4))=0,"",(IF(AF75="",0,AF75*8)+IF(AH75="",0,AH75*6)+IF(AJ75="",0,AJ75*4))/18)</f>
        <v/>
      </c>
      <c r="AM75" s="11">
        <f>IF(OR(City_Inputs!$AA75="",Norm_Stats!$F$16="",Norm_Stats!$G$16="",Norm_Stats!$G$16=Norm_Stats!$F$16),"",MAX(0,MIN(100,100*(MIN(MAX(City_Inputs!$AA75,Norm_Stats!$F$16),Norm_Stats!$G$16)-Norm_Stats!$F$16)/(Norm_Stats!$G$16-Norm_Stats!$F$16))))</f>
        <v/>
      </c>
      <c r="AN75" s="14">
        <f>IF(AM75="","",1)</f>
        <v/>
      </c>
      <c r="AO75" s="11">
        <f>IF(OR(City_Inputs!$AB75="",Norm_Stats!$F$17="",Norm_Stats!$G$17="",Norm_Stats!$G$17=Norm_Stats!$F$17),"",MAX(0,MIN(100,100*(MIN(MAX(City_Inputs!$AB75,Norm_Stats!$F$17),Norm_Stats!$G$17)-Norm_Stats!$F$17)/(Norm_Stats!$G$17-Norm_Stats!$F$17))))</f>
        <v/>
      </c>
      <c r="AP75" s="14">
        <f>IF(AO75="","",1)</f>
        <v/>
      </c>
      <c r="AQ75" s="11">
        <f>IF(OR(City_Inputs!$AC75="",Norm_Stats!$F$18="",Norm_Stats!$G$18="",Norm_Stats!$G$18=Norm_Stats!$F$18),"",MAX(0,MIN(100,100*(MIN(MAX(City_Inputs!$AC75,Norm_Stats!$F$18),Norm_Stats!$G$18)-Norm_Stats!$F$18)/(Norm_Stats!$G$18-Norm_Stats!$F$18))))</f>
        <v/>
      </c>
      <c r="AR75" s="14">
        <f>IF(AQ75="","",1)</f>
        <v/>
      </c>
      <c r="AS75" s="15">
        <f>IF((IF(AM75="",0,5)+IF(AO75="",0,5)+IF(AQ75="",0,5))=0,"",(IF(AM75="",0,AM75*5)+IF(AO75="",0,AO75*5)+IF(AQ75="",0,AQ75*5))/(IF(AM75="",0,5)+IF(AO75="",0,5)+IF(AQ75="",0,5)))</f>
        <v/>
      </c>
      <c r="AT75" s="14">
        <f>IF((IF(AN75="",0,5)+IF(AP75="",0,5)+IF(AR75="",0,5))=0,"",(IF(AN75="",0,AN75*5)+IF(AP75="",0,AP75*5)+IF(AR75="",0,AR75*5))/15)</f>
        <v/>
      </c>
      <c r="AU75" s="11">
        <f>IF(OR(City_Inputs!$AD75="",Norm_Stats!$F$19="",Norm_Stats!$G$19="",Norm_Stats!$G$19=Norm_Stats!$F$19),"",MAX(0,MIN(100,100*(MIN(MAX(City_Inputs!$AD75,Norm_Stats!$F$19),Norm_Stats!$G$19)-Norm_Stats!$F$19)/(Norm_Stats!$G$19-Norm_Stats!$F$19))))</f>
        <v/>
      </c>
      <c r="AV75" s="14">
        <f>IF(AU75="","",1)</f>
        <v/>
      </c>
      <c r="AW75" s="11">
        <f>IF(OR(City_Inputs!$AE75="",Norm_Stats!$F$20="",Norm_Stats!$G$20="",Norm_Stats!$G$20=Norm_Stats!$F$20),"",MAX(0,MIN(100,100*(MIN(MAX(City_Inputs!$AE75,Norm_Stats!$F$20),Norm_Stats!$G$20)-Norm_Stats!$F$20)/(Norm_Stats!$G$20-Norm_Stats!$F$20))))</f>
        <v/>
      </c>
      <c r="AX75" s="14">
        <f>IF(AW75="","",1)</f>
        <v/>
      </c>
      <c r="AY75" s="11">
        <f>IF((IF((IF(OR(City_Inputs!$AF75="",Norm_Stats!$F$21="",Norm_Stats!$G$21="",Norm_Stats!$G$21=Norm_Stats!$F$21),"",MAX(0,MIN(100,100*(MIN(MAX(City_Inputs!$AF75,Norm_Stats!$F$21),Norm_Stats!$G$21)-Norm_Stats!$F$21)/(Norm_Stats!$G$21-Norm_Stats!$F$21)))))="",0,0.5)+IF((IF(OR(City_Inputs!$AI75="",Norm_Stats!$F$22="",Norm_Stats!$G$22="",Norm_Stats!$G$22=Norm_Stats!$F$22),"",MAX(0,MIN(100,100*(MIN(MAX(City_Inputs!$AI75,Norm_Stats!$F$22),Norm_Stats!$G$22)-Norm_Stats!$F$22)/(Norm_Stats!$G$22-Norm_Stats!$F$22)))))="",0,0.3)+IF((IF(OR(City_Inputs!$AJ75="",Norm_Stats!$F$23="",Norm_Stats!$G$23="",Norm_Stats!$G$23=Norm_Stats!$F$23),"",MAX(0,MIN(100,100*(MIN(MAX(City_Inputs!$AJ75,Norm_Stats!$F$23),Norm_Stats!$G$23)-Norm_Stats!$F$23)/(Norm_Stats!$G$23-Norm_Stats!$F$23)))))="",0,0.2))=0,"",(IF((IF(OR(City_Inputs!$AF75="",Norm_Stats!$F$21="",Norm_Stats!$G$21="",Norm_Stats!$G$21=Norm_Stats!$F$21),"",MAX(0,MIN(100,100*(MIN(MAX(City_Inputs!$AF75,Norm_Stats!$F$21),Norm_Stats!$G$21)-Norm_Stats!$F$21)/(Norm_Stats!$G$21-Norm_Stats!$F$21)))))="",0,(IF(OR(City_Inputs!$AF75="",Norm_Stats!$F$21="",Norm_Stats!$G$21="",Norm_Stats!$G$21=Norm_Stats!$F$21),"",MAX(0,MIN(100,100*(MIN(MAX(City_Inputs!$AF75,Norm_Stats!$F$21),Norm_Stats!$G$21)-Norm_Stats!$F$21)/(Norm_Stats!$G$21-Norm_Stats!$F$21)))))*0.5)+IF((IF(OR(City_Inputs!$AI75="",Norm_Stats!$F$22="",Norm_Stats!$G$22="",Norm_Stats!$G$22=Norm_Stats!$F$22),"",MAX(0,MIN(100,100*(MIN(MAX(City_Inputs!$AI75,Norm_Stats!$F$22),Norm_Stats!$G$22)-Norm_Stats!$F$22)/(Norm_Stats!$G$22-Norm_Stats!$F$22)))))="",0,(IF(OR(City_Inputs!$AI75="",Norm_Stats!$F$22="",Norm_Stats!$G$22="",Norm_Stats!$G$22=Norm_Stats!$F$22),"",MAX(0,MIN(100,100*(MIN(MAX(City_Inputs!$AI75,Norm_Stats!$F$22),Norm_Stats!$G$22)-Norm_Stats!$F$22)/(Norm_Stats!$G$22-Norm_Stats!$F$22)))))*0.3)+IF((IF(OR(City_Inputs!$AJ75="",Norm_Stats!$F$23="",Norm_Stats!$G$23="",Norm_Stats!$G$23=Norm_Stats!$F$23),"",MAX(0,MIN(100,100*(MIN(MAX(City_Inputs!$AJ75,Norm_Stats!$F$23),Norm_Stats!$G$23)-Norm_Stats!$F$23)/(Norm_Stats!$G$23-Norm_Stats!$F$23)))))="",0,(IF(OR(City_Inputs!$AJ75="",Norm_Stats!$F$23="",Norm_Stats!$G$23="",Norm_Stats!$G$23=Norm_Stats!$F$23),"",MAX(0,MIN(100,100*(MIN(MAX(City_Inputs!$AJ75,Norm_Stats!$F$23),Norm_Stats!$G$23)-Norm_Stats!$F$23)/(Norm_Stats!$G$23-Norm_Stats!$F$23)))))*0.2))/(IF((IF(OR(City_Inputs!$AF75="",Norm_Stats!$F$21="",Norm_Stats!$G$21="",Norm_Stats!$G$21=Norm_Stats!$F$21),"",MAX(0,MIN(100,100*(MIN(MAX(City_Inputs!$AF75,Norm_Stats!$F$21),Norm_Stats!$G$21)-Norm_Stats!$F$21)/(Norm_Stats!$G$21-Norm_Stats!$F$21)))))="",0,0.5)+IF((IF(OR(City_Inputs!$AI75="",Norm_Stats!$F$22="",Norm_Stats!$G$22="",Norm_Stats!$G$22=Norm_Stats!$F$22),"",MAX(0,MIN(100,100*(MIN(MAX(City_Inputs!$AI75,Norm_Stats!$F$22),Norm_Stats!$G$22)-Norm_Stats!$F$22)/(Norm_Stats!$G$22-Norm_Stats!$F$22)))))="",0,0.3)+IF((IF(OR(City_Inputs!$AJ75="",Norm_Stats!$F$23="",Norm_Stats!$G$23="",Norm_Stats!$G$23=Norm_Stats!$F$23),"",MAX(0,MIN(100,100*(MIN(MAX(City_Inputs!$AJ75,Norm_Stats!$F$23),Norm_Stats!$G$23)-Norm_Stats!$F$23)/(Norm_Stats!$G$23-Norm_Stats!$F$23)))))="",0,0.2)))</f>
        <v/>
      </c>
      <c r="AZ75" s="14">
        <f>IF((IF((IF(OR(City_Inputs!$AF75="",Norm_Stats!$F$21="",Norm_Stats!$G$21="",Norm_Stats!$G$21=Norm_Stats!$F$21),"",MAX(0,MIN(100,100*(MIN(MAX(City_Inputs!$AF75,Norm_Stats!$F$21),Norm_Stats!$G$21)-Norm_Stats!$F$21)/(Norm_Stats!$G$21-Norm_Stats!$F$21)))))="",0,0.5)+IF((IF(OR(City_Inputs!$AI75="",Norm_Stats!$F$22="",Norm_Stats!$G$22="",Norm_Stats!$G$22=Norm_Stats!$F$22),"",MAX(0,MIN(100,100*(MIN(MAX(City_Inputs!$AI75,Norm_Stats!$F$22),Norm_Stats!$G$22)-Norm_Stats!$F$22)/(Norm_Stats!$G$22-Norm_Stats!$F$22)))))="",0,0.3)+IF((IF(OR(City_Inputs!$AJ75="",Norm_Stats!$F$23="",Norm_Stats!$G$23="",Norm_Stats!$G$23=Norm_Stats!$F$23),"",MAX(0,MIN(100,100*(MIN(MAX(City_Inputs!$AJ75,Norm_Stats!$F$23),Norm_Stats!$G$23)-Norm_Stats!$F$23)/(Norm_Stats!$G$23-Norm_Stats!$F$23)))))="",0,0.2))=0,"",(IF((IF(OR(City_Inputs!$AF75="",Norm_Stats!$F$21="",Norm_Stats!$G$21="",Norm_Stats!$G$21=Norm_Stats!$F$21),"",MAX(0,MIN(100,100*(MIN(MAX(City_Inputs!$AF75,Norm_Stats!$F$21),Norm_Stats!$G$21)-Norm_Stats!$F$21)/(Norm_Stats!$G$21-Norm_Stats!$F$21)))))="",0,0.5)+IF((IF(OR(City_Inputs!$AI75="",Norm_Stats!$F$22="",Norm_Stats!$G$22="",Norm_Stats!$G$22=Norm_Stats!$F$22),"",MAX(0,MIN(100,100*(MIN(MAX(City_Inputs!$AI75,Norm_Stats!$F$22),Norm_Stats!$G$22)-Norm_Stats!$F$22)/(Norm_Stats!$G$22-Norm_Stats!$F$22)))))="",0,0.3)+IF((IF(OR(City_Inputs!$AJ75="",Norm_Stats!$F$23="",Norm_Stats!$G$23="",Norm_Stats!$G$23=Norm_Stats!$F$23),"",MAX(0,MIN(100,100*(MIN(MAX(City_Inputs!$AJ75,Norm_Stats!$F$23),Norm_Stats!$G$23)-Norm_Stats!$F$23)/(Norm_Stats!$G$23-Norm_Stats!$F$23)))))="",0,0.2)))</f>
        <v/>
      </c>
      <c r="BA75" s="11">
        <f>IF(OR(City_Inputs!$AG75="",Norm_Stats!$F$24="",Norm_Stats!$G$24="",Norm_Stats!$G$24=Norm_Stats!$F$24),"",MAX(0,MIN(100,100*(Norm_Stats!$G$24-MIN(MAX(City_Inputs!$AG75,Norm_Stats!$F$24),Norm_Stats!$G$24))/(Norm_Stats!$G$24-Norm_Stats!$F$24))))</f>
        <v/>
      </c>
      <c r="BB75" s="14">
        <f>IF(BA75="","",1)</f>
        <v/>
      </c>
      <c r="BC75" s="15">
        <f>IF((IF(AU75="",0,6)+IF(AW75="",0,5)+IF(AY75="",0,5)+IF(BA75="",0,4))=0,"",(IF(AU75="",0,AU75*6)+IF(AW75="",0,AW75*5)+IF(AY75="",0,AY75*5)+IF(BA75="",0,BA75*4))/(IF(AU75="",0,6)+IF(AW75="",0,5)+IF(AY75="",0,5)+IF(BA75="",0,4)))</f>
        <v/>
      </c>
      <c r="BD75" s="14">
        <f>IF((IF(AV75="",0,6)+IF(AX75="",0,5)+IF(AZ75="",0,5)+IF(BB75="",0,4))=0,"",(IF(AV75="",0,AV75*6)+IF(AX75="",0,AX75*5)+IF(AZ75="",0,AZ75*5)+IF(BB75="",0,BB75*4))/20)</f>
        <v/>
      </c>
      <c r="BE75" s="14">
        <f>IF(AND(R75="",AD75="",AL75="",AT75="",BD75=""),"",((R75*25)+(AD75*22)+(AL75*18)+(AT75*15)+(BD75*20))/100)</f>
        <v/>
      </c>
      <c r="BF75" s="11">
        <f>IF(BE75="","",IF(BE75&gt;=0.75,"A",IF(BE75&gt;=0.5,"B",IF(BE75&gt;=0.35,"C","Watchlist"))))</f>
        <v/>
      </c>
      <c r="BG75" s="11">
        <f>IF(OR(BE75="",BE75&lt;0.5,R75="",R75&lt;0.35,AD75="",AD75&lt;0.35,AL75="",AL75&lt;0.35,AT75="",AT75&lt;0.35,BD75="",BD75&lt;0.35),"Watchlist","Ranked")</f>
        <v/>
      </c>
      <c r="BH75" s="15">
        <f>IF(AND(Q75="",AC75="",AK75="",AS75="",BC75=""),"",(IF(Q75="",0,Q75*25)+IF(AC75="",0,AC75*22)+IF(AK75="",0,AK75*18)+IF(AS75="",0,AS75*15)+IF(BC75="",0,BC75*20))/(IF(Q75="",0,25)+IF(AC75="",0,22)+IF(AK75="",0,18)+IF(AS75="",0,15)+IF(BC75="",0,20)))</f>
        <v/>
      </c>
      <c r="BI75" s="11">
        <f>IF(BG75="Ranked",1+COUNTIFS($BG$2:$BG$103,"Ranked",$BH$2:$BH$103,"&gt;"&amp;BH75),"")</f>
        <v/>
      </c>
      <c r="BJ75" s="11">
        <f>City_Inputs!$AH75</f>
        <v/>
      </c>
    </row>
    <row r="76">
      <c r="A76" t="inlineStr">
        <is>
          <t>qa-doha</t>
        </is>
      </c>
      <c r="B76" t="inlineStr">
        <is>
          <t>Doha</t>
        </is>
      </c>
      <c r="C76" t="inlineStr">
        <is>
          <t>Qatar</t>
        </is>
      </c>
      <c r="D76" t="inlineStr">
        <is>
          <t>Middle East</t>
        </is>
      </c>
      <c r="E76" t="inlineStr">
        <is>
          <t>locked</t>
        </is>
      </c>
      <c r="F76" t="inlineStr">
        <is>
          <t>primary</t>
        </is>
      </c>
      <c r="G76" s="11">
        <f>IF(OR(City_Inputs!$M76="",Norm_Stats!$F$2="",Norm_Stats!$G$2="",Norm_Stats!$G$2=Norm_Stats!$F$2),"",MAX(0,MIN(100,100*(MIN(MAX(City_Inputs!$M76,Norm_Stats!$F$2),Norm_Stats!$G$2)-Norm_Stats!$F$2)/(Norm_Stats!$G$2-Norm_Stats!$F$2))))</f>
        <v/>
      </c>
      <c r="H76" s="14">
        <f>IF(G76="","",1)</f>
        <v/>
      </c>
      <c r="I76" s="11">
        <f>IF(OR(City_Inputs!$N76="",Norm_Stats!$F$3="",Norm_Stats!$G$3="",Norm_Stats!$G$3=Norm_Stats!$F$3),"",MAX(0,MIN(100,100*(Norm_Stats!$G$3-MIN(MAX(City_Inputs!$N76,Norm_Stats!$F$3),Norm_Stats!$G$3))/(Norm_Stats!$G$3-Norm_Stats!$F$3))))</f>
        <v/>
      </c>
      <c r="J76" s="14">
        <f>IF(I76="","",1)</f>
        <v/>
      </c>
      <c r="K76" s="11">
        <f>IF(OR(City_Inputs!$P76="",Norm_Stats!$F$4="",Norm_Stats!$G$4="",Norm_Stats!$G$4=Norm_Stats!$F$4),"",MAX(0,MIN(100,100*(Norm_Stats!$G$4-MIN(MAX(City_Inputs!$P76,Norm_Stats!$F$4),Norm_Stats!$G$4))/(Norm_Stats!$G$4-Norm_Stats!$F$4))))</f>
        <v/>
      </c>
      <c r="L76" s="14">
        <f>IF(K76="","",1)</f>
        <v/>
      </c>
      <c r="M76" s="11">
        <f>IF(OR(City_Inputs!$Q76="",Norm_Stats!$F$5="",Norm_Stats!$G$5="",Norm_Stats!$G$5=Norm_Stats!$F$5),"",MAX(0,MIN(100,100*(Norm_Stats!$G$5-MIN(MAX(City_Inputs!$Q76,Norm_Stats!$F$5),Norm_Stats!$G$5))/(Norm_Stats!$G$5-Norm_Stats!$F$5))))</f>
        <v/>
      </c>
      <c r="N76" s="14">
        <f>IF(M76="","",1)</f>
        <v/>
      </c>
      <c r="O76" s="11">
        <f>IF(OR(City_Inputs!$R76="",Norm_Stats!$F$6="",Norm_Stats!$G$6="",Norm_Stats!$G$6=Norm_Stats!$F$6),"",MAX(0,MIN(100,100*(Norm_Stats!$G$6-MIN(MAX(City_Inputs!$R76,Norm_Stats!$F$6),Norm_Stats!$G$6))/(Norm_Stats!$G$6-Norm_Stats!$F$6))))</f>
        <v/>
      </c>
      <c r="P76" s="14">
        <f>IF(O76="","",1)</f>
        <v/>
      </c>
      <c r="Q76" s="15">
        <f>IF((IF(G76="",0,9)+IF(I76="",0,5)+IF(K76="",0,4)+IF(M76="",0,4)+IF(O76="",0,3))=0,"",(IF(G76="",0,G76*9)+IF(I76="",0,I76*5)+IF(K76="",0,K76*4)+IF(M76="",0,M76*4)+IF(O76="",0,O76*3))/(IF(G76="",0,9)+IF(I76="",0,5)+IF(K76="",0,4)+IF(M76="",0,4)+IF(O76="",0,3)))</f>
        <v/>
      </c>
      <c r="R76" s="14">
        <f>IF((IF(H76="",0,9)+IF(J76="",0,5)+IF(L76="",0,4)+IF(N76="",0,4)+IF(P76="",0,3))=0,"",(IF(H76="",0,H76*9)+IF(J76="",0,J76*5)+IF(L76="",0,L76*4)+IF(N76="",0,N76*4)+IF(P76="",0,P76*3))/25)</f>
        <v/>
      </c>
      <c r="S76" s="11">
        <f>IF(OR(City_Inputs!$S76="",Norm_Stats!$F$7="",Norm_Stats!$G$7="",Norm_Stats!$G$7=Norm_Stats!$F$7),"",MAX(0,MIN(100,100*(Norm_Stats!$G$7-MIN(MAX(City_Inputs!$S76,Norm_Stats!$F$7),Norm_Stats!$G$7))/(Norm_Stats!$G$7-Norm_Stats!$F$7))))</f>
        <v/>
      </c>
      <c r="T76" s="14">
        <f>IF(S76="","",1)</f>
        <v/>
      </c>
      <c r="U76" s="11">
        <f>IF(OR(City_Inputs!$T76="",Norm_Stats!$F$8="",Norm_Stats!$G$8="",Norm_Stats!$G$8=Norm_Stats!$F$8),"",MAX(0,MIN(100,100*(MIN(MAX(City_Inputs!$T76,Norm_Stats!$F$8),Norm_Stats!$G$8)-Norm_Stats!$F$8)/(Norm_Stats!$G$8-Norm_Stats!$F$8))))</f>
        <v/>
      </c>
      <c r="V76" s="14">
        <f>IF(U76="","",1)</f>
        <v/>
      </c>
      <c r="W76" s="11">
        <f>IF(OR(City_Inputs!$U76="",Norm_Stats!$F$9="",Norm_Stats!$G$9="",Norm_Stats!$G$9=Norm_Stats!$F$9),"",MAX(0,MIN(100,100*(Norm_Stats!$G$9-MIN(MAX(City_Inputs!$U76,Norm_Stats!$F$9),Norm_Stats!$G$9))/(Norm_Stats!$G$9-Norm_Stats!$F$9))))</f>
        <v/>
      </c>
      <c r="X76" s="14">
        <f>IF(W76="","",1)</f>
        <v/>
      </c>
      <c r="Y76" s="11">
        <f>IF(OR(City_Inputs!$V76="",Norm_Stats!$F$10="",Norm_Stats!$G$10="",Norm_Stats!$G$10=Norm_Stats!$F$10),"",MAX(0,MIN(100,100*(MIN(MAX(City_Inputs!$V76,Norm_Stats!$F$10),Norm_Stats!$G$10)-Norm_Stats!$F$10)/(Norm_Stats!$G$10-Norm_Stats!$F$10))))</f>
        <v/>
      </c>
      <c r="Z76" s="14">
        <f>IF(Y76="","",1)</f>
        <v/>
      </c>
      <c r="AA76" s="11">
        <f>IF(OR(City_Inputs!$W76="",Norm_Stats!$F$11="",Norm_Stats!$G$11="",Norm_Stats!$G$11=Norm_Stats!$F$11),"",MAX(0,MIN(100,100*(MIN(MAX(City_Inputs!$W76,Norm_Stats!$F$11),Norm_Stats!$G$11)-Norm_Stats!$F$11)/(Norm_Stats!$G$11-Norm_Stats!$F$11))))</f>
        <v/>
      </c>
      <c r="AB76" s="14">
        <f>IF(AA76="","",1)</f>
        <v/>
      </c>
      <c r="AC76" s="15">
        <f>IF((IF(S76="",0,5)+IF(U76="",0,5)+IF(W76="",0,4)+IF(Y76="",0,4)+IF(AA76="",0,4))=0,"",(IF(S76="",0,S76*5)+IF(U76="",0,U76*5)+IF(W76="",0,W76*4)+IF(Y76="",0,Y76*4)+IF(AA76="",0,AA76*4))/(IF(S76="",0,5)+IF(U76="",0,5)+IF(W76="",0,4)+IF(Y76="",0,4)+IF(AA76="",0,4)))</f>
        <v/>
      </c>
      <c r="AD76" s="14">
        <f>IF((IF(T76="",0,5)+IF(V76="",0,5)+IF(X76="",0,4)+IF(Z76="",0,4)+IF(AB76="",0,4))=0,"",(IF(T76="",0,T76*5)+IF(V76="",0,V76*5)+IF(X76="",0,X76*4)+IF(Z76="",0,Z76*4)+IF(AB76="",0,AB76*4))/22)</f>
        <v/>
      </c>
      <c r="AE76" s="11">
        <f>IF(OR(City_Inputs!$X76="",Norm_Stats!$F$12="",Norm_Stats!$G$12="",Norm_Stats!$G$12=Norm_Stats!$F$12),"",MAX(0,MIN(100,100*(MIN(MAX(City_Inputs!$X76,Norm_Stats!$F$12),Norm_Stats!$G$12)-Norm_Stats!$F$12)/(Norm_Stats!$G$12-Norm_Stats!$F$12))))</f>
        <v/>
      </c>
      <c r="AF76" s="14">
        <f>IF(AE76="","",1)</f>
        <v/>
      </c>
      <c r="AG76" s="11">
        <f>IF(OR(City_Inputs!$Y76="",Norm_Stats!$F$13="",Norm_Stats!$G$13="",Norm_Stats!$G$13=Norm_Stats!$F$13),"",MAX(0,MIN(100,100*(MIN(MAX(City_Inputs!$Y76,Norm_Stats!$F$13),Norm_Stats!$G$13)-Norm_Stats!$F$13)/(Norm_Stats!$G$13-Norm_Stats!$F$13))))</f>
        <v/>
      </c>
      <c r="AH76" s="14">
        <f>IF(AG76="","",1)</f>
        <v/>
      </c>
      <c r="AI76" s="11">
        <f>IF((IF((IF(OR(City_Inputs!$Z76="",Norm_Stats!$F$14="",Norm_Stats!$G$14="",Norm_Stats!$G$14=Norm_Stats!$F$14),"",MAX(0,MIN(100,100*(MIN(MAX(City_Inputs!$Z76,Norm_Stats!$F$14),Norm_Stats!$G$14)-Norm_Stats!$F$14)/(Norm_Stats!$G$14-Norm_Stats!$F$14)))))="",0,0.7)+IF((IF(OR(City_Inputs!$AK76="",Norm_Stats!$F$15="",Norm_Stats!$G$15="",Norm_Stats!$G$15=Norm_Stats!$F$15),"",MAX(0,MIN(100,100*(Norm_Stats!$G$15-MIN(MAX(City_Inputs!$AK76,Norm_Stats!$F$15),Norm_Stats!$G$15))/(Norm_Stats!$G$15-Norm_Stats!$F$15)))))="",0,0.3))=0,"",(IF((IF(OR(City_Inputs!$Z76="",Norm_Stats!$F$14="",Norm_Stats!$G$14="",Norm_Stats!$G$14=Norm_Stats!$F$14),"",MAX(0,MIN(100,100*(MIN(MAX(City_Inputs!$Z76,Norm_Stats!$F$14),Norm_Stats!$G$14)-Norm_Stats!$F$14)/(Norm_Stats!$G$14-Norm_Stats!$F$14)))))="",0,(IF(OR(City_Inputs!$Z76="",Norm_Stats!$F$14="",Norm_Stats!$G$14="",Norm_Stats!$G$14=Norm_Stats!$F$14),"",MAX(0,MIN(100,100*(MIN(MAX(City_Inputs!$Z76,Norm_Stats!$F$14),Norm_Stats!$G$14)-Norm_Stats!$F$14)/(Norm_Stats!$G$14-Norm_Stats!$F$14)))))*0.7)+IF((IF(OR(City_Inputs!$AK76="",Norm_Stats!$F$15="",Norm_Stats!$G$15="",Norm_Stats!$G$15=Norm_Stats!$F$15),"",MAX(0,MIN(100,100*(Norm_Stats!$G$15-MIN(MAX(City_Inputs!$AK76,Norm_Stats!$F$15),Norm_Stats!$G$15))/(Norm_Stats!$G$15-Norm_Stats!$F$15)))))="",0,(IF(OR(City_Inputs!$AK76="",Norm_Stats!$F$15="",Norm_Stats!$G$15="",Norm_Stats!$G$15=Norm_Stats!$F$15),"",MAX(0,MIN(100,100*(Norm_Stats!$G$15-MIN(MAX(City_Inputs!$AK76,Norm_Stats!$F$15),Norm_Stats!$G$15))/(Norm_Stats!$G$15-Norm_Stats!$F$15)))))*0.3))/(IF((IF(OR(City_Inputs!$Z76="",Norm_Stats!$F$14="",Norm_Stats!$G$14="",Norm_Stats!$G$14=Norm_Stats!$F$14),"",MAX(0,MIN(100,100*(MIN(MAX(City_Inputs!$Z76,Norm_Stats!$F$14),Norm_Stats!$G$14)-Norm_Stats!$F$14)/(Norm_Stats!$G$14-Norm_Stats!$F$14)))))="",0,0.7)+IF((IF(OR(City_Inputs!$AK76="",Norm_Stats!$F$15="",Norm_Stats!$G$15="",Norm_Stats!$G$15=Norm_Stats!$F$15),"",MAX(0,MIN(100,100*(Norm_Stats!$G$15-MIN(MAX(City_Inputs!$AK76,Norm_Stats!$F$15),Norm_Stats!$G$15))/(Norm_Stats!$G$15-Norm_Stats!$F$15)))))="",0,0.3)))</f>
        <v/>
      </c>
      <c r="AJ76" s="14">
        <f>IF((IF((IF(OR(City_Inputs!$Z76="",Norm_Stats!$F$14="",Norm_Stats!$G$14="",Norm_Stats!$G$14=Norm_Stats!$F$14),"",MAX(0,MIN(100,100*(MIN(MAX(City_Inputs!$Z76,Norm_Stats!$F$14),Norm_Stats!$G$14)-Norm_Stats!$F$14)/(Norm_Stats!$G$14-Norm_Stats!$F$14)))))="",0,0.7)+IF((IF(OR(City_Inputs!$AK76="",Norm_Stats!$F$15="",Norm_Stats!$G$15="",Norm_Stats!$G$15=Norm_Stats!$F$15),"",MAX(0,MIN(100,100*(Norm_Stats!$G$15-MIN(MAX(City_Inputs!$AK76,Norm_Stats!$F$15),Norm_Stats!$G$15))/(Norm_Stats!$G$15-Norm_Stats!$F$15)))))="",0,0.3))=0,"",(IF((IF(OR(City_Inputs!$Z76="",Norm_Stats!$F$14="",Norm_Stats!$G$14="",Norm_Stats!$G$14=Norm_Stats!$F$14),"",MAX(0,MIN(100,100*(MIN(MAX(City_Inputs!$Z76,Norm_Stats!$F$14),Norm_Stats!$G$14)-Norm_Stats!$F$14)/(Norm_Stats!$G$14-Norm_Stats!$F$14)))))="",0,0.7)+IF((IF(OR(City_Inputs!$AK76="",Norm_Stats!$F$15="",Norm_Stats!$G$15="",Norm_Stats!$G$15=Norm_Stats!$F$15),"",MAX(0,MIN(100,100*(Norm_Stats!$G$15-MIN(MAX(City_Inputs!$AK76,Norm_Stats!$F$15),Norm_Stats!$G$15))/(Norm_Stats!$G$15-Norm_Stats!$F$15)))))="",0,0.3)))</f>
        <v/>
      </c>
      <c r="AK76" s="15">
        <f>IF((IF(AE76="",0,8)+IF(AG76="",0,6)+IF(AI76="",0,4))=0,"",(IF(AE76="",0,AE76*8)+IF(AG76="",0,AG76*6)+IF(AI76="",0,AI76*4))/(IF(AE76="",0,8)+IF(AG76="",0,6)+IF(AI76="",0,4)))</f>
        <v/>
      </c>
      <c r="AL76" s="14">
        <f>IF((IF(AF76="",0,8)+IF(AH76="",0,6)+IF(AJ76="",0,4))=0,"",(IF(AF76="",0,AF76*8)+IF(AH76="",0,AH76*6)+IF(AJ76="",0,AJ76*4))/18)</f>
        <v/>
      </c>
      <c r="AM76" s="11">
        <f>IF(OR(City_Inputs!$AA76="",Norm_Stats!$F$16="",Norm_Stats!$G$16="",Norm_Stats!$G$16=Norm_Stats!$F$16),"",MAX(0,MIN(100,100*(MIN(MAX(City_Inputs!$AA76,Norm_Stats!$F$16),Norm_Stats!$G$16)-Norm_Stats!$F$16)/(Norm_Stats!$G$16-Norm_Stats!$F$16))))</f>
        <v/>
      </c>
      <c r="AN76" s="14">
        <f>IF(AM76="","",1)</f>
        <v/>
      </c>
      <c r="AO76" s="11">
        <f>IF(OR(City_Inputs!$AB76="",Norm_Stats!$F$17="",Norm_Stats!$G$17="",Norm_Stats!$G$17=Norm_Stats!$F$17),"",MAX(0,MIN(100,100*(MIN(MAX(City_Inputs!$AB76,Norm_Stats!$F$17),Norm_Stats!$G$17)-Norm_Stats!$F$17)/(Norm_Stats!$G$17-Norm_Stats!$F$17))))</f>
        <v/>
      </c>
      <c r="AP76" s="14">
        <f>IF(AO76="","",1)</f>
        <v/>
      </c>
      <c r="AQ76" s="11">
        <f>IF(OR(City_Inputs!$AC76="",Norm_Stats!$F$18="",Norm_Stats!$G$18="",Norm_Stats!$G$18=Norm_Stats!$F$18),"",MAX(0,MIN(100,100*(MIN(MAX(City_Inputs!$AC76,Norm_Stats!$F$18),Norm_Stats!$G$18)-Norm_Stats!$F$18)/(Norm_Stats!$G$18-Norm_Stats!$F$18))))</f>
        <v/>
      </c>
      <c r="AR76" s="14">
        <f>IF(AQ76="","",1)</f>
        <v/>
      </c>
      <c r="AS76" s="15">
        <f>IF((IF(AM76="",0,5)+IF(AO76="",0,5)+IF(AQ76="",0,5))=0,"",(IF(AM76="",0,AM76*5)+IF(AO76="",0,AO76*5)+IF(AQ76="",0,AQ76*5))/(IF(AM76="",0,5)+IF(AO76="",0,5)+IF(AQ76="",0,5)))</f>
        <v/>
      </c>
      <c r="AT76" s="14">
        <f>IF((IF(AN76="",0,5)+IF(AP76="",0,5)+IF(AR76="",0,5))=0,"",(IF(AN76="",0,AN76*5)+IF(AP76="",0,AP76*5)+IF(AR76="",0,AR76*5))/15)</f>
        <v/>
      </c>
      <c r="AU76" s="11">
        <f>IF(OR(City_Inputs!$AD76="",Norm_Stats!$F$19="",Norm_Stats!$G$19="",Norm_Stats!$G$19=Norm_Stats!$F$19),"",MAX(0,MIN(100,100*(MIN(MAX(City_Inputs!$AD76,Norm_Stats!$F$19),Norm_Stats!$G$19)-Norm_Stats!$F$19)/(Norm_Stats!$G$19-Norm_Stats!$F$19))))</f>
        <v/>
      </c>
      <c r="AV76" s="14">
        <f>IF(AU76="","",1)</f>
        <v/>
      </c>
      <c r="AW76" s="11">
        <f>IF(OR(City_Inputs!$AE76="",Norm_Stats!$F$20="",Norm_Stats!$G$20="",Norm_Stats!$G$20=Norm_Stats!$F$20),"",MAX(0,MIN(100,100*(MIN(MAX(City_Inputs!$AE76,Norm_Stats!$F$20),Norm_Stats!$G$20)-Norm_Stats!$F$20)/(Norm_Stats!$G$20-Norm_Stats!$F$20))))</f>
        <v/>
      </c>
      <c r="AX76" s="14">
        <f>IF(AW76="","",1)</f>
        <v/>
      </c>
      <c r="AY76" s="11">
        <f>IF((IF((IF(OR(City_Inputs!$AF76="",Norm_Stats!$F$21="",Norm_Stats!$G$21="",Norm_Stats!$G$21=Norm_Stats!$F$21),"",MAX(0,MIN(100,100*(MIN(MAX(City_Inputs!$AF76,Norm_Stats!$F$21),Norm_Stats!$G$21)-Norm_Stats!$F$21)/(Norm_Stats!$G$21-Norm_Stats!$F$21)))))="",0,0.5)+IF((IF(OR(City_Inputs!$AI76="",Norm_Stats!$F$22="",Norm_Stats!$G$22="",Norm_Stats!$G$22=Norm_Stats!$F$22),"",MAX(0,MIN(100,100*(MIN(MAX(City_Inputs!$AI76,Norm_Stats!$F$22),Norm_Stats!$G$22)-Norm_Stats!$F$22)/(Norm_Stats!$G$22-Norm_Stats!$F$22)))))="",0,0.3)+IF((IF(OR(City_Inputs!$AJ76="",Norm_Stats!$F$23="",Norm_Stats!$G$23="",Norm_Stats!$G$23=Norm_Stats!$F$23),"",MAX(0,MIN(100,100*(MIN(MAX(City_Inputs!$AJ76,Norm_Stats!$F$23),Norm_Stats!$G$23)-Norm_Stats!$F$23)/(Norm_Stats!$G$23-Norm_Stats!$F$23)))))="",0,0.2))=0,"",(IF((IF(OR(City_Inputs!$AF76="",Norm_Stats!$F$21="",Norm_Stats!$G$21="",Norm_Stats!$G$21=Norm_Stats!$F$21),"",MAX(0,MIN(100,100*(MIN(MAX(City_Inputs!$AF76,Norm_Stats!$F$21),Norm_Stats!$G$21)-Norm_Stats!$F$21)/(Norm_Stats!$G$21-Norm_Stats!$F$21)))))="",0,(IF(OR(City_Inputs!$AF76="",Norm_Stats!$F$21="",Norm_Stats!$G$21="",Norm_Stats!$G$21=Norm_Stats!$F$21),"",MAX(0,MIN(100,100*(MIN(MAX(City_Inputs!$AF76,Norm_Stats!$F$21),Norm_Stats!$G$21)-Norm_Stats!$F$21)/(Norm_Stats!$G$21-Norm_Stats!$F$21)))))*0.5)+IF((IF(OR(City_Inputs!$AI76="",Norm_Stats!$F$22="",Norm_Stats!$G$22="",Norm_Stats!$G$22=Norm_Stats!$F$22),"",MAX(0,MIN(100,100*(MIN(MAX(City_Inputs!$AI76,Norm_Stats!$F$22),Norm_Stats!$G$22)-Norm_Stats!$F$22)/(Norm_Stats!$G$22-Norm_Stats!$F$22)))))="",0,(IF(OR(City_Inputs!$AI76="",Norm_Stats!$F$22="",Norm_Stats!$G$22="",Norm_Stats!$G$22=Norm_Stats!$F$22),"",MAX(0,MIN(100,100*(MIN(MAX(City_Inputs!$AI76,Norm_Stats!$F$22),Norm_Stats!$G$22)-Norm_Stats!$F$22)/(Norm_Stats!$G$22-Norm_Stats!$F$22)))))*0.3)+IF((IF(OR(City_Inputs!$AJ76="",Norm_Stats!$F$23="",Norm_Stats!$G$23="",Norm_Stats!$G$23=Norm_Stats!$F$23),"",MAX(0,MIN(100,100*(MIN(MAX(City_Inputs!$AJ76,Norm_Stats!$F$23),Norm_Stats!$G$23)-Norm_Stats!$F$23)/(Norm_Stats!$G$23-Norm_Stats!$F$23)))))="",0,(IF(OR(City_Inputs!$AJ76="",Norm_Stats!$F$23="",Norm_Stats!$G$23="",Norm_Stats!$G$23=Norm_Stats!$F$23),"",MAX(0,MIN(100,100*(MIN(MAX(City_Inputs!$AJ76,Norm_Stats!$F$23),Norm_Stats!$G$23)-Norm_Stats!$F$23)/(Norm_Stats!$G$23-Norm_Stats!$F$23)))))*0.2))/(IF((IF(OR(City_Inputs!$AF76="",Norm_Stats!$F$21="",Norm_Stats!$G$21="",Norm_Stats!$G$21=Norm_Stats!$F$21),"",MAX(0,MIN(100,100*(MIN(MAX(City_Inputs!$AF76,Norm_Stats!$F$21),Norm_Stats!$G$21)-Norm_Stats!$F$21)/(Norm_Stats!$G$21-Norm_Stats!$F$21)))))="",0,0.5)+IF((IF(OR(City_Inputs!$AI76="",Norm_Stats!$F$22="",Norm_Stats!$G$22="",Norm_Stats!$G$22=Norm_Stats!$F$22),"",MAX(0,MIN(100,100*(MIN(MAX(City_Inputs!$AI76,Norm_Stats!$F$22),Norm_Stats!$G$22)-Norm_Stats!$F$22)/(Norm_Stats!$G$22-Norm_Stats!$F$22)))))="",0,0.3)+IF((IF(OR(City_Inputs!$AJ76="",Norm_Stats!$F$23="",Norm_Stats!$G$23="",Norm_Stats!$G$23=Norm_Stats!$F$23),"",MAX(0,MIN(100,100*(MIN(MAX(City_Inputs!$AJ76,Norm_Stats!$F$23),Norm_Stats!$G$23)-Norm_Stats!$F$23)/(Norm_Stats!$G$23-Norm_Stats!$F$23)))))="",0,0.2)))</f>
        <v/>
      </c>
      <c r="AZ76" s="14">
        <f>IF((IF((IF(OR(City_Inputs!$AF76="",Norm_Stats!$F$21="",Norm_Stats!$G$21="",Norm_Stats!$G$21=Norm_Stats!$F$21),"",MAX(0,MIN(100,100*(MIN(MAX(City_Inputs!$AF76,Norm_Stats!$F$21),Norm_Stats!$G$21)-Norm_Stats!$F$21)/(Norm_Stats!$G$21-Norm_Stats!$F$21)))))="",0,0.5)+IF((IF(OR(City_Inputs!$AI76="",Norm_Stats!$F$22="",Norm_Stats!$G$22="",Norm_Stats!$G$22=Norm_Stats!$F$22),"",MAX(0,MIN(100,100*(MIN(MAX(City_Inputs!$AI76,Norm_Stats!$F$22),Norm_Stats!$G$22)-Norm_Stats!$F$22)/(Norm_Stats!$G$22-Norm_Stats!$F$22)))))="",0,0.3)+IF((IF(OR(City_Inputs!$AJ76="",Norm_Stats!$F$23="",Norm_Stats!$G$23="",Norm_Stats!$G$23=Norm_Stats!$F$23),"",MAX(0,MIN(100,100*(MIN(MAX(City_Inputs!$AJ76,Norm_Stats!$F$23),Norm_Stats!$G$23)-Norm_Stats!$F$23)/(Norm_Stats!$G$23-Norm_Stats!$F$23)))))="",0,0.2))=0,"",(IF((IF(OR(City_Inputs!$AF76="",Norm_Stats!$F$21="",Norm_Stats!$G$21="",Norm_Stats!$G$21=Norm_Stats!$F$21),"",MAX(0,MIN(100,100*(MIN(MAX(City_Inputs!$AF76,Norm_Stats!$F$21),Norm_Stats!$G$21)-Norm_Stats!$F$21)/(Norm_Stats!$G$21-Norm_Stats!$F$21)))))="",0,0.5)+IF((IF(OR(City_Inputs!$AI76="",Norm_Stats!$F$22="",Norm_Stats!$G$22="",Norm_Stats!$G$22=Norm_Stats!$F$22),"",MAX(0,MIN(100,100*(MIN(MAX(City_Inputs!$AI76,Norm_Stats!$F$22),Norm_Stats!$G$22)-Norm_Stats!$F$22)/(Norm_Stats!$G$22-Norm_Stats!$F$22)))))="",0,0.3)+IF((IF(OR(City_Inputs!$AJ76="",Norm_Stats!$F$23="",Norm_Stats!$G$23="",Norm_Stats!$G$23=Norm_Stats!$F$23),"",MAX(0,MIN(100,100*(MIN(MAX(City_Inputs!$AJ76,Norm_Stats!$F$23),Norm_Stats!$G$23)-Norm_Stats!$F$23)/(Norm_Stats!$G$23-Norm_Stats!$F$23)))))="",0,0.2)))</f>
        <v/>
      </c>
      <c r="BA76" s="11">
        <f>IF(OR(City_Inputs!$AG76="",Norm_Stats!$F$24="",Norm_Stats!$G$24="",Norm_Stats!$G$24=Norm_Stats!$F$24),"",MAX(0,MIN(100,100*(Norm_Stats!$G$24-MIN(MAX(City_Inputs!$AG76,Norm_Stats!$F$24),Norm_Stats!$G$24))/(Norm_Stats!$G$24-Norm_Stats!$F$24))))</f>
        <v/>
      </c>
      <c r="BB76" s="14">
        <f>IF(BA76="","",1)</f>
        <v/>
      </c>
      <c r="BC76" s="15">
        <f>IF((IF(AU76="",0,6)+IF(AW76="",0,5)+IF(AY76="",0,5)+IF(BA76="",0,4))=0,"",(IF(AU76="",0,AU76*6)+IF(AW76="",0,AW76*5)+IF(AY76="",0,AY76*5)+IF(BA76="",0,BA76*4))/(IF(AU76="",0,6)+IF(AW76="",0,5)+IF(AY76="",0,5)+IF(BA76="",0,4)))</f>
        <v/>
      </c>
      <c r="BD76" s="14">
        <f>IF((IF(AV76="",0,6)+IF(AX76="",0,5)+IF(AZ76="",0,5)+IF(BB76="",0,4))=0,"",(IF(AV76="",0,AV76*6)+IF(AX76="",0,AX76*5)+IF(AZ76="",0,AZ76*5)+IF(BB76="",0,BB76*4))/20)</f>
        <v/>
      </c>
      <c r="BE76" s="14">
        <f>IF(AND(R76="",AD76="",AL76="",AT76="",BD76=""),"",((R76*25)+(AD76*22)+(AL76*18)+(AT76*15)+(BD76*20))/100)</f>
        <v/>
      </c>
      <c r="BF76" s="11">
        <f>IF(BE76="","",IF(BE76&gt;=0.75,"A",IF(BE76&gt;=0.5,"B",IF(BE76&gt;=0.35,"C","Watchlist"))))</f>
        <v/>
      </c>
      <c r="BG76" s="11">
        <f>IF(OR(BE76="",BE76&lt;0.5,R76="",R76&lt;0.35,AD76="",AD76&lt;0.35,AL76="",AL76&lt;0.35,AT76="",AT76&lt;0.35,BD76="",BD76&lt;0.35),"Watchlist","Ranked")</f>
        <v/>
      </c>
      <c r="BH76" s="15">
        <f>IF(AND(Q76="",AC76="",AK76="",AS76="",BC76=""),"",(IF(Q76="",0,Q76*25)+IF(AC76="",0,AC76*22)+IF(AK76="",0,AK76*18)+IF(AS76="",0,AS76*15)+IF(BC76="",0,BC76*20))/(IF(Q76="",0,25)+IF(AC76="",0,22)+IF(AK76="",0,18)+IF(AS76="",0,15)+IF(BC76="",0,20)))</f>
        <v/>
      </c>
      <c r="BI76" s="11">
        <f>IF(BG76="Ranked",1+COUNTIFS($BG$2:$BG$103,"Ranked",$BH$2:$BH$103,"&gt;"&amp;BH76),"")</f>
        <v/>
      </c>
      <c r="BJ76" s="11">
        <f>City_Inputs!$AH76</f>
        <v/>
      </c>
    </row>
    <row r="77">
      <c r="A77" t="inlineStr">
        <is>
          <t>sa-riyadh</t>
        </is>
      </c>
      <c r="B77" t="inlineStr">
        <is>
          <t>Riyadh</t>
        </is>
      </c>
      <c r="C77" t="inlineStr">
        <is>
          <t>Saudi Arabia</t>
        </is>
      </c>
      <c r="D77" t="inlineStr">
        <is>
          <t>Middle East</t>
        </is>
      </c>
      <c r="E77" t="inlineStr">
        <is>
          <t>provisional</t>
        </is>
      </c>
      <c r="F77" t="inlineStr">
        <is>
          <t>primary</t>
        </is>
      </c>
      <c r="G77" s="11">
        <f>IF(OR(City_Inputs!$M77="",Norm_Stats!$F$2="",Norm_Stats!$G$2="",Norm_Stats!$G$2=Norm_Stats!$F$2),"",MAX(0,MIN(100,100*(MIN(MAX(City_Inputs!$M77,Norm_Stats!$F$2),Norm_Stats!$G$2)-Norm_Stats!$F$2)/(Norm_Stats!$G$2-Norm_Stats!$F$2))))</f>
        <v/>
      </c>
      <c r="H77" s="14">
        <f>IF(G77="","",1)</f>
        <v/>
      </c>
      <c r="I77" s="11">
        <f>IF(OR(City_Inputs!$N77="",Norm_Stats!$F$3="",Norm_Stats!$G$3="",Norm_Stats!$G$3=Norm_Stats!$F$3),"",MAX(0,MIN(100,100*(Norm_Stats!$G$3-MIN(MAX(City_Inputs!$N77,Norm_Stats!$F$3),Norm_Stats!$G$3))/(Norm_Stats!$G$3-Norm_Stats!$F$3))))</f>
        <v/>
      </c>
      <c r="J77" s="14">
        <f>IF(I77="","",1)</f>
        <v/>
      </c>
      <c r="K77" s="11">
        <f>IF(OR(City_Inputs!$P77="",Norm_Stats!$F$4="",Norm_Stats!$G$4="",Norm_Stats!$G$4=Norm_Stats!$F$4),"",MAX(0,MIN(100,100*(Norm_Stats!$G$4-MIN(MAX(City_Inputs!$P77,Norm_Stats!$F$4),Norm_Stats!$G$4))/(Norm_Stats!$G$4-Norm_Stats!$F$4))))</f>
        <v/>
      </c>
      <c r="L77" s="14">
        <f>IF(K77="","",1)</f>
        <v/>
      </c>
      <c r="M77" s="11">
        <f>IF(OR(City_Inputs!$Q77="",Norm_Stats!$F$5="",Norm_Stats!$G$5="",Norm_Stats!$G$5=Norm_Stats!$F$5),"",MAX(0,MIN(100,100*(Norm_Stats!$G$5-MIN(MAX(City_Inputs!$Q77,Norm_Stats!$F$5),Norm_Stats!$G$5))/(Norm_Stats!$G$5-Norm_Stats!$F$5))))</f>
        <v/>
      </c>
      <c r="N77" s="14">
        <f>IF(M77="","",1)</f>
        <v/>
      </c>
      <c r="O77" s="11">
        <f>IF(OR(City_Inputs!$R77="",Norm_Stats!$F$6="",Norm_Stats!$G$6="",Norm_Stats!$G$6=Norm_Stats!$F$6),"",MAX(0,MIN(100,100*(Norm_Stats!$G$6-MIN(MAX(City_Inputs!$R77,Norm_Stats!$F$6),Norm_Stats!$G$6))/(Norm_Stats!$G$6-Norm_Stats!$F$6))))</f>
        <v/>
      </c>
      <c r="P77" s="14">
        <f>IF(O77="","",1)</f>
        <v/>
      </c>
      <c r="Q77" s="15">
        <f>IF((IF(G77="",0,9)+IF(I77="",0,5)+IF(K77="",0,4)+IF(M77="",0,4)+IF(O77="",0,3))=0,"",(IF(G77="",0,G77*9)+IF(I77="",0,I77*5)+IF(K77="",0,K77*4)+IF(M77="",0,M77*4)+IF(O77="",0,O77*3))/(IF(G77="",0,9)+IF(I77="",0,5)+IF(K77="",0,4)+IF(M77="",0,4)+IF(O77="",0,3)))</f>
        <v/>
      </c>
      <c r="R77" s="14">
        <f>IF((IF(H77="",0,9)+IF(J77="",0,5)+IF(L77="",0,4)+IF(N77="",0,4)+IF(P77="",0,3))=0,"",(IF(H77="",0,H77*9)+IF(J77="",0,J77*5)+IF(L77="",0,L77*4)+IF(N77="",0,N77*4)+IF(P77="",0,P77*3))/25)</f>
        <v/>
      </c>
      <c r="S77" s="11">
        <f>IF(OR(City_Inputs!$S77="",Norm_Stats!$F$7="",Norm_Stats!$G$7="",Norm_Stats!$G$7=Norm_Stats!$F$7),"",MAX(0,MIN(100,100*(Norm_Stats!$G$7-MIN(MAX(City_Inputs!$S77,Norm_Stats!$F$7),Norm_Stats!$G$7))/(Norm_Stats!$G$7-Norm_Stats!$F$7))))</f>
        <v/>
      </c>
      <c r="T77" s="14">
        <f>IF(S77="","",1)</f>
        <v/>
      </c>
      <c r="U77" s="11">
        <f>IF(OR(City_Inputs!$T77="",Norm_Stats!$F$8="",Norm_Stats!$G$8="",Norm_Stats!$G$8=Norm_Stats!$F$8),"",MAX(0,MIN(100,100*(MIN(MAX(City_Inputs!$T77,Norm_Stats!$F$8),Norm_Stats!$G$8)-Norm_Stats!$F$8)/(Norm_Stats!$G$8-Norm_Stats!$F$8))))</f>
        <v/>
      </c>
      <c r="V77" s="14">
        <f>IF(U77="","",1)</f>
        <v/>
      </c>
      <c r="W77" s="11">
        <f>IF(OR(City_Inputs!$U77="",Norm_Stats!$F$9="",Norm_Stats!$G$9="",Norm_Stats!$G$9=Norm_Stats!$F$9),"",MAX(0,MIN(100,100*(Norm_Stats!$G$9-MIN(MAX(City_Inputs!$U77,Norm_Stats!$F$9),Norm_Stats!$G$9))/(Norm_Stats!$G$9-Norm_Stats!$F$9))))</f>
        <v/>
      </c>
      <c r="X77" s="14">
        <f>IF(W77="","",1)</f>
        <v/>
      </c>
      <c r="Y77" s="11">
        <f>IF(OR(City_Inputs!$V77="",Norm_Stats!$F$10="",Norm_Stats!$G$10="",Norm_Stats!$G$10=Norm_Stats!$F$10),"",MAX(0,MIN(100,100*(MIN(MAX(City_Inputs!$V77,Norm_Stats!$F$10),Norm_Stats!$G$10)-Norm_Stats!$F$10)/(Norm_Stats!$G$10-Norm_Stats!$F$10))))</f>
        <v/>
      </c>
      <c r="Z77" s="14">
        <f>IF(Y77="","",1)</f>
        <v/>
      </c>
      <c r="AA77" s="11">
        <f>IF(OR(City_Inputs!$W77="",Norm_Stats!$F$11="",Norm_Stats!$G$11="",Norm_Stats!$G$11=Norm_Stats!$F$11),"",MAX(0,MIN(100,100*(MIN(MAX(City_Inputs!$W77,Norm_Stats!$F$11),Norm_Stats!$G$11)-Norm_Stats!$F$11)/(Norm_Stats!$G$11-Norm_Stats!$F$11))))</f>
        <v/>
      </c>
      <c r="AB77" s="14">
        <f>IF(AA77="","",1)</f>
        <v/>
      </c>
      <c r="AC77" s="15">
        <f>IF((IF(S77="",0,5)+IF(U77="",0,5)+IF(W77="",0,4)+IF(Y77="",0,4)+IF(AA77="",0,4))=0,"",(IF(S77="",0,S77*5)+IF(U77="",0,U77*5)+IF(W77="",0,W77*4)+IF(Y77="",0,Y77*4)+IF(AA77="",0,AA77*4))/(IF(S77="",0,5)+IF(U77="",0,5)+IF(W77="",0,4)+IF(Y77="",0,4)+IF(AA77="",0,4)))</f>
        <v/>
      </c>
      <c r="AD77" s="14">
        <f>IF((IF(T77="",0,5)+IF(V77="",0,5)+IF(X77="",0,4)+IF(Z77="",0,4)+IF(AB77="",0,4))=0,"",(IF(T77="",0,T77*5)+IF(V77="",0,V77*5)+IF(X77="",0,X77*4)+IF(Z77="",0,Z77*4)+IF(AB77="",0,AB77*4))/22)</f>
        <v/>
      </c>
      <c r="AE77" s="11">
        <f>IF(OR(City_Inputs!$X77="",Norm_Stats!$F$12="",Norm_Stats!$G$12="",Norm_Stats!$G$12=Norm_Stats!$F$12),"",MAX(0,MIN(100,100*(MIN(MAX(City_Inputs!$X77,Norm_Stats!$F$12),Norm_Stats!$G$12)-Norm_Stats!$F$12)/(Norm_Stats!$G$12-Norm_Stats!$F$12))))</f>
        <v/>
      </c>
      <c r="AF77" s="14">
        <f>IF(AE77="","",1)</f>
        <v/>
      </c>
      <c r="AG77" s="11">
        <f>IF(OR(City_Inputs!$Y77="",Norm_Stats!$F$13="",Norm_Stats!$G$13="",Norm_Stats!$G$13=Norm_Stats!$F$13),"",MAX(0,MIN(100,100*(MIN(MAX(City_Inputs!$Y77,Norm_Stats!$F$13),Norm_Stats!$G$13)-Norm_Stats!$F$13)/(Norm_Stats!$G$13-Norm_Stats!$F$13))))</f>
        <v/>
      </c>
      <c r="AH77" s="14">
        <f>IF(AG77="","",1)</f>
        <v/>
      </c>
      <c r="AI77" s="11">
        <f>IF((IF((IF(OR(City_Inputs!$Z77="",Norm_Stats!$F$14="",Norm_Stats!$G$14="",Norm_Stats!$G$14=Norm_Stats!$F$14),"",MAX(0,MIN(100,100*(MIN(MAX(City_Inputs!$Z77,Norm_Stats!$F$14),Norm_Stats!$G$14)-Norm_Stats!$F$14)/(Norm_Stats!$G$14-Norm_Stats!$F$14)))))="",0,0.7)+IF((IF(OR(City_Inputs!$AK77="",Norm_Stats!$F$15="",Norm_Stats!$G$15="",Norm_Stats!$G$15=Norm_Stats!$F$15),"",MAX(0,MIN(100,100*(Norm_Stats!$G$15-MIN(MAX(City_Inputs!$AK77,Norm_Stats!$F$15),Norm_Stats!$G$15))/(Norm_Stats!$G$15-Norm_Stats!$F$15)))))="",0,0.3))=0,"",(IF((IF(OR(City_Inputs!$Z77="",Norm_Stats!$F$14="",Norm_Stats!$G$14="",Norm_Stats!$G$14=Norm_Stats!$F$14),"",MAX(0,MIN(100,100*(MIN(MAX(City_Inputs!$Z77,Norm_Stats!$F$14),Norm_Stats!$G$14)-Norm_Stats!$F$14)/(Norm_Stats!$G$14-Norm_Stats!$F$14)))))="",0,(IF(OR(City_Inputs!$Z77="",Norm_Stats!$F$14="",Norm_Stats!$G$14="",Norm_Stats!$G$14=Norm_Stats!$F$14),"",MAX(0,MIN(100,100*(MIN(MAX(City_Inputs!$Z77,Norm_Stats!$F$14),Norm_Stats!$G$14)-Norm_Stats!$F$14)/(Norm_Stats!$G$14-Norm_Stats!$F$14)))))*0.7)+IF((IF(OR(City_Inputs!$AK77="",Norm_Stats!$F$15="",Norm_Stats!$G$15="",Norm_Stats!$G$15=Norm_Stats!$F$15),"",MAX(0,MIN(100,100*(Norm_Stats!$G$15-MIN(MAX(City_Inputs!$AK77,Norm_Stats!$F$15),Norm_Stats!$G$15))/(Norm_Stats!$G$15-Norm_Stats!$F$15)))))="",0,(IF(OR(City_Inputs!$AK77="",Norm_Stats!$F$15="",Norm_Stats!$G$15="",Norm_Stats!$G$15=Norm_Stats!$F$15),"",MAX(0,MIN(100,100*(Norm_Stats!$G$15-MIN(MAX(City_Inputs!$AK77,Norm_Stats!$F$15),Norm_Stats!$G$15))/(Norm_Stats!$G$15-Norm_Stats!$F$15)))))*0.3))/(IF((IF(OR(City_Inputs!$Z77="",Norm_Stats!$F$14="",Norm_Stats!$G$14="",Norm_Stats!$G$14=Norm_Stats!$F$14),"",MAX(0,MIN(100,100*(MIN(MAX(City_Inputs!$Z77,Norm_Stats!$F$14),Norm_Stats!$G$14)-Norm_Stats!$F$14)/(Norm_Stats!$G$14-Norm_Stats!$F$14)))))="",0,0.7)+IF((IF(OR(City_Inputs!$AK77="",Norm_Stats!$F$15="",Norm_Stats!$G$15="",Norm_Stats!$G$15=Norm_Stats!$F$15),"",MAX(0,MIN(100,100*(Norm_Stats!$G$15-MIN(MAX(City_Inputs!$AK77,Norm_Stats!$F$15),Norm_Stats!$G$15))/(Norm_Stats!$G$15-Norm_Stats!$F$15)))))="",0,0.3)))</f>
        <v/>
      </c>
      <c r="AJ77" s="14">
        <f>IF((IF((IF(OR(City_Inputs!$Z77="",Norm_Stats!$F$14="",Norm_Stats!$G$14="",Norm_Stats!$G$14=Norm_Stats!$F$14),"",MAX(0,MIN(100,100*(MIN(MAX(City_Inputs!$Z77,Norm_Stats!$F$14),Norm_Stats!$G$14)-Norm_Stats!$F$14)/(Norm_Stats!$G$14-Norm_Stats!$F$14)))))="",0,0.7)+IF((IF(OR(City_Inputs!$AK77="",Norm_Stats!$F$15="",Norm_Stats!$G$15="",Norm_Stats!$G$15=Norm_Stats!$F$15),"",MAX(0,MIN(100,100*(Norm_Stats!$G$15-MIN(MAX(City_Inputs!$AK77,Norm_Stats!$F$15),Norm_Stats!$G$15))/(Norm_Stats!$G$15-Norm_Stats!$F$15)))))="",0,0.3))=0,"",(IF((IF(OR(City_Inputs!$Z77="",Norm_Stats!$F$14="",Norm_Stats!$G$14="",Norm_Stats!$G$14=Norm_Stats!$F$14),"",MAX(0,MIN(100,100*(MIN(MAX(City_Inputs!$Z77,Norm_Stats!$F$14),Norm_Stats!$G$14)-Norm_Stats!$F$14)/(Norm_Stats!$G$14-Norm_Stats!$F$14)))))="",0,0.7)+IF((IF(OR(City_Inputs!$AK77="",Norm_Stats!$F$15="",Norm_Stats!$G$15="",Norm_Stats!$G$15=Norm_Stats!$F$15),"",MAX(0,MIN(100,100*(Norm_Stats!$G$15-MIN(MAX(City_Inputs!$AK77,Norm_Stats!$F$15),Norm_Stats!$G$15))/(Norm_Stats!$G$15-Norm_Stats!$F$15)))))="",0,0.3)))</f>
        <v/>
      </c>
      <c r="AK77" s="15">
        <f>IF((IF(AE77="",0,8)+IF(AG77="",0,6)+IF(AI77="",0,4))=0,"",(IF(AE77="",0,AE77*8)+IF(AG77="",0,AG77*6)+IF(AI77="",0,AI77*4))/(IF(AE77="",0,8)+IF(AG77="",0,6)+IF(AI77="",0,4)))</f>
        <v/>
      </c>
      <c r="AL77" s="14">
        <f>IF((IF(AF77="",0,8)+IF(AH77="",0,6)+IF(AJ77="",0,4))=0,"",(IF(AF77="",0,AF77*8)+IF(AH77="",0,AH77*6)+IF(AJ77="",0,AJ77*4))/18)</f>
        <v/>
      </c>
      <c r="AM77" s="11">
        <f>IF(OR(City_Inputs!$AA77="",Norm_Stats!$F$16="",Norm_Stats!$G$16="",Norm_Stats!$G$16=Norm_Stats!$F$16),"",MAX(0,MIN(100,100*(MIN(MAX(City_Inputs!$AA77,Norm_Stats!$F$16),Norm_Stats!$G$16)-Norm_Stats!$F$16)/(Norm_Stats!$G$16-Norm_Stats!$F$16))))</f>
        <v/>
      </c>
      <c r="AN77" s="14">
        <f>IF(AM77="","",1)</f>
        <v/>
      </c>
      <c r="AO77" s="11">
        <f>IF(OR(City_Inputs!$AB77="",Norm_Stats!$F$17="",Norm_Stats!$G$17="",Norm_Stats!$G$17=Norm_Stats!$F$17),"",MAX(0,MIN(100,100*(MIN(MAX(City_Inputs!$AB77,Norm_Stats!$F$17),Norm_Stats!$G$17)-Norm_Stats!$F$17)/(Norm_Stats!$G$17-Norm_Stats!$F$17))))</f>
        <v/>
      </c>
      <c r="AP77" s="14">
        <f>IF(AO77="","",1)</f>
        <v/>
      </c>
      <c r="AQ77" s="11">
        <f>IF(OR(City_Inputs!$AC77="",Norm_Stats!$F$18="",Norm_Stats!$G$18="",Norm_Stats!$G$18=Norm_Stats!$F$18),"",MAX(0,MIN(100,100*(MIN(MAX(City_Inputs!$AC77,Norm_Stats!$F$18),Norm_Stats!$G$18)-Norm_Stats!$F$18)/(Norm_Stats!$G$18-Norm_Stats!$F$18))))</f>
        <v/>
      </c>
      <c r="AR77" s="14">
        <f>IF(AQ77="","",1)</f>
        <v/>
      </c>
      <c r="AS77" s="15">
        <f>IF((IF(AM77="",0,5)+IF(AO77="",0,5)+IF(AQ77="",0,5))=0,"",(IF(AM77="",0,AM77*5)+IF(AO77="",0,AO77*5)+IF(AQ77="",0,AQ77*5))/(IF(AM77="",0,5)+IF(AO77="",0,5)+IF(AQ77="",0,5)))</f>
        <v/>
      </c>
      <c r="AT77" s="14">
        <f>IF((IF(AN77="",0,5)+IF(AP77="",0,5)+IF(AR77="",0,5))=0,"",(IF(AN77="",0,AN77*5)+IF(AP77="",0,AP77*5)+IF(AR77="",0,AR77*5))/15)</f>
        <v/>
      </c>
      <c r="AU77" s="11">
        <f>IF(OR(City_Inputs!$AD77="",Norm_Stats!$F$19="",Norm_Stats!$G$19="",Norm_Stats!$G$19=Norm_Stats!$F$19),"",MAX(0,MIN(100,100*(MIN(MAX(City_Inputs!$AD77,Norm_Stats!$F$19),Norm_Stats!$G$19)-Norm_Stats!$F$19)/(Norm_Stats!$G$19-Norm_Stats!$F$19))))</f>
        <v/>
      </c>
      <c r="AV77" s="14">
        <f>IF(AU77="","",1)</f>
        <v/>
      </c>
      <c r="AW77" s="11">
        <f>IF(OR(City_Inputs!$AE77="",Norm_Stats!$F$20="",Norm_Stats!$G$20="",Norm_Stats!$G$20=Norm_Stats!$F$20),"",MAX(0,MIN(100,100*(MIN(MAX(City_Inputs!$AE77,Norm_Stats!$F$20),Norm_Stats!$G$20)-Norm_Stats!$F$20)/(Norm_Stats!$G$20-Norm_Stats!$F$20))))</f>
        <v/>
      </c>
      <c r="AX77" s="14">
        <f>IF(AW77="","",1)</f>
        <v/>
      </c>
      <c r="AY77" s="11">
        <f>IF((IF((IF(OR(City_Inputs!$AF77="",Norm_Stats!$F$21="",Norm_Stats!$G$21="",Norm_Stats!$G$21=Norm_Stats!$F$21),"",MAX(0,MIN(100,100*(MIN(MAX(City_Inputs!$AF77,Norm_Stats!$F$21),Norm_Stats!$G$21)-Norm_Stats!$F$21)/(Norm_Stats!$G$21-Norm_Stats!$F$21)))))="",0,0.5)+IF((IF(OR(City_Inputs!$AI77="",Norm_Stats!$F$22="",Norm_Stats!$G$22="",Norm_Stats!$G$22=Norm_Stats!$F$22),"",MAX(0,MIN(100,100*(MIN(MAX(City_Inputs!$AI77,Norm_Stats!$F$22),Norm_Stats!$G$22)-Norm_Stats!$F$22)/(Norm_Stats!$G$22-Norm_Stats!$F$22)))))="",0,0.3)+IF((IF(OR(City_Inputs!$AJ77="",Norm_Stats!$F$23="",Norm_Stats!$G$23="",Norm_Stats!$G$23=Norm_Stats!$F$23),"",MAX(0,MIN(100,100*(MIN(MAX(City_Inputs!$AJ77,Norm_Stats!$F$23),Norm_Stats!$G$23)-Norm_Stats!$F$23)/(Norm_Stats!$G$23-Norm_Stats!$F$23)))))="",0,0.2))=0,"",(IF((IF(OR(City_Inputs!$AF77="",Norm_Stats!$F$21="",Norm_Stats!$G$21="",Norm_Stats!$G$21=Norm_Stats!$F$21),"",MAX(0,MIN(100,100*(MIN(MAX(City_Inputs!$AF77,Norm_Stats!$F$21),Norm_Stats!$G$21)-Norm_Stats!$F$21)/(Norm_Stats!$G$21-Norm_Stats!$F$21)))))="",0,(IF(OR(City_Inputs!$AF77="",Norm_Stats!$F$21="",Norm_Stats!$G$21="",Norm_Stats!$G$21=Norm_Stats!$F$21),"",MAX(0,MIN(100,100*(MIN(MAX(City_Inputs!$AF77,Norm_Stats!$F$21),Norm_Stats!$G$21)-Norm_Stats!$F$21)/(Norm_Stats!$G$21-Norm_Stats!$F$21)))))*0.5)+IF((IF(OR(City_Inputs!$AI77="",Norm_Stats!$F$22="",Norm_Stats!$G$22="",Norm_Stats!$G$22=Norm_Stats!$F$22),"",MAX(0,MIN(100,100*(MIN(MAX(City_Inputs!$AI77,Norm_Stats!$F$22),Norm_Stats!$G$22)-Norm_Stats!$F$22)/(Norm_Stats!$G$22-Norm_Stats!$F$22)))))="",0,(IF(OR(City_Inputs!$AI77="",Norm_Stats!$F$22="",Norm_Stats!$G$22="",Norm_Stats!$G$22=Norm_Stats!$F$22),"",MAX(0,MIN(100,100*(MIN(MAX(City_Inputs!$AI77,Norm_Stats!$F$22),Norm_Stats!$G$22)-Norm_Stats!$F$22)/(Norm_Stats!$G$22-Norm_Stats!$F$22)))))*0.3)+IF((IF(OR(City_Inputs!$AJ77="",Norm_Stats!$F$23="",Norm_Stats!$G$23="",Norm_Stats!$G$23=Norm_Stats!$F$23),"",MAX(0,MIN(100,100*(MIN(MAX(City_Inputs!$AJ77,Norm_Stats!$F$23),Norm_Stats!$G$23)-Norm_Stats!$F$23)/(Norm_Stats!$G$23-Norm_Stats!$F$23)))))="",0,(IF(OR(City_Inputs!$AJ77="",Norm_Stats!$F$23="",Norm_Stats!$G$23="",Norm_Stats!$G$23=Norm_Stats!$F$23),"",MAX(0,MIN(100,100*(MIN(MAX(City_Inputs!$AJ77,Norm_Stats!$F$23),Norm_Stats!$G$23)-Norm_Stats!$F$23)/(Norm_Stats!$G$23-Norm_Stats!$F$23)))))*0.2))/(IF((IF(OR(City_Inputs!$AF77="",Norm_Stats!$F$21="",Norm_Stats!$G$21="",Norm_Stats!$G$21=Norm_Stats!$F$21),"",MAX(0,MIN(100,100*(MIN(MAX(City_Inputs!$AF77,Norm_Stats!$F$21),Norm_Stats!$G$21)-Norm_Stats!$F$21)/(Norm_Stats!$G$21-Norm_Stats!$F$21)))))="",0,0.5)+IF((IF(OR(City_Inputs!$AI77="",Norm_Stats!$F$22="",Norm_Stats!$G$22="",Norm_Stats!$G$22=Norm_Stats!$F$22),"",MAX(0,MIN(100,100*(MIN(MAX(City_Inputs!$AI77,Norm_Stats!$F$22),Norm_Stats!$G$22)-Norm_Stats!$F$22)/(Norm_Stats!$G$22-Norm_Stats!$F$22)))))="",0,0.3)+IF((IF(OR(City_Inputs!$AJ77="",Norm_Stats!$F$23="",Norm_Stats!$G$23="",Norm_Stats!$G$23=Norm_Stats!$F$23),"",MAX(0,MIN(100,100*(MIN(MAX(City_Inputs!$AJ77,Norm_Stats!$F$23),Norm_Stats!$G$23)-Norm_Stats!$F$23)/(Norm_Stats!$G$23-Norm_Stats!$F$23)))))="",0,0.2)))</f>
        <v/>
      </c>
      <c r="AZ77" s="14">
        <f>IF((IF((IF(OR(City_Inputs!$AF77="",Norm_Stats!$F$21="",Norm_Stats!$G$21="",Norm_Stats!$G$21=Norm_Stats!$F$21),"",MAX(0,MIN(100,100*(MIN(MAX(City_Inputs!$AF77,Norm_Stats!$F$21),Norm_Stats!$G$21)-Norm_Stats!$F$21)/(Norm_Stats!$G$21-Norm_Stats!$F$21)))))="",0,0.5)+IF((IF(OR(City_Inputs!$AI77="",Norm_Stats!$F$22="",Norm_Stats!$G$22="",Norm_Stats!$G$22=Norm_Stats!$F$22),"",MAX(0,MIN(100,100*(MIN(MAX(City_Inputs!$AI77,Norm_Stats!$F$22),Norm_Stats!$G$22)-Norm_Stats!$F$22)/(Norm_Stats!$G$22-Norm_Stats!$F$22)))))="",0,0.3)+IF((IF(OR(City_Inputs!$AJ77="",Norm_Stats!$F$23="",Norm_Stats!$G$23="",Norm_Stats!$G$23=Norm_Stats!$F$23),"",MAX(0,MIN(100,100*(MIN(MAX(City_Inputs!$AJ77,Norm_Stats!$F$23),Norm_Stats!$G$23)-Norm_Stats!$F$23)/(Norm_Stats!$G$23-Norm_Stats!$F$23)))))="",0,0.2))=0,"",(IF((IF(OR(City_Inputs!$AF77="",Norm_Stats!$F$21="",Norm_Stats!$G$21="",Norm_Stats!$G$21=Norm_Stats!$F$21),"",MAX(0,MIN(100,100*(MIN(MAX(City_Inputs!$AF77,Norm_Stats!$F$21),Norm_Stats!$G$21)-Norm_Stats!$F$21)/(Norm_Stats!$G$21-Norm_Stats!$F$21)))))="",0,0.5)+IF((IF(OR(City_Inputs!$AI77="",Norm_Stats!$F$22="",Norm_Stats!$G$22="",Norm_Stats!$G$22=Norm_Stats!$F$22),"",MAX(0,MIN(100,100*(MIN(MAX(City_Inputs!$AI77,Norm_Stats!$F$22),Norm_Stats!$G$22)-Norm_Stats!$F$22)/(Norm_Stats!$G$22-Norm_Stats!$F$22)))))="",0,0.3)+IF((IF(OR(City_Inputs!$AJ77="",Norm_Stats!$F$23="",Norm_Stats!$G$23="",Norm_Stats!$G$23=Norm_Stats!$F$23),"",MAX(0,MIN(100,100*(MIN(MAX(City_Inputs!$AJ77,Norm_Stats!$F$23),Norm_Stats!$G$23)-Norm_Stats!$F$23)/(Norm_Stats!$G$23-Norm_Stats!$F$23)))))="",0,0.2)))</f>
        <v/>
      </c>
      <c r="BA77" s="11">
        <f>IF(OR(City_Inputs!$AG77="",Norm_Stats!$F$24="",Norm_Stats!$G$24="",Norm_Stats!$G$24=Norm_Stats!$F$24),"",MAX(0,MIN(100,100*(Norm_Stats!$G$24-MIN(MAX(City_Inputs!$AG77,Norm_Stats!$F$24),Norm_Stats!$G$24))/(Norm_Stats!$G$24-Norm_Stats!$F$24))))</f>
        <v/>
      </c>
      <c r="BB77" s="14">
        <f>IF(BA77="","",1)</f>
        <v/>
      </c>
      <c r="BC77" s="15">
        <f>IF((IF(AU77="",0,6)+IF(AW77="",0,5)+IF(AY77="",0,5)+IF(BA77="",0,4))=0,"",(IF(AU77="",0,AU77*6)+IF(AW77="",0,AW77*5)+IF(AY77="",0,AY77*5)+IF(BA77="",0,BA77*4))/(IF(AU77="",0,6)+IF(AW77="",0,5)+IF(AY77="",0,5)+IF(BA77="",0,4)))</f>
        <v/>
      </c>
      <c r="BD77" s="14">
        <f>IF((IF(AV77="",0,6)+IF(AX77="",0,5)+IF(AZ77="",0,5)+IF(BB77="",0,4))=0,"",(IF(AV77="",0,AV77*6)+IF(AX77="",0,AX77*5)+IF(AZ77="",0,AZ77*5)+IF(BB77="",0,BB77*4))/20)</f>
        <v/>
      </c>
      <c r="BE77" s="14">
        <f>IF(AND(R77="",AD77="",AL77="",AT77="",BD77=""),"",((R77*25)+(AD77*22)+(AL77*18)+(AT77*15)+(BD77*20))/100)</f>
        <v/>
      </c>
      <c r="BF77" s="11">
        <f>IF(BE77="","",IF(BE77&gt;=0.75,"A",IF(BE77&gt;=0.5,"B",IF(BE77&gt;=0.35,"C","Watchlist"))))</f>
        <v/>
      </c>
      <c r="BG77" s="11">
        <f>IF(OR(BE77="",BE77&lt;0.5,R77="",R77&lt;0.35,AD77="",AD77&lt;0.35,AL77="",AL77&lt;0.35,AT77="",AT77&lt;0.35,BD77="",BD77&lt;0.35),"Watchlist","Ranked")</f>
        <v/>
      </c>
      <c r="BH77" s="15">
        <f>IF(AND(Q77="",AC77="",AK77="",AS77="",BC77=""),"",(IF(Q77="",0,Q77*25)+IF(AC77="",0,AC77*22)+IF(AK77="",0,AK77*18)+IF(AS77="",0,AS77*15)+IF(BC77="",0,BC77*20))/(IF(Q77="",0,25)+IF(AC77="",0,22)+IF(AK77="",0,18)+IF(AS77="",0,15)+IF(BC77="",0,20)))</f>
        <v/>
      </c>
      <c r="BI77" s="11">
        <f>IF(BG77="Ranked",1+COUNTIFS($BG$2:$BG$103,"Ranked",$BH$2:$BH$103,"&gt;"&amp;BH77),"")</f>
        <v/>
      </c>
      <c r="BJ77" s="11">
        <f>City_Inputs!$AH77</f>
        <v/>
      </c>
    </row>
    <row r="78">
      <c r="A78" t="inlineStr">
        <is>
          <t>il-tel-aviv</t>
        </is>
      </c>
      <c r="B78" t="inlineStr">
        <is>
          <t>Tel Aviv</t>
        </is>
      </c>
      <c r="C78" t="inlineStr">
        <is>
          <t>Israel</t>
        </is>
      </c>
      <c r="D78" t="inlineStr">
        <is>
          <t>Middle East</t>
        </is>
      </c>
      <c r="E78" t="inlineStr">
        <is>
          <t>provisional</t>
        </is>
      </c>
      <c r="F78" t="inlineStr">
        <is>
          <t>primary</t>
        </is>
      </c>
      <c r="G78" s="11">
        <f>IF(OR(City_Inputs!$M78="",Norm_Stats!$F$2="",Norm_Stats!$G$2="",Norm_Stats!$G$2=Norm_Stats!$F$2),"",MAX(0,MIN(100,100*(MIN(MAX(City_Inputs!$M78,Norm_Stats!$F$2),Norm_Stats!$G$2)-Norm_Stats!$F$2)/(Norm_Stats!$G$2-Norm_Stats!$F$2))))</f>
        <v/>
      </c>
      <c r="H78" s="14">
        <f>IF(G78="","",1)</f>
        <v/>
      </c>
      <c r="I78" s="11">
        <f>IF(OR(City_Inputs!$N78="",Norm_Stats!$F$3="",Norm_Stats!$G$3="",Norm_Stats!$G$3=Norm_Stats!$F$3),"",MAX(0,MIN(100,100*(Norm_Stats!$G$3-MIN(MAX(City_Inputs!$N78,Norm_Stats!$F$3),Norm_Stats!$G$3))/(Norm_Stats!$G$3-Norm_Stats!$F$3))))</f>
        <v/>
      </c>
      <c r="J78" s="14">
        <f>IF(I78="","",1)</f>
        <v/>
      </c>
      <c r="K78" s="11">
        <f>IF(OR(City_Inputs!$P78="",Norm_Stats!$F$4="",Norm_Stats!$G$4="",Norm_Stats!$G$4=Norm_Stats!$F$4),"",MAX(0,MIN(100,100*(Norm_Stats!$G$4-MIN(MAX(City_Inputs!$P78,Norm_Stats!$F$4),Norm_Stats!$G$4))/(Norm_Stats!$G$4-Norm_Stats!$F$4))))</f>
        <v/>
      </c>
      <c r="L78" s="14">
        <f>IF(K78="","",1)</f>
        <v/>
      </c>
      <c r="M78" s="11">
        <f>IF(OR(City_Inputs!$Q78="",Norm_Stats!$F$5="",Norm_Stats!$G$5="",Norm_Stats!$G$5=Norm_Stats!$F$5),"",MAX(0,MIN(100,100*(Norm_Stats!$G$5-MIN(MAX(City_Inputs!$Q78,Norm_Stats!$F$5),Norm_Stats!$G$5))/(Norm_Stats!$G$5-Norm_Stats!$F$5))))</f>
        <v/>
      </c>
      <c r="N78" s="14">
        <f>IF(M78="","",1)</f>
        <v/>
      </c>
      <c r="O78" s="11">
        <f>IF(OR(City_Inputs!$R78="",Norm_Stats!$F$6="",Norm_Stats!$G$6="",Norm_Stats!$G$6=Norm_Stats!$F$6),"",MAX(0,MIN(100,100*(Norm_Stats!$G$6-MIN(MAX(City_Inputs!$R78,Norm_Stats!$F$6),Norm_Stats!$G$6))/(Norm_Stats!$G$6-Norm_Stats!$F$6))))</f>
        <v/>
      </c>
      <c r="P78" s="14">
        <f>IF(O78="","",1)</f>
        <v/>
      </c>
      <c r="Q78" s="15">
        <f>IF((IF(G78="",0,9)+IF(I78="",0,5)+IF(K78="",0,4)+IF(M78="",0,4)+IF(O78="",0,3))=0,"",(IF(G78="",0,G78*9)+IF(I78="",0,I78*5)+IF(K78="",0,K78*4)+IF(M78="",0,M78*4)+IF(O78="",0,O78*3))/(IF(G78="",0,9)+IF(I78="",0,5)+IF(K78="",0,4)+IF(M78="",0,4)+IF(O78="",0,3)))</f>
        <v/>
      </c>
      <c r="R78" s="14">
        <f>IF((IF(H78="",0,9)+IF(J78="",0,5)+IF(L78="",0,4)+IF(N78="",0,4)+IF(P78="",0,3))=0,"",(IF(H78="",0,H78*9)+IF(J78="",0,J78*5)+IF(L78="",0,L78*4)+IF(N78="",0,N78*4)+IF(P78="",0,P78*3))/25)</f>
        <v/>
      </c>
      <c r="S78" s="11">
        <f>IF(OR(City_Inputs!$S78="",Norm_Stats!$F$7="",Norm_Stats!$G$7="",Norm_Stats!$G$7=Norm_Stats!$F$7),"",MAX(0,MIN(100,100*(Norm_Stats!$G$7-MIN(MAX(City_Inputs!$S78,Norm_Stats!$F$7),Norm_Stats!$G$7))/(Norm_Stats!$G$7-Norm_Stats!$F$7))))</f>
        <v/>
      </c>
      <c r="T78" s="14">
        <f>IF(S78="","",1)</f>
        <v/>
      </c>
      <c r="U78" s="11">
        <f>IF(OR(City_Inputs!$T78="",Norm_Stats!$F$8="",Norm_Stats!$G$8="",Norm_Stats!$G$8=Norm_Stats!$F$8),"",MAX(0,MIN(100,100*(MIN(MAX(City_Inputs!$T78,Norm_Stats!$F$8),Norm_Stats!$G$8)-Norm_Stats!$F$8)/(Norm_Stats!$G$8-Norm_Stats!$F$8))))</f>
        <v/>
      </c>
      <c r="V78" s="14">
        <f>IF(U78="","",1)</f>
        <v/>
      </c>
      <c r="W78" s="11">
        <f>IF(OR(City_Inputs!$U78="",Norm_Stats!$F$9="",Norm_Stats!$G$9="",Norm_Stats!$G$9=Norm_Stats!$F$9),"",MAX(0,MIN(100,100*(Norm_Stats!$G$9-MIN(MAX(City_Inputs!$U78,Norm_Stats!$F$9),Norm_Stats!$G$9))/(Norm_Stats!$G$9-Norm_Stats!$F$9))))</f>
        <v/>
      </c>
      <c r="X78" s="14">
        <f>IF(W78="","",1)</f>
        <v/>
      </c>
      <c r="Y78" s="11">
        <f>IF(OR(City_Inputs!$V78="",Norm_Stats!$F$10="",Norm_Stats!$G$10="",Norm_Stats!$G$10=Norm_Stats!$F$10),"",MAX(0,MIN(100,100*(MIN(MAX(City_Inputs!$V78,Norm_Stats!$F$10),Norm_Stats!$G$10)-Norm_Stats!$F$10)/(Norm_Stats!$G$10-Norm_Stats!$F$10))))</f>
        <v/>
      </c>
      <c r="Z78" s="14">
        <f>IF(Y78="","",1)</f>
        <v/>
      </c>
      <c r="AA78" s="11">
        <f>IF(OR(City_Inputs!$W78="",Norm_Stats!$F$11="",Norm_Stats!$G$11="",Norm_Stats!$G$11=Norm_Stats!$F$11),"",MAX(0,MIN(100,100*(MIN(MAX(City_Inputs!$W78,Norm_Stats!$F$11),Norm_Stats!$G$11)-Norm_Stats!$F$11)/(Norm_Stats!$G$11-Norm_Stats!$F$11))))</f>
        <v/>
      </c>
      <c r="AB78" s="14">
        <f>IF(AA78="","",1)</f>
        <v/>
      </c>
      <c r="AC78" s="15">
        <f>IF((IF(S78="",0,5)+IF(U78="",0,5)+IF(W78="",0,4)+IF(Y78="",0,4)+IF(AA78="",0,4))=0,"",(IF(S78="",0,S78*5)+IF(U78="",0,U78*5)+IF(W78="",0,W78*4)+IF(Y78="",0,Y78*4)+IF(AA78="",0,AA78*4))/(IF(S78="",0,5)+IF(U78="",0,5)+IF(W78="",0,4)+IF(Y78="",0,4)+IF(AA78="",0,4)))</f>
        <v/>
      </c>
      <c r="AD78" s="14">
        <f>IF((IF(T78="",0,5)+IF(V78="",0,5)+IF(X78="",0,4)+IF(Z78="",0,4)+IF(AB78="",0,4))=0,"",(IF(T78="",0,T78*5)+IF(V78="",0,V78*5)+IF(X78="",0,X78*4)+IF(Z78="",0,Z78*4)+IF(AB78="",0,AB78*4))/22)</f>
        <v/>
      </c>
      <c r="AE78" s="11">
        <f>IF(OR(City_Inputs!$X78="",Norm_Stats!$F$12="",Norm_Stats!$G$12="",Norm_Stats!$G$12=Norm_Stats!$F$12),"",MAX(0,MIN(100,100*(MIN(MAX(City_Inputs!$X78,Norm_Stats!$F$12),Norm_Stats!$G$12)-Norm_Stats!$F$12)/(Norm_Stats!$G$12-Norm_Stats!$F$12))))</f>
        <v/>
      </c>
      <c r="AF78" s="14">
        <f>IF(AE78="","",1)</f>
        <v/>
      </c>
      <c r="AG78" s="11">
        <f>IF(OR(City_Inputs!$Y78="",Norm_Stats!$F$13="",Norm_Stats!$G$13="",Norm_Stats!$G$13=Norm_Stats!$F$13),"",MAX(0,MIN(100,100*(MIN(MAX(City_Inputs!$Y78,Norm_Stats!$F$13),Norm_Stats!$G$13)-Norm_Stats!$F$13)/(Norm_Stats!$G$13-Norm_Stats!$F$13))))</f>
        <v/>
      </c>
      <c r="AH78" s="14">
        <f>IF(AG78="","",1)</f>
        <v/>
      </c>
      <c r="AI78" s="11">
        <f>IF((IF((IF(OR(City_Inputs!$Z78="",Norm_Stats!$F$14="",Norm_Stats!$G$14="",Norm_Stats!$G$14=Norm_Stats!$F$14),"",MAX(0,MIN(100,100*(MIN(MAX(City_Inputs!$Z78,Norm_Stats!$F$14),Norm_Stats!$G$14)-Norm_Stats!$F$14)/(Norm_Stats!$G$14-Norm_Stats!$F$14)))))="",0,0.7)+IF((IF(OR(City_Inputs!$AK78="",Norm_Stats!$F$15="",Norm_Stats!$G$15="",Norm_Stats!$G$15=Norm_Stats!$F$15),"",MAX(0,MIN(100,100*(Norm_Stats!$G$15-MIN(MAX(City_Inputs!$AK78,Norm_Stats!$F$15),Norm_Stats!$G$15))/(Norm_Stats!$G$15-Norm_Stats!$F$15)))))="",0,0.3))=0,"",(IF((IF(OR(City_Inputs!$Z78="",Norm_Stats!$F$14="",Norm_Stats!$G$14="",Norm_Stats!$G$14=Norm_Stats!$F$14),"",MAX(0,MIN(100,100*(MIN(MAX(City_Inputs!$Z78,Norm_Stats!$F$14),Norm_Stats!$G$14)-Norm_Stats!$F$14)/(Norm_Stats!$G$14-Norm_Stats!$F$14)))))="",0,(IF(OR(City_Inputs!$Z78="",Norm_Stats!$F$14="",Norm_Stats!$G$14="",Norm_Stats!$G$14=Norm_Stats!$F$14),"",MAX(0,MIN(100,100*(MIN(MAX(City_Inputs!$Z78,Norm_Stats!$F$14),Norm_Stats!$G$14)-Norm_Stats!$F$14)/(Norm_Stats!$G$14-Norm_Stats!$F$14)))))*0.7)+IF((IF(OR(City_Inputs!$AK78="",Norm_Stats!$F$15="",Norm_Stats!$G$15="",Norm_Stats!$G$15=Norm_Stats!$F$15),"",MAX(0,MIN(100,100*(Norm_Stats!$G$15-MIN(MAX(City_Inputs!$AK78,Norm_Stats!$F$15),Norm_Stats!$G$15))/(Norm_Stats!$G$15-Norm_Stats!$F$15)))))="",0,(IF(OR(City_Inputs!$AK78="",Norm_Stats!$F$15="",Norm_Stats!$G$15="",Norm_Stats!$G$15=Norm_Stats!$F$15),"",MAX(0,MIN(100,100*(Norm_Stats!$G$15-MIN(MAX(City_Inputs!$AK78,Norm_Stats!$F$15),Norm_Stats!$G$15))/(Norm_Stats!$G$15-Norm_Stats!$F$15)))))*0.3))/(IF((IF(OR(City_Inputs!$Z78="",Norm_Stats!$F$14="",Norm_Stats!$G$14="",Norm_Stats!$G$14=Norm_Stats!$F$14),"",MAX(0,MIN(100,100*(MIN(MAX(City_Inputs!$Z78,Norm_Stats!$F$14),Norm_Stats!$G$14)-Norm_Stats!$F$14)/(Norm_Stats!$G$14-Norm_Stats!$F$14)))))="",0,0.7)+IF((IF(OR(City_Inputs!$AK78="",Norm_Stats!$F$15="",Norm_Stats!$G$15="",Norm_Stats!$G$15=Norm_Stats!$F$15),"",MAX(0,MIN(100,100*(Norm_Stats!$G$15-MIN(MAX(City_Inputs!$AK78,Norm_Stats!$F$15),Norm_Stats!$G$15))/(Norm_Stats!$G$15-Norm_Stats!$F$15)))))="",0,0.3)))</f>
        <v/>
      </c>
      <c r="AJ78" s="14">
        <f>IF((IF((IF(OR(City_Inputs!$Z78="",Norm_Stats!$F$14="",Norm_Stats!$G$14="",Norm_Stats!$G$14=Norm_Stats!$F$14),"",MAX(0,MIN(100,100*(MIN(MAX(City_Inputs!$Z78,Norm_Stats!$F$14),Norm_Stats!$G$14)-Norm_Stats!$F$14)/(Norm_Stats!$G$14-Norm_Stats!$F$14)))))="",0,0.7)+IF((IF(OR(City_Inputs!$AK78="",Norm_Stats!$F$15="",Norm_Stats!$G$15="",Norm_Stats!$G$15=Norm_Stats!$F$15),"",MAX(0,MIN(100,100*(Norm_Stats!$G$15-MIN(MAX(City_Inputs!$AK78,Norm_Stats!$F$15),Norm_Stats!$G$15))/(Norm_Stats!$G$15-Norm_Stats!$F$15)))))="",0,0.3))=0,"",(IF((IF(OR(City_Inputs!$Z78="",Norm_Stats!$F$14="",Norm_Stats!$G$14="",Norm_Stats!$G$14=Norm_Stats!$F$14),"",MAX(0,MIN(100,100*(MIN(MAX(City_Inputs!$Z78,Norm_Stats!$F$14),Norm_Stats!$G$14)-Norm_Stats!$F$14)/(Norm_Stats!$G$14-Norm_Stats!$F$14)))))="",0,0.7)+IF((IF(OR(City_Inputs!$AK78="",Norm_Stats!$F$15="",Norm_Stats!$G$15="",Norm_Stats!$G$15=Norm_Stats!$F$15),"",MAX(0,MIN(100,100*(Norm_Stats!$G$15-MIN(MAX(City_Inputs!$AK78,Norm_Stats!$F$15),Norm_Stats!$G$15))/(Norm_Stats!$G$15-Norm_Stats!$F$15)))))="",0,0.3)))</f>
        <v/>
      </c>
      <c r="AK78" s="15">
        <f>IF((IF(AE78="",0,8)+IF(AG78="",0,6)+IF(AI78="",0,4))=0,"",(IF(AE78="",0,AE78*8)+IF(AG78="",0,AG78*6)+IF(AI78="",0,AI78*4))/(IF(AE78="",0,8)+IF(AG78="",0,6)+IF(AI78="",0,4)))</f>
        <v/>
      </c>
      <c r="AL78" s="14">
        <f>IF((IF(AF78="",0,8)+IF(AH78="",0,6)+IF(AJ78="",0,4))=0,"",(IF(AF78="",0,AF78*8)+IF(AH78="",0,AH78*6)+IF(AJ78="",0,AJ78*4))/18)</f>
        <v/>
      </c>
      <c r="AM78" s="11">
        <f>IF(OR(City_Inputs!$AA78="",Norm_Stats!$F$16="",Norm_Stats!$G$16="",Norm_Stats!$G$16=Norm_Stats!$F$16),"",MAX(0,MIN(100,100*(MIN(MAX(City_Inputs!$AA78,Norm_Stats!$F$16),Norm_Stats!$G$16)-Norm_Stats!$F$16)/(Norm_Stats!$G$16-Norm_Stats!$F$16))))</f>
        <v/>
      </c>
      <c r="AN78" s="14">
        <f>IF(AM78="","",1)</f>
        <v/>
      </c>
      <c r="AO78" s="11">
        <f>IF(OR(City_Inputs!$AB78="",Norm_Stats!$F$17="",Norm_Stats!$G$17="",Norm_Stats!$G$17=Norm_Stats!$F$17),"",MAX(0,MIN(100,100*(MIN(MAX(City_Inputs!$AB78,Norm_Stats!$F$17),Norm_Stats!$G$17)-Norm_Stats!$F$17)/(Norm_Stats!$G$17-Norm_Stats!$F$17))))</f>
        <v/>
      </c>
      <c r="AP78" s="14">
        <f>IF(AO78="","",1)</f>
        <v/>
      </c>
      <c r="AQ78" s="11">
        <f>IF(OR(City_Inputs!$AC78="",Norm_Stats!$F$18="",Norm_Stats!$G$18="",Norm_Stats!$G$18=Norm_Stats!$F$18),"",MAX(0,MIN(100,100*(MIN(MAX(City_Inputs!$AC78,Norm_Stats!$F$18),Norm_Stats!$G$18)-Norm_Stats!$F$18)/(Norm_Stats!$G$18-Norm_Stats!$F$18))))</f>
        <v/>
      </c>
      <c r="AR78" s="14">
        <f>IF(AQ78="","",1)</f>
        <v/>
      </c>
      <c r="AS78" s="15">
        <f>IF((IF(AM78="",0,5)+IF(AO78="",0,5)+IF(AQ78="",0,5))=0,"",(IF(AM78="",0,AM78*5)+IF(AO78="",0,AO78*5)+IF(AQ78="",0,AQ78*5))/(IF(AM78="",0,5)+IF(AO78="",0,5)+IF(AQ78="",0,5)))</f>
        <v/>
      </c>
      <c r="AT78" s="14">
        <f>IF((IF(AN78="",0,5)+IF(AP78="",0,5)+IF(AR78="",0,5))=0,"",(IF(AN78="",0,AN78*5)+IF(AP78="",0,AP78*5)+IF(AR78="",0,AR78*5))/15)</f>
        <v/>
      </c>
      <c r="AU78" s="11">
        <f>IF(OR(City_Inputs!$AD78="",Norm_Stats!$F$19="",Norm_Stats!$G$19="",Norm_Stats!$G$19=Norm_Stats!$F$19),"",MAX(0,MIN(100,100*(MIN(MAX(City_Inputs!$AD78,Norm_Stats!$F$19),Norm_Stats!$G$19)-Norm_Stats!$F$19)/(Norm_Stats!$G$19-Norm_Stats!$F$19))))</f>
        <v/>
      </c>
      <c r="AV78" s="14">
        <f>IF(AU78="","",1)</f>
        <v/>
      </c>
      <c r="AW78" s="11">
        <f>IF(OR(City_Inputs!$AE78="",Norm_Stats!$F$20="",Norm_Stats!$G$20="",Norm_Stats!$G$20=Norm_Stats!$F$20),"",MAX(0,MIN(100,100*(MIN(MAX(City_Inputs!$AE78,Norm_Stats!$F$20),Norm_Stats!$G$20)-Norm_Stats!$F$20)/(Norm_Stats!$G$20-Norm_Stats!$F$20))))</f>
        <v/>
      </c>
      <c r="AX78" s="14">
        <f>IF(AW78="","",1)</f>
        <v/>
      </c>
      <c r="AY78" s="11">
        <f>IF((IF((IF(OR(City_Inputs!$AF78="",Norm_Stats!$F$21="",Norm_Stats!$G$21="",Norm_Stats!$G$21=Norm_Stats!$F$21),"",MAX(0,MIN(100,100*(MIN(MAX(City_Inputs!$AF78,Norm_Stats!$F$21),Norm_Stats!$G$21)-Norm_Stats!$F$21)/(Norm_Stats!$G$21-Norm_Stats!$F$21)))))="",0,0.5)+IF((IF(OR(City_Inputs!$AI78="",Norm_Stats!$F$22="",Norm_Stats!$G$22="",Norm_Stats!$G$22=Norm_Stats!$F$22),"",MAX(0,MIN(100,100*(MIN(MAX(City_Inputs!$AI78,Norm_Stats!$F$22),Norm_Stats!$G$22)-Norm_Stats!$F$22)/(Norm_Stats!$G$22-Norm_Stats!$F$22)))))="",0,0.3)+IF((IF(OR(City_Inputs!$AJ78="",Norm_Stats!$F$23="",Norm_Stats!$G$23="",Norm_Stats!$G$23=Norm_Stats!$F$23),"",MAX(0,MIN(100,100*(MIN(MAX(City_Inputs!$AJ78,Norm_Stats!$F$23),Norm_Stats!$G$23)-Norm_Stats!$F$23)/(Norm_Stats!$G$23-Norm_Stats!$F$23)))))="",0,0.2))=0,"",(IF((IF(OR(City_Inputs!$AF78="",Norm_Stats!$F$21="",Norm_Stats!$G$21="",Norm_Stats!$G$21=Norm_Stats!$F$21),"",MAX(0,MIN(100,100*(MIN(MAX(City_Inputs!$AF78,Norm_Stats!$F$21),Norm_Stats!$G$21)-Norm_Stats!$F$21)/(Norm_Stats!$G$21-Norm_Stats!$F$21)))))="",0,(IF(OR(City_Inputs!$AF78="",Norm_Stats!$F$21="",Norm_Stats!$G$21="",Norm_Stats!$G$21=Norm_Stats!$F$21),"",MAX(0,MIN(100,100*(MIN(MAX(City_Inputs!$AF78,Norm_Stats!$F$21),Norm_Stats!$G$21)-Norm_Stats!$F$21)/(Norm_Stats!$G$21-Norm_Stats!$F$21)))))*0.5)+IF((IF(OR(City_Inputs!$AI78="",Norm_Stats!$F$22="",Norm_Stats!$G$22="",Norm_Stats!$G$22=Norm_Stats!$F$22),"",MAX(0,MIN(100,100*(MIN(MAX(City_Inputs!$AI78,Norm_Stats!$F$22),Norm_Stats!$G$22)-Norm_Stats!$F$22)/(Norm_Stats!$G$22-Norm_Stats!$F$22)))))="",0,(IF(OR(City_Inputs!$AI78="",Norm_Stats!$F$22="",Norm_Stats!$G$22="",Norm_Stats!$G$22=Norm_Stats!$F$22),"",MAX(0,MIN(100,100*(MIN(MAX(City_Inputs!$AI78,Norm_Stats!$F$22),Norm_Stats!$G$22)-Norm_Stats!$F$22)/(Norm_Stats!$G$22-Norm_Stats!$F$22)))))*0.3)+IF((IF(OR(City_Inputs!$AJ78="",Norm_Stats!$F$23="",Norm_Stats!$G$23="",Norm_Stats!$G$23=Norm_Stats!$F$23),"",MAX(0,MIN(100,100*(MIN(MAX(City_Inputs!$AJ78,Norm_Stats!$F$23),Norm_Stats!$G$23)-Norm_Stats!$F$23)/(Norm_Stats!$G$23-Norm_Stats!$F$23)))))="",0,(IF(OR(City_Inputs!$AJ78="",Norm_Stats!$F$23="",Norm_Stats!$G$23="",Norm_Stats!$G$23=Norm_Stats!$F$23),"",MAX(0,MIN(100,100*(MIN(MAX(City_Inputs!$AJ78,Norm_Stats!$F$23),Norm_Stats!$G$23)-Norm_Stats!$F$23)/(Norm_Stats!$G$23-Norm_Stats!$F$23)))))*0.2))/(IF((IF(OR(City_Inputs!$AF78="",Norm_Stats!$F$21="",Norm_Stats!$G$21="",Norm_Stats!$G$21=Norm_Stats!$F$21),"",MAX(0,MIN(100,100*(MIN(MAX(City_Inputs!$AF78,Norm_Stats!$F$21),Norm_Stats!$G$21)-Norm_Stats!$F$21)/(Norm_Stats!$G$21-Norm_Stats!$F$21)))))="",0,0.5)+IF((IF(OR(City_Inputs!$AI78="",Norm_Stats!$F$22="",Norm_Stats!$G$22="",Norm_Stats!$G$22=Norm_Stats!$F$22),"",MAX(0,MIN(100,100*(MIN(MAX(City_Inputs!$AI78,Norm_Stats!$F$22),Norm_Stats!$G$22)-Norm_Stats!$F$22)/(Norm_Stats!$G$22-Norm_Stats!$F$22)))))="",0,0.3)+IF((IF(OR(City_Inputs!$AJ78="",Norm_Stats!$F$23="",Norm_Stats!$G$23="",Norm_Stats!$G$23=Norm_Stats!$F$23),"",MAX(0,MIN(100,100*(MIN(MAX(City_Inputs!$AJ78,Norm_Stats!$F$23),Norm_Stats!$G$23)-Norm_Stats!$F$23)/(Norm_Stats!$G$23-Norm_Stats!$F$23)))))="",0,0.2)))</f>
        <v/>
      </c>
      <c r="AZ78" s="14">
        <f>IF((IF((IF(OR(City_Inputs!$AF78="",Norm_Stats!$F$21="",Norm_Stats!$G$21="",Norm_Stats!$G$21=Norm_Stats!$F$21),"",MAX(0,MIN(100,100*(MIN(MAX(City_Inputs!$AF78,Norm_Stats!$F$21),Norm_Stats!$G$21)-Norm_Stats!$F$21)/(Norm_Stats!$G$21-Norm_Stats!$F$21)))))="",0,0.5)+IF((IF(OR(City_Inputs!$AI78="",Norm_Stats!$F$22="",Norm_Stats!$G$22="",Norm_Stats!$G$22=Norm_Stats!$F$22),"",MAX(0,MIN(100,100*(MIN(MAX(City_Inputs!$AI78,Norm_Stats!$F$22),Norm_Stats!$G$22)-Norm_Stats!$F$22)/(Norm_Stats!$G$22-Norm_Stats!$F$22)))))="",0,0.3)+IF((IF(OR(City_Inputs!$AJ78="",Norm_Stats!$F$23="",Norm_Stats!$G$23="",Norm_Stats!$G$23=Norm_Stats!$F$23),"",MAX(0,MIN(100,100*(MIN(MAX(City_Inputs!$AJ78,Norm_Stats!$F$23),Norm_Stats!$G$23)-Norm_Stats!$F$23)/(Norm_Stats!$G$23-Norm_Stats!$F$23)))))="",0,0.2))=0,"",(IF((IF(OR(City_Inputs!$AF78="",Norm_Stats!$F$21="",Norm_Stats!$G$21="",Norm_Stats!$G$21=Norm_Stats!$F$21),"",MAX(0,MIN(100,100*(MIN(MAX(City_Inputs!$AF78,Norm_Stats!$F$21),Norm_Stats!$G$21)-Norm_Stats!$F$21)/(Norm_Stats!$G$21-Norm_Stats!$F$21)))))="",0,0.5)+IF((IF(OR(City_Inputs!$AI78="",Norm_Stats!$F$22="",Norm_Stats!$G$22="",Norm_Stats!$G$22=Norm_Stats!$F$22),"",MAX(0,MIN(100,100*(MIN(MAX(City_Inputs!$AI78,Norm_Stats!$F$22),Norm_Stats!$G$22)-Norm_Stats!$F$22)/(Norm_Stats!$G$22-Norm_Stats!$F$22)))))="",0,0.3)+IF((IF(OR(City_Inputs!$AJ78="",Norm_Stats!$F$23="",Norm_Stats!$G$23="",Norm_Stats!$G$23=Norm_Stats!$F$23),"",MAX(0,MIN(100,100*(MIN(MAX(City_Inputs!$AJ78,Norm_Stats!$F$23),Norm_Stats!$G$23)-Norm_Stats!$F$23)/(Norm_Stats!$G$23-Norm_Stats!$F$23)))))="",0,0.2)))</f>
        <v/>
      </c>
      <c r="BA78" s="11">
        <f>IF(OR(City_Inputs!$AG78="",Norm_Stats!$F$24="",Norm_Stats!$G$24="",Norm_Stats!$G$24=Norm_Stats!$F$24),"",MAX(0,MIN(100,100*(Norm_Stats!$G$24-MIN(MAX(City_Inputs!$AG78,Norm_Stats!$F$24),Norm_Stats!$G$24))/(Norm_Stats!$G$24-Norm_Stats!$F$24))))</f>
        <v/>
      </c>
      <c r="BB78" s="14">
        <f>IF(BA78="","",1)</f>
        <v/>
      </c>
      <c r="BC78" s="15">
        <f>IF((IF(AU78="",0,6)+IF(AW78="",0,5)+IF(AY78="",0,5)+IF(BA78="",0,4))=0,"",(IF(AU78="",0,AU78*6)+IF(AW78="",0,AW78*5)+IF(AY78="",0,AY78*5)+IF(BA78="",0,BA78*4))/(IF(AU78="",0,6)+IF(AW78="",0,5)+IF(AY78="",0,5)+IF(BA78="",0,4)))</f>
        <v/>
      </c>
      <c r="BD78" s="14">
        <f>IF((IF(AV78="",0,6)+IF(AX78="",0,5)+IF(AZ78="",0,5)+IF(BB78="",0,4))=0,"",(IF(AV78="",0,AV78*6)+IF(AX78="",0,AX78*5)+IF(AZ78="",0,AZ78*5)+IF(BB78="",0,BB78*4))/20)</f>
        <v/>
      </c>
      <c r="BE78" s="14">
        <f>IF(AND(R78="",AD78="",AL78="",AT78="",BD78=""),"",((R78*25)+(AD78*22)+(AL78*18)+(AT78*15)+(BD78*20))/100)</f>
        <v/>
      </c>
      <c r="BF78" s="11">
        <f>IF(BE78="","",IF(BE78&gt;=0.75,"A",IF(BE78&gt;=0.5,"B",IF(BE78&gt;=0.35,"C","Watchlist"))))</f>
        <v/>
      </c>
      <c r="BG78" s="11">
        <f>IF(OR(BE78="",BE78&lt;0.5,R78="",R78&lt;0.35,AD78="",AD78&lt;0.35,AL78="",AL78&lt;0.35,AT78="",AT78&lt;0.35,BD78="",BD78&lt;0.35),"Watchlist","Ranked")</f>
        <v/>
      </c>
      <c r="BH78" s="15">
        <f>IF(AND(Q78="",AC78="",AK78="",AS78="",BC78=""),"",(IF(Q78="",0,Q78*25)+IF(AC78="",0,AC78*22)+IF(AK78="",0,AK78*18)+IF(AS78="",0,AS78*15)+IF(BC78="",0,BC78*20))/(IF(Q78="",0,25)+IF(AC78="",0,22)+IF(AK78="",0,18)+IF(AS78="",0,15)+IF(BC78="",0,20)))</f>
        <v/>
      </c>
      <c r="BI78" s="11">
        <f>IF(BG78="Ranked",1+COUNTIFS($BG$2:$BG$103,"Ranked",$BH$2:$BH$103,"&gt;"&amp;BH78),"")</f>
        <v/>
      </c>
      <c r="BJ78" s="11">
        <f>City_Inputs!$AH78</f>
        <v/>
      </c>
    </row>
    <row r="79">
      <c r="A79" t="inlineStr">
        <is>
          <t>om-muscat</t>
        </is>
      </c>
      <c r="B79" t="inlineStr">
        <is>
          <t>Muscat</t>
        </is>
      </c>
      <c r="C79" t="inlineStr">
        <is>
          <t>Oman</t>
        </is>
      </c>
      <c r="D79" t="inlineStr">
        <is>
          <t>Middle East</t>
        </is>
      </c>
      <c r="E79" t="inlineStr">
        <is>
          <t>locked</t>
        </is>
      </c>
      <c r="F79" t="inlineStr">
        <is>
          <t>secondary</t>
        </is>
      </c>
      <c r="G79" s="11">
        <f>IF(OR(City_Inputs!$M79="",Norm_Stats!$F$2="",Norm_Stats!$G$2="",Norm_Stats!$G$2=Norm_Stats!$F$2),"",MAX(0,MIN(100,100*(MIN(MAX(City_Inputs!$M79,Norm_Stats!$F$2),Norm_Stats!$G$2)-Norm_Stats!$F$2)/(Norm_Stats!$G$2-Norm_Stats!$F$2))))</f>
        <v/>
      </c>
      <c r="H79" s="14">
        <f>IF(G79="","",1)</f>
        <v/>
      </c>
      <c r="I79" s="11">
        <f>IF(OR(City_Inputs!$N79="",Norm_Stats!$F$3="",Norm_Stats!$G$3="",Norm_Stats!$G$3=Norm_Stats!$F$3),"",MAX(0,MIN(100,100*(Norm_Stats!$G$3-MIN(MAX(City_Inputs!$N79,Norm_Stats!$F$3),Norm_Stats!$G$3))/(Norm_Stats!$G$3-Norm_Stats!$F$3))))</f>
        <v/>
      </c>
      <c r="J79" s="14">
        <f>IF(I79="","",1)</f>
        <v/>
      </c>
      <c r="K79" s="11">
        <f>IF(OR(City_Inputs!$P79="",Norm_Stats!$F$4="",Norm_Stats!$G$4="",Norm_Stats!$G$4=Norm_Stats!$F$4),"",MAX(0,MIN(100,100*(Norm_Stats!$G$4-MIN(MAX(City_Inputs!$P79,Norm_Stats!$F$4),Norm_Stats!$G$4))/(Norm_Stats!$G$4-Norm_Stats!$F$4))))</f>
        <v/>
      </c>
      <c r="L79" s="14">
        <f>IF(K79="","",1)</f>
        <v/>
      </c>
      <c r="M79" s="11">
        <f>IF(OR(City_Inputs!$Q79="",Norm_Stats!$F$5="",Norm_Stats!$G$5="",Norm_Stats!$G$5=Norm_Stats!$F$5),"",MAX(0,MIN(100,100*(Norm_Stats!$G$5-MIN(MAX(City_Inputs!$Q79,Norm_Stats!$F$5),Norm_Stats!$G$5))/(Norm_Stats!$G$5-Norm_Stats!$F$5))))</f>
        <v/>
      </c>
      <c r="N79" s="14">
        <f>IF(M79="","",1)</f>
        <v/>
      </c>
      <c r="O79" s="11">
        <f>IF(OR(City_Inputs!$R79="",Norm_Stats!$F$6="",Norm_Stats!$G$6="",Norm_Stats!$G$6=Norm_Stats!$F$6),"",MAX(0,MIN(100,100*(Norm_Stats!$G$6-MIN(MAX(City_Inputs!$R79,Norm_Stats!$F$6),Norm_Stats!$G$6))/(Norm_Stats!$G$6-Norm_Stats!$F$6))))</f>
        <v/>
      </c>
      <c r="P79" s="14">
        <f>IF(O79="","",1)</f>
        <v/>
      </c>
      <c r="Q79" s="15">
        <f>IF((IF(G79="",0,9)+IF(I79="",0,5)+IF(K79="",0,4)+IF(M79="",0,4)+IF(O79="",0,3))=0,"",(IF(G79="",0,G79*9)+IF(I79="",0,I79*5)+IF(K79="",0,K79*4)+IF(M79="",0,M79*4)+IF(O79="",0,O79*3))/(IF(G79="",0,9)+IF(I79="",0,5)+IF(K79="",0,4)+IF(M79="",0,4)+IF(O79="",0,3)))</f>
        <v/>
      </c>
      <c r="R79" s="14">
        <f>IF((IF(H79="",0,9)+IF(J79="",0,5)+IF(L79="",0,4)+IF(N79="",0,4)+IF(P79="",0,3))=0,"",(IF(H79="",0,H79*9)+IF(J79="",0,J79*5)+IF(L79="",0,L79*4)+IF(N79="",0,N79*4)+IF(P79="",0,P79*3))/25)</f>
        <v/>
      </c>
      <c r="S79" s="11">
        <f>IF(OR(City_Inputs!$S79="",Norm_Stats!$F$7="",Norm_Stats!$G$7="",Norm_Stats!$G$7=Norm_Stats!$F$7),"",MAX(0,MIN(100,100*(Norm_Stats!$G$7-MIN(MAX(City_Inputs!$S79,Norm_Stats!$F$7),Norm_Stats!$G$7))/(Norm_Stats!$G$7-Norm_Stats!$F$7))))</f>
        <v/>
      </c>
      <c r="T79" s="14">
        <f>IF(S79="","",1)</f>
        <v/>
      </c>
      <c r="U79" s="11">
        <f>IF(OR(City_Inputs!$T79="",Norm_Stats!$F$8="",Norm_Stats!$G$8="",Norm_Stats!$G$8=Norm_Stats!$F$8),"",MAX(0,MIN(100,100*(MIN(MAX(City_Inputs!$T79,Norm_Stats!$F$8),Norm_Stats!$G$8)-Norm_Stats!$F$8)/(Norm_Stats!$G$8-Norm_Stats!$F$8))))</f>
        <v/>
      </c>
      <c r="V79" s="14">
        <f>IF(U79="","",1)</f>
        <v/>
      </c>
      <c r="W79" s="11">
        <f>IF(OR(City_Inputs!$U79="",Norm_Stats!$F$9="",Norm_Stats!$G$9="",Norm_Stats!$G$9=Norm_Stats!$F$9),"",MAX(0,MIN(100,100*(Norm_Stats!$G$9-MIN(MAX(City_Inputs!$U79,Norm_Stats!$F$9),Norm_Stats!$G$9))/(Norm_Stats!$G$9-Norm_Stats!$F$9))))</f>
        <v/>
      </c>
      <c r="X79" s="14">
        <f>IF(W79="","",1)</f>
        <v/>
      </c>
      <c r="Y79" s="11">
        <f>IF(OR(City_Inputs!$V79="",Norm_Stats!$F$10="",Norm_Stats!$G$10="",Norm_Stats!$G$10=Norm_Stats!$F$10),"",MAX(0,MIN(100,100*(MIN(MAX(City_Inputs!$V79,Norm_Stats!$F$10),Norm_Stats!$G$10)-Norm_Stats!$F$10)/(Norm_Stats!$G$10-Norm_Stats!$F$10))))</f>
        <v/>
      </c>
      <c r="Z79" s="14">
        <f>IF(Y79="","",1)</f>
        <v/>
      </c>
      <c r="AA79" s="11">
        <f>IF(OR(City_Inputs!$W79="",Norm_Stats!$F$11="",Norm_Stats!$G$11="",Norm_Stats!$G$11=Norm_Stats!$F$11),"",MAX(0,MIN(100,100*(MIN(MAX(City_Inputs!$W79,Norm_Stats!$F$11),Norm_Stats!$G$11)-Norm_Stats!$F$11)/(Norm_Stats!$G$11-Norm_Stats!$F$11))))</f>
        <v/>
      </c>
      <c r="AB79" s="14">
        <f>IF(AA79="","",1)</f>
        <v/>
      </c>
      <c r="AC79" s="15">
        <f>IF((IF(S79="",0,5)+IF(U79="",0,5)+IF(W79="",0,4)+IF(Y79="",0,4)+IF(AA79="",0,4))=0,"",(IF(S79="",0,S79*5)+IF(U79="",0,U79*5)+IF(W79="",0,W79*4)+IF(Y79="",0,Y79*4)+IF(AA79="",0,AA79*4))/(IF(S79="",0,5)+IF(U79="",0,5)+IF(W79="",0,4)+IF(Y79="",0,4)+IF(AA79="",0,4)))</f>
        <v/>
      </c>
      <c r="AD79" s="14">
        <f>IF((IF(T79="",0,5)+IF(V79="",0,5)+IF(X79="",0,4)+IF(Z79="",0,4)+IF(AB79="",0,4))=0,"",(IF(T79="",0,T79*5)+IF(V79="",0,V79*5)+IF(X79="",0,X79*4)+IF(Z79="",0,Z79*4)+IF(AB79="",0,AB79*4))/22)</f>
        <v/>
      </c>
      <c r="AE79" s="11">
        <f>IF(OR(City_Inputs!$X79="",Norm_Stats!$F$12="",Norm_Stats!$G$12="",Norm_Stats!$G$12=Norm_Stats!$F$12),"",MAX(0,MIN(100,100*(MIN(MAX(City_Inputs!$X79,Norm_Stats!$F$12),Norm_Stats!$G$12)-Norm_Stats!$F$12)/(Norm_Stats!$G$12-Norm_Stats!$F$12))))</f>
        <v/>
      </c>
      <c r="AF79" s="14">
        <f>IF(AE79="","",1)</f>
        <v/>
      </c>
      <c r="AG79" s="11">
        <f>IF(OR(City_Inputs!$Y79="",Norm_Stats!$F$13="",Norm_Stats!$G$13="",Norm_Stats!$G$13=Norm_Stats!$F$13),"",MAX(0,MIN(100,100*(MIN(MAX(City_Inputs!$Y79,Norm_Stats!$F$13),Norm_Stats!$G$13)-Norm_Stats!$F$13)/(Norm_Stats!$G$13-Norm_Stats!$F$13))))</f>
        <v/>
      </c>
      <c r="AH79" s="14">
        <f>IF(AG79="","",1)</f>
        <v/>
      </c>
      <c r="AI79" s="11">
        <f>IF((IF((IF(OR(City_Inputs!$Z79="",Norm_Stats!$F$14="",Norm_Stats!$G$14="",Norm_Stats!$G$14=Norm_Stats!$F$14),"",MAX(0,MIN(100,100*(MIN(MAX(City_Inputs!$Z79,Norm_Stats!$F$14),Norm_Stats!$G$14)-Norm_Stats!$F$14)/(Norm_Stats!$G$14-Norm_Stats!$F$14)))))="",0,0.7)+IF((IF(OR(City_Inputs!$AK79="",Norm_Stats!$F$15="",Norm_Stats!$G$15="",Norm_Stats!$G$15=Norm_Stats!$F$15),"",MAX(0,MIN(100,100*(Norm_Stats!$G$15-MIN(MAX(City_Inputs!$AK79,Norm_Stats!$F$15),Norm_Stats!$G$15))/(Norm_Stats!$G$15-Norm_Stats!$F$15)))))="",0,0.3))=0,"",(IF((IF(OR(City_Inputs!$Z79="",Norm_Stats!$F$14="",Norm_Stats!$G$14="",Norm_Stats!$G$14=Norm_Stats!$F$14),"",MAX(0,MIN(100,100*(MIN(MAX(City_Inputs!$Z79,Norm_Stats!$F$14),Norm_Stats!$G$14)-Norm_Stats!$F$14)/(Norm_Stats!$G$14-Norm_Stats!$F$14)))))="",0,(IF(OR(City_Inputs!$Z79="",Norm_Stats!$F$14="",Norm_Stats!$G$14="",Norm_Stats!$G$14=Norm_Stats!$F$14),"",MAX(0,MIN(100,100*(MIN(MAX(City_Inputs!$Z79,Norm_Stats!$F$14),Norm_Stats!$G$14)-Norm_Stats!$F$14)/(Norm_Stats!$G$14-Norm_Stats!$F$14)))))*0.7)+IF((IF(OR(City_Inputs!$AK79="",Norm_Stats!$F$15="",Norm_Stats!$G$15="",Norm_Stats!$G$15=Norm_Stats!$F$15),"",MAX(0,MIN(100,100*(Norm_Stats!$G$15-MIN(MAX(City_Inputs!$AK79,Norm_Stats!$F$15),Norm_Stats!$G$15))/(Norm_Stats!$G$15-Norm_Stats!$F$15)))))="",0,(IF(OR(City_Inputs!$AK79="",Norm_Stats!$F$15="",Norm_Stats!$G$15="",Norm_Stats!$G$15=Norm_Stats!$F$15),"",MAX(0,MIN(100,100*(Norm_Stats!$G$15-MIN(MAX(City_Inputs!$AK79,Norm_Stats!$F$15),Norm_Stats!$G$15))/(Norm_Stats!$G$15-Norm_Stats!$F$15)))))*0.3))/(IF((IF(OR(City_Inputs!$Z79="",Norm_Stats!$F$14="",Norm_Stats!$G$14="",Norm_Stats!$G$14=Norm_Stats!$F$14),"",MAX(0,MIN(100,100*(MIN(MAX(City_Inputs!$Z79,Norm_Stats!$F$14),Norm_Stats!$G$14)-Norm_Stats!$F$14)/(Norm_Stats!$G$14-Norm_Stats!$F$14)))))="",0,0.7)+IF((IF(OR(City_Inputs!$AK79="",Norm_Stats!$F$15="",Norm_Stats!$G$15="",Norm_Stats!$G$15=Norm_Stats!$F$15),"",MAX(0,MIN(100,100*(Norm_Stats!$G$15-MIN(MAX(City_Inputs!$AK79,Norm_Stats!$F$15),Norm_Stats!$G$15))/(Norm_Stats!$G$15-Norm_Stats!$F$15)))))="",0,0.3)))</f>
        <v/>
      </c>
      <c r="AJ79" s="14">
        <f>IF((IF((IF(OR(City_Inputs!$Z79="",Norm_Stats!$F$14="",Norm_Stats!$G$14="",Norm_Stats!$G$14=Norm_Stats!$F$14),"",MAX(0,MIN(100,100*(MIN(MAX(City_Inputs!$Z79,Norm_Stats!$F$14),Norm_Stats!$G$14)-Norm_Stats!$F$14)/(Norm_Stats!$G$14-Norm_Stats!$F$14)))))="",0,0.7)+IF((IF(OR(City_Inputs!$AK79="",Norm_Stats!$F$15="",Norm_Stats!$G$15="",Norm_Stats!$G$15=Norm_Stats!$F$15),"",MAX(0,MIN(100,100*(Norm_Stats!$G$15-MIN(MAX(City_Inputs!$AK79,Norm_Stats!$F$15),Norm_Stats!$G$15))/(Norm_Stats!$G$15-Norm_Stats!$F$15)))))="",0,0.3))=0,"",(IF((IF(OR(City_Inputs!$Z79="",Norm_Stats!$F$14="",Norm_Stats!$G$14="",Norm_Stats!$G$14=Norm_Stats!$F$14),"",MAX(0,MIN(100,100*(MIN(MAX(City_Inputs!$Z79,Norm_Stats!$F$14),Norm_Stats!$G$14)-Norm_Stats!$F$14)/(Norm_Stats!$G$14-Norm_Stats!$F$14)))))="",0,0.7)+IF((IF(OR(City_Inputs!$AK79="",Norm_Stats!$F$15="",Norm_Stats!$G$15="",Norm_Stats!$G$15=Norm_Stats!$F$15),"",MAX(0,MIN(100,100*(Norm_Stats!$G$15-MIN(MAX(City_Inputs!$AK79,Norm_Stats!$F$15),Norm_Stats!$G$15))/(Norm_Stats!$G$15-Norm_Stats!$F$15)))))="",0,0.3)))</f>
        <v/>
      </c>
      <c r="AK79" s="15">
        <f>IF((IF(AE79="",0,8)+IF(AG79="",0,6)+IF(AI79="",0,4))=0,"",(IF(AE79="",0,AE79*8)+IF(AG79="",0,AG79*6)+IF(AI79="",0,AI79*4))/(IF(AE79="",0,8)+IF(AG79="",0,6)+IF(AI79="",0,4)))</f>
        <v/>
      </c>
      <c r="AL79" s="14">
        <f>IF((IF(AF79="",0,8)+IF(AH79="",0,6)+IF(AJ79="",0,4))=0,"",(IF(AF79="",0,AF79*8)+IF(AH79="",0,AH79*6)+IF(AJ79="",0,AJ79*4))/18)</f>
        <v/>
      </c>
      <c r="AM79" s="11">
        <f>IF(OR(City_Inputs!$AA79="",Norm_Stats!$F$16="",Norm_Stats!$G$16="",Norm_Stats!$G$16=Norm_Stats!$F$16),"",MAX(0,MIN(100,100*(MIN(MAX(City_Inputs!$AA79,Norm_Stats!$F$16),Norm_Stats!$G$16)-Norm_Stats!$F$16)/(Norm_Stats!$G$16-Norm_Stats!$F$16))))</f>
        <v/>
      </c>
      <c r="AN79" s="14">
        <f>IF(AM79="","",1)</f>
        <v/>
      </c>
      <c r="AO79" s="11">
        <f>IF(OR(City_Inputs!$AB79="",Norm_Stats!$F$17="",Norm_Stats!$G$17="",Norm_Stats!$G$17=Norm_Stats!$F$17),"",MAX(0,MIN(100,100*(MIN(MAX(City_Inputs!$AB79,Norm_Stats!$F$17),Norm_Stats!$G$17)-Norm_Stats!$F$17)/(Norm_Stats!$G$17-Norm_Stats!$F$17))))</f>
        <v/>
      </c>
      <c r="AP79" s="14">
        <f>IF(AO79="","",1)</f>
        <v/>
      </c>
      <c r="AQ79" s="11">
        <f>IF(OR(City_Inputs!$AC79="",Norm_Stats!$F$18="",Norm_Stats!$G$18="",Norm_Stats!$G$18=Norm_Stats!$F$18),"",MAX(0,MIN(100,100*(MIN(MAX(City_Inputs!$AC79,Norm_Stats!$F$18),Norm_Stats!$G$18)-Norm_Stats!$F$18)/(Norm_Stats!$G$18-Norm_Stats!$F$18))))</f>
        <v/>
      </c>
      <c r="AR79" s="14">
        <f>IF(AQ79="","",1)</f>
        <v/>
      </c>
      <c r="AS79" s="15">
        <f>IF((IF(AM79="",0,5)+IF(AO79="",0,5)+IF(AQ79="",0,5))=0,"",(IF(AM79="",0,AM79*5)+IF(AO79="",0,AO79*5)+IF(AQ79="",0,AQ79*5))/(IF(AM79="",0,5)+IF(AO79="",0,5)+IF(AQ79="",0,5)))</f>
        <v/>
      </c>
      <c r="AT79" s="14">
        <f>IF((IF(AN79="",0,5)+IF(AP79="",0,5)+IF(AR79="",0,5))=0,"",(IF(AN79="",0,AN79*5)+IF(AP79="",0,AP79*5)+IF(AR79="",0,AR79*5))/15)</f>
        <v/>
      </c>
      <c r="AU79" s="11">
        <f>IF(OR(City_Inputs!$AD79="",Norm_Stats!$F$19="",Norm_Stats!$G$19="",Norm_Stats!$G$19=Norm_Stats!$F$19),"",MAX(0,MIN(100,100*(MIN(MAX(City_Inputs!$AD79,Norm_Stats!$F$19),Norm_Stats!$G$19)-Norm_Stats!$F$19)/(Norm_Stats!$G$19-Norm_Stats!$F$19))))</f>
        <v/>
      </c>
      <c r="AV79" s="14">
        <f>IF(AU79="","",1)</f>
        <v/>
      </c>
      <c r="AW79" s="11">
        <f>IF(OR(City_Inputs!$AE79="",Norm_Stats!$F$20="",Norm_Stats!$G$20="",Norm_Stats!$G$20=Norm_Stats!$F$20),"",MAX(0,MIN(100,100*(MIN(MAX(City_Inputs!$AE79,Norm_Stats!$F$20),Norm_Stats!$G$20)-Norm_Stats!$F$20)/(Norm_Stats!$G$20-Norm_Stats!$F$20))))</f>
        <v/>
      </c>
      <c r="AX79" s="14">
        <f>IF(AW79="","",1)</f>
        <v/>
      </c>
      <c r="AY79" s="11">
        <f>IF((IF((IF(OR(City_Inputs!$AF79="",Norm_Stats!$F$21="",Norm_Stats!$G$21="",Norm_Stats!$G$21=Norm_Stats!$F$21),"",MAX(0,MIN(100,100*(MIN(MAX(City_Inputs!$AF79,Norm_Stats!$F$21),Norm_Stats!$G$21)-Norm_Stats!$F$21)/(Norm_Stats!$G$21-Norm_Stats!$F$21)))))="",0,0.5)+IF((IF(OR(City_Inputs!$AI79="",Norm_Stats!$F$22="",Norm_Stats!$G$22="",Norm_Stats!$G$22=Norm_Stats!$F$22),"",MAX(0,MIN(100,100*(MIN(MAX(City_Inputs!$AI79,Norm_Stats!$F$22),Norm_Stats!$G$22)-Norm_Stats!$F$22)/(Norm_Stats!$G$22-Norm_Stats!$F$22)))))="",0,0.3)+IF((IF(OR(City_Inputs!$AJ79="",Norm_Stats!$F$23="",Norm_Stats!$G$23="",Norm_Stats!$G$23=Norm_Stats!$F$23),"",MAX(0,MIN(100,100*(MIN(MAX(City_Inputs!$AJ79,Norm_Stats!$F$23),Norm_Stats!$G$23)-Norm_Stats!$F$23)/(Norm_Stats!$G$23-Norm_Stats!$F$23)))))="",0,0.2))=0,"",(IF((IF(OR(City_Inputs!$AF79="",Norm_Stats!$F$21="",Norm_Stats!$G$21="",Norm_Stats!$G$21=Norm_Stats!$F$21),"",MAX(0,MIN(100,100*(MIN(MAX(City_Inputs!$AF79,Norm_Stats!$F$21),Norm_Stats!$G$21)-Norm_Stats!$F$21)/(Norm_Stats!$G$21-Norm_Stats!$F$21)))))="",0,(IF(OR(City_Inputs!$AF79="",Norm_Stats!$F$21="",Norm_Stats!$G$21="",Norm_Stats!$G$21=Norm_Stats!$F$21),"",MAX(0,MIN(100,100*(MIN(MAX(City_Inputs!$AF79,Norm_Stats!$F$21),Norm_Stats!$G$21)-Norm_Stats!$F$21)/(Norm_Stats!$G$21-Norm_Stats!$F$21)))))*0.5)+IF((IF(OR(City_Inputs!$AI79="",Norm_Stats!$F$22="",Norm_Stats!$G$22="",Norm_Stats!$G$22=Norm_Stats!$F$22),"",MAX(0,MIN(100,100*(MIN(MAX(City_Inputs!$AI79,Norm_Stats!$F$22),Norm_Stats!$G$22)-Norm_Stats!$F$22)/(Norm_Stats!$G$22-Norm_Stats!$F$22)))))="",0,(IF(OR(City_Inputs!$AI79="",Norm_Stats!$F$22="",Norm_Stats!$G$22="",Norm_Stats!$G$22=Norm_Stats!$F$22),"",MAX(0,MIN(100,100*(MIN(MAX(City_Inputs!$AI79,Norm_Stats!$F$22),Norm_Stats!$G$22)-Norm_Stats!$F$22)/(Norm_Stats!$G$22-Norm_Stats!$F$22)))))*0.3)+IF((IF(OR(City_Inputs!$AJ79="",Norm_Stats!$F$23="",Norm_Stats!$G$23="",Norm_Stats!$G$23=Norm_Stats!$F$23),"",MAX(0,MIN(100,100*(MIN(MAX(City_Inputs!$AJ79,Norm_Stats!$F$23),Norm_Stats!$G$23)-Norm_Stats!$F$23)/(Norm_Stats!$G$23-Norm_Stats!$F$23)))))="",0,(IF(OR(City_Inputs!$AJ79="",Norm_Stats!$F$23="",Norm_Stats!$G$23="",Norm_Stats!$G$23=Norm_Stats!$F$23),"",MAX(0,MIN(100,100*(MIN(MAX(City_Inputs!$AJ79,Norm_Stats!$F$23),Norm_Stats!$G$23)-Norm_Stats!$F$23)/(Norm_Stats!$G$23-Norm_Stats!$F$23)))))*0.2))/(IF((IF(OR(City_Inputs!$AF79="",Norm_Stats!$F$21="",Norm_Stats!$G$21="",Norm_Stats!$G$21=Norm_Stats!$F$21),"",MAX(0,MIN(100,100*(MIN(MAX(City_Inputs!$AF79,Norm_Stats!$F$21),Norm_Stats!$G$21)-Norm_Stats!$F$21)/(Norm_Stats!$G$21-Norm_Stats!$F$21)))))="",0,0.5)+IF((IF(OR(City_Inputs!$AI79="",Norm_Stats!$F$22="",Norm_Stats!$G$22="",Norm_Stats!$G$22=Norm_Stats!$F$22),"",MAX(0,MIN(100,100*(MIN(MAX(City_Inputs!$AI79,Norm_Stats!$F$22),Norm_Stats!$G$22)-Norm_Stats!$F$22)/(Norm_Stats!$G$22-Norm_Stats!$F$22)))))="",0,0.3)+IF((IF(OR(City_Inputs!$AJ79="",Norm_Stats!$F$23="",Norm_Stats!$G$23="",Norm_Stats!$G$23=Norm_Stats!$F$23),"",MAX(0,MIN(100,100*(MIN(MAX(City_Inputs!$AJ79,Norm_Stats!$F$23),Norm_Stats!$G$23)-Norm_Stats!$F$23)/(Norm_Stats!$G$23-Norm_Stats!$F$23)))))="",0,0.2)))</f>
        <v/>
      </c>
      <c r="AZ79" s="14">
        <f>IF((IF((IF(OR(City_Inputs!$AF79="",Norm_Stats!$F$21="",Norm_Stats!$G$21="",Norm_Stats!$G$21=Norm_Stats!$F$21),"",MAX(0,MIN(100,100*(MIN(MAX(City_Inputs!$AF79,Norm_Stats!$F$21),Norm_Stats!$G$21)-Norm_Stats!$F$21)/(Norm_Stats!$G$21-Norm_Stats!$F$21)))))="",0,0.5)+IF((IF(OR(City_Inputs!$AI79="",Norm_Stats!$F$22="",Norm_Stats!$G$22="",Norm_Stats!$G$22=Norm_Stats!$F$22),"",MAX(0,MIN(100,100*(MIN(MAX(City_Inputs!$AI79,Norm_Stats!$F$22),Norm_Stats!$G$22)-Norm_Stats!$F$22)/(Norm_Stats!$G$22-Norm_Stats!$F$22)))))="",0,0.3)+IF((IF(OR(City_Inputs!$AJ79="",Norm_Stats!$F$23="",Norm_Stats!$G$23="",Norm_Stats!$G$23=Norm_Stats!$F$23),"",MAX(0,MIN(100,100*(MIN(MAX(City_Inputs!$AJ79,Norm_Stats!$F$23),Norm_Stats!$G$23)-Norm_Stats!$F$23)/(Norm_Stats!$G$23-Norm_Stats!$F$23)))))="",0,0.2))=0,"",(IF((IF(OR(City_Inputs!$AF79="",Norm_Stats!$F$21="",Norm_Stats!$G$21="",Norm_Stats!$G$21=Norm_Stats!$F$21),"",MAX(0,MIN(100,100*(MIN(MAX(City_Inputs!$AF79,Norm_Stats!$F$21),Norm_Stats!$G$21)-Norm_Stats!$F$21)/(Norm_Stats!$G$21-Norm_Stats!$F$21)))))="",0,0.5)+IF((IF(OR(City_Inputs!$AI79="",Norm_Stats!$F$22="",Norm_Stats!$G$22="",Norm_Stats!$G$22=Norm_Stats!$F$22),"",MAX(0,MIN(100,100*(MIN(MAX(City_Inputs!$AI79,Norm_Stats!$F$22),Norm_Stats!$G$22)-Norm_Stats!$F$22)/(Norm_Stats!$G$22-Norm_Stats!$F$22)))))="",0,0.3)+IF((IF(OR(City_Inputs!$AJ79="",Norm_Stats!$F$23="",Norm_Stats!$G$23="",Norm_Stats!$G$23=Norm_Stats!$F$23),"",MAX(0,MIN(100,100*(MIN(MAX(City_Inputs!$AJ79,Norm_Stats!$F$23),Norm_Stats!$G$23)-Norm_Stats!$F$23)/(Norm_Stats!$G$23-Norm_Stats!$F$23)))))="",0,0.2)))</f>
        <v/>
      </c>
      <c r="BA79" s="11">
        <f>IF(OR(City_Inputs!$AG79="",Norm_Stats!$F$24="",Norm_Stats!$G$24="",Norm_Stats!$G$24=Norm_Stats!$F$24),"",MAX(0,MIN(100,100*(Norm_Stats!$G$24-MIN(MAX(City_Inputs!$AG79,Norm_Stats!$F$24),Norm_Stats!$G$24))/(Norm_Stats!$G$24-Norm_Stats!$F$24))))</f>
        <v/>
      </c>
      <c r="BB79" s="14">
        <f>IF(BA79="","",1)</f>
        <v/>
      </c>
      <c r="BC79" s="15">
        <f>IF((IF(AU79="",0,6)+IF(AW79="",0,5)+IF(AY79="",0,5)+IF(BA79="",0,4))=0,"",(IF(AU79="",0,AU79*6)+IF(AW79="",0,AW79*5)+IF(AY79="",0,AY79*5)+IF(BA79="",0,BA79*4))/(IF(AU79="",0,6)+IF(AW79="",0,5)+IF(AY79="",0,5)+IF(BA79="",0,4)))</f>
        <v/>
      </c>
      <c r="BD79" s="14">
        <f>IF((IF(AV79="",0,6)+IF(AX79="",0,5)+IF(AZ79="",0,5)+IF(BB79="",0,4))=0,"",(IF(AV79="",0,AV79*6)+IF(AX79="",0,AX79*5)+IF(AZ79="",0,AZ79*5)+IF(BB79="",0,BB79*4))/20)</f>
        <v/>
      </c>
      <c r="BE79" s="14">
        <f>IF(AND(R79="",AD79="",AL79="",AT79="",BD79=""),"",((R79*25)+(AD79*22)+(AL79*18)+(AT79*15)+(BD79*20))/100)</f>
        <v/>
      </c>
      <c r="BF79" s="11">
        <f>IF(BE79="","",IF(BE79&gt;=0.75,"A",IF(BE79&gt;=0.5,"B",IF(BE79&gt;=0.35,"C","Watchlist"))))</f>
        <v/>
      </c>
      <c r="BG79" s="11">
        <f>IF(OR(BE79="",BE79&lt;0.5,R79="",R79&lt;0.35,AD79="",AD79&lt;0.35,AL79="",AL79&lt;0.35,AT79="",AT79&lt;0.35,BD79="",BD79&lt;0.35),"Watchlist","Ranked")</f>
        <v/>
      </c>
      <c r="BH79" s="15">
        <f>IF(AND(Q79="",AC79="",AK79="",AS79="",BC79=""),"",(IF(Q79="",0,Q79*25)+IF(AC79="",0,AC79*22)+IF(AK79="",0,AK79*18)+IF(AS79="",0,AS79*15)+IF(BC79="",0,BC79*20))/(IF(Q79="",0,25)+IF(AC79="",0,22)+IF(AK79="",0,18)+IF(AS79="",0,15)+IF(BC79="",0,20)))</f>
        <v/>
      </c>
      <c r="BI79" s="11">
        <f>IF(BG79="Ranked",1+COUNTIFS($BG$2:$BG$103,"Ranked",$BH$2:$BH$103,"&gt;"&amp;BH79),"")</f>
        <v/>
      </c>
      <c r="BJ79" s="11">
        <f>City_Inputs!$AH79</f>
        <v/>
      </c>
    </row>
    <row r="80">
      <c r="A80" t="inlineStr">
        <is>
          <t>bh-manama</t>
        </is>
      </c>
      <c r="B80" t="inlineStr">
        <is>
          <t>Manama</t>
        </is>
      </c>
      <c r="C80" t="inlineStr">
        <is>
          <t>Bahrain</t>
        </is>
      </c>
      <c r="D80" t="inlineStr">
        <is>
          <t>Middle East</t>
        </is>
      </c>
      <c r="E80" t="inlineStr">
        <is>
          <t>locked</t>
        </is>
      </c>
      <c r="F80" t="inlineStr">
        <is>
          <t>secondary</t>
        </is>
      </c>
      <c r="G80" s="11">
        <f>IF(OR(City_Inputs!$M80="",Norm_Stats!$F$2="",Norm_Stats!$G$2="",Norm_Stats!$G$2=Norm_Stats!$F$2),"",MAX(0,MIN(100,100*(MIN(MAX(City_Inputs!$M80,Norm_Stats!$F$2),Norm_Stats!$G$2)-Norm_Stats!$F$2)/(Norm_Stats!$G$2-Norm_Stats!$F$2))))</f>
        <v/>
      </c>
      <c r="H80" s="14">
        <f>IF(G80="","",1)</f>
        <v/>
      </c>
      <c r="I80" s="11">
        <f>IF(OR(City_Inputs!$N80="",Norm_Stats!$F$3="",Norm_Stats!$G$3="",Norm_Stats!$G$3=Norm_Stats!$F$3),"",MAX(0,MIN(100,100*(Norm_Stats!$G$3-MIN(MAX(City_Inputs!$N80,Norm_Stats!$F$3),Norm_Stats!$G$3))/(Norm_Stats!$G$3-Norm_Stats!$F$3))))</f>
        <v/>
      </c>
      <c r="J80" s="14">
        <f>IF(I80="","",1)</f>
        <v/>
      </c>
      <c r="K80" s="11">
        <f>IF(OR(City_Inputs!$P80="",Norm_Stats!$F$4="",Norm_Stats!$G$4="",Norm_Stats!$G$4=Norm_Stats!$F$4),"",MAX(0,MIN(100,100*(Norm_Stats!$G$4-MIN(MAX(City_Inputs!$P80,Norm_Stats!$F$4),Norm_Stats!$G$4))/(Norm_Stats!$G$4-Norm_Stats!$F$4))))</f>
        <v/>
      </c>
      <c r="L80" s="14">
        <f>IF(K80="","",1)</f>
        <v/>
      </c>
      <c r="M80" s="11">
        <f>IF(OR(City_Inputs!$Q80="",Norm_Stats!$F$5="",Norm_Stats!$G$5="",Norm_Stats!$G$5=Norm_Stats!$F$5),"",MAX(0,MIN(100,100*(Norm_Stats!$G$5-MIN(MAX(City_Inputs!$Q80,Norm_Stats!$F$5),Norm_Stats!$G$5))/(Norm_Stats!$G$5-Norm_Stats!$F$5))))</f>
        <v/>
      </c>
      <c r="N80" s="14">
        <f>IF(M80="","",1)</f>
        <v/>
      </c>
      <c r="O80" s="11">
        <f>IF(OR(City_Inputs!$R80="",Norm_Stats!$F$6="",Norm_Stats!$G$6="",Norm_Stats!$G$6=Norm_Stats!$F$6),"",MAX(0,MIN(100,100*(Norm_Stats!$G$6-MIN(MAX(City_Inputs!$R80,Norm_Stats!$F$6),Norm_Stats!$G$6))/(Norm_Stats!$G$6-Norm_Stats!$F$6))))</f>
        <v/>
      </c>
      <c r="P80" s="14">
        <f>IF(O80="","",1)</f>
        <v/>
      </c>
      <c r="Q80" s="15">
        <f>IF((IF(G80="",0,9)+IF(I80="",0,5)+IF(K80="",0,4)+IF(M80="",0,4)+IF(O80="",0,3))=0,"",(IF(G80="",0,G80*9)+IF(I80="",0,I80*5)+IF(K80="",0,K80*4)+IF(M80="",0,M80*4)+IF(O80="",0,O80*3))/(IF(G80="",0,9)+IF(I80="",0,5)+IF(K80="",0,4)+IF(M80="",0,4)+IF(O80="",0,3)))</f>
        <v/>
      </c>
      <c r="R80" s="14">
        <f>IF((IF(H80="",0,9)+IF(J80="",0,5)+IF(L80="",0,4)+IF(N80="",0,4)+IF(P80="",0,3))=0,"",(IF(H80="",0,H80*9)+IF(J80="",0,J80*5)+IF(L80="",0,L80*4)+IF(N80="",0,N80*4)+IF(P80="",0,P80*3))/25)</f>
        <v/>
      </c>
      <c r="S80" s="11">
        <f>IF(OR(City_Inputs!$S80="",Norm_Stats!$F$7="",Norm_Stats!$G$7="",Norm_Stats!$G$7=Norm_Stats!$F$7),"",MAX(0,MIN(100,100*(Norm_Stats!$G$7-MIN(MAX(City_Inputs!$S80,Norm_Stats!$F$7),Norm_Stats!$G$7))/(Norm_Stats!$G$7-Norm_Stats!$F$7))))</f>
        <v/>
      </c>
      <c r="T80" s="14">
        <f>IF(S80="","",1)</f>
        <v/>
      </c>
      <c r="U80" s="11">
        <f>IF(OR(City_Inputs!$T80="",Norm_Stats!$F$8="",Norm_Stats!$G$8="",Norm_Stats!$G$8=Norm_Stats!$F$8),"",MAX(0,MIN(100,100*(MIN(MAX(City_Inputs!$T80,Norm_Stats!$F$8),Norm_Stats!$G$8)-Norm_Stats!$F$8)/(Norm_Stats!$G$8-Norm_Stats!$F$8))))</f>
        <v/>
      </c>
      <c r="V80" s="14">
        <f>IF(U80="","",1)</f>
        <v/>
      </c>
      <c r="W80" s="11">
        <f>IF(OR(City_Inputs!$U80="",Norm_Stats!$F$9="",Norm_Stats!$G$9="",Norm_Stats!$G$9=Norm_Stats!$F$9),"",MAX(0,MIN(100,100*(Norm_Stats!$G$9-MIN(MAX(City_Inputs!$U80,Norm_Stats!$F$9),Norm_Stats!$G$9))/(Norm_Stats!$G$9-Norm_Stats!$F$9))))</f>
        <v/>
      </c>
      <c r="X80" s="14">
        <f>IF(W80="","",1)</f>
        <v/>
      </c>
      <c r="Y80" s="11">
        <f>IF(OR(City_Inputs!$V80="",Norm_Stats!$F$10="",Norm_Stats!$G$10="",Norm_Stats!$G$10=Norm_Stats!$F$10),"",MAX(0,MIN(100,100*(MIN(MAX(City_Inputs!$V80,Norm_Stats!$F$10),Norm_Stats!$G$10)-Norm_Stats!$F$10)/(Norm_Stats!$G$10-Norm_Stats!$F$10))))</f>
        <v/>
      </c>
      <c r="Z80" s="14">
        <f>IF(Y80="","",1)</f>
        <v/>
      </c>
      <c r="AA80" s="11">
        <f>IF(OR(City_Inputs!$W80="",Norm_Stats!$F$11="",Norm_Stats!$G$11="",Norm_Stats!$G$11=Norm_Stats!$F$11),"",MAX(0,MIN(100,100*(MIN(MAX(City_Inputs!$W80,Norm_Stats!$F$11),Norm_Stats!$G$11)-Norm_Stats!$F$11)/(Norm_Stats!$G$11-Norm_Stats!$F$11))))</f>
        <v/>
      </c>
      <c r="AB80" s="14">
        <f>IF(AA80="","",1)</f>
        <v/>
      </c>
      <c r="AC80" s="15">
        <f>IF((IF(S80="",0,5)+IF(U80="",0,5)+IF(W80="",0,4)+IF(Y80="",0,4)+IF(AA80="",0,4))=0,"",(IF(S80="",0,S80*5)+IF(U80="",0,U80*5)+IF(W80="",0,W80*4)+IF(Y80="",0,Y80*4)+IF(AA80="",0,AA80*4))/(IF(S80="",0,5)+IF(U80="",0,5)+IF(W80="",0,4)+IF(Y80="",0,4)+IF(AA80="",0,4)))</f>
        <v/>
      </c>
      <c r="AD80" s="14">
        <f>IF((IF(T80="",0,5)+IF(V80="",0,5)+IF(X80="",0,4)+IF(Z80="",0,4)+IF(AB80="",0,4))=0,"",(IF(T80="",0,T80*5)+IF(V80="",0,V80*5)+IF(X80="",0,X80*4)+IF(Z80="",0,Z80*4)+IF(AB80="",0,AB80*4))/22)</f>
        <v/>
      </c>
      <c r="AE80" s="11">
        <f>IF(OR(City_Inputs!$X80="",Norm_Stats!$F$12="",Norm_Stats!$G$12="",Norm_Stats!$G$12=Norm_Stats!$F$12),"",MAX(0,MIN(100,100*(MIN(MAX(City_Inputs!$X80,Norm_Stats!$F$12),Norm_Stats!$G$12)-Norm_Stats!$F$12)/(Norm_Stats!$G$12-Norm_Stats!$F$12))))</f>
        <v/>
      </c>
      <c r="AF80" s="14">
        <f>IF(AE80="","",1)</f>
        <v/>
      </c>
      <c r="AG80" s="11">
        <f>IF(OR(City_Inputs!$Y80="",Norm_Stats!$F$13="",Norm_Stats!$G$13="",Norm_Stats!$G$13=Norm_Stats!$F$13),"",MAX(0,MIN(100,100*(MIN(MAX(City_Inputs!$Y80,Norm_Stats!$F$13),Norm_Stats!$G$13)-Norm_Stats!$F$13)/(Norm_Stats!$G$13-Norm_Stats!$F$13))))</f>
        <v/>
      </c>
      <c r="AH80" s="14">
        <f>IF(AG80="","",1)</f>
        <v/>
      </c>
      <c r="AI80" s="11">
        <f>IF((IF((IF(OR(City_Inputs!$Z80="",Norm_Stats!$F$14="",Norm_Stats!$G$14="",Norm_Stats!$G$14=Norm_Stats!$F$14),"",MAX(0,MIN(100,100*(MIN(MAX(City_Inputs!$Z80,Norm_Stats!$F$14),Norm_Stats!$G$14)-Norm_Stats!$F$14)/(Norm_Stats!$G$14-Norm_Stats!$F$14)))))="",0,0.7)+IF((IF(OR(City_Inputs!$AK80="",Norm_Stats!$F$15="",Norm_Stats!$G$15="",Norm_Stats!$G$15=Norm_Stats!$F$15),"",MAX(0,MIN(100,100*(Norm_Stats!$G$15-MIN(MAX(City_Inputs!$AK80,Norm_Stats!$F$15),Norm_Stats!$G$15))/(Norm_Stats!$G$15-Norm_Stats!$F$15)))))="",0,0.3))=0,"",(IF((IF(OR(City_Inputs!$Z80="",Norm_Stats!$F$14="",Norm_Stats!$G$14="",Norm_Stats!$G$14=Norm_Stats!$F$14),"",MAX(0,MIN(100,100*(MIN(MAX(City_Inputs!$Z80,Norm_Stats!$F$14),Norm_Stats!$G$14)-Norm_Stats!$F$14)/(Norm_Stats!$G$14-Norm_Stats!$F$14)))))="",0,(IF(OR(City_Inputs!$Z80="",Norm_Stats!$F$14="",Norm_Stats!$G$14="",Norm_Stats!$G$14=Norm_Stats!$F$14),"",MAX(0,MIN(100,100*(MIN(MAX(City_Inputs!$Z80,Norm_Stats!$F$14),Norm_Stats!$G$14)-Norm_Stats!$F$14)/(Norm_Stats!$G$14-Norm_Stats!$F$14)))))*0.7)+IF((IF(OR(City_Inputs!$AK80="",Norm_Stats!$F$15="",Norm_Stats!$G$15="",Norm_Stats!$G$15=Norm_Stats!$F$15),"",MAX(0,MIN(100,100*(Norm_Stats!$G$15-MIN(MAX(City_Inputs!$AK80,Norm_Stats!$F$15),Norm_Stats!$G$15))/(Norm_Stats!$G$15-Norm_Stats!$F$15)))))="",0,(IF(OR(City_Inputs!$AK80="",Norm_Stats!$F$15="",Norm_Stats!$G$15="",Norm_Stats!$G$15=Norm_Stats!$F$15),"",MAX(0,MIN(100,100*(Norm_Stats!$G$15-MIN(MAX(City_Inputs!$AK80,Norm_Stats!$F$15),Norm_Stats!$G$15))/(Norm_Stats!$G$15-Norm_Stats!$F$15)))))*0.3))/(IF((IF(OR(City_Inputs!$Z80="",Norm_Stats!$F$14="",Norm_Stats!$G$14="",Norm_Stats!$G$14=Norm_Stats!$F$14),"",MAX(0,MIN(100,100*(MIN(MAX(City_Inputs!$Z80,Norm_Stats!$F$14),Norm_Stats!$G$14)-Norm_Stats!$F$14)/(Norm_Stats!$G$14-Norm_Stats!$F$14)))))="",0,0.7)+IF((IF(OR(City_Inputs!$AK80="",Norm_Stats!$F$15="",Norm_Stats!$G$15="",Norm_Stats!$G$15=Norm_Stats!$F$15),"",MAX(0,MIN(100,100*(Norm_Stats!$G$15-MIN(MAX(City_Inputs!$AK80,Norm_Stats!$F$15),Norm_Stats!$G$15))/(Norm_Stats!$G$15-Norm_Stats!$F$15)))))="",0,0.3)))</f>
        <v/>
      </c>
      <c r="AJ80" s="14">
        <f>IF((IF((IF(OR(City_Inputs!$Z80="",Norm_Stats!$F$14="",Norm_Stats!$G$14="",Norm_Stats!$G$14=Norm_Stats!$F$14),"",MAX(0,MIN(100,100*(MIN(MAX(City_Inputs!$Z80,Norm_Stats!$F$14),Norm_Stats!$G$14)-Norm_Stats!$F$14)/(Norm_Stats!$G$14-Norm_Stats!$F$14)))))="",0,0.7)+IF((IF(OR(City_Inputs!$AK80="",Norm_Stats!$F$15="",Norm_Stats!$G$15="",Norm_Stats!$G$15=Norm_Stats!$F$15),"",MAX(0,MIN(100,100*(Norm_Stats!$G$15-MIN(MAX(City_Inputs!$AK80,Norm_Stats!$F$15),Norm_Stats!$G$15))/(Norm_Stats!$G$15-Norm_Stats!$F$15)))))="",0,0.3))=0,"",(IF((IF(OR(City_Inputs!$Z80="",Norm_Stats!$F$14="",Norm_Stats!$G$14="",Norm_Stats!$G$14=Norm_Stats!$F$14),"",MAX(0,MIN(100,100*(MIN(MAX(City_Inputs!$Z80,Norm_Stats!$F$14),Norm_Stats!$G$14)-Norm_Stats!$F$14)/(Norm_Stats!$G$14-Norm_Stats!$F$14)))))="",0,0.7)+IF((IF(OR(City_Inputs!$AK80="",Norm_Stats!$F$15="",Norm_Stats!$G$15="",Norm_Stats!$G$15=Norm_Stats!$F$15),"",MAX(0,MIN(100,100*(Norm_Stats!$G$15-MIN(MAX(City_Inputs!$AK80,Norm_Stats!$F$15),Norm_Stats!$G$15))/(Norm_Stats!$G$15-Norm_Stats!$F$15)))))="",0,0.3)))</f>
        <v/>
      </c>
      <c r="AK80" s="15">
        <f>IF((IF(AE80="",0,8)+IF(AG80="",0,6)+IF(AI80="",0,4))=0,"",(IF(AE80="",0,AE80*8)+IF(AG80="",0,AG80*6)+IF(AI80="",0,AI80*4))/(IF(AE80="",0,8)+IF(AG80="",0,6)+IF(AI80="",0,4)))</f>
        <v/>
      </c>
      <c r="AL80" s="14">
        <f>IF((IF(AF80="",0,8)+IF(AH80="",0,6)+IF(AJ80="",0,4))=0,"",(IF(AF80="",0,AF80*8)+IF(AH80="",0,AH80*6)+IF(AJ80="",0,AJ80*4))/18)</f>
        <v/>
      </c>
      <c r="AM80" s="11">
        <f>IF(OR(City_Inputs!$AA80="",Norm_Stats!$F$16="",Norm_Stats!$G$16="",Norm_Stats!$G$16=Norm_Stats!$F$16),"",MAX(0,MIN(100,100*(MIN(MAX(City_Inputs!$AA80,Norm_Stats!$F$16),Norm_Stats!$G$16)-Norm_Stats!$F$16)/(Norm_Stats!$G$16-Norm_Stats!$F$16))))</f>
        <v/>
      </c>
      <c r="AN80" s="14">
        <f>IF(AM80="","",1)</f>
        <v/>
      </c>
      <c r="AO80" s="11">
        <f>IF(OR(City_Inputs!$AB80="",Norm_Stats!$F$17="",Norm_Stats!$G$17="",Norm_Stats!$G$17=Norm_Stats!$F$17),"",MAX(0,MIN(100,100*(MIN(MAX(City_Inputs!$AB80,Norm_Stats!$F$17),Norm_Stats!$G$17)-Norm_Stats!$F$17)/(Norm_Stats!$G$17-Norm_Stats!$F$17))))</f>
        <v/>
      </c>
      <c r="AP80" s="14">
        <f>IF(AO80="","",1)</f>
        <v/>
      </c>
      <c r="AQ80" s="11">
        <f>IF(OR(City_Inputs!$AC80="",Norm_Stats!$F$18="",Norm_Stats!$G$18="",Norm_Stats!$G$18=Norm_Stats!$F$18),"",MAX(0,MIN(100,100*(MIN(MAX(City_Inputs!$AC80,Norm_Stats!$F$18),Norm_Stats!$G$18)-Norm_Stats!$F$18)/(Norm_Stats!$G$18-Norm_Stats!$F$18))))</f>
        <v/>
      </c>
      <c r="AR80" s="14">
        <f>IF(AQ80="","",1)</f>
        <v/>
      </c>
      <c r="AS80" s="15">
        <f>IF((IF(AM80="",0,5)+IF(AO80="",0,5)+IF(AQ80="",0,5))=0,"",(IF(AM80="",0,AM80*5)+IF(AO80="",0,AO80*5)+IF(AQ80="",0,AQ80*5))/(IF(AM80="",0,5)+IF(AO80="",0,5)+IF(AQ80="",0,5)))</f>
        <v/>
      </c>
      <c r="AT80" s="14">
        <f>IF((IF(AN80="",0,5)+IF(AP80="",0,5)+IF(AR80="",0,5))=0,"",(IF(AN80="",0,AN80*5)+IF(AP80="",0,AP80*5)+IF(AR80="",0,AR80*5))/15)</f>
        <v/>
      </c>
      <c r="AU80" s="11">
        <f>IF(OR(City_Inputs!$AD80="",Norm_Stats!$F$19="",Norm_Stats!$G$19="",Norm_Stats!$G$19=Norm_Stats!$F$19),"",MAX(0,MIN(100,100*(MIN(MAX(City_Inputs!$AD80,Norm_Stats!$F$19),Norm_Stats!$G$19)-Norm_Stats!$F$19)/(Norm_Stats!$G$19-Norm_Stats!$F$19))))</f>
        <v/>
      </c>
      <c r="AV80" s="14">
        <f>IF(AU80="","",1)</f>
        <v/>
      </c>
      <c r="AW80" s="11">
        <f>IF(OR(City_Inputs!$AE80="",Norm_Stats!$F$20="",Norm_Stats!$G$20="",Norm_Stats!$G$20=Norm_Stats!$F$20),"",MAX(0,MIN(100,100*(MIN(MAX(City_Inputs!$AE80,Norm_Stats!$F$20),Norm_Stats!$G$20)-Norm_Stats!$F$20)/(Norm_Stats!$G$20-Norm_Stats!$F$20))))</f>
        <v/>
      </c>
      <c r="AX80" s="14">
        <f>IF(AW80="","",1)</f>
        <v/>
      </c>
      <c r="AY80" s="11">
        <f>IF((IF((IF(OR(City_Inputs!$AF80="",Norm_Stats!$F$21="",Norm_Stats!$G$21="",Norm_Stats!$G$21=Norm_Stats!$F$21),"",MAX(0,MIN(100,100*(MIN(MAX(City_Inputs!$AF80,Norm_Stats!$F$21),Norm_Stats!$G$21)-Norm_Stats!$F$21)/(Norm_Stats!$G$21-Norm_Stats!$F$21)))))="",0,0.5)+IF((IF(OR(City_Inputs!$AI80="",Norm_Stats!$F$22="",Norm_Stats!$G$22="",Norm_Stats!$G$22=Norm_Stats!$F$22),"",MAX(0,MIN(100,100*(MIN(MAX(City_Inputs!$AI80,Norm_Stats!$F$22),Norm_Stats!$G$22)-Norm_Stats!$F$22)/(Norm_Stats!$G$22-Norm_Stats!$F$22)))))="",0,0.3)+IF((IF(OR(City_Inputs!$AJ80="",Norm_Stats!$F$23="",Norm_Stats!$G$23="",Norm_Stats!$G$23=Norm_Stats!$F$23),"",MAX(0,MIN(100,100*(MIN(MAX(City_Inputs!$AJ80,Norm_Stats!$F$23),Norm_Stats!$G$23)-Norm_Stats!$F$23)/(Norm_Stats!$G$23-Norm_Stats!$F$23)))))="",0,0.2))=0,"",(IF((IF(OR(City_Inputs!$AF80="",Norm_Stats!$F$21="",Norm_Stats!$G$21="",Norm_Stats!$G$21=Norm_Stats!$F$21),"",MAX(0,MIN(100,100*(MIN(MAX(City_Inputs!$AF80,Norm_Stats!$F$21),Norm_Stats!$G$21)-Norm_Stats!$F$21)/(Norm_Stats!$G$21-Norm_Stats!$F$21)))))="",0,(IF(OR(City_Inputs!$AF80="",Norm_Stats!$F$21="",Norm_Stats!$G$21="",Norm_Stats!$G$21=Norm_Stats!$F$21),"",MAX(0,MIN(100,100*(MIN(MAX(City_Inputs!$AF80,Norm_Stats!$F$21),Norm_Stats!$G$21)-Norm_Stats!$F$21)/(Norm_Stats!$G$21-Norm_Stats!$F$21)))))*0.5)+IF((IF(OR(City_Inputs!$AI80="",Norm_Stats!$F$22="",Norm_Stats!$G$22="",Norm_Stats!$G$22=Norm_Stats!$F$22),"",MAX(0,MIN(100,100*(MIN(MAX(City_Inputs!$AI80,Norm_Stats!$F$22),Norm_Stats!$G$22)-Norm_Stats!$F$22)/(Norm_Stats!$G$22-Norm_Stats!$F$22)))))="",0,(IF(OR(City_Inputs!$AI80="",Norm_Stats!$F$22="",Norm_Stats!$G$22="",Norm_Stats!$G$22=Norm_Stats!$F$22),"",MAX(0,MIN(100,100*(MIN(MAX(City_Inputs!$AI80,Norm_Stats!$F$22),Norm_Stats!$G$22)-Norm_Stats!$F$22)/(Norm_Stats!$G$22-Norm_Stats!$F$22)))))*0.3)+IF((IF(OR(City_Inputs!$AJ80="",Norm_Stats!$F$23="",Norm_Stats!$G$23="",Norm_Stats!$G$23=Norm_Stats!$F$23),"",MAX(0,MIN(100,100*(MIN(MAX(City_Inputs!$AJ80,Norm_Stats!$F$23),Norm_Stats!$G$23)-Norm_Stats!$F$23)/(Norm_Stats!$G$23-Norm_Stats!$F$23)))))="",0,(IF(OR(City_Inputs!$AJ80="",Norm_Stats!$F$23="",Norm_Stats!$G$23="",Norm_Stats!$G$23=Norm_Stats!$F$23),"",MAX(0,MIN(100,100*(MIN(MAX(City_Inputs!$AJ80,Norm_Stats!$F$23),Norm_Stats!$G$23)-Norm_Stats!$F$23)/(Norm_Stats!$G$23-Norm_Stats!$F$23)))))*0.2))/(IF((IF(OR(City_Inputs!$AF80="",Norm_Stats!$F$21="",Norm_Stats!$G$21="",Norm_Stats!$G$21=Norm_Stats!$F$21),"",MAX(0,MIN(100,100*(MIN(MAX(City_Inputs!$AF80,Norm_Stats!$F$21),Norm_Stats!$G$21)-Norm_Stats!$F$21)/(Norm_Stats!$G$21-Norm_Stats!$F$21)))))="",0,0.5)+IF((IF(OR(City_Inputs!$AI80="",Norm_Stats!$F$22="",Norm_Stats!$G$22="",Norm_Stats!$G$22=Norm_Stats!$F$22),"",MAX(0,MIN(100,100*(MIN(MAX(City_Inputs!$AI80,Norm_Stats!$F$22),Norm_Stats!$G$22)-Norm_Stats!$F$22)/(Norm_Stats!$G$22-Norm_Stats!$F$22)))))="",0,0.3)+IF((IF(OR(City_Inputs!$AJ80="",Norm_Stats!$F$23="",Norm_Stats!$G$23="",Norm_Stats!$G$23=Norm_Stats!$F$23),"",MAX(0,MIN(100,100*(MIN(MAX(City_Inputs!$AJ80,Norm_Stats!$F$23),Norm_Stats!$G$23)-Norm_Stats!$F$23)/(Norm_Stats!$G$23-Norm_Stats!$F$23)))))="",0,0.2)))</f>
        <v/>
      </c>
      <c r="AZ80" s="14">
        <f>IF((IF((IF(OR(City_Inputs!$AF80="",Norm_Stats!$F$21="",Norm_Stats!$G$21="",Norm_Stats!$G$21=Norm_Stats!$F$21),"",MAX(0,MIN(100,100*(MIN(MAX(City_Inputs!$AF80,Norm_Stats!$F$21),Norm_Stats!$G$21)-Norm_Stats!$F$21)/(Norm_Stats!$G$21-Norm_Stats!$F$21)))))="",0,0.5)+IF((IF(OR(City_Inputs!$AI80="",Norm_Stats!$F$22="",Norm_Stats!$G$22="",Norm_Stats!$G$22=Norm_Stats!$F$22),"",MAX(0,MIN(100,100*(MIN(MAX(City_Inputs!$AI80,Norm_Stats!$F$22),Norm_Stats!$G$22)-Norm_Stats!$F$22)/(Norm_Stats!$G$22-Norm_Stats!$F$22)))))="",0,0.3)+IF((IF(OR(City_Inputs!$AJ80="",Norm_Stats!$F$23="",Norm_Stats!$G$23="",Norm_Stats!$G$23=Norm_Stats!$F$23),"",MAX(0,MIN(100,100*(MIN(MAX(City_Inputs!$AJ80,Norm_Stats!$F$23),Norm_Stats!$G$23)-Norm_Stats!$F$23)/(Norm_Stats!$G$23-Norm_Stats!$F$23)))))="",0,0.2))=0,"",(IF((IF(OR(City_Inputs!$AF80="",Norm_Stats!$F$21="",Norm_Stats!$G$21="",Norm_Stats!$G$21=Norm_Stats!$F$21),"",MAX(0,MIN(100,100*(MIN(MAX(City_Inputs!$AF80,Norm_Stats!$F$21),Norm_Stats!$G$21)-Norm_Stats!$F$21)/(Norm_Stats!$G$21-Norm_Stats!$F$21)))))="",0,0.5)+IF((IF(OR(City_Inputs!$AI80="",Norm_Stats!$F$22="",Norm_Stats!$G$22="",Norm_Stats!$G$22=Norm_Stats!$F$22),"",MAX(0,MIN(100,100*(MIN(MAX(City_Inputs!$AI80,Norm_Stats!$F$22),Norm_Stats!$G$22)-Norm_Stats!$F$22)/(Norm_Stats!$G$22-Norm_Stats!$F$22)))))="",0,0.3)+IF((IF(OR(City_Inputs!$AJ80="",Norm_Stats!$F$23="",Norm_Stats!$G$23="",Norm_Stats!$G$23=Norm_Stats!$F$23),"",MAX(0,MIN(100,100*(MIN(MAX(City_Inputs!$AJ80,Norm_Stats!$F$23),Norm_Stats!$G$23)-Norm_Stats!$F$23)/(Norm_Stats!$G$23-Norm_Stats!$F$23)))))="",0,0.2)))</f>
        <v/>
      </c>
      <c r="BA80" s="11">
        <f>IF(OR(City_Inputs!$AG80="",Norm_Stats!$F$24="",Norm_Stats!$G$24="",Norm_Stats!$G$24=Norm_Stats!$F$24),"",MAX(0,MIN(100,100*(Norm_Stats!$G$24-MIN(MAX(City_Inputs!$AG80,Norm_Stats!$F$24),Norm_Stats!$G$24))/(Norm_Stats!$G$24-Norm_Stats!$F$24))))</f>
        <v/>
      </c>
      <c r="BB80" s="14">
        <f>IF(BA80="","",1)</f>
        <v/>
      </c>
      <c r="BC80" s="15">
        <f>IF((IF(AU80="",0,6)+IF(AW80="",0,5)+IF(AY80="",0,5)+IF(BA80="",0,4))=0,"",(IF(AU80="",0,AU80*6)+IF(AW80="",0,AW80*5)+IF(AY80="",0,AY80*5)+IF(BA80="",0,BA80*4))/(IF(AU80="",0,6)+IF(AW80="",0,5)+IF(AY80="",0,5)+IF(BA80="",0,4)))</f>
        <v/>
      </c>
      <c r="BD80" s="14">
        <f>IF((IF(AV80="",0,6)+IF(AX80="",0,5)+IF(AZ80="",0,5)+IF(BB80="",0,4))=0,"",(IF(AV80="",0,AV80*6)+IF(AX80="",0,AX80*5)+IF(AZ80="",0,AZ80*5)+IF(BB80="",0,BB80*4))/20)</f>
        <v/>
      </c>
      <c r="BE80" s="14">
        <f>IF(AND(R80="",AD80="",AL80="",AT80="",BD80=""),"",((R80*25)+(AD80*22)+(AL80*18)+(AT80*15)+(BD80*20))/100)</f>
        <v/>
      </c>
      <c r="BF80" s="11">
        <f>IF(BE80="","",IF(BE80&gt;=0.75,"A",IF(BE80&gt;=0.5,"B",IF(BE80&gt;=0.35,"C","Watchlist"))))</f>
        <v/>
      </c>
      <c r="BG80" s="11">
        <f>IF(OR(BE80="",BE80&lt;0.5,R80="",R80&lt;0.35,AD80="",AD80&lt;0.35,AL80="",AL80&lt;0.35,AT80="",AT80&lt;0.35,BD80="",BD80&lt;0.35),"Watchlist","Ranked")</f>
        <v/>
      </c>
      <c r="BH80" s="15">
        <f>IF(AND(Q80="",AC80="",AK80="",AS80="",BC80=""),"",(IF(Q80="",0,Q80*25)+IF(AC80="",0,AC80*22)+IF(AK80="",0,AK80*18)+IF(AS80="",0,AS80*15)+IF(BC80="",0,BC80*20))/(IF(Q80="",0,25)+IF(AC80="",0,22)+IF(AK80="",0,18)+IF(AS80="",0,15)+IF(BC80="",0,20)))</f>
        <v/>
      </c>
      <c r="BI80" s="11">
        <f>IF(BG80="Ranked",1+COUNTIFS($BG$2:$BG$103,"Ranked",$BH$2:$BH$103,"&gt;"&amp;BH80),"")</f>
        <v/>
      </c>
      <c r="BJ80" s="11">
        <f>City_Inputs!$AH80</f>
        <v/>
      </c>
    </row>
    <row r="81">
      <c r="A81" t="inlineStr">
        <is>
          <t>sa-jeddah</t>
        </is>
      </c>
      <c r="B81" t="inlineStr">
        <is>
          <t>Jeddah</t>
        </is>
      </c>
      <c r="C81" t="inlineStr">
        <is>
          <t>Saudi Arabia</t>
        </is>
      </c>
      <c r="D81" t="inlineStr">
        <is>
          <t>Middle East</t>
        </is>
      </c>
      <c r="E81" t="inlineStr">
        <is>
          <t>locked</t>
        </is>
      </c>
      <c r="F81" t="inlineStr">
        <is>
          <t>secondary</t>
        </is>
      </c>
      <c r="G81" s="11">
        <f>IF(OR(City_Inputs!$M81="",Norm_Stats!$F$2="",Norm_Stats!$G$2="",Norm_Stats!$G$2=Norm_Stats!$F$2),"",MAX(0,MIN(100,100*(MIN(MAX(City_Inputs!$M81,Norm_Stats!$F$2),Norm_Stats!$G$2)-Norm_Stats!$F$2)/(Norm_Stats!$G$2-Norm_Stats!$F$2))))</f>
        <v/>
      </c>
      <c r="H81" s="14">
        <f>IF(G81="","",1)</f>
        <v/>
      </c>
      <c r="I81" s="11">
        <f>IF(OR(City_Inputs!$N81="",Norm_Stats!$F$3="",Norm_Stats!$G$3="",Norm_Stats!$G$3=Norm_Stats!$F$3),"",MAX(0,MIN(100,100*(Norm_Stats!$G$3-MIN(MAX(City_Inputs!$N81,Norm_Stats!$F$3),Norm_Stats!$G$3))/(Norm_Stats!$G$3-Norm_Stats!$F$3))))</f>
        <v/>
      </c>
      <c r="J81" s="14">
        <f>IF(I81="","",1)</f>
        <v/>
      </c>
      <c r="K81" s="11">
        <f>IF(OR(City_Inputs!$P81="",Norm_Stats!$F$4="",Norm_Stats!$G$4="",Norm_Stats!$G$4=Norm_Stats!$F$4),"",MAX(0,MIN(100,100*(Norm_Stats!$G$4-MIN(MAX(City_Inputs!$P81,Norm_Stats!$F$4),Norm_Stats!$G$4))/(Norm_Stats!$G$4-Norm_Stats!$F$4))))</f>
        <v/>
      </c>
      <c r="L81" s="14">
        <f>IF(K81="","",1)</f>
        <v/>
      </c>
      <c r="M81" s="11">
        <f>IF(OR(City_Inputs!$Q81="",Norm_Stats!$F$5="",Norm_Stats!$G$5="",Norm_Stats!$G$5=Norm_Stats!$F$5),"",MAX(0,MIN(100,100*(Norm_Stats!$G$5-MIN(MAX(City_Inputs!$Q81,Norm_Stats!$F$5),Norm_Stats!$G$5))/(Norm_Stats!$G$5-Norm_Stats!$F$5))))</f>
        <v/>
      </c>
      <c r="N81" s="14">
        <f>IF(M81="","",1)</f>
        <v/>
      </c>
      <c r="O81" s="11">
        <f>IF(OR(City_Inputs!$R81="",Norm_Stats!$F$6="",Norm_Stats!$G$6="",Norm_Stats!$G$6=Norm_Stats!$F$6),"",MAX(0,MIN(100,100*(Norm_Stats!$G$6-MIN(MAX(City_Inputs!$R81,Norm_Stats!$F$6),Norm_Stats!$G$6))/(Norm_Stats!$G$6-Norm_Stats!$F$6))))</f>
        <v/>
      </c>
      <c r="P81" s="14">
        <f>IF(O81="","",1)</f>
        <v/>
      </c>
      <c r="Q81" s="15">
        <f>IF((IF(G81="",0,9)+IF(I81="",0,5)+IF(K81="",0,4)+IF(M81="",0,4)+IF(O81="",0,3))=0,"",(IF(G81="",0,G81*9)+IF(I81="",0,I81*5)+IF(K81="",0,K81*4)+IF(M81="",0,M81*4)+IF(O81="",0,O81*3))/(IF(G81="",0,9)+IF(I81="",0,5)+IF(K81="",0,4)+IF(M81="",0,4)+IF(O81="",0,3)))</f>
        <v/>
      </c>
      <c r="R81" s="14">
        <f>IF((IF(H81="",0,9)+IF(J81="",0,5)+IF(L81="",0,4)+IF(N81="",0,4)+IF(P81="",0,3))=0,"",(IF(H81="",0,H81*9)+IF(J81="",0,J81*5)+IF(L81="",0,L81*4)+IF(N81="",0,N81*4)+IF(P81="",0,P81*3))/25)</f>
        <v/>
      </c>
      <c r="S81" s="11">
        <f>IF(OR(City_Inputs!$S81="",Norm_Stats!$F$7="",Norm_Stats!$G$7="",Norm_Stats!$G$7=Norm_Stats!$F$7),"",MAX(0,MIN(100,100*(Norm_Stats!$G$7-MIN(MAX(City_Inputs!$S81,Norm_Stats!$F$7),Norm_Stats!$G$7))/(Norm_Stats!$G$7-Norm_Stats!$F$7))))</f>
        <v/>
      </c>
      <c r="T81" s="14">
        <f>IF(S81="","",1)</f>
        <v/>
      </c>
      <c r="U81" s="11">
        <f>IF(OR(City_Inputs!$T81="",Norm_Stats!$F$8="",Norm_Stats!$G$8="",Norm_Stats!$G$8=Norm_Stats!$F$8),"",MAX(0,MIN(100,100*(MIN(MAX(City_Inputs!$T81,Norm_Stats!$F$8),Norm_Stats!$G$8)-Norm_Stats!$F$8)/(Norm_Stats!$G$8-Norm_Stats!$F$8))))</f>
        <v/>
      </c>
      <c r="V81" s="14">
        <f>IF(U81="","",1)</f>
        <v/>
      </c>
      <c r="W81" s="11">
        <f>IF(OR(City_Inputs!$U81="",Norm_Stats!$F$9="",Norm_Stats!$G$9="",Norm_Stats!$G$9=Norm_Stats!$F$9),"",MAX(0,MIN(100,100*(Norm_Stats!$G$9-MIN(MAX(City_Inputs!$U81,Norm_Stats!$F$9),Norm_Stats!$G$9))/(Norm_Stats!$G$9-Norm_Stats!$F$9))))</f>
        <v/>
      </c>
      <c r="X81" s="14">
        <f>IF(W81="","",1)</f>
        <v/>
      </c>
      <c r="Y81" s="11">
        <f>IF(OR(City_Inputs!$V81="",Norm_Stats!$F$10="",Norm_Stats!$G$10="",Norm_Stats!$G$10=Norm_Stats!$F$10),"",MAX(0,MIN(100,100*(MIN(MAX(City_Inputs!$V81,Norm_Stats!$F$10),Norm_Stats!$G$10)-Norm_Stats!$F$10)/(Norm_Stats!$G$10-Norm_Stats!$F$10))))</f>
        <v/>
      </c>
      <c r="Z81" s="14">
        <f>IF(Y81="","",1)</f>
        <v/>
      </c>
      <c r="AA81" s="11">
        <f>IF(OR(City_Inputs!$W81="",Norm_Stats!$F$11="",Norm_Stats!$G$11="",Norm_Stats!$G$11=Norm_Stats!$F$11),"",MAX(0,MIN(100,100*(MIN(MAX(City_Inputs!$W81,Norm_Stats!$F$11),Norm_Stats!$G$11)-Norm_Stats!$F$11)/(Norm_Stats!$G$11-Norm_Stats!$F$11))))</f>
        <v/>
      </c>
      <c r="AB81" s="14">
        <f>IF(AA81="","",1)</f>
        <v/>
      </c>
      <c r="AC81" s="15">
        <f>IF((IF(S81="",0,5)+IF(U81="",0,5)+IF(W81="",0,4)+IF(Y81="",0,4)+IF(AA81="",0,4))=0,"",(IF(S81="",0,S81*5)+IF(U81="",0,U81*5)+IF(W81="",0,W81*4)+IF(Y81="",0,Y81*4)+IF(AA81="",0,AA81*4))/(IF(S81="",0,5)+IF(U81="",0,5)+IF(W81="",0,4)+IF(Y81="",0,4)+IF(AA81="",0,4)))</f>
        <v/>
      </c>
      <c r="AD81" s="14">
        <f>IF((IF(T81="",0,5)+IF(V81="",0,5)+IF(X81="",0,4)+IF(Z81="",0,4)+IF(AB81="",0,4))=0,"",(IF(T81="",0,T81*5)+IF(V81="",0,V81*5)+IF(X81="",0,X81*4)+IF(Z81="",0,Z81*4)+IF(AB81="",0,AB81*4))/22)</f>
        <v/>
      </c>
      <c r="AE81" s="11">
        <f>IF(OR(City_Inputs!$X81="",Norm_Stats!$F$12="",Norm_Stats!$G$12="",Norm_Stats!$G$12=Norm_Stats!$F$12),"",MAX(0,MIN(100,100*(MIN(MAX(City_Inputs!$X81,Norm_Stats!$F$12),Norm_Stats!$G$12)-Norm_Stats!$F$12)/(Norm_Stats!$G$12-Norm_Stats!$F$12))))</f>
        <v/>
      </c>
      <c r="AF81" s="14">
        <f>IF(AE81="","",1)</f>
        <v/>
      </c>
      <c r="AG81" s="11">
        <f>IF(OR(City_Inputs!$Y81="",Norm_Stats!$F$13="",Norm_Stats!$G$13="",Norm_Stats!$G$13=Norm_Stats!$F$13),"",MAX(0,MIN(100,100*(MIN(MAX(City_Inputs!$Y81,Norm_Stats!$F$13),Norm_Stats!$G$13)-Norm_Stats!$F$13)/(Norm_Stats!$G$13-Norm_Stats!$F$13))))</f>
        <v/>
      </c>
      <c r="AH81" s="14">
        <f>IF(AG81="","",1)</f>
        <v/>
      </c>
      <c r="AI81" s="11">
        <f>IF((IF((IF(OR(City_Inputs!$Z81="",Norm_Stats!$F$14="",Norm_Stats!$G$14="",Norm_Stats!$G$14=Norm_Stats!$F$14),"",MAX(0,MIN(100,100*(MIN(MAX(City_Inputs!$Z81,Norm_Stats!$F$14),Norm_Stats!$G$14)-Norm_Stats!$F$14)/(Norm_Stats!$G$14-Norm_Stats!$F$14)))))="",0,0.7)+IF((IF(OR(City_Inputs!$AK81="",Norm_Stats!$F$15="",Norm_Stats!$G$15="",Norm_Stats!$G$15=Norm_Stats!$F$15),"",MAX(0,MIN(100,100*(Norm_Stats!$G$15-MIN(MAX(City_Inputs!$AK81,Norm_Stats!$F$15),Norm_Stats!$G$15))/(Norm_Stats!$G$15-Norm_Stats!$F$15)))))="",0,0.3))=0,"",(IF((IF(OR(City_Inputs!$Z81="",Norm_Stats!$F$14="",Norm_Stats!$G$14="",Norm_Stats!$G$14=Norm_Stats!$F$14),"",MAX(0,MIN(100,100*(MIN(MAX(City_Inputs!$Z81,Norm_Stats!$F$14),Norm_Stats!$G$14)-Norm_Stats!$F$14)/(Norm_Stats!$G$14-Norm_Stats!$F$14)))))="",0,(IF(OR(City_Inputs!$Z81="",Norm_Stats!$F$14="",Norm_Stats!$G$14="",Norm_Stats!$G$14=Norm_Stats!$F$14),"",MAX(0,MIN(100,100*(MIN(MAX(City_Inputs!$Z81,Norm_Stats!$F$14),Norm_Stats!$G$14)-Norm_Stats!$F$14)/(Norm_Stats!$G$14-Norm_Stats!$F$14)))))*0.7)+IF((IF(OR(City_Inputs!$AK81="",Norm_Stats!$F$15="",Norm_Stats!$G$15="",Norm_Stats!$G$15=Norm_Stats!$F$15),"",MAX(0,MIN(100,100*(Norm_Stats!$G$15-MIN(MAX(City_Inputs!$AK81,Norm_Stats!$F$15),Norm_Stats!$G$15))/(Norm_Stats!$G$15-Norm_Stats!$F$15)))))="",0,(IF(OR(City_Inputs!$AK81="",Norm_Stats!$F$15="",Norm_Stats!$G$15="",Norm_Stats!$G$15=Norm_Stats!$F$15),"",MAX(0,MIN(100,100*(Norm_Stats!$G$15-MIN(MAX(City_Inputs!$AK81,Norm_Stats!$F$15),Norm_Stats!$G$15))/(Norm_Stats!$G$15-Norm_Stats!$F$15)))))*0.3))/(IF((IF(OR(City_Inputs!$Z81="",Norm_Stats!$F$14="",Norm_Stats!$G$14="",Norm_Stats!$G$14=Norm_Stats!$F$14),"",MAX(0,MIN(100,100*(MIN(MAX(City_Inputs!$Z81,Norm_Stats!$F$14),Norm_Stats!$G$14)-Norm_Stats!$F$14)/(Norm_Stats!$G$14-Norm_Stats!$F$14)))))="",0,0.7)+IF((IF(OR(City_Inputs!$AK81="",Norm_Stats!$F$15="",Norm_Stats!$G$15="",Norm_Stats!$G$15=Norm_Stats!$F$15),"",MAX(0,MIN(100,100*(Norm_Stats!$G$15-MIN(MAX(City_Inputs!$AK81,Norm_Stats!$F$15),Norm_Stats!$G$15))/(Norm_Stats!$G$15-Norm_Stats!$F$15)))))="",0,0.3)))</f>
        <v/>
      </c>
      <c r="AJ81" s="14">
        <f>IF((IF((IF(OR(City_Inputs!$Z81="",Norm_Stats!$F$14="",Norm_Stats!$G$14="",Norm_Stats!$G$14=Norm_Stats!$F$14),"",MAX(0,MIN(100,100*(MIN(MAX(City_Inputs!$Z81,Norm_Stats!$F$14),Norm_Stats!$G$14)-Norm_Stats!$F$14)/(Norm_Stats!$G$14-Norm_Stats!$F$14)))))="",0,0.7)+IF((IF(OR(City_Inputs!$AK81="",Norm_Stats!$F$15="",Norm_Stats!$G$15="",Norm_Stats!$G$15=Norm_Stats!$F$15),"",MAX(0,MIN(100,100*(Norm_Stats!$G$15-MIN(MAX(City_Inputs!$AK81,Norm_Stats!$F$15),Norm_Stats!$G$15))/(Norm_Stats!$G$15-Norm_Stats!$F$15)))))="",0,0.3))=0,"",(IF((IF(OR(City_Inputs!$Z81="",Norm_Stats!$F$14="",Norm_Stats!$G$14="",Norm_Stats!$G$14=Norm_Stats!$F$14),"",MAX(0,MIN(100,100*(MIN(MAX(City_Inputs!$Z81,Norm_Stats!$F$14),Norm_Stats!$G$14)-Norm_Stats!$F$14)/(Norm_Stats!$G$14-Norm_Stats!$F$14)))))="",0,0.7)+IF((IF(OR(City_Inputs!$AK81="",Norm_Stats!$F$15="",Norm_Stats!$G$15="",Norm_Stats!$G$15=Norm_Stats!$F$15),"",MAX(0,MIN(100,100*(Norm_Stats!$G$15-MIN(MAX(City_Inputs!$AK81,Norm_Stats!$F$15),Norm_Stats!$G$15))/(Norm_Stats!$G$15-Norm_Stats!$F$15)))))="",0,0.3)))</f>
        <v/>
      </c>
      <c r="AK81" s="15">
        <f>IF((IF(AE81="",0,8)+IF(AG81="",0,6)+IF(AI81="",0,4))=0,"",(IF(AE81="",0,AE81*8)+IF(AG81="",0,AG81*6)+IF(AI81="",0,AI81*4))/(IF(AE81="",0,8)+IF(AG81="",0,6)+IF(AI81="",0,4)))</f>
        <v/>
      </c>
      <c r="AL81" s="14">
        <f>IF((IF(AF81="",0,8)+IF(AH81="",0,6)+IF(AJ81="",0,4))=0,"",(IF(AF81="",0,AF81*8)+IF(AH81="",0,AH81*6)+IF(AJ81="",0,AJ81*4))/18)</f>
        <v/>
      </c>
      <c r="AM81" s="11">
        <f>IF(OR(City_Inputs!$AA81="",Norm_Stats!$F$16="",Norm_Stats!$G$16="",Norm_Stats!$G$16=Norm_Stats!$F$16),"",MAX(0,MIN(100,100*(MIN(MAX(City_Inputs!$AA81,Norm_Stats!$F$16),Norm_Stats!$G$16)-Norm_Stats!$F$16)/(Norm_Stats!$G$16-Norm_Stats!$F$16))))</f>
        <v/>
      </c>
      <c r="AN81" s="14">
        <f>IF(AM81="","",1)</f>
        <v/>
      </c>
      <c r="AO81" s="11">
        <f>IF(OR(City_Inputs!$AB81="",Norm_Stats!$F$17="",Norm_Stats!$G$17="",Norm_Stats!$G$17=Norm_Stats!$F$17),"",MAX(0,MIN(100,100*(MIN(MAX(City_Inputs!$AB81,Norm_Stats!$F$17),Norm_Stats!$G$17)-Norm_Stats!$F$17)/(Norm_Stats!$G$17-Norm_Stats!$F$17))))</f>
        <v/>
      </c>
      <c r="AP81" s="14">
        <f>IF(AO81="","",1)</f>
        <v/>
      </c>
      <c r="AQ81" s="11">
        <f>IF(OR(City_Inputs!$AC81="",Norm_Stats!$F$18="",Norm_Stats!$G$18="",Norm_Stats!$G$18=Norm_Stats!$F$18),"",MAX(0,MIN(100,100*(MIN(MAX(City_Inputs!$AC81,Norm_Stats!$F$18),Norm_Stats!$G$18)-Norm_Stats!$F$18)/(Norm_Stats!$G$18-Norm_Stats!$F$18))))</f>
        <v/>
      </c>
      <c r="AR81" s="14">
        <f>IF(AQ81="","",1)</f>
        <v/>
      </c>
      <c r="AS81" s="15">
        <f>IF((IF(AM81="",0,5)+IF(AO81="",0,5)+IF(AQ81="",0,5))=0,"",(IF(AM81="",0,AM81*5)+IF(AO81="",0,AO81*5)+IF(AQ81="",0,AQ81*5))/(IF(AM81="",0,5)+IF(AO81="",0,5)+IF(AQ81="",0,5)))</f>
        <v/>
      </c>
      <c r="AT81" s="14">
        <f>IF((IF(AN81="",0,5)+IF(AP81="",0,5)+IF(AR81="",0,5))=0,"",(IF(AN81="",0,AN81*5)+IF(AP81="",0,AP81*5)+IF(AR81="",0,AR81*5))/15)</f>
        <v/>
      </c>
      <c r="AU81" s="11">
        <f>IF(OR(City_Inputs!$AD81="",Norm_Stats!$F$19="",Norm_Stats!$G$19="",Norm_Stats!$G$19=Norm_Stats!$F$19),"",MAX(0,MIN(100,100*(MIN(MAX(City_Inputs!$AD81,Norm_Stats!$F$19),Norm_Stats!$G$19)-Norm_Stats!$F$19)/(Norm_Stats!$G$19-Norm_Stats!$F$19))))</f>
        <v/>
      </c>
      <c r="AV81" s="14">
        <f>IF(AU81="","",1)</f>
        <v/>
      </c>
      <c r="AW81" s="11">
        <f>IF(OR(City_Inputs!$AE81="",Norm_Stats!$F$20="",Norm_Stats!$G$20="",Norm_Stats!$G$20=Norm_Stats!$F$20),"",MAX(0,MIN(100,100*(MIN(MAX(City_Inputs!$AE81,Norm_Stats!$F$20),Norm_Stats!$G$20)-Norm_Stats!$F$20)/(Norm_Stats!$G$20-Norm_Stats!$F$20))))</f>
        <v/>
      </c>
      <c r="AX81" s="14">
        <f>IF(AW81="","",1)</f>
        <v/>
      </c>
      <c r="AY81" s="11">
        <f>IF((IF((IF(OR(City_Inputs!$AF81="",Norm_Stats!$F$21="",Norm_Stats!$G$21="",Norm_Stats!$G$21=Norm_Stats!$F$21),"",MAX(0,MIN(100,100*(MIN(MAX(City_Inputs!$AF81,Norm_Stats!$F$21),Norm_Stats!$G$21)-Norm_Stats!$F$21)/(Norm_Stats!$G$21-Norm_Stats!$F$21)))))="",0,0.5)+IF((IF(OR(City_Inputs!$AI81="",Norm_Stats!$F$22="",Norm_Stats!$G$22="",Norm_Stats!$G$22=Norm_Stats!$F$22),"",MAX(0,MIN(100,100*(MIN(MAX(City_Inputs!$AI81,Norm_Stats!$F$22),Norm_Stats!$G$22)-Norm_Stats!$F$22)/(Norm_Stats!$G$22-Norm_Stats!$F$22)))))="",0,0.3)+IF((IF(OR(City_Inputs!$AJ81="",Norm_Stats!$F$23="",Norm_Stats!$G$23="",Norm_Stats!$G$23=Norm_Stats!$F$23),"",MAX(0,MIN(100,100*(MIN(MAX(City_Inputs!$AJ81,Norm_Stats!$F$23),Norm_Stats!$G$23)-Norm_Stats!$F$23)/(Norm_Stats!$G$23-Norm_Stats!$F$23)))))="",0,0.2))=0,"",(IF((IF(OR(City_Inputs!$AF81="",Norm_Stats!$F$21="",Norm_Stats!$G$21="",Norm_Stats!$G$21=Norm_Stats!$F$21),"",MAX(0,MIN(100,100*(MIN(MAX(City_Inputs!$AF81,Norm_Stats!$F$21),Norm_Stats!$G$21)-Norm_Stats!$F$21)/(Norm_Stats!$G$21-Norm_Stats!$F$21)))))="",0,(IF(OR(City_Inputs!$AF81="",Norm_Stats!$F$21="",Norm_Stats!$G$21="",Norm_Stats!$G$21=Norm_Stats!$F$21),"",MAX(0,MIN(100,100*(MIN(MAX(City_Inputs!$AF81,Norm_Stats!$F$21),Norm_Stats!$G$21)-Norm_Stats!$F$21)/(Norm_Stats!$G$21-Norm_Stats!$F$21)))))*0.5)+IF((IF(OR(City_Inputs!$AI81="",Norm_Stats!$F$22="",Norm_Stats!$G$22="",Norm_Stats!$G$22=Norm_Stats!$F$22),"",MAX(0,MIN(100,100*(MIN(MAX(City_Inputs!$AI81,Norm_Stats!$F$22),Norm_Stats!$G$22)-Norm_Stats!$F$22)/(Norm_Stats!$G$22-Norm_Stats!$F$22)))))="",0,(IF(OR(City_Inputs!$AI81="",Norm_Stats!$F$22="",Norm_Stats!$G$22="",Norm_Stats!$G$22=Norm_Stats!$F$22),"",MAX(0,MIN(100,100*(MIN(MAX(City_Inputs!$AI81,Norm_Stats!$F$22),Norm_Stats!$G$22)-Norm_Stats!$F$22)/(Norm_Stats!$G$22-Norm_Stats!$F$22)))))*0.3)+IF((IF(OR(City_Inputs!$AJ81="",Norm_Stats!$F$23="",Norm_Stats!$G$23="",Norm_Stats!$G$23=Norm_Stats!$F$23),"",MAX(0,MIN(100,100*(MIN(MAX(City_Inputs!$AJ81,Norm_Stats!$F$23),Norm_Stats!$G$23)-Norm_Stats!$F$23)/(Norm_Stats!$G$23-Norm_Stats!$F$23)))))="",0,(IF(OR(City_Inputs!$AJ81="",Norm_Stats!$F$23="",Norm_Stats!$G$23="",Norm_Stats!$G$23=Norm_Stats!$F$23),"",MAX(0,MIN(100,100*(MIN(MAX(City_Inputs!$AJ81,Norm_Stats!$F$23),Norm_Stats!$G$23)-Norm_Stats!$F$23)/(Norm_Stats!$G$23-Norm_Stats!$F$23)))))*0.2))/(IF((IF(OR(City_Inputs!$AF81="",Norm_Stats!$F$21="",Norm_Stats!$G$21="",Norm_Stats!$G$21=Norm_Stats!$F$21),"",MAX(0,MIN(100,100*(MIN(MAX(City_Inputs!$AF81,Norm_Stats!$F$21),Norm_Stats!$G$21)-Norm_Stats!$F$21)/(Norm_Stats!$G$21-Norm_Stats!$F$21)))))="",0,0.5)+IF((IF(OR(City_Inputs!$AI81="",Norm_Stats!$F$22="",Norm_Stats!$G$22="",Norm_Stats!$G$22=Norm_Stats!$F$22),"",MAX(0,MIN(100,100*(MIN(MAX(City_Inputs!$AI81,Norm_Stats!$F$22),Norm_Stats!$G$22)-Norm_Stats!$F$22)/(Norm_Stats!$G$22-Norm_Stats!$F$22)))))="",0,0.3)+IF((IF(OR(City_Inputs!$AJ81="",Norm_Stats!$F$23="",Norm_Stats!$G$23="",Norm_Stats!$G$23=Norm_Stats!$F$23),"",MAX(0,MIN(100,100*(MIN(MAX(City_Inputs!$AJ81,Norm_Stats!$F$23),Norm_Stats!$G$23)-Norm_Stats!$F$23)/(Norm_Stats!$G$23-Norm_Stats!$F$23)))))="",0,0.2)))</f>
        <v/>
      </c>
      <c r="AZ81" s="14">
        <f>IF((IF((IF(OR(City_Inputs!$AF81="",Norm_Stats!$F$21="",Norm_Stats!$G$21="",Norm_Stats!$G$21=Norm_Stats!$F$21),"",MAX(0,MIN(100,100*(MIN(MAX(City_Inputs!$AF81,Norm_Stats!$F$21),Norm_Stats!$G$21)-Norm_Stats!$F$21)/(Norm_Stats!$G$21-Norm_Stats!$F$21)))))="",0,0.5)+IF((IF(OR(City_Inputs!$AI81="",Norm_Stats!$F$22="",Norm_Stats!$G$22="",Norm_Stats!$G$22=Norm_Stats!$F$22),"",MAX(0,MIN(100,100*(MIN(MAX(City_Inputs!$AI81,Norm_Stats!$F$22),Norm_Stats!$G$22)-Norm_Stats!$F$22)/(Norm_Stats!$G$22-Norm_Stats!$F$22)))))="",0,0.3)+IF((IF(OR(City_Inputs!$AJ81="",Norm_Stats!$F$23="",Norm_Stats!$G$23="",Norm_Stats!$G$23=Norm_Stats!$F$23),"",MAX(0,MIN(100,100*(MIN(MAX(City_Inputs!$AJ81,Norm_Stats!$F$23),Norm_Stats!$G$23)-Norm_Stats!$F$23)/(Norm_Stats!$G$23-Norm_Stats!$F$23)))))="",0,0.2))=0,"",(IF((IF(OR(City_Inputs!$AF81="",Norm_Stats!$F$21="",Norm_Stats!$G$21="",Norm_Stats!$G$21=Norm_Stats!$F$21),"",MAX(0,MIN(100,100*(MIN(MAX(City_Inputs!$AF81,Norm_Stats!$F$21),Norm_Stats!$G$21)-Norm_Stats!$F$21)/(Norm_Stats!$G$21-Norm_Stats!$F$21)))))="",0,0.5)+IF((IF(OR(City_Inputs!$AI81="",Norm_Stats!$F$22="",Norm_Stats!$G$22="",Norm_Stats!$G$22=Norm_Stats!$F$22),"",MAX(0,MIN(100,100*(MIN(MAX(City_Inputs!$AI81,Norm_Stats!$F$22),Norm_Stats!$G$22)-Norm_Stats!$F$22)/(Norm_Stats!$G$22-Norm_Stats!$F$22)))))="",0,0.3)+IF((IF(OR(City_Inputs!$AJ81="",Norm_Stats!$F$23="",Norm_Stats!$G$23="",Norm_Stats!$G$23=Norm_Stats!$F$23),"",MAX(0,MIN(100,100*(MIN(MAX(City_Inputs!$AJ81,Norm_Stats!$F$23),Norm_Stats!$G$23)-Norm_Stats!$F$23)/(Norm_Stats!$G$23-Norm_Stats!$F$23)))))="",0,0.2)))</f>
        <v/>
      </c>
      <c r="BA81" s="11">
        <f>IF(OR(City_Inputs!$AG81="",Norm_Stats!$F$24="",Norm_Stats!$G$24="",Norm_Stats!$G$24=Norm_Stats!$F$24),"",MAX(0,MIN(100,100*(Norm_Stats!$G$24-MIN(MAX(City_Inputs!$AG81,Norm_Stats!$F$24),Norm_Stats!$G$24))/(Norm_Stats!$G$24-Norm_Stats!$F$24))))</f>
        <v/>
      </c>
      <c r="BB81" s="14">
        <f>IF(BA81="","",1)</f>
        <v/>
      </c>
      <c r="BC81" s="15">
        <f>IF((IF(AU81="",0,6)+IF(AW81="",0,5)+IF(AY81="",0,5)+IF(BA81="",0,4))=0,"",(IF(AU81="",0,AU81*6)+IF(AW81="",0,AW81*5)+IF(AY81="",0,AY81*5)+IF(BA81="",0,BA81*4))/(IF(AU81="",0,6)+IF(AW81="",0,5)+IF(AY81="",0,5)+IF(BA81="",0,4)))</f>
        <v/>
      </c>
      <c r="BD81" s="14">
        <f>IF((IF(AV81="",0,6)+IF(AX81="",0,5)+IF(AZ81="",0,5)+IF(BB81="",0,4))=0,"",(IF(AV81="",0,AV81*6)+IF(AX81="",0,AX81*5)+IF(AZ81="",0,AZ81*5)+IF(BB81="",0,BB81*4))/20)</f>
        <v/>
      </c>
      <c r="BE81" s="14">
        <f>IF(AND(R81="",AD81="",AL81="",AT81="",BD81=""),"",((R81*25)+(AD81*22)+(AL81*18)+(AT81*15)+(BD81*20))/100)</f>
        <v/>
      </c>
      <c r="BF81" s="11">
        <f>IF(BE81="","",IF(BE81&gt;=0.75,"A",IF(BE81&gt;=0.5,"B",IF(BE81&gt;=0.35,"C","Watchlist"))))</f>
        <v/>
      </c>
      <c r="BG81" s="11">
        <f>IF(OR(BE81="",BE81&lt;0.5,R81="",R81&lt;0.35,AD81="",AD81&lt;0.35,AL81="",AL81&lt;0.35,AT81="",AT81&lt;0.35,BD81="",BD81&lt;0.35),"Watchlist","Ranked")</f>
        <v/>
      </c>
      <c r="BH81" s="15">
        <f>IF(AND(Q81="",AC81="",AK81="",AS81="",BC81=""),"",(IF(Q81="",0,Q81*25)+IF(AC81="",0,AC81*22)+IF(AK81="",0,AK81*18)+IF(AS81="",0,AS81*15)+IF(BC81="",0,BC81*20))/(IF(Q81="",0,25)+IF(AC81="",0,22)+IF(AK81="",0,18)+IF(AS81="",0,15)+IF(BC81="",0,20)))</f>
        <v/>
      </c>
      <c r="BI81" s="11">
        <f>IF(BG81="Ranked",1+COUNTIFS($BG$2:$BG$103,"Ranked",$BH$2:$BH$103,"&gt;"&amp;BH81),"")</f>
        <v/>
      </c>
      <c r="BJ81" s="11">
        <f>City_Inputs!$AH81</f>
        <v/>
      </c>
    </row>
    <row r="82">
      <c r="A82" t="inlineStr">
        <is>
          <t>kw-kuwait-city</t>
        </is>
      </c>
      <c r="B82" t="inlineStr">
        <is>
          <t>Kuwait City</t>
        </is>
      </c>
      <c r="C82" t="inlineStr">
        <is>
          <t>Kuwait</t>
        </is>
      </c>
      <c r="D82" t="inlineStr">
        <is>
          <t>Middle East</t>
        </is>
      </c>
      <c r="E82" t="inlineStr">
        <is>
          <t>locked</t>
        </is>
      </c>
      <c r="F82" t="inlineStr">
        <is>
          <t>secondary</t>
        </is>
      </c>
      <c r="G82" s="11">
        <f>IF(OR(City_Inputs!$M82="",Norm_Stats!$F$2="",Norm_Stats!$G$2="",Norm_Stats!$G$2=Norm_Stats!$F$2),"",MAX(0,MIN(100,100*(MIN(MAX(City_Inputs!$M82,Norm_Stats!$F$2),Norm_Stats!$G$2)-Norm_Stats!$F$2)/(Norm_Stats!$G$2-Norm_Stats!$F$2))))</f>
        <v/>
      </c>
      <c r="H82" s="14">
        <f>IF(G82="","",1)</f>
        <v/>
      </c>
      <c r="I82" s="11">
        <f>IF(OR(City_Inputs!$N82="",Norm_Stats!$F$3="",Norm_Stats!$G$3="",Norm_Stats!$G$3=Norm_Stats!$F$3),"",MAX(0,MIN(100,100*(Norm_Stats!$G$3-MIN(MAX(City_Inputs!$N82,Norm_Stats!$F$3),Norm_Stats!$G$3))/(Norm_Stats!$G$3-Norm_Stats!$F$3))))</f>
        <v/>
      </c>
      <c r="J82" s="14">
        <f>IF(I82="","",1)</f>
        <v/>
      </c>
      <c r="K82" s="11">
        <f>IF(OR(City_Inputs!$P82="",Norm_Stats!$F$4="",Norm_Stats!$G$4="",Norm_Stats!$G$4=Norm_Stats!$F$4),"",MAX(0,MIN(100,100*(Norm_Stats!$G$4-MIN(MAX(City_Inputs!$P82,Norm_Stats!$F$4),Norm_Stats!$G$4))/(Norm_Stats!$G$4-Norm_Stats!$F$4))))</f>
        <v/>
      </c>
      <c r="L82" s="14">
        <f>IF(K82="","",1)</f>
        <v/>
      </c>
      <c r="M82" s="11">
        <f>IF(OR(City_Inputs!$Q82="",Norm_Stats!$F$5="",Norm_Stats!$G$5="",Norm_Stats!$G$5=Norm_Stats!$F$5),"",MAX(0,MIN(100,100*(Norm_Stats!$G$5-MIN(MAX(City_Inputs!$Q82,Norm_Stats!$F$5),Norm_Stats!$G$5))/(Norm_Stats!$G$5-Norm_Stats!$F$5))))</f>
        <v/>
      </c>
      <c r="N82" s="14">
        <f>IF(M82="","",1)</f>
        <v/>
      </c>
      <c r="O82" s="11">
        <f>IF(OR(City_Inputs!$R82="",Norm_Stats!$F$6="",Norm_Stats!$G$6="",Norm_Stats!$G$6=Norm_Stats!$F$6),"",MAX(0,MIN(100,100*(Norm_Stats!$G$6-MIN(MAX(City_Inputs!$R82,Norm_Stats!$F$6),Norm_Stats!$G$6))/(Norm_Stats!$G$6-Norm_Stats!$F$6))))</f>
        <v/>
      </c>
      <c r="P82" s="14">
        <f>IF(O82="","",1)</f>
        <v/>
      </c>
      <c r="Q82" s="15">
        <f>IF((IF(G82="",0,9)+IF(I82="",0,5)+IF(K82="",0,4)+IF(M82="",0,4)+IF(O82="",0,3))=0,"",(IF(G82="",0,G82*9)+IF(I82="",0,I82*5)+IF(K82="",0,K82*4)+IF(M82="",0,M82*4)+IF(O82="",0,O82*3))/(IF(G82="",0,9)+IF(I82="",0,5)+IF(K82="",0,4)+IF(M82="",0,4)+IF(O82="",0,3)))</f>
        <v/>
      </c>
      <c r="R82" s="14">
        <f>IF((IF(H82="",0,9)+IF(J82="",0,5)+IF(L82="",0,4)+IF(N82="",0,4)+IF(P82="",0,3))=0,"",(IF(H82="",0,H82*9)+IF(J82="",0,J82*5)+IF(L82="",0,L82*4)+IF(N82="",0,N82*4)+IF(P82="",0,P82*3))/25)</f>
        <v/>
      </c>
      <c r="S82" s="11">
        <f>IF(OR(City_Inputs!$S82="",Norm_Stats!$F$7="",Norm_Stats!$G$7="",Norm_Stats!$G$7=Norm_Stats!$F$7),"",MAX(0,MIN(100,100*(Norm_Stats!$G$7-MIN(MAX(City_Inputs!$S82,Norm_Stats!$F$7),Norm_Stats!$G$7))/(Norm_Stats!$G$7-Norm_Stats!$F$7))))</f>
        <v/>
      </c>
      <c r="T82" s="14">
        <f>IF(S82="","",1)</f>
        <v/>
      </c>
      <c r="U82" s="11">
        <f>IF(OR(City_Inputs!$T82="",Norm_Stats!$F$8="",Norm_Stats!$G$8="",Norm_Stats!$G$8=Norm_Stats!$F$8),"",MAX(0,MIN(100,100*(MIN(MAX(City_Inputs!$T82,Norm_Stats!$F$8),Norm_Stats!$G$8)-Norm_Stats!$F$8)/(Norm_Stats!$G$8-Norm_Stats!$F$8))))</f>
        <v/>
      </c>
      <c r="V82" s="14">
        <f>IF(U82="","",1)</f>
        <v/>
      </c>
      <c r="W82" s="11">
        <f>IF(OR(City_Inputs!$U82="",Norm_Stats!$F$9="",Norm_Stats!$G$9="",Norm_Stats!$G$9=Norm_Stats!$F$9),"",MAX(0,MIN(100,100*(Norm_Stats!$G$9-MIN(MAX(City_Inputs!$U82,Norm_Stats!$F$9),Norm_Stats!$G$9))/(Norm_Stats!$G$9-Norm_Stats!$F$9))))</f>
        <v/>
      </c>
      <c r="X82" s="14">
        <f>IF(W82="","",1)</f>
        <v/>
      </c>
      <c r="Y82" s="11">
        <f>IF(OR(City_Inputs!$V82="",Norm_Stats!$F$10="",Norm_Stats!$G$10="",Norm_Stats!$G$10=Norm_Stats!$F$10),"",MAX(0,MIN(100,100*(MIN(MAX(City_Inputs!$V82,Norm_Stats!$F$10),Norm_Stats!$G$10)-Norm_Stats!$F$10)/(Norm_Stats!$G$10-Norm_Stats!$F$10))))</f>
        <v/>
      </c>
      <c r="Z82" s="14">
        <f>IF(Y82="","",1)</f>
        <v/>
      </c>
      <c r="AA82" s="11">
        <f>IF(OR(City_Inputs!$W82="",Norm_Stats!$F$11="",Norm_Stats!$G$11="",Norm_Stats!$G$11=Norm_Stats!$F$11),"",MAX(0,MIN(100,100*(MIN(MAX(City_Inputs!$W82,Norm_Stats!$F$11),Norm_Stats!$G$11)-Norm_Stats!$F$11)/(Norm_Stats!$G$11-Norm_Stats!$F$11))))</f>
        <v/>
      </c>
      <c r="AB82" s="14">
        <f>IF(AA82="","",1)</f>
        <v/>
      </c>
      <c r="AC82" s="15">
        <f>IF((IF(S82="",0,5)+IF(U82="",0,5)+IF(W82="",0,4)+IF(Y82="",0,4)+IF(AA82="",0,4))=0,"",(IF(S82="",0,S82*5)+IF(U82="",0,U82*5)+IF(W82="",0,W82*4)+IF(Y82="",0,Y82*4)+IF(AA82="",0,AA82*4))/(IF(S82="",0,5)+IF(U82="",0,5)+IF(W82="",0,4)+IF(Y82="",0,4)+IF(AA82="",0,4)))</f>
        <v/>
      </c>
      <c r="AD82" s="14">
        <f>IF((IF(T82="",0,5)+IF(V82="",0,5)+IF(X82="",0,4)+IF(Z82="",0,4)+IF(AB82="",0,4))=0,"",(IF(T82="",0,T82*5)+IF(V82="",0,V82*5)+IF(X82="",0,X82*4)+IF(Z82="",0,Z82*4)+IF(AB82="",0,AB82*4))/22)</f>
        <v/>
      </c>
      <c r="AE82" s="11">
        <f>IF(OR(City_Inputs!$X82="",Norm_Stats!$F$12="",Norm_Stats!$G$12="",Norm_Stats!$G$12=Norm_Stats!$F$12),"",MAX(0,MIN(100,100*(MIN(MAX(City_Inputs!$X82,Norm_Stats!$F$12),Norm_Stats!$G$12)-Norm_Stats!$F$12)/(Norm_Stats!$G$12-Norm_Stats!$F$12))))</f>
        <v/>
      </c>
      <c r="AF82" s="14">
        <f>IF(AE82="","",1)</f>
        <v/>
      </c>
      <c r="AG82" s="11">
        <f>IF(OR(City_Inputs!$Y82="",Norm_Stats!$F$13="",Norm_Stats!$G$13="",Norm_Stats!$G$13=Norm_Stats!$F$13),"",MAX(0,MIN(100,100*(MIN(MAX(City_Inputs!$Y82,Norm_Stats!$F$13),Norm_Stats!$G$13)-Norm_Stats!$F$13)/(Norm_Stats!$G$13-Norm_Stats!$F$13))))</f>
        <v/>
      </c>
      <c r="AH82" s="14">
        <f>IF(AG82="","",1)</f>
        <v/>
      </c>
      <c r="AI82" s="11">
        <f>IF((IF((IF(OR(City_Inputs!$Z82="",Norm_Stats!$F$14="",Norm_Stats!$G$14="",Norm_Stats!$G$14=Norm_Stats!$F$14),"",MAX(0,MIN(100,100*(MIN(MAX(City_Inputs!$Z82,Norm_Stats!$F$14),Norm_Stats!$G$14)-Norm_Stats!$F$14)/(Norm_Stats!$G$14-Norm_Stats!$F$14)))))="",0,0.7)+IF((IF(OR(City_Inputs!$AK82="",Norm_Stats!$F$15="",Norm_Stats!$G$15="",Norm_Stats!$G$15=Norm_Stats!$F$15),"",MAX(0,MIN(100,100*(Norm_Stats!$G$15-MIN(MAX(City_Inputs!$AK82,Norm_Stats!$F$15),Norm_Stats!$G$15))/(Norm_Stats!$G$15-Norm_Stats!$F$15)))))="",0,0.3))=0,"",(IF((IF(OR(City_Inputs!$Z82="",Norm_Stats!$F$14="",Norm_Stats!$G$14="",Norm_Stats!$G$14=Norm_Stats!$F$14),"",MAX(0,MIN(100,100*(MIN(MAX(City_Inputs!$Z82,Norm_Stats!$F$14),Norm_Stats!$G$14)-Norm_Stats!$F$14)/(Norm_Stats!$G$14-Norm_Stats!$F$14)))))="",0,(IF(OR(City_Inputs!$Z82="",Norm_Stats!$F$14="",Norm_Stats!$G$14="",Norm_Stats!$G$14=Norm_Stats!$F$14),"",MAX(0,MIN(100,100*(MIN(MAX(City_Inputs!$Z82,Norm_Stats!$F$14),Norm_Stats!$G$14)-Norm_Stats!$F$14)/(Norm_Stats!$G$14-Norm_Stats!$F$14)))))*0.7)+IF((IF(OR(City_Inputs!$AK82="",Norm_Stats!$F$15="",Norm_Stats!$G$15="",Norm_Stats!$G$15=Norm_Stats!$F$15),"",MAX(0,MIN(100,100*(Norm_Stats!$G$15-MIN(MAX(City_Inputs!$AK82,Norm_Stats!$F$15),Norm_Stats!$G$15))/(Norm_Stats!$G$15-Norm_Stats!$F$15)))))="",0,(IF(OR(City_Inputs!$AK82="",Norm_Stats!$F$15="",Norm_Stats!$G$15="",Norm_Stats!$G$15=Norm_Stats!$F$15),"",MAX(0,MIN(100,100*(Norm_Stats!$G$15-MIN(MAX(City_Inputs!$AK82,Norm_Stats!$F$15),Norm_Stats!$G$15))/(Norm_Stats!$G$15-Norm_Stats!$F$15)))))*0.3))/(IF((IF(OR(City_Inputs!$Z82="",Norm_Stats!$F$14="",Norm_Stats!$G$14="",Norm_Stats!$G$14=Norm_Stats!$F$14),"",MAX(0,MIN(100,100*(MIN(MAX(City_Inputs!$Z82,Norm_Stats!$F$14),Norm_Stats!$G$14)-Norm_Stats!$F$14)/(Norm_Stats!$G$14-Norm_Stats!$F$14)))))="",0,0.7)+IF((IF(OR(City_Inputs!$AK82="",Norm_Stats!$F$15="",Norm_Stats!$G$15="",Norm_Stats!$G$15=Norm_Stats!$F$15),"",MAX(0,MIN(100,100*(Norm_Stats!$G$15-MIN(MAX(City_Inputs!$AK82,Norm_Stats!$F$15),Norm_Stats!$G$15))/(Norm_Stats!$G$15-Norm_Stats!$F$15)))))="",0,0.3)))</f>
        <v/>
      </c>
      <c r="AJ82" s="14">
        <f>IF((IF((IF(OR(City_Inputs!$Z82="",Norm_Stats!$F$14="",Norm_Stats!$G$14="",Norm_Stats!$G$14=Norm_Stats!$F$14),"",MAX(0,MIN(100,100*(MIN(MAX(City_Inputs!$Z82,Norm_Stats!$F$14),Norm_Stats!$G$14)-Norm_Stats!$F$14)/(Norm_Stats!$G$14-Norm_Stats!$F$14)))))="",0,0.7)+IF((IF(OR(City_Inputs!$AK82="",Norm_Stats!$F$15="",Norm_Stats!$G$15="",Norm_Stats!$G$15=Norm_Stats!$F$15),"",MAX(0,MIN(100,100*(Norm_Stats!$G$15-MIN(MAX(City_Inputs!$AK82,Norm_Stats!$F$15),Norm_Stats!$G$15))/(Norm_Stats!$G$15-Norm_Stats!$F$15)))))="",0,0.3))=0,"",(IF((IF(OR(City_Inputs!$Z82="",Norm_Stats!$F$14="",Norm_Stats!$G$14="",Norm_Stats!$G$14=Norm_Stats!$F$14),"",MAX(0,MIN(100,100*(MIN(MAX(City_Inputs!$Z82,Norm_Stats!$F$14),Norm_Stats!$G$14)-Norm_Stats!$F$14)/(Norm_Stats!$G$14-Norm_Stats!$F$14)))))="",0,0.7)+IF((IF(OR(City_Inputs!$AK82="",Norm_Stats!$F$15="",Norm_Stats!$G$15="",Norm_Stats!$G$15=Norm_Stats!$F$15),"",MAX(0,MIN(100,100*(Norm_Stats!$G$15-MIN(MAX(City_Inputs!$AK82,Norm_Stats!$F$15),Norm_Stats!$G$15))/(Norm_Stats!$G$15-Norm_Stats!$F$15)))))="",0,0.3)))</f>
        <v/>
      </c>
      <c r="AK82" s="15">
        <f>IF((IF(AE82="",0,8)+IF(AG82="",0,6)+IF(AI82="",0,4))=0,"",(IF(AE82="",0,AE82*8)+IF(AG82="",0,AG82*6)+IF(AI82="",0,AI82*4))/(IF(AE82="",0,8)+IF(AG82="",0,6)+IF(AI82="",0,4)))</f>
        <v/>
      </c>
      <c r="AL82" s="14">
        <f>IF((IF(AF82="",0,8)+IF(AH82="",0,6)+IF(AJ82="",0,4))=0,"",(IF(AF82="",0,AF82*8)+IF(AH82="",0,AH82*6)+IF(AJ82="",0,AJ82*4))/18)</f>
        <v/>
      </c>
      <c r="AM82" s="11">
        <f>IF(OR(City_Inputs!$AA82="",Norm_Stats!$F$16="",Norm_Stats!$G$16="",Norm_Stats!$G$16=Norm_Stats!$F$16),"",MAX(0,MIN(100,100*(MIN(MAX(City_Inputs!$AA82,Norm_Stats!$F$16),Norm_Stats!$G$16)-Norm_Stats!$F$16)/(Norm_Stats!$G$16-Norm_Stats!$F$16))))</f>
        <v/>
      </c>
      <c r="AN82" s="14">
        <f>IF(AM82="","",1)</f>
        <v/>
      </c>
      <c r="AO82" s="11">
        <f>IF(OR(City_Inputs!$AB82="",Norm_Stats!$F$17="",Norm_Stats!$G$17="",Norm_Stats!$G$17=Norm_Stats!$F$17),"",MAX(0,MIN(100,100*(MIN(MAX(City_Inputs!$AB82,Norm_Stats!$F$17),Norm_Stats!$G$17)-Norm_Stats!$F$17)/(Norm_Stats!$G$17-Norm_Stats!$F$17))))</f>
        <v/>
      </c>
      <c r="AP82" s="14">
        <f>IF(AO82="","",1)</f>
        <v/>
      </c>
      <c r="AQ82" s="11">
        <f>IF(OR(City_Inputs!$AC82="",Norm_Stats!$F$18="",Norm_Stats!$G$18="",Norm_Stats!$G$18=Norm_Stats!$F$18),"",MAX(0,MIN(100,100*(MIN(MAX(City_Inputs!$AC82,Norm_Stats!$F$18),Norm_Stats!$G$18)-Norm_Stats!$F$18)/(Norm_Stats!$G$18-Norm_Stats!$F$18))))</f>
        <v/>
      </c>
      <c r="AR82" s="14">
        <f>IF(AQ82="","",1)</f>
        <v/>
      </c>
      <c r="AS82" s="15">
        <f>IF((IF(AM82="",0,5)+IF(AO82="",0,5)+IF(AQ82="",0,5))=0,"",(IF(AM82="",0,AM82*5)+IF(AO82="",0,AO82*5)+IF(AQ82="",0,AQ82*5))/(IF(AM82="",0,5)+IF(AO82="",0,5)+IF(AQ82="",0,5)))</f>
        <v/>
      </c>
      <c r="AT82" s="14">
        <f>IF((IF(AN82="",0,5)+IF(AP82="",0,5)+IF(AR82="",0,5))=0,"",(IF(AN82="",0,AN82*5)+IF(AP82="",0,AP82*5)+IF(AR82="",0,AR82*5))/15)</f>
        <v/>
      </c>
      <c r="AU82" s="11">
        <f>IF(OR(City_Inputs!$AD82="",Norm_Stats!$F$19="",Norm_Stats!$G$19="",Norm_Stats!$G$19=Norm_Stats!$F$19),"",MAX(0,MIN(100,100*(MIN(MAX(City_Inputs!$AD82,Norm_Stats!$F$19),Norm_Stats!$G$19)-Norm_Stats!$F$19)/(Norm_Stats!$G$19-Norm_Stats!$F$19))))</f>
        <v/>
      </c>
      <c r="AV82" s="14">
        <f>IF(AU82="","",1)</f>
        <v/>
      </c>
      <c r="AW82" s="11">
        <f>IF(OR(City_Inputs!$AE82="",Norm_Stats!$F$20="",Norm_Stats!$G$20="",Norm_Stats!$G$20=Norm_Stats!$F$20),"",MAX(0,MIN(100,100*(MIN(MAX(City_Inputs!$AE82,Norm_Stats!$F$20),Norm_Stats!$G$20)-Norm_Stats!$F$20)/(Norm_Stats!$G$20-Norm_Stats!$F$20))))</f>
        <v/>
      </c>
      <c r="AX82" s="14">
        <f>IF(AW82="","",1)</f>
        <v/>
      </c>
      <c r="AY82" s="11">
        <f>IF((IF((IF(OR(City_Inputs!$AF82="",Norm_Stats!$F$21="",Norm_Stats!$G$21="",Norm_Stats!$G$21=Norm_Stats!$F$21),"",MAX(0,MIN(100,100*(MIN(MAX(City_Inputs!$AF82,Norm_Stats!$F$21),Norm_Stats!$G$21)-Norm_Stats!$F$21)/(Norm_Stats!$G$21-Norm_Stats!$F$21)))))="",0,0.5)+IF((IF(OR(City_Inputs!$AI82="",Norm_Stats!$F$22="",Norm_Stats!$G$22="",Norm_Stats!$G$22=Norm_Stats!$F$22),"",MAX(0,MIN(100,100*(MIN(MAX(City_Inputs!$AI82,Norm_Stats!$F$22),Norm_Stats!$G$22)-Norm_Stats!$F$22)/(Norm_Stats!$G$22-Norm_Stats!$F$22)))))="",0,0.3)+IF((IF(OR(City_Inputs!$AJ82="",Norm_Stats!$F$23="",Norm_Stats!$G$23="",Norm_Stats!$G$23=Norm_Stats!$F$23),"",MAX(0,MIN(100,100*(MIN(MAX(City_Inputs!$AJ82,Norm_Stats!$F$23),Norm_Stats!$G$23)-Norm_Stats!$F$23)/(Norm_Stats!$G$23-Norm_Stats!$F$23)))))="",0,0.2))=0,"",(IF((IF(OR(City_Inputs!$AF82="",Norm_Stats!$F$21="",Norm_Stats!$G$21="",Norm_Stats!$G$21=Norm_Stats!$F$21),"",MAX(0,MIN(100,100*(MIN(MAX(City_Inputs!$AF82,Norm_Stats!$F$21),Norm_Stats!$G$21)-Norm_Stats!$F$21)/(Norm_Stats!$G$21-Norm_Stats!$F$21)))))="",0,(IF(OR(City_Inputs!$AF82="",Norm_Stats!$F$21="",Norm_Stats!$G$21="",Norm_Stats!$G$21=Norm_Stats!$F$21),"",MAX(0,MIN(100,100*(MIN(MAX(City_Inputs!$AF82,Norm_Stats!$F$21),Norm_Stats!$G$21)-Norm_Stats!$F$21)/(Norm_Stats!$G$21-Norm_Stats!$F$21)))))*0.5)+IF((IF(OR(City_Inputs!$AI82="",Norm_Stats!$F$22="",Norm_Stats!$G$22="",Norm_Stats!$G$22=Norm_Stats!$F$22),"",MAX(0,MIN(100,100*(MIN(MAX(City_Inputs!$AI82,Norm_Stats!$F$22),Norm_Stats!$G$22)-Norm_Stats!$F$22)/(Norm_Stats!$G$22-Norm_Stats!$F$22)))))="",0,(IF(OR(City_Inputs!$AI82="",Norm_Stats!$F$22="",Norm_Stats!$G$22="",Norm_Stats!$G$22=Norm_Stats!$F$22),"",MAX(0,MIN(100,100*(MIN(MAX(City_Inputs!$AI82,Norm_Stats!$F$22),Norm_Stats!$G$22)-Norm_Stats!$F$22)/(Norm_Stats!$G$22-Norm_Stats!$F$22)))))*0.3)+IF((IF(OR(City_Inputs!$AJ82="",Norm_Stats!$F$23="",Norm_Stats!$G$23="",Norm_Stats!$G$23=Norm_Stats!$F$23),"",MAX(0,MIN(100,100*(MIN(MAX(City_Inputs!$AJ82,Norm_Stats!$F$23),Norm_Stats!$G$23)-Norm_Stats!$F$23)/(Norm_Stats!$G$23-Norm_Stats!$F$23)))))="",0,(IF(OR(City_Inputs!$AJ82="",Norm_Stats!$F$23="",Norm_Stats!$G$23="",Norm_Stats!$G$23=Norm_Stats!$F$23),"",MAX(0,MIN(100,100*(MIN(MAX(City_Inputs!$AJ82,Norm_Stats!$F$23),Norm_Stats!$G$23)-Norm_Stats!$F$23)/(Norm_Stats!$G$23-Norm_Stats!$F$23)))))*0.2))/(IF((IF(OR(City_Inputs!$AF82="",Norm_Stats!$F$21="",Norm_Stats!$G$21="",Norm_Stats!$G$21=Norm_Stats!$F$21),"",MAX(0,MIN(100,100*(MIN(MAX(City_Inputs!$AF82,Norm_Stats!$F$21),Norm_Stats!$G$21)-Norm_Stats!$F$21)/(Norm_Stats!$G$21-Norm_Stats!$F$21)))))="",0,0.5)+IF((IF(OR(City_Inputs!$AI82="",Norm_Stats!$F$22="",Norm_Stats!$G$22="",Norm_Stats!$G$22=Norm_Stats!$F$22),"",MAX(0,MIN(100,100*(MIN(MAX(City_Inputs!$AI82,Norm_Stats!$F$22),Norm_Stats!$G$22)-Norm_Stats!$F$22)/(Norm_Stats!$G$22-Norm_Stats!$F$22)))))="",0,0.3)+IF((IF(OR(City_Inputs!$AJ82="",Norm_Stats!$F$23="",Norm_Stats!$G$23="",Norm_Stats!$G$23=Norm_Stats!$F$23),"",MAX(0,MIN(100,100*(MIN(MAX(City_Inputs!$AJ82,Norm_Stats!$F$23),Norm_Stats!$G$23)-Norm_Stats!$F$23)/(Norm_Stats!$G$23-Norm_Stats!$F$23)))))="",0,0.2)))</f>
        <v/>
      </c>
      <c r="AZ82" s="14">
        <f>IF((IF((IF(OR(City_Inputs!$AF82="",Norm_Stats!$F$21="",Norm_Stats!$G$21="",Norm_Stats!$G$21=Norm_Stats!$F$21),"",MAX(0,MIN(100,100*(MIN(MAX(City_Inputs!$AF82,Norm_Stats!$F$21),Norm_Stats!$G$21)-Norm_Stats!$F$21)/(Norm_Stats!$G$21-Norm_Stats!$F$21)))))="",0,0.5)+IF((IF(OR(City_Inputs!$AI82="",Norm_Stats!$F$22="",Norm_Stats!$G$22="",Norm_Stats!$G$22=Norm_Stats!$F$22),"",MAX(0,MIN(100,100*(MIN(MAX(City_Inputs!$AI82,Norm_Stats!$F$22),Norm_Stats!$G$22)-Norm_Stats!$F$22)/(Norm_Stats!$G$22-Norm_Stats!$F$22)))))="",0,0.3)+IF((IF(OR(City_Inputs!$AJ82="",Norm_Stats!$F$23="",Norm_Stats!$G$23="",Norm_Stats!$G$23=Norm_Stats!$F$23),"",MAX(0,MIN(100,100*(MIN(MAX(City_Inputs!$AJ82,Norm_Stats!$F$23),Norm_Stats!$G$23)-Norm_Stats!$F$23)/(Norm_Stats!$G$23-Norm_Stats!$F$23)))))="",0,0.2))=0,"",(IF((IF(OR(City_Inputs!$AF82="",Norm_Stats!$F$21="",Norm_Stats!$G$21="",Norm_Stats!$G$21=Norm_Stats!$F$21),"",MAX(0,MIN(100,100*(MIN(MAX(City_Inputs!$AF82,Norm_Stats!$F$21),Norm_Stats!$G$21)-Norm_Stats!$F$21)/(Norm_Stats!$G$21-Norm_Stats!$F$21)))))="",0,0.5)+IF((IF(OR(City_Inputs!$AI82="",Norm_Stats!$F$22="",Norm_Stats!$G$22="",Norm_Stats!$G$22=Norm_Stats!$F$22),"",MAX(0,MIN(100,100*(MIN(MAX(City_Inputs!$AI82,Norm_Stats!$F$22),Norm_Stats!$G$22)-Norm_Stats!$F$22)/(Norm_Stats!$G$22-Norm_Stats!$F$22)))))="",0,0.3)+IF((IF(OR(City_Inputs!$AJ82="",Norm_Stats!$F$23="",Norm_Stats!$G$23="",Norm_Stats!$G$23=Norm_Stats!$F$23),"",MAX(0,MIN(100,100*(MIN(MAX(City_Inputs!$AJ82,Norm_Stats!$F$23),Norm_Stats!$G$23)-Norm_Stats!$F$23)/(Norm_Stats!$G$23-Norm_Stats!$F$23)))))="",0,0.2)))</f>
        <v/>
      </c>
      <c r="BA82" s="11">
        <f>IF(OR(City_Inputs!$AG82="",Norm_Stats!$F$24="",Norm_Stats!$G$24="",Norm_Stats!$G$24=Norm_Stats!$F$24),"",MAX(0,MIN(100,100*(Norm_Stats!$G$24-MIN(MAX(City_Inputs!$AG82,Norm_Stats!$F$24),Norm_Stats!$G$24))/(Norm_Stats!$G$24-Norm_Stats!$F$24))))</f>
        <v/>
      </c>
      <c r="BB82" s="14">
        <f>IF(BA82="","",1)</f>
        <v/>
      </c>
      <c r="BC82" s="15">
        <f>IF((IF(AU82="",0,6)+IF(AW82="",0,5)+IF(AY82="",0,5)+IF(BA82="",0,4))=0,"",(IF(AU82="",0,AU82*6)+IF(AW82="",0,AW82*5)+IF(AY82="",0,AY82*5)+IF(BA82="",0,BA82*4))/(IF(AU82="",0,6)+IF(AW82="",0,5)+IF(AY82="",0,5)+IF(BA82="",0,4)))</f>
        <v/>
      </c>
      <c r="BD82" s="14">
        <f>IF((IF(AV82="",0,6)+IF(AX82="",0,5)+IF(AZ82="",0,5)+IF(BB82="",0,4))=0,"",(IF(AV82="",0,AV82*6)+IF(AX82="",0,AX82*5)+IF(AZ82="",0,AZ82*5)+IF(BB82="",0,BB82*4))/20)</f>
        <v/>
      </c>
      <c r="BE82" s="14">
        <f>IF(AND(R82="",AD82="",AL82="",AT82="",BD82=""),"",((R82*25)+(AD82*22)+(AL82*18)+(AT82*15)+(BD82*20))/100)</f>
        <v/>
      </c>
      <c r="BF82" s="11">
        <f>IF(BE82="","",IF(BE82&gt;=0.75,"A",IF(BE82&gt;=0.5,"B",IF(BE82&gt;=0.35,"C","Watchlist"))))</f>
        <v/>
      </c>
      <c r="BG82" s="11">
        <f>IF(OR(BE82="",BE82&lt;0.5,R82="",R82&lt;0.35,AD82="",AD82&lt;0.35,AL82="",AL82&lt;0.35,AT82="",AT82&lt;0.35,BD82="",BD82&lt;0.35),"Watchlist","Ranked")</f>
        <v/>
      </c>
      <c r="BH82" s="15">
        <f>IF(AND(Q82="",AC82="",AK82="",AS82="",BC82=""),"",(IF(Q82="",0,Q82*25)+IF(AC82="",0,AC82*22)+IF(AK82="",0,AK82*18)+IF(AS82="",0,AS82*15)+IF(BC82="",0,BC82*20))/(IF(Q82="",0,25)+IF(AC82="",0,22)+IF(AK82="",0,18)+IF(AS82="",0,15)+IF(BC82="",0,20)))</f>
        <v/>
      </c>
      <c r="BI82" s="11">
        <f>IF(BG82="Ranked",1+COUNTIFS($BG$2:$BG$103,"Ranked",$BH$2:$BH$103,"&gt;"&amp;BH82),"")</f>
        <v/>
      </c>
      <c r="BJ82" s="11">
        <f>City_Inputs!$AH82</f>
        <v/>
      </c>
    </row>
    <row r="83">
      <c r="A83" t="inlineStr">
        <is>
          <t>jo-amman</t>
        </is>
      </c>
      <c r="B83" t="inlineStr">
        <is>
          <t>Amman</t>
        </is>
      </c>
      <c r="C83" t="inlineStr">
        <is>
          <t>Jordan</t>
        </is>
      </c>
      <c r="D83" t="inlineStr">
        <is>
          <t>Middle East</t>
        </is>
      </c>
      <c r="E83" t="inlineStr">
        <is>
          <t>provisional</t>
        </is>
      </c>
      <c r="F83" t="inlineStr">
        <is>
          <t>secondary</t>
        </is>
      </c>
      <c r="G83" s="11">
        <f>IF(OR(City_Inputs!$M83="",Norm_Stats!$F$2="",Norm_Stats!$G$2="",Norm_Stats!$G$2=Norm_Stats!$F$2),"",MAX(0,MIN(100,100*(MIN(MAX(City_Inputs!$M83,Norm_Stats!$F$2),Norm_Stats!$G$2)-Norm_Stats!$F$2)/(Norm_Stats!$G$2-Norm_Stats!$F$2))))</f>
        <v/>
      </c>
      <c r="H83" s="14">
        <f>IF(G83="","",1)</f>
        <v/>
      </c>
      <c r="I83" s="11">
        <f>IF(OR(City_Inputs!$N83="",Norm_Stats!$F$3="",Norm_Stats!$G$3="",Norm_Stats!$G$3=Norm_Stats!$F$3),"",MAX(0,MIN(100,100*(Norm_Stats!$G$3-MIN(MAX(City_Inputs!$N83,Norm_Stats!$F$3),Norm_Stats!$G$3))/(Norm_Stats!$G$3-Norm_Stats!$F$3))))</f>
        <v/>
      </c>
      <c r="J83" s="14">
        <f>IF(I83="","",1)</f>
        <v/>
      </c>
      <c r="K83" s="11">
        <f>IF(OR(City_Inputs!$P83="",Norm_Stats!$F$4="",Norm_Stats!$G$4="",Norm_Stats!$G$4=Norm_Stats!$F$4),"",MAX(0,MIN(100,100*(Norm_Stats!$G$4-MIN(MAX(City_Inputs!$P83,Norm_Stats!$F$4),Norm_Stats!$G$4))/(Norm_Stats!$G$4-Norm_Stats!$F$4))))</f>
        <v/>
      </c>
      <c r="L83" s="14">
        <f>IF(K83="","",1)</f>
        <v/>
      </c>
      <c r="M83" s="11">
        <f>IF(OR(City_Inputs!$Q83="",Norm_Stats!$F$5="",Norm_Stats!$G$5="",Norm_Stats!$G$5=Norm_Stats!$F$5),"",MAX(0,MIN(100,100*(Norm_Stats!$G$5-MIN(MAX(City_Inputs!$Q83,Norm_Stats!$F$5),Norm_Stats!$G$5))/(Norm_Stats!$G$5-Norm_Stats!$F$5))))</f>
        <v/>
      </c>
      <c r="N83" s="14">
        <f>IF(M83="","",1)</f>
        <v/>
      </c>
      <c r="O83" s="11">
        <f>IF(OR(City_Inputs!$R83="",Norm_Stats!$F$6="",Norm_Stats!$G$6="",Norm_Stats!$G$6=Norm_Stats!$F$6),"",MAX(0,MIN(100,100*(Norm_Stats!$G$6-MIN(MAX(City_Inputs!$R83,Norm_Stats!$F$6),Norm_Stats!$G$6))/(Norm_Stats!$G$6-Norm_Stats!$F$6))))</f>
        <v/>
      </c>
      <c r="P83" s="14">
        <f>IF(O83="","",1)</f>
        <v/>
      </c>
      <c r="Q83" s="15">
        <f>IF((IF(G83="",0,9)+IF(I83="",0,5)+IF(K83="",0,4)+IF(M83="",0,4)+IF(O83="",0,3))=0,"",(IF(G83="",0,G83*9)+IF(I83="",0,I83*5)+IF(K83="",0,K83*4)+IF(M83="",0,M83*4)+IF(O83="",0,O83*3))/(IF(G83="",0,9)+IF(I83="",0,5)+IF(K83="",0,4)+IF(M83="",0,4)+IF(O83="",0,3)))</f>
        <v/>
      </c>
      <c r="R83" s="14">
        <f>IF((IF(H83="",0,9)+IF(J83="",0,5)+IF(L83="",0,4)+IF(N83="",0,4)+IF(P83="",0,3))=0,"",(IF(H83="",0,H83*9)+IF(J83="",0,J83*5)+IF(L83="",0,L83*4)+IF(N83="",0,N83*4)+IF(P83="",0,P83*3))/25)</f>
        <v/>
      </c>
      <c r="S83" s="11">
        <f>IF(OR(City_Inputs!$S83="",Norm_Stats!$F$7="",Norm_Stats!$G$7="",Norm_Stats!$G$7=Norm_Stats!$F$7),"",MAX(0,MIN(100,100*(Norm_Stats!$G$7-MIN(MAX(City_Inputs!$S83,Norm_Stats!$F$7),Norm_Stats!$G$7))/(Norm_Stats!$G$7-Norm_Stats!$F$7))))</f>
        <v/>
      </c>
      <c r="T83" s="14">
        <f>IF(S83="","",1)</f>
        <v/>
      </c>
      <c r="U83" s="11">
        <f>IF(OR(City_Inputs!$T83="",Norm_Stats!$F$8="",Norm_Stats!$G$8="",Norm_Stats!$G$8=Norm_Stats!$F$8),"",MAX(0,MIN(100,100*(MIN(MAX(City_Inputs!$T83,Norm_Stats!$F$8),Norm_Stats!$G$8)-Norm_Stats!$F$8)/(Norm_Stats!$G$8-Norm_Stats!$F$8))))</f>
        <v/>
      </c>
      <c r="V83" s="14">
        <f>IF(U83="","",1)</f>
        <v/>
      </c>
      <c r="W83" s="11">
        <f>IF(OR(City_Inputs!$U83="",Norm_Stats!$F$9="",Norm_Stats!$G$9="",Norm_Stats!$G$9=Norm_Stats!$F$9),"",MAX(0,MIN(100,100*(Norm_Stats!$G$9-MIN(MAX(City_Inputs!$U83,Norm_Stats!$F$9),Norm_Stats!$G$9))/(Norm_Stats!$G$9-Norm_Stats!$F$9))))</f>
        <v/>
      </c>
      <c r="X83" s="14">
        <f>IF(W83="","",1)</f>
        <v/>
      </c>
      <c r="Y83" s="11">
        <f>IF(OR(City_Inputs!$V83="",Norm_Stats!$F$10="",Norm_Stats!$G$10="",Norm_Stats!$G$10=Norm_Stats!$F$10),"",MAX(0,MIN(100,100*(MIN(MAX(City_Inputs!$V83,Norm_Stats!$F$10),Norm_Stats!$G$10)-Norm_Stats!$F$10)/(Norm_Stats!$G$10-Norm_Stats!$F$10))))</f>
        <v/>
      </c>
      <c r="Z83" s="14">
        <f>IF(Y83="","",1)</f>
        <v/>
      </c>
      <c r="AA83" s="11">
        <f>IF(OR(City_Inputs!$W83="",Norm_Stats!$F$11="",Norm_Stats!$G$11="",Norm_Stats!$G$11=Norm_Stats!$F$11),"",MAX(0,MIN(100,100*(MIN(MAX(City_Inputs!$W83,Norm_Stats!$F$11),Norm_Stats!$G$11)-Norm_Stats!$F$11)/(Norm_Stats!$G$11-Norm_Stats!$F$11))))</f>
        <v/>
      </c>
      <c r="AB83" s="14">
        <f>IF(AA83="","",1)</f>
        <v/>
      </c>
      <c r="AC83" s="15">
        <f>IF((IF(S83="",0,5)+IF(U83="",0,5)+IF(W83="",0,4)+IF(Y83="",0,4)+IF(AA83="",0,4))=0,"",(IF(S83="",0,S83*5)+IF(U83="",0,U83*5)+IF(W83="",0,W83*4)+IF(Y83="",0,Y83*4)+IF(AA83="",0,AA83*4))/(IF(S83="",0,5)+IF(U83="",0,5)+IF(W83="",0,4)+IF(Y83="",0,4)+IF(AA83="",0,4)))</f>
        <v/>
      </c>
      <c r="AD83" s="14">
        <f>IF((IF(T83="",0,5)+IF(V83="",0,5)+IF(X83="",0,4)+IF(Z83="",0,4)+IF(AB83="",0,4))=0,"",(IF(T83="",0,T83*5)+IF(V83="",0,V83*5)+IF(X83="",0,X83*4)+IF(Z83="",0,Z83*4)+IF(AB83="",0,AB83*4))/22)</f>
        <v/>
      </c>
      <c r="AE83" s="11">
        <f>IF(OR(City_Inputs!$X83="",Norm_Stats!$F$12="",Norm_Stats!$G$12="",Norm_Stats!$G$12=Norm_Stats!$F$12),"",MAX(0,MIN(100,100*(MIN(MAX(City_Inputs!$X83,Norm_Stats!$F$12),Norm_Stats!$G$12)-Norm_Stats!$F$12)/(Norm_Stats!$G$12-Norm_Stats!$F$12))))</f>
        <v/>
      </c>
      <c r="AF83" s="14">
        <f>IF(AE83="","",1)</f>
        <v/>
      </c>
      <c r="AG83" s="11">
        <f>IF(OR(City_Inputs!$Y83="",Norm_Stats!$F$13="",Norm_Stats!$G$13="",Norm_Stats!$G$13=Norm_Stats!$F$13),"",MAX(0,MIN(100,100*(MIN(MAX(City_Inputs!$Y83,Norm_Stats!$F$13),Norm_Stats!$G$13)-Norm_Stats!$F$13)/(Norm_Stats!$G$13-Norm_Stats!$F$13))))</f>
        <v/>
      </c>
      <c r="AH83" s="14">
        <f>IF(AG83="","",1)</f>
        <v/>
      </c>
      <c r="AI83" s="11">
        <f>IF((IF((IF(OR(City_Inputs!$Z83="",Norm_Stats!$F$14="",Norm_Stats!$G$14="",Norm_Stats!$G$14=Norm_Stats!$F$14),"",MAX(0,MIN(100,100*(MIN(MAX(City_Inputs!$Z83,Norm_Stats!$F$14),Norm_Stats!$G$14)-Norm_Stats!$F$14)/(Norm_Stats!$G$14-Norm_Stats!$F$14)))))="",0,0.7)+IF((IF(OR(City_Inputs!$AK83="",Norm_Stats!$F$15="",Norm_Stats!$G$15="",Norm_Stats!$G$15=Norm_Stats!$F$15),"",MAX(0,MIN(100,100*(Norm_Stats!$G$15-MIN(MAX(City_Inputs!$AK83,Norm_Stats!$F$15),Norm_Stats!$G$15))/(Norm_Stats!$G$15-Norm_Stats!$F$15)))))="",0,0.3))=0,"",(IF((IF(OR(City_Inputs!$Z83="",Norm_Stats!$F$14="",Norm_Stats!$G$14="",Norm_Stats!$G$14=Norm_Stats!$F$14),"",MAX(0,MIN(100,100*(MIN(MAX(City_Inputs!$Z83,Norm_Stats!$F$14),Norm_Stats!$G$14)-Norm_Stats!$F$14)/(Norm_Stats!$G$14-Norm_Stats!$F$14)))))="",0,(IF(OR(City_Inputs!$Z83="",Norm_Stats!$F$14="",Norm_Stats!$G$14="",Norm_Stats!$G$14=Norm_Stats!$F$14),"",MAX(0,MIN(100,100*(MIN(MAX(City_Inputs!$Z83,Norm_Stats!$F$14),Norm_Stats!$G$14)-Norm_Stats!$F$14)/(Norm_Stats!$G$14-Norm_Stats!$F$14)))))*0.7)+IF((IF(OR(City_Inputs!$AK83="",Norm_Stats!$F$15="",Norm_Stats!$G$15="",Norm_Stats!$G$15=Norm_Stats!$F$15),"",MAX(0,MIN(100,100*(Norm_Stats!$G$15-MIN(MAX(City_Inputs!$AK83,Norm_Stats!$F$15),Norm_Stats!$G$15))/(Norm_Stats!$G$15-Norm_Stats!$F$15)))))="",0,(IF(OR(City_Inputs!$AK83="",Norm_Stats!$F$15="",Norm_Stats!$G$15="",Norm_Stats!$G$15=Norm_Stats!$F$15),"",MAX(0,MIN(100,100*(Norm_Stats!$G$15-MIN(MAX(City_Inputs!$AK83,Norm_Stats!$F$15),Norm_Stats!$G$15))/(Norm_Stats!$G$15-Norm_Stats!$F$15)))))*0.3))/(IF((IF(OR(City_Inputs!$Z83="",Norm_Stats!$F$14="",Norm_Stats!$G$14="",Norm_Stats!$G$14=Norm_Stats!$F$14),"",MAX(0,MIN(100,100*(MIN(MAX(City_Inputs!$Z83,Norm_Stats!$F$14),Norm_Stats!$G$14)-Norm_Stats!$F$14)/(Norm_Stats!$G$14-Norm_Stats!$F$14)))))="",0,0.7)+IF((IF(OR(City_Inputs!$AK83="",Norm_Stats!$F$15="",Norm_Stats!$G$15="",Norm_Stats!$G$15=Norm_Stats!$F$15),"",MAX(0,MIN(100,100*(Norm_Stats!$G$15-MIN(MAX(City_Inputs!$AK83,Norm_Stats!$F$15),Norm_Stats!$G$15))/(Norm_Stats!$G$15-Norm_Stats!$F$15)))))="",0,0.3)))</f>
        <v/>
      </c>
      <c r="AJ83" s="14">
        <f>IF((IF((IF(OR(City_Inputs!$Z83="",Norm_Stats!$F$14="",Norm_Stats!$G$14="",Norm_Stats!$G$14=Norm_Stats!$F$14),"",MAX(0,MIN(100,100*(MIN(MAX(City_Inputs!$Z83,Norm_Stats!$F$14),Norm_Stats!$G$14)-Norm_Stats!$F$14)/(Norm_Stats!$G$14-Norm_Stats!$F$14)))))="",0,0.7)+IF((IF(OR(City_Inputs!$AK83="",Norm_Stats!$F$15="",Norm_Stats!$G$15="",Norm_Stats!$G$15=Norm_Stats!$F$15),"",MAX(0,MIN(100,100*(Norm_Stats!$G$15-MIN(MAX(City_Inputs!$AK83,Norm_Stats!$F$15),Norm_Stats!$G$15))/(Norm_Stats!$G$15-Norm_Stats!$F$15)))))="",0,0.3))=0,"",(IF((IF(OR(City_Inputs!$Z83="",Norm_Stats!$F$14="",Norm_Stats!$G$14="",Norm_Stats!$G$14=Norm_Stats!$F$14),"",MAX(0,MIN(100,100*(MIN(MAX(City_Inputs!$Z83,Norm_Stats!$F$14),Norm_Stats!$G$14)-Norm_Stats!$F$14)/(Norm_Stats!$G$14-Norm_Stats!$F$14)))))="",0,0.7)+IF((IF(OR(City_Inputs!$AK83="",Norm_Stats!$F$15="",Norm_Stats!$G$15="",Norm_Stats!$G$15=Norm_Stats!$F$15),"",MAX(0,MIN(100,100*(Norm_Stats!$G$15-MIN(MAX(City_Inputs!$AK83,Norm_Stats!$F$15),Norm_Stats!$G$15))/(Norm_Stats!$G$15-Norm_Stats!$F$15)))))="",0,0.3)))</f>
        <v/>
      </c>
      <c r="AK83" s="15">
        <f>IF((IF(AE83="",0,8)+IF(AG83="",0,6)+IF(AI83="",0,4))=0,"",(IF(AE83="",0,AE83*8)+IF(AG83="",0,AG83*6)+IF(AI83="",0,AI83*4))/(IF(AE83="",0,8)+IF(AG83="",0,6)+IF(AI83="",0,4)))</f>
        <v/>
      </c>
      <c r="AL83" s="14">
        <f>IF((IF(AF83="",0,8)+IF(AH83="",0,6)+IF(AJ83="",0,4))=0,"",(IF(AF83="",0,AF83*8)+IF(AH83="",0,AH83*6)+IF(AJ83="",0,AJ83*4))/18)</f>
        <v/>
      </c>
      <c r="AM83" s="11">
        <f>IF(OR(City_Inputs!$AA83="",Norm_Stats!$F$16="",Norm_Stats!$G$16="",Norm_Stats!$G$16=Norm_Stats!$F$16),"",MAX(0,MIN(100,100*(MIN(MAX(City_Inputs!$AA83,Norm_Stats!$F$16),Norm_Stats!$G$16)-Norm_Stats!$F$16)/(Norm_Stats!$G$16-Norm_Stats!$F$16))))</f>
        <v/>
      </c>
      <c r="AN83" s="14">
        <f>IF(AM83="","",1)</f>
        <v/>
      </c>
      <c r="AO83" s="11">
        <f>IF(OR(City_Inputs!$AB83="",Norm_Stats!$F$17="",Norm_Stats!$G$17="",Norm_Stats!$G$17=Norm_Stats!$F$17),"",MAX(0,MIN(100,100*(MIN(MAX(City_Inputs!$AB83,Norm_Stats!$F$17),Norm_Stats!$G$17)-Norm_Stats!$F$17)/(Norm_Stats!$G$17-Norm_Stats!$F$17))))</f>
        <v/>
      </c>
      <c r="AP83" s="14">
        <f>IF(AO83="","",1)</f>
        <v/>
      </c>
      <c r="AQ83" s="11">
        <f>IF(OR(City_Inputs!$AC83="",Norm_Stats!$F$18="",Norm_Stats!$G$18="",Norm_Stats!$G$18=Norm_Stats!$F$18),"",MAX(0,MIN(100,100*(MIN(MAX(City_Inputs!$AC83,Norm_Stats!$F$18),Norm_Stats!$G$18)-Norm_Stats!$F$18)/(Norm_Stats!$G$18-Norm_Stats!$F$18))))</f>
        <v/>
      </c>
      <c r="AR83" s="14">
        <f>IF(AQ83="","",1)</f>
        <v/>
      </c>
      <c r="AS83" s="15">
        <f>IF((IF(AM83="",0,5)+IF(AO83="",0,5)+IF(AQ83="",0,5))=0,"",(IF(AM83="",0,AM83*5)+IF(AO83="",0,AO83*5)+IF(AQ83="",0,AQ83*5))/(IF(AM83="",0,5)+IF(AO83="",0,5)+IF(AQ83="",0,5)))</f>
        <v/>
      </c>
      <c r="AT83" s="14">
        <f>IF((IF(AN83="",0,5)+IF(AP83="",0,5)+IF(AR83="",0,5))=0,"",(IF(AN83="",0,AN83*5)+IF(AP83="",0,AP83*5)+IF(AR83="",0,AR83*5))/15)</f>
        <v/>
      </c>
      <c r="AU83" s="11">
        <f>IF(OR(City_Inputs!$AD83="",Norm_Stats!$F$19="",Norm_Stats!$G$19="",Norm_Stats!$G$19=Norm_Stats!$F$19),"",MAX(0,MIN(100,100*(MIN(MAX(City_Inputs!$AD83,Norm_Stats!$F$19),Norm_Stats!$G$19)-Norm_Stats!$F$19)/(Norm_Stats!$G$19-Norm_Stats!$F$19))))</f>
        <v/>
      </c>
      <c r="AV83" s="14">
        <f>IF(AU83="","",1)</f>
        <v/>
      </c>
      <c r="AW83" s="11">
        <f>IF(OR(City_Inputs!$AE83="",Norm_Stats!$F$20="",Norm_Stats!$G$20="",Norm_Stats!$G$20=Norm_Stats!$F$20),"",MAX(0,MIN(100,100*(MIN(MAX(City_Inputs!$AE83,Norm_Stats!$F$20),Norm_Stats!$G$20)-Norm_Stats!$F$20)/(Norm_Stats!$G$20-Norm_Stats!$F$20))))</f>
        <v/>
      </c>
      <c r="AX83" s="14">
        <f>IF(AW83="","",1)</f>
        <v/>
      </c>
      <c r="AY83" s="11">
        <f>IF((IF((IF(OR(City_Inputs!$AF83="",Norm_Stats!$F$21="",Norm_Stats!$G$21="",Norm_Stats!$G$21=Norm_Stats!$F$21),"",MAX(0,MIN(100,100*(MIN(MAX(City_Inputs!$AF83,Norm_Stats!$F$21),Norm_Stats!$G$21)-Norm_Stats!$F$21)/(Norm_Stats!$G$21-Norm_Stats!$F$21)))))="",0,0.5)+IF((IF(OR(City_Inputs!$AI83="",Norm_Stats!$F$22="",Norm_Stats!$G$22="",Norm_Stats!$G$22=Norm_Stats!$F$22),"",MAX(0,MIN(100,100*(MIN(MAX(City_Inputs!$AI83,Norm_Stats!$F$22),Norm_Stats!$G$22)-Norm_Stats!$F$22)/(Norm_Stats!$G$22-Norm_Stats!$F$22)))))="",0,0.3)+IF((IF(OR(City_Inputs!$AJ83="",Norm_Stats!$F$23="",Norm_Stats!$G$23="",Norm_Stats!$G$23=Norm_Stats!$F$23),"",MAX(0,MIN(100,100*(MIN(MAX(City_Inputs!$AJ83,Norm_Stats!$F$23),Norm_Stats!$G$23)-Norm_Stats!$F$23)/(Norm_Stats!$G$23-Norm_Stats!$F$23)))))="",0,0.2))=0,"",(IF((IF(OR(City_Inputs!$AF83="",Norm_Stats!$F$21="",Norm_Stats!$G$21="",Norm_Stats!$G$21=Norm_Stats!$F$21),"",MAX(0,MIN(100,100*(MIN(MAX(City_Inputs!$AF83,Norm_Stats!$F$21),Norm_Stats!$G$21)-Norm_Stats!$F$21)/(Norm_Stats!$G$21-Norm_Stats!$F$21)))))="",0,(IF(OR(City_Inputs!$AF83="",Norm_Stats!$F$21="",Norm_Stats!$G$21="",Norm_Stats!$G$21=Norm_Stats!$F$21),"",MAX(0,MIN(100,100*(MIN(MAX(City_Inputs!$AF83,Norm_Stats!$F$21),Norm_Stats!$G$21)-Norm_Stats!$F$21)/(Norm_Stats!$G$21-Norm_Stats!$F$21)))))*0.5)+IF((IF(OR(City_Inputs!$AI83="",Norm_Stats!$F$22="",Norm_Stats!$G$22="",Norm_Stats!$G$22=Norm_Stats!$F$22),"",MAX(0,MIN(100,100*(MIN(MAX(City_Inputs!$AI83,Norm_Stats!$F$22),Norm_Stats!$G$22)-Norm_Stats!$F$22)/(Norm_Stats!$G$22-Norm_Stats!$F$22)))))="",0,(IF(OR(City_Inputs!$AI83="",Norm_Stats!$F$22="",Norm_Stats!$G$22="",Norm_Stats!$G$22=Norm_Stats!$F$22),"",MAX(0,MIN(100,100*(MIN(MAX(City_Inputs!$AI83,Norm_Stats!$F$22),Norm_Stats!$G$22)-Norm_Stats!$F$22)/(Norm_Stats!$G$22-Norm_Stats!$F$22)))))*0.3)+IF((IF(OR(City_Inputs!$AJ83="",Norm_Stats!$F$23="",Norm_Stats!$G$23="",Norm_Stats!$G$23=Norm_Stats!$F$23),"",MAX(0,MIN(100,100*(MIN(MAX(City_Inputs!$AJ83,Norm_Stats!$F$23),Norm_Stats!$G$23)-Norm_Stats!$F$23)/(Norm_Stats!$G$23-Norm_Stats!$F$23)))))="",0,(IF(OR(City_Inputs!$AJ83="",Norm_Stats!$F$23="",Norm_Stats!$G$23="",Norm_Stats!$G$23=Norm_Stats!$F$23),"",MAX(0,MIN(100,100*(MIN(MAX(City_Inputs!$AJ83,Norm_Stats!$F$23),Norm_Stats!$G$23)-Norm_Stats!$F$23)/(Norm_Stats!$G$23-Norm_Stats!$F$23)))))*0.2))/(IF((IF(OR(City_Inputs!$AF83="",Norm_Stats!$F$21="",Norm_Stats!$G$21="",Norm_Stats!$G$21=Norm_Stats!$F$21),"",MAX(0,MIN(100,100*(MIN(MAX(City_Inputs!$AF83,Norm_Stats!$F$21),Norm_Stats!$G$21)-Norm_Stats!$F$21)/(Norm_Stats!$G$21-Norm_Stats!$F$21)))))="",0,0.5)+IF((IF(OR(City_Inputs!$AI83="",Norm_Stats!$F$22="",Norm_Stats!$G$22="",Norm_Stats!$G$22=Norm_Stats!$F$22),"",MAX(0,MIN(100,100*(MIN(MAX(City_Inputs!$AI83,Norm_Stats!$F$22),Norm_Stats!$G$22)-Norm_Stats!$F$22)/(Norm_Stats!$G$22-Norm_Stats!$F$22)))))="",0,0.3)+IF((IF(OR(City_Inputs!$AJ83="",Norm_Stats!$F$23="",Norm_Stats!$G$23="",Norm_Stats!$G$23=Norm_Stats!$F$23),"",MAX(0,MIN(100,100*(MIN(MAX(City_Inputs!$AJ83,Norm_Stats!$F$23),Norm_Stats!$G$23)-Norm_Stats!$F$23)/(Norm_Stats!$G$23-Norm_Stats!$F$23)))))="",0,0.2)))</f>
        <v/>
      </c>
      <c r="AZ83" s="14">
        <f>IF((IF((IF(OR(City_Inputs!$AF83="",Norm_Stats!$F$21="",Norm_Stats!$G$21="",Norm_Stats!$G$21=Norm_Stats!$F$21),"",MAX(0,MIN(100,100*(MIN(MAX(City_Inputs!$AF83,Norm_Stats!$F$21),Norm_Stats!$G$21)-Norm_Stats!$F$21)/(Norm_Stats!$G$21-Norm_Stats!$F$21)))))="",0,0.5)+IF((IF(OR(City_Inputs!$AI83="",Norm_Stats!$F$22="",Norm_Stats!$G$22="",Norm_Stats!$G$22=Norm_Stats!$F$22),"",MAX(0,MIN(100,100*(MIN(MAX(City_Inputs!$AI83,Norm_Stats!$F$22),Norm_Stats!$G$22)-Norm_Stats!$F$22)/(Norm_Stats!$G$22-Norm_Stats!$F$22)))))="",0,0.3)+IF((IF(OR(City_Inputs!$AJ83="",Norm_Stats!$F$23="",Norm_Stats!$G$23="",Norm_Stats!$G$23=Norm_Stats!$F$23),"",MAX(0,MIN(100,100*(MIN(MAX(City_Inputs!$AJ83,Norm_Stats!$F$23),Norm_Stats!$G$23)-Norm_Stats!$F$23)/(Norm_Stats!$G$23-Norm_Stats!$F$23)))))="",0,0.2))=0,"",(IF((IF(OR(City_Inputs!$AF83="",Norm_Stats!$F$21="",Norm_Stats!$G$21="",Norm_Stats!$G$21=Norm_Stats!$F$21),"",MAX(0,MIN(100,100*(MIN(MAX(City_Inputs!$AF83,Norm_Stats!$F$21),Norm_Stats!$G$21)-Norm_Stats!$F$21)/(Norm_Stats!$G$21-Norm_Stats!$F$21)))))="",0,0.5)+IF((IF(OR(City_Inputs!$AI83="",Norm_Stats!$F$22="",Norm_Stats!$G$22="",Norm_Stats!$G$22=Norm_Stats!$F$22),"",MAX(0,MIN(100,100*(MIN(MAX(City_Inputs!$AI83,Norm_Stats!$F$22),Norm_Stats!$G$22)-Norm_Stats!$F$22)/(Norm_Stats!$G$22-Norm_Stats!$F$22)))))="",0,0.3)+IF((IF(OR(City_Inputs!$AJ83="",Norm_Stats!$F$23="",Norm_Stats!$G$23="",Norm_Stats!$G$23=Norm_Stats!$F$23),"",MAX(0,MIN(100,100*(MIN(MAX(City_Inputs!$AJ83,Norm_Stats!$F$23),Norm_Stats!$G$23)-Norm_Stats!$F$23)/(Norm_Stats!$G$23-Norm_Stats!$F$23)))))="",0,0.2)))</f>
        <v/>
      </c>
      <c r="BA83" s="11">
        <f>IF(OR(City_Inputs!$AG83="",Norm_Stats!$F$24="",Norm_Stats!$G$24="",Norm_Stats!$G$24=Norm_Stats!$F$24),"",MAX(0,MIN(100,100*(Norm_Stats!$G$24-MIN(MAX(City_Inputs!$AG83,Norm_Stats!$F$24),Norm_Stats!$G$24))/(Norm_Stats!$G$24-Norm_Stats!$F$24))))</f>
        <v/>
      </c>
      <c r="BB83" s="14">
        <f>IF(BA83="","",1)</f>
        <v/>
      </c>
      <c r="BC83" s="15">
        <f>IF((IF(AU83="",0,6)+IF(AW83="",0,5)+IF(AY83="",0,5)+IF(BA83="",0,4))=0,"",(IF(AU83="",0,AU83*6)+IF(AW83="",0,AW83*5)+IF(AY83="",0,AY83*5)+IF(BA83="",0,BA83*4))/(IF(AU83="",0,6)+IF(AW83="",0,5)+IF(AY83="",0,5)+IF(BA83="",0,4)))</f>
        <v/>
      </c>
      <c r="BD83" s="14">
        <f>IF((IF(AV83="",0,6)+IF(AX83="",0,5)+IF(AZ83="",0,5)+IF(BB83="",0,4))=0,"",(IF(AV83="",0,AV83*6)+IF(AX83="",0,AX83*5)+IF(AZ83="",0,AZ83*5)+IF(BB83="",0,BB83*4))/20)</f>
        <v/>
      </c>
      <c r="BE83" s="14">
        <f>IF(AND(R83="",AD83="",AL83="",AT83="",BD83=""),"",((R83*25)+(AD83*22)+(AL83*18)+(AT83*15)+(BD83*20))/100)</f>
        <v/>
      </c>
      <c r="BF83" s="11">
        <f>IF(BE83="","",IF(BE83&gt;=0.75,"A",IF(BE83&gt;=0.5,"B",IF(BE83&gt;=0.35,"C","Watchlist"))))</f>
        <v/>
      </c>
      <c r="BG83" s="11">
        <f>IF(OR(BE83="",BE83&lt;0.5,R83="",R83&lt;0.35,AD83="",AD83&lt;0.35,AL83="",AL83&lt;0.35,AT83="",AT83&lt;0.35,BD83="",BD83&lt;0.35),"Watchlist","Ranked")</f>
        <v/>
      </c>
      <c r="BH83" s="15">
        <f>IF(AND(Q83="",AC83="",AK83="",AS83="",BC83=""),"",(IF(Q83="",0,Q83*25)+IF(AC83="",0,AC83*22)+IF(AK83="",0,AK83*18)+IF(AS83="",0,AS83*15)+IF(BC83="",0,BC83*20))/(IF(Q83="",0,25)+IF(AC83="",0,22)+IF(AK83="",0,18)+IF(AS83="",0,15)+IF(BC83="",0,20)))</f>
        <v/>
      </c>
      <c r="BI83" s="11">
        <f>IF(BG83="Ranked",1+COUNTIFS($BG$2:$BG$103,"Ranked",$BH$2:$BH$103,"&gt;"&amp;BH83),"")</f>
        <v/>
      </c>
      <c r="BJ83" s="11">
        <f>City_Inputs!$AH83</f>
        <v/>
      </c>
    </row>
    <row r="84">
      <c r="A84" t="inlineStr">
        <is>
          <t>za-cape-town</t>
        </is>
      </c>
      <c r="B84" t="inlineStr">
        <is>
          <t>Cape Town</t>
        </is>
      </c>
      <c r="C84" t="inlineStr">
        <is>
          <t>South Africa</t>
        </is>
      </c>
      <c r="D84" t="inlineStr">
        <is>
          <t>Africa</t>
        </is>
      </c>
      <c r="E84" t="inlineStr">
        <is>
          <t>locked</t>
        </is>
      </c>
      <c r="F84" t="inlineStr">
        <is>
          <t>primary</t>
        </is>
      </c>
      <c r="G84" s="11">
        <f>IF(OR(City_Inputs!$M84="",Norm_Stats!$F$2="",Norm_Stats!$G$2="",Norm_Stats!$G$2=Norm_Stats!$F$2),"",MAX(0,MIN(100,100*(MIN(MAX(City_Inputs!$M84,Norm_Stats!$F$2),Norm_Stats!$G$2)-Norm_Stats!$F$2)/(Norm_Stats!$G$2-Norm_Stats!$F$2))))</f>
        <v/>
      </c>
      <c r="H84" s="14">
        <f>IF(G84="","",1)</f>
        <v/>
      </c>
      <c r="I84" s="11">
        <f>IF(OR(City_Inputs!$N84="",Norm_Stats!$F$3="",Norm_Stats!$G$3="",Norm_Stats!$G$3=Norm_Stats!$F$3),"",MAX(0,MIN(100,100*(Norm_Stats!$G$3-MIN(MAX(City_Inputs!$N84,Norm_Stats!$F$3),Norm_Stats!$G$3))/(Norm_Stats!$G$3-Norm_Stats!$F$3))))</f>
        <v/>
      </c>
      <c r="J84" s="14">
        <f>IF(I84="","",1)</f>
        <v/>
      </c>
      <c r="K84" s="11">
        <f>IF(OR(City_Inputs!$P84="",Norm_Stats!$F$4="",Norm_Stats!$G$4="",Norm_Stats!$G$4=Norm_Stats!$F$4),"",MAX(0,MIN(100,100*(Norm_Stats!$G$4-MIN(MAX(City_Inputs!$P84,Norm_Stats!$F$4),Norm_Stats!$G$4))/(Norm_Stats!$G$4-Norm_Stats!$F$4))))</f>
        <v/>
      </c>
      <c r="L84" s="14">
        <f>IF(K84="","",1)</f>
        <v/>
      </c>
      <c r="M84" s="11">
        <f>IF(OR(City_Inputs!$Q84="",Norm_Stats!$F$5="",Norm_Stats!$G$5="",Norm_Stats!$G$5=Norm_Stats!$F$5),"",MAX(0,MIN(100,100*(Norm_Stats!$G$5-MIN(MAX(City_Inputs!$Q84,Norm_Stats!$F$5),Norm_Stats!$G$5))/(Norm_Stats!$G$5-Norm_Stats!$F$5))))</f>
        <v/>
      </c>
      <c r="N84" s="14">
        <f>IF(M84="","",1)</f>
        <v/>
      </c>
      <c r="O84" s="11">
        <f>IF(OR(City_Inputs!$R84="",Norm_Stats!$F$6="",Norm_Stats!$G$6="",Norm_Stats!$G$6=Norm_Stats!$F$6),"",MAX(0,MIN(100,100*(Norm_Stats!$G$6-MIN(MAX(City_Inputs!$R84,Norm_Stats!$F$6),Norm_Stats!$G$6))/(Norm_Stats!$G$6-Norm_Stats!$F$6))))</f>
        <v/>
      </c>
      <c r="P84" s="14">
        <f>IF(O84="","",1)</f>
        <v/>
      </c>
      <c r="Q84" s="15">
        <f>IF((IF(G84="",0,9)+IF(I84="",0,5)+IF(K84="",0,4)+IF(M84="",0,4)+IF(O84="",0,3))=0,"",(IF(G84="",0,G84*9)+IF(I84="",0,I84*5)+IF(K84="",0,K84*4)+IF(M84="",0,M84*4)+IF(O84="",0,O84*3))/(IF(G84="",0,9)+IF(I84="",0,5)+IF(K84="",0,4)+IF(M84="",0,4)+IF(O84="",0,3)))</f>
        <v/>
      </c>
      <c r="R84" s="14">
        <f>IF((IF(H84="",0,9)+IF(J84="",0,5)+IF(L84="",0,4)+IF(N84="",0,4)+IF(P84="",0,3))=0,"",(IF(H84="",0,H84*9)+IF(J84="",0,J84*5)+IF(L84="",0,L84*4)+IF(N84="",0,N84*4)+IF(P84="",0,P84*3))/25)</f>
        <v/>
      </c>
      <c r="S84" s="11">
        <f>IF(OR(City_Inputs!$S84="",Norm_Stats!$F$7="",Norm_Stats!$G$7="",Norm_Stats!$G$7=Norm_Stats!$F$7),"",MAX(0,MIN(100,100*(Norm_Stats!$G$7-MIN(MAX(City_Inputs!$S84,Norm_Stats!$F$7),Norm_Stats!$G$7))/(Norm_Stats!$G$7-Norm_Stats!$F$7))))</f>
        <v/>
      </c>
      <c r="T84" s="14">
        <f>IF(S84="","",1)</f>
        <v/>
      </c>
      <c r="U84" s="11">
        <f>IF(OR(City_Inputs!$T84="",Norm_Stats!$F$8="",Norm_Stats!$G$8="",Norm_Stats!$G$8=Norm_Stats!$F$8),"",MAX(0,MIN(100,100*(MIN(MAX(City_Inputs!$T84,Norm_Stats!$F$8),Norm_Stats!$G$8)-Norm_Stats!$F$8)/(Norm_Stats!$G$8-Norm_Stats!$F$8))))</f>
        <v/>
      </c>
      <c r="V84" s="14">
        <f>IF(U84="","",1)</f>
        <v/>
      </c>
      <c r="W84" s="11">
        <f>IF(OR(City_Inputs!$U84="",Norm_Stats!$F$9="",Norm_Stats!$G$9="",Norm_Stats!$G$9=Norm_Stats!$F$9),"",MAX(0,MIN(100,100*(Norm_Stats!$G$9-MIN(MAX(City_Inputs!$U84,Norm_Stats!$F$9),Norm_Stats!$G$9))/(Norm_Stats!$G$9-Norm_Stats!$F$9))))</f>
        <v/>
      </c>
      <c r="X84" s="14">
        <f>IF(W84="","",1)</f>
        <v/>
      </c>
      <c r="Y84" s="11">
        <f>IF(OR(City_Inputs!$V84="",Norm_Stats!$F$10="",Norm_Stats!$G$10="",Norm_Stats!$G$10=Norm_Stats!$F$10),"",MAX(0,MIN(100,100*(MIN(MAX(City_Inputs!$V84,Norm_Stats!$F$10),Norm_Stats!$G$10)-Norm_Stats!$F$10)/(Norm_Stats!$G$10-Norm_Stats!$F$10))))</f>
        <v/>
      </c>
      <c r="Z84" s="14">
        <f>IF(Y84="","",1)</f>
        <v/>
      </c>
      <c r="AA84" s="11">
        <f>IF(OR(City_Inputs!$W84="",Norm_Stats!$F$11="",Norm_Stats!$G$11="",Norm_Stats!$G$11=Norm_Stats!$F$11),"",MAX(0,MIN(100,100*(MIN(MAX(City_Inputs!$W84,Norm_Stats!$F$11),Norm_Stats!$G$11)-Norm_Stats!$F$11)/(Norm_Stats!$G$11-Norm_Stats!$F$11))))</f>
        <v/>
      </c>
      <c r="AB84" s="14">
        <f>IF(AA84="","",1)</f>
        <v/>
      </c>
      <c r="AC84" s="15">
        <f>IF((IF(S84="",0,5)+IF(U84="",0,5)+IF(W84="",0,4)+IF(Y84="",0,4)+IF(AA84="",0,4))=0,"",(IF(S84="",0,S84*5)+IF(U84="",0,U84*5)+IF(W84="",0,W84*4)+IF(Y84="",0,Y84*4)+IF(AA84="",0,AA84*4))/(IF(S84="",0,5)+IF(U84="",0,5)+IF(W84="",0,4)+IF(Y84="",0,4)+IF(AA84="",0,4)))</f>
        <v/>
      </c>
      <c r="AD84" s="14">
        <f>IF((IF(T84="",0,5)+IF(V84="",0,5)+IF(X84="",0,4)+IF(Z84="",0,4)+IF(AB84="",0,4))=0,"",(IF(T84="",0,T84*5)+IF(V84="",0,V84*5)+IF(X84="",0,X84*4)+IF(Z84="",0,Z84*4)+IF(AB84="",0,AB84*4))/22)</f>
        <v/>
      </c>
      <c r="AE84" s="11">
        <f>IF(OR(City_Inputs!$X84="",Norm_Stats!$F$12="",Norm_Stats!$G$12="",Norm_Stats!$G$12=Norm_Stats!$F$12),"",MAX(0,MIN(100,100*(MIN(MAX(City_Inputs!$X84,Norm_Stats!$F$12),Norm_Stats!$G$12)-Norm_Stats!$F$12)/(Norm_Stats!$G$12-Norm_Stats!$F$12))))</f>
        <v/>
      </c>
      <c r="AF84" s="14">
        <f>IF(AE84="","",1)</f>
        <v/>
      </c>
      <c r="AG84" s="11">
        <f>IF(OR(City_Inputs!$Y84="",Norm_Stats!$F$13="",Norm_Stats!$G$13="",Norm_Stats!$G$13=Norm_Stats!$F$13),"",MAX(0,MIN(100,100*(MIN(MAX(City_Inputs!$Y84,Norm_Stats!$F$13),Norm_Stats!$G$13)-Norm_Stats!$F$13)/(Norm_Stats!$G$13-Norm_Stats!$F$13))))</f>
        <v/>
      </c>
      <c r="AH84" s="14">
        <f>IF(AG84="","",1)</f>
        <v/>
      </c>
      <c r="AI84" s="11">
        <f>IF((IF((IF(OR(City_Inputs!$Z84="",Norm_Stats!$F$14="",Norm_Stats!$G$14="",Norm_Stats!$G$14=Norm_Stats!$F$14),"",MAX(0,MIN(100,100*(MIN(MAX(City_Inputs!$Z84,Norm_Stats!$F$14),Norm_Stats!$G$14)-Norm_Stats!$F$14)/(Norm_Stats!$G$14-Norm_Stats!$F$14)))))="",0,0.7)+IF((IF(OR(City_Inputs!$AK84="",Norm_Stats!$F$15="",Norm_Stats!$G$15="",Norm_Stats!$G$15=Norm_Stats!$F$15),"",MAX(0,MIN(100,100*(Norm_Stats!$G$15-MIN(MAX(City_Inputs!$AK84,Norm_Stats!$F$15),Norm_Stats!$G$15))/(Norm_Stats!$G$15-Norm_Stats!$F$15)))))="",0,0.3))=0,"",(IF((IF(OR(City_Inputs!$Z84="",Norm_Stats!$F$14="",Norm_Stats!$G$14="",Norm_Stats!$G$14=Norm_Stats!$F$14),"",MAX(0,MIN(100,100*(MIN(MAX(City_Inputs!$Z84,Norm_Stats!$F$14),Norm_Stats!$G$14)-Norm_Stats!$F$14)/(Norm_Stats!$G$14-Norm_Stats!$F$14)))))="",0,(IF(OR(City_Inputs!$Z84="",Norm_Stats!$F$14="",Norm_Stats!$G$14="",Norm_Stats!$G$14=Norm_Stats!$F$14),"",MAX(0,MIN(100,100*(MIN(MAX(City_Inputs!$Z84,Norm_Stats!$F$14),Norm_Stats!$G$14)-Norm_Stats!$F$14)/(Norm_Stats!$G$14-Norm_Stats!$F$14)))))*0.7)+IF((IF(OR(City_Inputs!$AK84="",Norm_Stats!$F$15="",Norm_Stats!$G$15="",Norm_Stats!$G$15=Norm_Stats!$F$15),"",MAX(0,MIN(100,100*(Norm_Stats!$G$15-MIN(MAX(City_Inputs!$AK84,Norm_Stats!$F$15),Norm_Stats!$G$15))/(Norm_Stats!$G$15-Norm_Stats!$F$15)))))="",0,(IF(OR(City_Inputs!$AK84="",Norm_Stats!$F$15="",Norm_Stats!$G$15="",Norm_Stats!$G$15=Norm_Stats!$F$15),"",MAX(0,MIN(100,100*(Norm_Stats!$G$15-MIN(MAX(City_Inputs!$AK84,Norm_Stats!$F$15),Norm_Stats!$G$15))/(Norm_Stats!$G$15-Norm_Stats!$F$15)))))*0.3))/(IF((IF(OR(City_Inputs!$Z84="",Norm_Stats!$F$14="",Norm_Stats!$G$14="",Norm_Stats!$G$14=Norm_Stats!$F$14),"",MAX(0,MIN(100,100*(MIN(MAX(City_Inputs!$Z84,Norm_Stats!$F$14),Norm_Stats!$G$14)-Norm_Stats!$F$14)/(Norm_Stats!$G$14-Norm_Stats!$F$14)))))="",0,0.7)+IF((IF(OR(City_Inputs!$AK84="",Norm_Stats!$F$15="",Norm_Stats!$G$15="",Norm_Stats!$G$15=Norm_Stats!$F$15),"",MAX(0,MIN(100,100*(Norm_Stats!$G$15-MIN(MAX(City_Inputs!$AK84,Norm_Stats!$F$15),Norm_Stats!$G$15))/(Norm_Stats!$G$15-Norm_Stats!$F$15)))))="",0,0.3)))</f>
        <v/>
      </c>
      <c r="AJ84" s="14">
        <f>IF((IF((IF(OR(City_Inputs!$Z84="",Norm_Stats!$F$14="",Norm_Stats!$G$14="",Norm_Stats!$G$14=Norm_Stats!$F$14),"",MAX(0,MIN(100,100*(MIN(MAX(City_Inputs!$Z84,Norm_Stats!$F$14),Norm_Stats!$G$14)-Norm_Stats!$F$14)/(Norm_Stats!$G$14-Norm_Stats!$F$14)))))="",0,0.7)+IF((IF(OR(City_Inputs!$AK84="",Norm_Stats!$F$15="",Norm_Stats!$G$15="",Norm_Stats!$G$15=Norm_Stats!$F$15),"",MAX(0,MIN(100,100*(Norm_Stats!$G$15-MIN(MAX(City_Inputs!$AK84,Norm_Stats!$F$15),Norm_Stats!$G$15))/(Norm_Stats!$G$15-Norm_Stats!$F$15)))))="",0,0.3))=0,"",(IF((IF(OR(City_Inputs!$Z84="",Norm_Stats!$F$14="",Norm_Stats!$G$14="",Norm_Stats!$G$14=Norm_Stats!$F$14),"",MAX(0,MIN(100,100*(MIN(MAX(City_Inputs!$Z84,Norm_Stats!$F$14),Norm_Stats!$G$14)-Norm_Stats!$F$14)/(Norm_Stats!$G$14-Norm_Stats!$F$14)))))="",0,0.7)+IF((IF(OR(City_Inputs!$AK84="",Norm_Stats!$F$15="",Norm_Stats!$G$15="",Norm_Stats!$G$15=Norm_Stats!$F$15),"",MAX(0,MIN(100,100*(Norm_Stats!$G$15-MIN(MAX(City_Inputs!$AK84,Norm_Stats!$F$15),Norm_Stats!$G$15))/(Norm_Stats!$G$15-Norm_Stats!$F$15)))))="",0,0.3)))</f>
        <v/>
      </c>
      <c r="AK84" s="15">
        <f>IF((IF(AE84="",0,8)+IF(AG84="",0,6)+IF(AI84="",0,4))=0,"",(IF(AE84="",0,AE84*8)+IF(AG84="",0,AG84*6)+IF(AI84="",0,AI84*4))/(IF(AE84="",0,8)+IF(AG84="",0,6)+IF(AI84="",0,4)))</f>
        <v/>
      </c>
      <c r="AL84" s="14">
        <f>IF((IF(AF84="",0,8)+IF(AH84="",0,6)+IF(AJ84="",0,4))=0,"",(IF(AF84="",0,AF84*8)+IF(AH84="",0,AH84*6)+IF(AJ84="",0,AJ84*4))/18)</f>
        <v/>
      </c>
      <c r="AM84" s="11">
        <f>IF(OR(City_Inputs!$AA84="",Norm_Stats!$F$16="",Norm_Stats!$G$16="",Norm_Stats!$G$16=Norm_Stats!$F$16),"",MAX(0,MIN(100,100*(MIN(MAX(City_Inputs!$AA84,Norm_Stats!$F$16),Norm_Stats!$G$16)-Norm_Stats!$F$16)/(Norm_Stats!$G$16-Norm_Stats!$F$16))))</f>
        <v/>
      </c>
      <c r="AN84" s="14">
        <f>IF(AM84="","",1)</f>
        <v/>
      </c>
      <c r="AO84" s="11">
        <f>IF(OR(City_Inputs!$AB84="",Norm_Stats!$F$17="",Norm_Stats!$G$17="",Norm_Stats!$G$17=Norm_Stats!$F$17),"",MAX(0,MIN(100,100*(MIN(MAX(City_Inputs!$AB84,Norm_Stats!$F$17),Norm_Stats!$G$17)-Norm_Stats!$F$17)/(Norm_Stats!$G$17-Norm_Stats!$F$17))))</f>
        <v/>
      </c>
      <c r="AP84" s="14">
        <f>IF(AO84="","",1)</f>
        <v/>
      </c>
      <c r="AQ84" s="11">
        <f>IF(OR(City_Inputs!$AC84="",Norm_Stats!$F$18="",Norm_Stats!$G$18="",Norm_Stats!$G$18=Norm_Stats!$F$18),"",MAX(0,MIN(100,100*(MIN(MAX(City_Inputs!$AC84,Norm_Stats!$F$18),Norm_Stats!$G$18)-Norm_Stats!$F$18)/(Norm_Stats!$G$18-Norm_Stats!$F$18))))</f>
        <v/>
      </c>
      <c r="AR84" s="14">
        <f>IF(AQ84="","",1)</f>
        <v/>
      </c>
      <c r="AS84" s="15">
        <f>IF((IF(AM84="",0,5)+IF(AO84="",0,5)+IF(AQ84="",0,5))=0,"",(IF(AM84="",0,AM84*5)+IF(AO84="",0,AO84*5)+IF(AQ84="",0,AQ84*5))/(IF(AM84="",0,5)+IF(AO84="",0,5)+IF(AQ84="",0,5)))</f>
        <v/>
      </c>
      <c r="AT84" s="14">
        <f>IF((IF(AN84="",0,5)+IF(AP84="",0,5)+IF(AR84="",0,5))=0,"",(IF(AN84="",0,AN84*5)+IF(AP84="",0,AP84*5)+IF(AR84="",0,AR84*5))/15)</f>
        <v/>
      </c>
      <c r="AU84" s="11">
        <f>IF(OR(City_Inputs!$AD84="",Norm_Stats!$F$19="",Norm_Stats!$G$19="",Norm_Stats!$G$19=Norm_Stats!$F$19),"",MAX(0,MIN(100,100*(MIN(MAX(City_Inputs!$AD84,Norm_Stats!$F$19),Norm_Stats!$G$19)-Norm_Stats!$F$19)/(Norm_Stats!$G$19-Norm_Stats!$F$19))))</f>
        <v/>
      </c>
      <c r="AV84" s="14">
        <f>IF(AU84="","",1)</f>
        <v/>
      </c>
      <c r="AW84" s="11">
        <f>IF(OR(City_Inputs!$AE84="",Norm_Stats!$F$20="",Norm_Stats!$G$20="",Norm_Stats!$G$20=Norm_Stats!$F$20),"",MAX(0,MIN(100,100*(MIN(MAX(City_Inputs!$AE84,Norm_Stats!$F$20),Norm_Stats!$G$20)-Norm_Stats!$F$20)/(Norm_Stats!$G$20-Norm_Stats!$F$20))))</f>
        <v/>
      </c>
      <c r="AX84" s="14">
        <f>IF(AW84="","",1)</f>
        <v/>
      </c>
      <c r="AY84" s="11">
        <f>IF((IF((IF(OR(City_Inputs!$AF84="",Norm_Stats!$F$21="",Norm_Stats!$G$21="",Norm_Stats!$G$21=Norm_Stats!$F$21),"",MAX(0,MIN(100,100*(MIN(MAX(City_Inputs!$AF84,Norm_Stats!$F$21),Norm_Stats!$G$21)-Norm_Stats!$F$21)/(Norm_Stats!$G$21-Norm_Stats!$F$21)))))="",0,0.5)+IF((IF(OR(City_Inputs!$AI84="",Norm_Stats!$F$22="",Norm_Stats!$G$22="",Norm_Stats!$G$22=Norm_Stats!$F$22),"",MAX(0,MIN(100,100*(MIN(MAX(City_Inputs!$AI84,Norm_Stats!$F$22),Norm_Stats!$G$22)-Norm_Stats!$F$22)/(Norm_Stats!$G$22-Norm_Stats!$F$22)))))="",0,0.3)+IF((IF(OR(City_Inputs!$AJ84="",Norm_Stats!$F$23="",Norm_Stats!$G$23="",Norm_Stats!$G$23=Norm_Stats!$F$23),"",MAX(0,MIN(100,100*(MIN(MAX(City_Inputs!$AJ84,Norm_Stats!$F$23),Norm_Stats!$G$23)-Norm_Stats!$F$23)/(Norm_Stats!$G$23-Norm_Stats!$F$23)))))="",0,0.2))=0,"",(IF((IF(OR(City_Inputs!$AF84="",Norm_Stats!$F$21="",Norm_Stats!$G$21="",Norm_Stats!$G$21=Norm_Stats!$F$21),"",MAX(0,MIN(100,100*(MIN(MAX(City_Inputs!$AF84,Norm_Stats!$F$21),Norm_Stats!$G$21)-Norm_Stats!$F$21)/(Norm_Stats!$G$21-Norm_Stats!$F$21)))))="",0,(IF(OR(City_Inputs!$AF84="",Norm_Stats!$F$21="",Norm_Stats!$G$21="",Norm_Stats!$G$21=Norm_Stats!$F$21),"",MAX(0,MIN(100,100*(MIN(MAX(City_Inputs!$AF84,Norm_Stats!$F$21),Norm_Stats!$G$21)-Norm_Stats!$F$21)/(Norm_Stats!$G$21-Norm_Stats!$F$21)))))*0.5)+IF((IF(OR(City_Inputs!$AI84="",Norm_Stats!$F$22="",Norm_Stats!$G$22="",Norm_Stats!$G$22=Norm_Stats!$F$22),"",MAX(0,MIN(100,100*(MIN(MAX(City_Inputs!$AI84,Norm_Stats!$F$22),Norm_Stats!$G$22)-Norm_Stats!$F$22)/(Norm_Stats!$G$22-Norm_Stats!$F$22)))))="",0,(IF(OR(City_Inputs!$AI84="",Norm_Stats!$F$22="",Norm_Stats!$G$22="",Norm_Stats!$G$22=Norm_Stats!$F$22),"",MAX(0,MIN(100,100*(MIN(MAX(City_Inputs!$AI84,Norm_Stats!$F$22),Norm_Stats!$G$22)-Norm_Stats!$F$22)/(Norm_Stats!$G$22-Norm_Stats!$F$22)))))*0.3)+IF((IF(OR(City_Inputs!$AJ84="",Norm_Stats!$F$23="",Norm_Stats!$G$23="",Norm_Stats!$G$23=Norm_Stats!$F$23),"",MAX(0,MIN(100,100*(MIN(MAX(City_Inputs!$AJ84,Norm_Stats!$F$23),Norm_Stats!$G$23)-Norm_Stats!$F$23)/(Norm_Stats!$G$23-Norm_Stats!$F$23)))))="",0,(IF(OR(City_Inputs!$AJ84="",Norm_Stats!$F$23="",Norm_Stats!$G$23="",Norm_Stats!$G$23=Norm_Stats!$F$23),"",MAX(0,MIN(100,100*(MIN(MAX(City_Inputs!$AJ84,Norm_Stats!$F$23),Norm_Stats!$G$23)-Norm_Stats!$F$23)/(Norm_Stats!$G$23-Norm_Stats!$F$23)))))*0.2))/(IF((IF(OR(City_Inputs!$AF84="",Norm_Stats!$F$21="",Norm_Stats!$G$21="",Norm_Stats!$G$21=Norm_Stats!$F$21),"",MAX(0,MIN(100,100*(MIN(MAX(City_Inputs!$AF84,Norm_Stats!$F$21),Norm_Stats!$G$21)-Norm_Stats!$F$21)/(Norm_Stats!$G$21-Norm_Stats!$F$21)))))="",0,0.5)+IF((IF(OR(City_Inputs!$AI84="",Norm_Stats!$F$22="",Norm_Stats!$G$22="",Norm_Stats!$G$22=Norm_Stats!$F$22),"",MAX(0,MIN(100,100*(MIN(MAX(City_Inputs!$AI84,Norm_Stats!$F$22),Norm_Stats!$G$22)-Norm_Stats!$F$22)/(Norm_Stats!$G$22-Norm_Stats!$F$22)))))="",0,0.3)+IF((IF(OR(City_Inputs!$AJ84="",Norm_Stats!$F$23="",Norm_Stats!$G$23="",Norm_Stats!$G$23=Norm_Stats!$F$23),"",MAX(0,MIN(100,100*(MIN(MAX(City_Inputs!$AJ84,Norm_Stats!$F$23),Norm_Stats!$G$23)-Norm_Stats!$F$23)/(Norm_Stats!$G$23-Norm_Stats!$F$23)))))="",0,0.2)))</f>
        <v/>
      </c>
      <c r="AZ84" s="14">
        <f>IF((IF((IF(OR(City_Inputs!$AF84="",Norm_Stats!$F$21="",Norm_Stats!$G$21="",Norm_Stats!$G$21=Norm_Stats!$F$21),"",MAX(0,MIN(100,100*(MIN(MAX(City_Inputs!$AF84,Norm_Stats!$F$21),Norm_Stats!$G$21)-Norm_Stats!$F$21)/(Norm_Stats!$G$21-Norm_Stats!$F$21)))))="",0,0.5)+IF((IF(OR(City_Inputs!$AI84="",Norm_Stats!$F$22="",Norm_Stats!$G$22="",Norm_Stats!$G$22=Norm_Stats!$F$22),"",MAX(0,MIN(100,100*(MIN(MAX(City_Inputs!$AI84,Norm_Stats!$F$22),Norm_Stats!$G$22)-Norm_Stats!$F$22)/(Norm_Stats!$G$22-Norm_Stats!$F$22)))))="",0,0.3)+IF((IF(OR(City_Inputs!$AJ84="",Norm_Stats!$F$23="",Norm_Stats!$G$23="",Norm_Stats!$G$23=Norm_Stats!$F$23),"",MAX(0,MIN(100,100*(MIN(MAX(City_Inputs!$AJ84,Norm_Stats!$F$23),Norm_Stats!$G$23)-Norm_Stats!$F$23)/(Norm_Stats!$G$23-Norm_Stats!$F$23)))))="",0,0.2))=0,"",(IF((IF(OR(City_Inputs!$AF84="",Norm_Stats!$F$21="",Norm_Stats!$G$21="",Norm_Stats!$G$21=Norm_Stats!$F$21),"",MAX(0,MIN(100,100*(MIN(MAX(City_Inputs!$AF84,Norm_Stats!$F$21),Norm_Stats!$G$21)-Norm_Stats!$F$21)/(Norm_Stats!$G$21-Norm_Stats!$F$21)))))="",0,0.5)+IF((IF(OR(City_Inputs!$AI84="",Norm_Stats!$F$22="",Norm_Stats!$G$22="",Norm_Stats!$G$22=Norm_Stats!$F$22),"",MAX(0,MIN(100,100*(MIN(MAX(City_Inputs!$AI84,Norm_Stats!$F$22),Norm_Stats!$G$22)-Norm_Stats!$F$22)/(Norm_Stats!$G$22-Norm_Stats!$F$22)))))="",0,0.3)+IF((IF(OR(City_Inputs!$AJ84="",Norm_Stats!$F$23="",Norm_Stats!$G$23="",Norm_Stats!$G$23=Norm_Stats!$F$23),"",MAX(0,MIN(100,100*(MIN(MAX(City_Inputs!$AJ84,Norm_Stats!$F$23),Norm_Stats!$G$23)-Norm_Stats!$F$23)/(Norm_Stats!$G$23-Norm_Stats!$F$23)))))="",0,0.2)))</f>
        <v/>
      </c>
      <c r="BA84" s="11">
        <f>IF(OR(City_Inputs!$AG84="",Norm_Stats!$F$24="",Norm_Stats!$G$24="",Norm_Stats!$G$24=Norm_Stats!$F$24),"",MAX(0,MIN(100,100*(Norm_Stats!$G$24-MIN(MAX(City_Inputs!$AG84,Norm_Stats!$F$24),Norm_Stats!$G$24))/(Norm_Stats!$G$24-Norm_Stats!$F$24))))</f>
        <v/>
      </c>
      <c r="BB84" s="14">
        <f>IF(BA84="","",1)</f>
        <v/>
      </c>
      <c r="BC84" s="15">
        <f>IF((IF(AU84="",0,6)+IF(AW84="",0,5)+IF(AY84="",0,5)+IF(BA84="",0,4))=0,"",(IF(AU84="",0,AU84*6)+IF(AW84="",0,AW84*5)+IF(AY84="",0,AY84*5)+IF(BA84="",0,BA84*4))/(IF(AU84="",0,6)+IF(AW84="",0,5)+IF(AY84="",0,5)+IF(BA84="",0,4)))</f>
        <v/>
      </c>
      <c r="BD84" s="14">
        <f>IF((IF(AV84="",0,6)+IF(AX84="",0,5)+IF(AZ84="",0,5)+IF(BB84="",0,4))=0,"",(IF(AV84="",0,AV84*6)+IF(AX84="",0,AX84*5)+IF(AZ84="",0,AZ84*5)+IF(BB84="",0,BB84*4))/20)</f>
        <v/>
      </c>
      <c r="BE84" s="14">
        <f>IF(AND(R84="",AD84="",AL84="",AT84="",BD84=""),"",((R84*25)+(AD84*22)+(AL84*18)+(AT84*15)+(BD84*20))/100)</f>
        <v/>
      </c>
      <c r="BF84" s="11">
        <f>IF(BE84="","",IF(BE84&gt;=0.75,"A",IF(BE84&gt;=0.5,"B",IF(BE84&gt;=0.35,"C","Watchlist"))))</f>
        <v/>
      </c>
      <c r="BG84" s="11">
        <f>IF(OR(BE84="",BE84&lt;0.5,R84="",R84&lt;0.35,AD84="",AD84&lt;0.35,AL84="",AL84&lt;0.35,AT84="",AT84&lt;0.35,BD84="",BD84&lt;0.35),"Watchlist","Ranked")</f>
        <v/>
      </c>
      <c r="BH84" s="15">
        <f>IF(AND(Q84="",AC84="",AK84="",AS84="",BC84=""),"",(IF(Q84="",0,Q84*25)+IF(AC84="",0,AC84*22)+IF(AK84="",0,AK84*18)+IF(AS84="",0,AS84*15)+IF(BC84="",0,BC84*20))/(IF(Q84="",0,25)+IF(AC84="",0,22)+IF(AK84="",0,18)+IF(AS84="",0,15)+IF(BC84="",0,20)))</f>
        <v/>
      </c>
      <c r="BI84" s="11">
        <f>IF(BG84="Ranked",1+COUNTIFS($BG$2:$BG$103,"Ranked",$BH$2:$BH$103,"&gt;"&amp;BH84),"")</f>
        <v/>
      </c>
      <c r="BJ84" s="11">
        <f>City_Inputs!$AH84</f>
        <v/>
      </c>
    </row>
    <row r="85">
      <c r="A85" t="inlineStr">
        <is>
          <t>za-johannesburg</t>
        </is>
      </c>
      <c r="B85" t="inlineStr">
        <is>
          <t>Johannesburg</t>
        </is>
      </c>
      <c r="C85" t="inlineStr">
        <is>
          <t>South Africa</t>
        </is>
      </c>
      <c r="D85" t="inlineStr">
        <is>
          <t>Africa</t>
        </is>
      </c>
      <c r="E85" t="inlineStr">
        <is>
          <t>provisional</t>
        </is>
      </c>
      <c r="F85" t="inlineStr">
        <is>
          <t>primary</t>
        </is>
      </c>
      <c r="G85" s="11">
        <f>IF(OR(City_Inputs!$M85="",Norm_Stats!$F$2="",Norm_Stats!$G$2="",Norm_Stats!$G$2=Norm_Stats!$F$2),"",MAX(0,MIN(100,100*(MIN(MAX(City_Inputs!$M85,Norm_Stats!$F$2),Norm_Stats!$G$2)-Norm_Stats!$F$2)/(Norm_Stats!$G$2-Norm_Stats!$F$2))))</f>
        <v/>
      </c>
      <c r="H85" s="14">
        <f>IF(G85="","",1)</f>
        <v/>
      </c>
      <c r="I85" s="11">
        <f>IF(OR(City_Inputs!$N85="",Norm_Stats!$F$3="",Norm_Stats!$G$3="",Norm_Stats!$G$3=Norm_Stats!$F$3),"",MAX(0,MIN(100,100*(Norm_Stats!$G$3-MIN(MAX(City_Inputs!$N85,Norm_Stats!$F$3),Norm_Stats!$G$3))/(Norm_Stats!$G$3-Norm_Stats!$F$3))))</f>
        <v/>
      </c>
      <c r="J85" s="14">
        <f>IF(I85="","",1)</f>
        <v/>
      </c>
      <c r="K85" s="11">
        <f>IF(OR(City_Inputs!$P85="",Norm_Stats!$F$4="",Norm_Stats!$G$4="",Norm_Stats!$G$4=Norm_Stats!$F$4),"",MAX(0,MIN(100,100*(Norm_Stats!$G$4-MIN(MAX(City_Inputs!$P85,Norm_Stats!$F$4),Norm_Stats!$G$4))/(Norm_Stats!$G$4-Norm_Stats!$F$4))))</f>
        <v/>
      </c>
      <c r="L85" s="14">
        <f>IF(K85="","",1)</f>
        <v/>
      </c>
      <c r="M85" s="11">
        <f>IF(OR(City_Inputs!$Q85="",Norm_Stats!$F$5="",Norm_Stats!$G$5="",Norm_Stats!$G$5=Norm_Stats!$F$5),"",MAX(0,MIN(100,100*(Norm_Stats!$G$5-MIN(MAX(City_Inputs!$Q85,Norm_Stats!$F$5),Norm_Stats!$G$5))/(Norm_Stats!$G$5-Norm_Stats!$F$5))))</f>
        <v/>
      </c>
      <c r="N85" s="14">
        <f>IF(M85="","",1)</f>
        <v/>
      </c>
      <c r="O85" s="11">
        <f>IF(OR(City_Inputs!$R85="",Norm_Stats!$F$6="",Norm_Stats!$G$6="",Norm_Stats!$G$6=Norm_Stats!$F$6),"",MAX(0,MIN(100,100*(Norm_Stats!$G$6-MIN(MAX(City_Inputs!$R85,Norm_Stats!$F$6),Norm_Stats!$G$6))/(Norm_Stats!$G$6-Norm_Stats!$F$6))))</f>
        <v/>
      </c>
      <c r="P85" s="14">
        <f>IF(O85="","",1)</f>
        <v/>
      </c>
      <c r="Q85" s="15">
        <f>IF((IF(G85="",0,9)+IF(I85="",0,5)+IF(K85="",0,4)+IF(M85="",0,4)+IF(O85="",0,3))=0,"",(IF(G85="",0,G85*9)+IF(I85="",0,I85*5)+IF(K85="",0,K85*4)+IF(M85="",0,M85*4)+IF(O85="",0,O85*3))/(IF(G85="",0,9)+IF(I85="",0,5)+IF(K85="",0,4)+IF(M85="",0,4)+IF(O85="",0,3)))</f>
        <v/>
      </c>
      <c r="R85" s="14">
        <f>IF((IF(H85="",0,9)+IF(J85="",0,5)+IF(L85="",0,4)+IF(N85="",0,4)+IF(P85="",0,3))=0,"",(IF(H85="",0,H85*9)+IF(J85="",0,J85*5)+IF(L85="",0,L85*4)+IF(N85="",0,N85*4)+IF(P85="",0,P85*3))/25)</f>
        <v/>
      </c>
      <c r="S85" s="11">
        <f>IF(OR(City_Inputs!$S85="",Norm_Stats!$F$7="",Norm_Stats!$G$7="",Norm_Stats!$G$7=Norm_Stats!$F$7),"",MAX(0,MIN(100,100*(Norm_Stats!$G$7-MIN(MAX(City_Inputs!$S85,Norm_Stats!$F$7),Norm_Stats!$G$7))/(Norm_Stats!$G$7-Norm_Stats!$F$7))))</f>
        <v/>
      </c>
      <c r="T85" s="14">
        <f>IF(S85="","",1)</f>
        <v/>
      </c>
      <c r="U85" s="11">
        <f>IF(OR(City_Inputs!$T85="",Norm_Stats!$F$8="",Norm_Stats!$G$8="",Norm_Stats!$G$8=Norm_Stats!$F$8),"",MAX(0,MIN(100,100*(MIN(MAX(City_Inputs!$T85,Norm_Stats!$F$8),Norm_Stats!$G$8)-Norm_Stats!$F$8)/(Norm_Stats!$G$8-Norm_Stats!$F$8))))</f>
        <v/>
      </c>
      <c r="V85" s="14">
        <f>IF(U85="","",1)</f>
        <v/>
      </c>
      <c r="W85" s="11">
        <f>IF(OR(City_Inputs!$U85="",Norm_Stats!$F$9="",Norm_Stats!$G$9="",Norm_Stats!$G$9=Norm_Stats!$F$9),"",MAX(0,MIN(100,100*(Norm_Stats!$G$9-MIN(MAX(City_Inputs!$U85,Norm_Stats!$F$9),Norm_Stats!$G$9))/(Norm_Stats!$G$9-Norm_Stats!$F$9))))</f>
        <v/>
      </c>
      <c r="X85" s="14">
        <f>IF(W85="","",1)</f>
        <v/>
      </c>
      <c r="Y85" s="11">
        <f>IF(OR(City_Inputs!$V85="",Norm_Stats!$F$10="",Norm_Stats!$G$10="",Norm_Stats!$G$10=Norm_Stats!$F$10),"",MAX(0,MIN(100,100*(MIN(MAX(City_Inputs!$V85,Norm_Stats!$F$10),Norm_Stats!$G$10)-Norm_Stats!$F$10)/(Norm_Stats!$G$10-Norm_Stats!$F$10))))</f>
        <v/>
      </c>
      <c r="Z85" s="14">
        <f>IF(Y85="","",1)</f>
        <v/>
      </c>
      <c r="AA85" s="11">
        <f>IF(OR(City_Inputs!$W85="",Norm_Stats!$F$11="",Norm_Stats!$G$11="",Norm_Stats!$G$11=Norm_Stats!$F$11),"",MAX(0,MIN(100,100*(MIN(MAX(City_Inputs!$W85,Norm_Stats!$F$11),Norm_Stats!$G$11)-Norm_Stats!$F$11)/(Norm_Stats!$G$11-Norm_Stats!$F$11))))</f>
        <v/>
      </c>
      <c r="AB85" s="14">
        <f>IF(AA85="","",1)</f>
        <v/>
      </c>
      <c r="AC85" s="15">
        <f>IF((IF(S85="",0,5)+IF(U85="",0,5)+IF(W85="",0,4)+IF(Y85="",0,4)+IF(AA85="",0,4))=0,"",(IF(S85="",0,S85*5)+IF(U85="",0,U85*5)+IF(W85="",0,W85*4)+IF(Y85="",0,Y85*4)+IF(AA85="",0,AA85*4))/(IF(S85="",0,5)+IF(U85="",0,5)+IF(W85="",0,4)+IF(Y85="",0,4)+IF(AA85="",0,4)))</f>
        <v/>
      </c>
      <c r="AD85" s="14">
        <f>IF((IF(T85="",0,5)+IF(V85="",0,5)+IF(X85="",0,4)+IF(Z85="",0,4)+IF(AB85="",0,4))=0,"",(IF(T85="",0,T85*5)+IF(V85="",0,V85*5)+IF(X85="",0,X85*4)+IF(Z85="",0,Z85*4)+IF(AB85="",0,AB85*4))/22)</f>
        <v/>
      </c>
      <c r="AE85" s="11">
        <f>IF(OR(City_Inputs!$X85="",Norm_Stats!$F$12="",Norm_Stats!$G$12="",Norm_Stats!$G$12=Norm_Stats!$F$12),"",MAX(0,MIN(100,100*(MIN(MAX(City_Inputs!$X85,Norm_Stats!$F$12),Norm_Stats!$G$12)-Norm_Stats!$F$12)/(Norm_Stats!$G$12-Norm_Stats!$F$12))))</f>
        <v/>
      </c>
      <c r="AF85" s="14">
        <f>IF(AE85="","",1)</f>
        <v/>
      </c>
      <c r="AG85" s="11">
        <f>IF(OR(City_Inputs!$Y85="",Norm_Stats!$F$13="",Norm_Stats!$G$13="",Norm_Stats!$G$13=Norm_Stats!$F$13),"",MAX(0,MIN(100,100*(MIN(MAX(City_Inputs!$Y85,Norm_Stats!$F$13),Norm_Stats!$G$13)-Norm_Stats!$F$13)/(Norm_Stats!$G$13-Norm_Stats!$F$13))))</f>
        <v/>
      </c>
      <c r="AH85" s="14">
        <f>IF(AG85="","",1)</f>
        <v/>
      </c>
      <c r="AI85" s="11">
        <f>IF((IF((IF(OR(City_Inputs!$Z85="",Norm_Stats!$F$14="",Norm_Stats!$G$14="",Norm_Stats!$G$14=Norm_Stats!$F$14),"",MAX(0,MIN(100,100*(MIN(MAX(City_Inputs!$Z85,Norm_Stats!$F$14),Norm_Stats!$G$14)-Norm_Stats!$F$14)/(Norm_Stats!$G$14-Norm_Stats!$F$14)))))="",0,0.7)+IF((IF(OR(City_Inputs!$AK85="",Norm_Stats!$F$15="",Norm_Stats!$G$15="",Norm_Stats!$G$15=Norm_Stats!$F$15),"",MAX(0,MIN(100,100*(Norm_Stats!$G$15-MIN(MAX(City_Inputs!$AK85,Norm_Stats!$F$15),Norm_Stats!$G$15))/(Norm_Stats!$G$15-Norm_Stats!$F$15)))))="",0,0.3))=0,"",(IF((IF(OR(City_Inputs!$Z85="",Norm_Stats!$F$14="",Norm_Stats!$G$14="",Norm_Stats!$G$14=Norm_Stats!$F$14),"",MAX(0,MIN(100,100*(MIN(MAX(City_Inputs!$Z85,Norm_Stats!$F$14),Norm_Stats!$G$14)-Norm_Stats!$F$14)/(Norm_Stats!$G$14-Norm_Stats!$F$14)))))="",0,(IF(OR(City_Inputs!$Z85="",Norm_Stats!$F$14="",Norm_Stats!$G$14="",Norm_Stats!$G$14=Norm_Stats!$F$14),"",MAX(0,MIN(100,100*(MIN(MAX(City_Inputs!$Z85,Norm_Stats!$F$14),Norm_Stats!$G$14)-Norm_Stats!$F$14)/(Norm_Stats!$G$14-Norm_Stats!$F$14)))))*0.7)+IF((IF(OR(City_Inputs!$AK85="",Norm_Stats!$F$15="",Norm_Stats!$G$15="",Norm_Stats!$G$15=Norm_Stats!$F$15),"",MAX(0,MIN(100,100*(Norm_Stats!$G$15-MIN(MAX(City_Inputs!$AK85,Norm_Stats!$F$15),Norm_Stats!$G$15))/(Norm_Stats!$G$15-Norm_Stats!$F$15)))))="",0,(IF(OR(City_Inputs!$AK85="",Norm_Stats!$F$15="",Norm_Stats!$G$15="",Norm_Stats!$G$15=Norm_Stats!$F$15),"",MAX(0,MIN(100,100*(Norm_Stats!$G$15-MIN(MAX(City_Inputs!$AK85,Norm_Stats!$F$15),Norm_Stats!$G$15))/(Norm_Stats!$G$15-Norm_Stats!$F$15)))))*0.3))/(IF((IF(OR(City_Inputs!$Z85="",Norm_Stats!$F$14="",Norm_Stats!$G$14="",Norm_Stats!$G$14=Norm_Stats!$F$14),"",MAX(0,MIN(100,100*(MIN(MAX(City_Inputs!$Z85,Norm_Stats!$F$14),Norm_Stats!$G$14)-Norm_Stats!$F$14)/(Norm_Stats!$G$14-Norm_Stats!$F$14)))))="",0,0.7)+IF((IF(OR(City_Inputs!$AK85="",Norm_Stats!$F$15="",Norm_Stats!$G$15="",Norm_Stats!$G$15=Norm_Stats!$F$15),"",MAX(0,MIN(100,100*(Norm_Stats!$G$15-MIN(MAX(City_Inputs!$AK85,Norm_Stats!$F$15),Norm_Stats!$G$15))/(Norm_Stats!$G$15-Norm_Stats!$F$15)))))="",0,0.3)))</f>
        <v/>
      </c>
      <c r="AJ85" s="14">
        <f>IF((IF((IF(OR(City_Inputs!$Z85="",Norm_Stats!$F$14="",Norm_Stats!$G$14="",Norm_Stats!$G$14=Norm_Stats!$F$14),"",MAX(0,MIN(100,100*(MIN(MAX(City_Inputs!$Z85,Norm_Stats!$F$14),Norm_Stats!$G$14)-Norm_Stats!$F$14)/(Norm_Stats!$G$14-Norm_Stats!$F$14)))))="",0,0.7)+IF((IF(OR(City_Inputs!$AK85="",Norm_Stats!$F$15="",Norm_Stats!$G$15="",Norm_Stats!$G$15=Norm_Stats!$F$15),"",MAX(0,MIN(100,100*(Norm_Stats!$G$15-MIN(MAX(City_Inputs!$AK85,Norm_Stats!$F$15),Norm_Stats!$G$15))/(Norm_Stats!$G$15-Norm_Stats!$F$15)))))="",0,0.3))=0,"",(IF((IF(OR(City_Inputs!$Z85="",Norm_Stats!$F$14="",Norm_Stats!$G$14="",Norm_Stats!$G$14=Norm_Stats!$F$14),"",MAX(0,MIN(100,100*(MIN(MAX(City_Inputs!$Z85,Norm_Stats!$F$14),Norm_Stats!$G$14)-Norm_Stats!$F$14)/(Norm_Stats!$G$14-Norm_Stats!$F$14)))))="",0,0.7)+IF((IF(OR(City_Inputs!$AK85="",Norm_Stats!$F$15="",Norm_Stats!$G$15="",Norm_Stats!$G$15=Norm_Stats!$F$15),"",MAX(0,MIN(100,100*(Norm_Stats!$G$15-MIN(MAX(City_Inputs!$AK85,Norm_Stats!$F$15),Norm_Stats!$G$15))/(Norm_Stats!$G$15-Norm_Stats!$F$15)))))="",0,0.3)))</f>
        <v/>
      </c>
      <c r="AK85" s="15">
        <f>IF((IF(AE85="",0,8)+IF(AG85="",0,6)+IF(AI85="",0,4))=0,"",(IF(AE85="",0,AE85*8)+IF(AG85="",0,AG85*6)+IF(AI85="",0,AI85*4))/(IF(AE85="",0,8)+IF(AG85="",0,6)+IF(AI85="",0,4)))</f>
        <v/>
      </c>
      <c r="AL85" s="14">
        <f>IF((IF(AF85="",0,8)+IF(AH85="",0,6)+IF(AJ85="",0,4))=0,"",(IF(AF85="",0,AF85*8)+IF(AH85="",0,AH85*6)+IF(AJ85="",0,AJ85*4))/18)</f>
        <v/>
      </c>
      <c r="AM85" s="11">
        <f>IF(OR(City_Inputs!$AA85="",Norm_Stats!$F$16="",Norm_Stats!$G$16="",Norm_Stats!$G$16=Norm_Stats!$F$16),"",MAX(0,MIN(100,100*(MIN(MAX(City_Inputs!$AA85,Norm_Stats!$F$16),Norm_Stats!$G$16)-Norm_Stats!$F$16)/(Norm_Stats!$G$16-Norm_Stats!$F$16))))</f>
        <v/>
      </c>
      <c r="AN85" s="14">
        <f>IF(AM85="","",1)</f>
        <v/>
      </c>
      <c r="AO85" s="11">
        <f>IF(OR(City_Inputs!$AB85="",Norm_Stats!$F$17="",Norm_Stats!$G$17="",Norm_Stats!$G$17=Norm_Stats!$F$17),"",MAX(0,MIN(100,100*(MIN(MAX(City_Inputs!$AB85,Norm_Stats!$F$17),Norm_Stats!$G$17)-Norm_Stats!$F$17)/(Norm_Stats!$G$17-Norm_Stats!$F$17))))</f>
        <v/>
      </c>
      <c r="AP85" s="14">
        <f>IF(AO85="","",1)</f>
        <v/>
      </c>
      <c r="AQ85" s="11">
        <f>IF(OR(City_Inputs!$AC85="",Norm_Stats!$F$18="",Norm_Stats!$G$18="",Norm_Stats!$G$18=Norm_Stats!$F$18),"",MAX(0,MIN(100,100*(MIN(MAX(City_Inputs!$AC85,Norm_Stats!$F$18),Norm_Stats!$G$18)-Norm_Stats!$F$18)/(Norm_Stats!$G$18-Norm_Stats!$F$18))))</f>
        <v/>
      </c>
      <c r="AR85" s="14">
        <f>IF(AQ85="","",1)</f>
        <v/>
      </c>
      <c r="AS85" s="15">
        <f>IF((IF(AM85="",0,5)+IF(AO85="",0,5)+IF(AQ85="",0,5))=0,"",(IF(AM85="",0,AM85*5)+IF(AO85="",0,AO85*5)+IF(AQ85="",0,AQ85*5))/(IF(AM85="",0,5)+IF(AO85="",0,5)+IF(AQ85="",0,5)))</f>
        <v/>
      </c>
      <c r="AT85" s="14">
        <f>IF((IF(AN85="",0,5)+IF(AP85="",0,5)+IF(AR85="",0,5))=0,"",(IF(AN85="",0,AN85*5)+IF(AP85="",0,AP85*5)+IF(AR85="",0,AR85*5))/15)</f>
        <v/>
      </c>
      <c r="AU85" s="11">
        <f>IF(OR(City_Inputs!$AD85="",Norm_Stats!$F$19="",Norm_Stats!$G$19="",Norm_Stats!$G$19=Norm_Stats!$F$19),"",MAX(0,MIN(100,100*(MIN(MAX(City_Inputs!$AD85,Norm_Stats!$F$19),Norm_Stats!$G$19)-Norm_Stats!$F$19)/(Norm_Stats!$G$19-Norm_Stats!$F$19))))</f>
        <v/>
      </c>
      <c r="AV85" s="14">
        <f>IF(AU85="","",1)</f>
        <v/>
      </c>
      <c r="AW85" s="11">
        <f>IF(OR(City_Inputs!$AE85="",Norm_Stats!$F$20="",Norm_Stats!$G$20="",Norm_Stats!$G$20=Norm_Stats!$F$20),"",MAX(0,MIN(100,100*(MIN(MAX(City_Inputs!$AE85,Norm_Stats!$F$20),Norm_Stats!$G$20)-Norm_Stats!$F$20)/(Norm_Stats!$G$20-Norm_Stats!$F$20))))</f>
        <v/>
      </c>
      <c r="AX85" s="14">
        <f>IF(AW85="","",1)</f>
        <v/>
      </c>
      <c r="AY85" s="11">
        <f>IF((IF((IF(OR(City_Inputs!$AF85="",Norm_Stats!$F$21="",Norm_Stats!$G$21="",Norm_Stats!$G$21=Norm_Stats!$F$21),"",MAX(0,MIN(100,100*(MIN(MAX(City_Inputs!$AF85,Norm_Stats!$F$21),Norm_Stats!$G$21)-Norm_Stats!$F$21)/(Norm_Stats!$G$21-Norm_Stats!$F$21)))))="",0,0.5)+IF((IF(OR(City_Inputs!$AI85="",Norm_Stats!$F$22="",Norm_Stats!$G$22="",Norm_Stats!$G$22=Norm_Stats!$F$22),"",MAX(0,MIN(100,100*(MIN(MAX(City_Inputs!$AI85,Norm_Stats!$F$22),Norm_Stats!$G$22)-Norm_Stats!$F$22)/(Norm_Stats!$G$22-Norm_Stats!$F$22)))))="",0,0.3)+IF((IF(OR(City_Inputs!$AJ85="",Norm_Stats!$F$23="",Norm_Stats!$G$23="",Norm_Stats!$G$23=Norm_Stats!$F$23),"",MAX(0,MIN(100,100*(MIN(MAX(City_Inputs!$AJ85,Norm_Stats!$F$23),Norm_Stats!$G$23)-Norm_Stats!$F$23)/(Norm_Stats!$G$23-Norm_Stats!$F$23)))))="",0,0.2))=0,"",(IF((IF(OR(City_Inputs!$AF85="",Norm_Stats!$F$21="",Norm_Stats!$G$21="",Norm_Stats!$G$21=Norm_Stats!$F$21),"",MAX(0,MIN(100,100*(MIN(MAX(City_Inputs!$AF85,Norm_Stats!$F$21),Norm_Stats!$G$21)-Norm_Stats!$F$21)/(Norm_Stats!$G$21-Norm_Stats!$F$21)))))="",0,(IF(OR(City_Inputs!$AF85="",Norm_Stats!$F$21="",Norm_Stats!$G$21="",Norm_Stats!$G$21=Norm_Stats!$F$21),"",MAX(0,MIN(100,100*(MIN(MAX(City_Inputs!$AF85,Norm_Stats!$F$21),Norm_Stats!$G$21)-Norm_Stats!$F$21)/(Norm_Stats!$G$21-Norm_Stats!$F$21)))))*0.5)+IF((IF(OR(City_Inputs!$AI85="",Norm_Stats!$F$22="",Norm_Stats!$G$22="",Norm_Stats!$G$22=Norm_Stats!$F$22),"",MAX(0,MIN(100,100*(MIN(MAX(City_Inputs!$AI85,Norm_Stats!$F$22),Norm_Stats!$G$22)-Norm_Stats!$F$22)/(Norm_Stats!$G$22-Norm_Stats!$F$22)))))="",0,(IF(OR(City_Inputs!$AI85="",Norm_Stats!$F$22="",Norm_Stats!$G$22="",Norm_Stats!$G$22=Norm_Stats!$F$22),"",MAX(0,MIN(100,100*(MIN(MAX(City_Inputs!$AI85,Norm_Stats!$F$22),Norm_Stats!$G$22)-Norm_Stats!$F$22)/(Norm_Stats!$G$22-Norm_Stats!$F$22)))))*0.3)+IF((IF(OR(City_Inputs!$AJ85="",Norm_Stats!$F$23="",Norm_Stats!$G$23="",Norm_Stats!$G$23=Norm_Stats!$F$23),"",MAX(0,MIN(100,100*(MIN(MAX(City_Inputs!$AJ85,Norm_Stats!$F$23),Norm_Stats!$G$23)-Norm_Stats!$F$23)/(Norm_Stats!$G$23-Norm_Stats!$F$23)))))="",0,(IF(OR(City_Inputs!$AJ85="",Norm_Stats!$F$23="",Norm_Stats!$G$23="",Norm_Stats!$G$23=Norm_Stats!$F$23),"",MAX(0,MIN(100,100*(MIN(MAX(City_Inputs!$AJ85,Norm_Stats!$F$23),Norm_Stats!$G$23)-Norm_Stats!$F$23)/(Norm_Stats!$G$23-Norm_Stats!$F$23)))))*0.2))/(IF((IF(OR(City_Inputs!$AF85="",Norm_Stats!$F$21="",Norm_Stats!$G$21="",Norm_Stats!$G$21=Norm_Stats!$F$21),"",MAX(0,MIN(100,100*(MIN(MAX(City_Inputs!$AF85,Norm_Stats!$F$21),Norm_Stats!$G$21)-Norm_Stats!$F$21)/(Norm_Stats!$G$21-Norm_Stats!$F$21)))))="",0,0.5)+IF((IF(OR(City_Inputs!$AI85="",Norm_Stats!$F$22="",Norm_Stats!$G$22="",Norm_Stats!$G$22=Norm_Stats!$F$22),"",MAX(0,MIN(100,100*(MIN(MAX(City_Inputs!$AI85,Norm_Stats!$F$22),Norm_Stats!$G$22)-Norm_Stats!$F$22)/(Norm_Stats!$G$22-Norm_Stats!$F$22)))))="",0,0.3)+IF((IF(OR(City_Inputs!$AJ85="",Norm_Stats!$F$23="",Norm_Stats!$G$23="",Norm_Stats!$G$23=Norm_Stats!$F$23),"",MAX(0,MIN(100,100*(MIN(MAX(City_Inputs!$AJ85,Norm_Stats!$F$23),Norm_Stats!$G$23)-Norm_Stats!$F$23)/(Norm_Stats!$G$23-Norm_Stats!$F$23)))))="",0,0.2)))</f>
        <v/>
      </c>
      <c r="AZ85" s="14">
        <f>IF((IF((IF(OR(City_Inputs!$AF85="",Norm_Stats!$F$21="",Norm_Stats!$G$21="",Norm_Stats!$G$21=Norm_Stats!$F$21),"",MAX(0,MIN(100,100*(MIN(MAX(City_Inputs!$AF85,Norm_Stats!$F$21),Norm_Stats!$G$21)-Norm_Stats!$F$21)/(Norm_Stats!$G$21-Norm_Stats!$F$21)))))="",0,0.5)+IF((IF(OR(City_Inputs!$AI85="",Norm_Stats!$F$22="",Norm_Stats!$G$22="",Norm_Stats!$G$22=Norm_Stats!$F$22),"",MAX(0,MIN(100,100*(MIN(MAX(City_Inputs!$AI85,Norm_Stats!$F$22),Norm_Stats!$G$22)-Norm_Stats!$F$22)/(Norm_Stats!$G$22-Norm_Stats!$F$22)))))="",0,0.3)+IF((IF(OR(City_Inputs!$AJ85="",Norm_Stats!$F$23="",Norm_Stats!$G$23="",Norm_Stats!$G$23=Norm_Stats!$F$23),"",MAX(0,MIN(100,100*(MIN(MAX(City_Inputs!$AJ85,Norm_Stats!$F$23),Norm_Stats!$G$23)-Norm_Stats!$F$23)/(Norm_Stats!$G$23-Norm_Stats!$F$23)))))="",0,0.2))=0,"",(IF((IF(OR(City_Inputs!$AF85="",Norm_Stats!$F$21="",Norm_Stats!$G$21="",Norm_Stats!$G$21=Norm_Stats!$F$21),"",MAX(0,MIN(100,100*(MIN(MAX(City_Inputs!$AF85,Norm_Stats!$F$21),Norm_Stats!$G$21)-Norm_Stats!$F$21)/(Norm_Stats!$G$21-Norm_Stats!$F$21)))))="",0,0.5)+IF((IF(OR(City_Inputs!$AI85="",Norm_Stats!$F$22="",Norm_Stats!$G$22="",Norm_Stats!$G$22=Norm_Stats!$F$22),"",MAX(0,MIN(100,100*(MIN(MAX(City_Inputs!$AI85,Norm_Stats!$F$22),Norm_Stats!$G$22)-Norm_Stats!$F$22)/(Norm_Stats!$G$22-Norm_Stats!$F$22)))))="",0,0.3)+IF((IF(OR(City_Inputs!$AJ85="",Norm_Stats!$F$23="",Norm_Stats!$G$23="",Norm_Stats!$G$23=Norm_Stats!$F$23),"",MAX(0,MIN(100,100*(MIN(MAX(City_Inputs!$AJ85,Norm_Stats!$F$23),Norm_Stats!$G$23)-Norm_Stats!$F$23)/(Norm_Stats!$G$23-Norm_Stats!$F$23)))))="",0,0.2)))</f>
        <v/>
      </c>
      <c r="BA85" s="11">
        <f>IF(OR(City_Inputs!$AG85="",Norm_Stats!$F$24="",Norm_Stats!$G$24="",Norm_Stats!$G$24=Norm_Stats!$F$24),"",MAX(0,MIN(100,100*(Norm_Stats!$G$24-MIN(MAX(City_Inputs!$AG85,Norm_Stats!$F$24),Norm_Stats!$G$24))/(Norm_Stats!$G$24-Norm_Stats!$F$24))))</f>
        <v/>
      </c>
      <c r="BB85" s="14">
        <f>IF(BA85="","",1)</f>
        <v/>
      </c>
      <c r="BC85" s="15">
        <f>IF((IF(AU85="",0,6)+IF(AW85="",0,5)+IF(AY85="",0,5)+IF(BA85="",0,4))=0,"",(IF(AU85="",0,AU85*6)+IF(AW85="",0,AW85*5)+IF(AY85="",0,AY85*5)+IF(BA85="",0,BA85*4))/(IF(AU85="",0,6)+IF(AW85="",0,5)+IF(AY85="",0,5)+IF(BA85="",0,4)))</f>
        <v/>
      </c>
      <c r="BD85" s="14">
        <f>IF((IF(AV85="",0,6)+IF(AX85="",0,5)+IF(AZ85="",0,5)+IF(BB85="",0,4))=0,"",(IF(AV85="",0,AV85*6)+IF(AX85="",0,AX85*5)+IF(AZ85="",0,AZ85*5)+IF(BB85="",0,BB85*4))/20)</f>
        <v/>
      </c>
      <c r="BE85" s="14">
        <f>IF(AND(R85="",AD85="",AL85="",AT85="",BD85=""),"",((R85*25)+(AD85*22)+(AL85*18)+(AT85*15)+(BD85*20))/100)</f>
        <v/>
      </c>
      <c r="BF85" s="11">
        <f>IF(BE85="","",IF(BE85&gt;=0.75,"A",IF(BE85&gt;=0.5,"B",IF(BE85&gt;=0.35,"C","Watchlist"))))</f>
        <v/>
      </c>
      <c r="BG85" s="11">
        <f>IF(OR(BE85="",BE85&lt;0.5,R85="",R85&lt;0.35,AD85="",AD85&lt;0.35,AL85="",AL85&lt;0.35,AT85="",AT85&lt;0.35,BD85="",BD85&lt;0.35),"Watchlist","Ranked")</f>
        <v/>
      </c>
      <c r="BH85" s="15">
        <f>IF(AND(Q85="",AC85="",AK85="",AS85="",BC85=""),"",(IF(Q85="",0,Q85*25)+IF(AC85="",0,AC85*22)+IF(AK85="",0,AK85*18)+IF(AS85="",0,AS85*15)+IF(BC85="",0,BC85*20))/(IF(Q85="",0,25)+IF(AC85="",0,22)+IF(AK85="",0,18)+IF(AS85="",0,15)+IF(BC85="",0,20)))</f>
        <v/>
      </c>
      <c r="BI85" s="11">
        <f>IF(BG85="Ranked",1+COUNTIFS($BG$2:$BG$103,"Ranked",$BH$2:$BH$103,"&gt;"&amp;BH85),"")</f>
        <v/>
      </c>
      <c r="BJ85" s="11">
        <f>City_Inputs!$AH85</f>
        <v/>
      </c>
    </row>
    <row r="86">
      <c r="A86" t="inlineStr">
        <is>
          <t>ke-nairobi</t>
        </is>
      </c>
      <c r="B86" t="inlineStr">
        <is>
          <t>Nairobi</t>
        </is>
      </c>
      <c r="C86" t="inlineStr">
        <is>
          <t>Kenya</t>
        </is>
      </c>
      <c r="D86" t="inlineStr">
        <is>
          <t>Africa</t>
        </is>
      </c>
      <c r="E86" t="inlineStr">
        <is>
          <t>locked</t>
        </is>
      </c>
      <c r="F86" t="inlineStr">
        <is>
          <t>primary</t>
        </is>
      </c>
      <c r="G86" s="11">
        <f>IF(OR(City_Inputs!$M86="",Norm_Stats!$F$2="",Norm_Stats!$G$2="",Norm_Stats!$G$2=Norm_Stats!$F$2),"",MAX(0,MIN(100,100*(MIN(MAX(City_Inputs!$M86,Norm_Stats!$F$2),Norm_Stats!$G$2)-Norm_Stats!$F$2)/(Norm_Stats!$G$2-Norm_Stats!$F$2))))</f>
        <v/>
      </c>
      <c r="H86" s="14">
        <f>IF(G86="","",1)</f>
        <v/>
      </c>
      <c r="I86" s="11">
        <f>IF(OR(City_Inputs!$N86="",Norm_Stats!$F$3="",Norm_Stats!$G$3="",Norm_Stats!$G$3=Norm_Stats!$F$3),"",MAX(0,MIN(100,100*(Norm_Stats!$G$3-MIN(MAX(City_Inputs!$N86,Norm_Stats!$F$3),Norm_Stats!$G$3))/(Norm_Stats!$G$3-Norm_Stats!$F$3))))</f>
        <v/>
      </c>
      <c r="J86" s="14">
        <f>IF(I86="","",1)</f>
        <v/>
      </c>
      <c r="K86" s="11">
        <f>IF(OR(City_Inputs!$P86="",Norm_Stats!$F$4="",Norm_Stats!$G$4="",Norm_Stats!$G$4=Norm_Stats!$F$4),"",MAX(0,MIN(100,100*(Norm_Stats!$G$4-MIN(MAX(City_Inputs!$P86,Norm_Stats!$F$4),Norm_Stats!$G$4))/(Norm_Stats!$G$4-Norm_Stats!$F$4))))</f>
        <v/>
      </c>
      <c r="L86" s="14">
        <f>IF(K86="","",1)</f>
        <v/>
      </c>
      <c r="M86" s="11">
        <f>IF(OR(City_Inputs!$Q86="",Norm_Stats!$F$5="",Norm_Stats!$G$5="",Norm_Stats!$G$5=Norm_Stats!$F$5),"",MAX(0,MIN(100,100*(Norm_Stats!$G$5-MIN(MAX(City_Inputs!$Q86,Norm_Stats!$F$5),Norm_Stats!$G$5))/(Norm_Stats!$G$5-Norm_Stats!$F$5))))</f>
        <v/>
      </c>
      <c r="N86" s="14">
        <f>IF(M86="","",1)</f>
        <v/>
      </c>
      <c r="O86" s="11">
        <f>IF(OR(City_Inputs!$R86="",Norm_Stats!$F$6="",Norm_Stats!$G$6="",Norm_Stats!$G$6=Norm_Stats!$F$6),"",MAX(0,MIN(100,100*(Norm_Stats!$G$6-MIN(MAX(City_Inputs!$R86,Norm_Stats!$F$6),Norm_Stats!$G$6))/(Norm_Stats!$G$6-Norm_Stats!$F$6))))</f>
        <v/>
      </c>
      <c r="P86" s="14">
        <f>IF(O86="","",1)</f>
        <v/>
      </c>
      <c r="Q86" s="15">
        <f>IF((IF(G86="",0,9)+IF(I86="",0,5)+IF(K86="",0,4)+IF(M86="",0,4)+IF(O86="",0,3))=0,"",(IF(G86="",0,G86*9)+IF(I86="",0,I86*5)+IF(K86="",0,K86*4)+IF(M86="",0,M86*4)+IF(O86="",0,O86*3))/(IF(G86="",0,9)+IF(I86="",0,5)+IF(K86="",0,4)+IF(M86="",0,4)+IF(O86="",0,3)))</f>
        <v/>
      </c>
      <c r="R86" s="14">
        <f>IF((IF(H86="",0,9)+IF(J86="",0,5)+IF(L86="",0,4)+IF(N86="",0,4)+IF(P86="",0,3))=0,"",(IF(H86="",0,H86*9)+IF(J86="",0,J86*5)+IF(L86="",0,L86*4)+IF(N86="",0,N86*4)+IF(P86="",0,P86*3))/25)</f>
        <v/>
      </c>
      <c r="S86" s="11">
        <f>IF(OR(City_Inputs!$S86="",Norm_Stats!$F$7="",Norm_Stats!$G$7="",Norm_Stats!$G$7=Norm_Stats!$F$7),"",MAX(0,MIN(100,100*(Norm_Stats!$G$7-MIN(MAX(City_Inputs!$S86,Norm_Stats!$F$7),Norm_Stats!$G$7))/(Norm_Stats!$G$7-Norm_Stats!$F$7))))</f>
        <v/>
      </c>
      <c r="T86" s="14">
        <f>IF(S86="","",1)</f>
        <v/>
      </c>
      <c r="U86" s="11">
        <f>IF(OR(City_Inputs!$T86="",Norm_Stats!$F$8="",Norm_Stats!$G$8="",Norm_Stats!$G$8=Norm_Stats!$F$8),"",MAX(0,MIN(100,100*(MIN(MAX(City_Inputs!$T86,Norm_Stats!$F$8),Norm_Stats!$G$8)-Norm_Stats!$F$8)/(Norm_Stats!$G$8-Norm_Stats!$F$8))))</f>
        <v/>
      </c>
      <c r="V86" s="14">
        <f>IF(U86="","",1)</f>
        <v/>
      </c>
      <c r="W86" s="11">
        <f>IF(OR(City_Inputs!$U86="",Norm_Stats!$F$9="",Norm_Stats!$G$9="",Norm_Stats!$G$9=Norm_Stats!$F$9),"",MAX(0,MIN(100,100*(Norm_Stats!$G$9-MIN(MAX(City_Inputs!$U86,Norm_Stats!$F$9),Norm_Stats!$G$9))/(Norm_Stats!$G$9-Norm_Stats!$F$9))))</f>
        <v/>
      </c>
      <c r="X86" s="14">
        <f>IF(W86="","",1)</f>
        <v/>
      </c>
      <c r="Y86" s="11">
        <f>IF(OR(City_Inputs!$V86="",Norm_Stats!$F$10="",Norm_Stats!$G$10="",Norm_Stats!$G$10=Norm_Stats!$F$10),"",MAX(0,MIN(100,100*(MIN(MAX(City_Inputs!$V86,Norm_Stats!$F$10),Norm_Stats!$G$10)-Norm_Stats!$F$10)/(Norm_Stats!$G$10-Norm_Stats!$F$10))))</f>
        <v/>
      </c>
      <c r="Z86" s="14">
        <f>IF(Y86="","",1)</f>
        <v/>
      </c>
      <c r="AA86" s="11">
        <f>IF(OR(City_Inputs!$W86="",Norm_Stats!$F$11="",Norm_Stats!$G$11="",Norm_Stats!$G$11=Norm_Stats!$F$11),"",MAX(0,MIN(100,100*(MIN(MAX(City_Inputs!$W86,Norm_Stats!$F$11),Norm_Stats!$G$11)-Norm_Stats!$F$11)/(Norm_Stats!$G$11-Norm_Stats!$F$11))))</f>
        <v/>
      </c>
      <c r="AB86" s="14">
        <f>IF(AA86="","",1)</f>
        <v/>
      </c>
      <c r="AC86" s="15">
        <f>IF((IF(S86="",0,5)+IF(U86="",0,5)+IF(W86="",0,4)+IF(Y86="",0,4)+IF(AA86="",0,4))=0,"",(IF(S86="",0,S86*5)+IF(U86="",0,U86*5)+IF(W86="",0,W86*4)+IF(Y86="",0,Y86*4)+IF(AA86="",0,AA86*4))/(IF(S86="",0,5)+IF(U86="",0,5)+IF(W86="",0,4)+IF(Y86="",0,4)+IF(AA86="",0,4)))</f>
        <v/>
      </c>
      <c r="AD86" s="14">
        <f>IF((IF(T86="",0,5)+IF(V86="",0,5)+IF(X86="",0,4)+IF(Z86="",0,4)+IF(AB86="",0,4))=0,"",(IF(T86="",0,T86*5)+IF(V86="",0,V86*5)+IF(X86="",0,X86*4)+IF(Z86="",0,Z86*4)+IF(AB86="",0,AB86*4))/22)</f>
        <v/>
      </c>
      <c r="AE86" s="11">
        <f>IF(OR(City_Inputs!$X86="",Norm_Stats!$F$12="",Norm_Stats!$G$12="",Norm_Stats!$G$12=Norm_Stats!$F$12),"",MAX(0,MIN(100,100*(MIN(MAX(City_Inputs!$X86,Norm_Stats!$F$12),Norm_Stats!$G$12)-Norm_Stats!$F$12)/(Norm_Stats!$G$12-Norm_Stats!$F$12))))</f>
        <v/>
      </c>
      <c r="AF86" s="14">
        <f>IF(AE86="","",1)</f>
        <v/>
      </c>
      <c r="AG86" s="11">
        <f>IF(OR(City_Inputs!$Y86="",Norm_Stats!$F$13="",Norm_Stats!$G$13="",Norm_Stats!$G$13=Norm_Stats!$F$13),"",MAX(0,MIN(100,100*(MIN(MAX(City_Inputs!$Y86,Norm_Stats!$F$13),Norm_Stats!$G$13)-Norm_Stats!$F$13)/(Norm_Stats!$G$13-Norm_Stats!$F$13))))</f>
        <v/>
      </c>
      <c r="AH86" s="14">
        <f>IF(AG86="","",1)</f>
        <v/>
      </c>
      <c r="AI86" s="11">
        <f>IF((IF((IF(OR(City_Inputs!$Z86="",Norm_Stats!$F$14="",Norm_Stats!$G$14="",Norm_Stats!$G$14=Norm_Stats!$F$14),"",MAX(0,MIN(100,100*(MIN(MAX(City_Inputs!$Z86,Norm_Stats!$F$14),Norm_Stats!$G$14)-Norm_Stats!$F$14)/(Norm_Stats!$G$14-Norm_Stats!$F$14)))))="",0,0.7)+IF((IF(OR(City_Inputs!$AK86="",Norm_Stats!$F$15="",Norm_Stats!$G$15="",Norm_Stats!$G$15=Norm_Stats!$F$15),"",MAX(0,MIN(100,100*(Norm_Stats!$G$15-MIN(MAX(City_Inputs!$AK86,Norm_Stats!$F$15),Norm_Stats!$G$15))/(Norm_Stats!$G$15-Norm_Stats!$F$15)))))="",0,0.3))=0,"",(IF((IF(OR(City_Inputs!$Z86="",Norm_Stats!$F$14="",Norm_Stats!$G$14="",Norm_Stats!$G$14=Norm_Stats!$F$14),"",MAX(0,MIN(100,100*(MIN(MAX(City_Inputs!$Z86,Norm_Stats!$F$14),Norm_Stats!$G$14)-Norm_Stats!$F$14)/(Norm_Stats!$G$14-Norm_Stats!$F$14)))))="",0,(IF(OR(City_Inputs!$Z86="",Norm_Stats!$F$14="",Norm_Stats!$G$14="",Norm_Stats!$G$14=Norm_Stats!$F$14),"",MAX(0,MIN(100,100*(MIN(MAX(City_Inputs!$Z86,Norm_Stats!$F$14),Norm_Stats!$G$14)-Norm_Stats!$F$14)/(Norm_Stats!$G$14-Norm_Stats!$F$14)))))*0.7)+IF((IF(OR(City_Inputs!$AK86="",Norm_Stats!$F$15="",Norm_Stats!$G$15="",Norm_Stats!$G$15=Norm_Stats!$F$15),"",MAX(0,MIN(100,100*(Norm_Stats!$G$15-MIN(MAX(City_Inputs!$AK86,Norm_Stats!$F$15),Norm_Stats!$G$15))/(Norm_Stats!$G$15-Norm_Stats!$F$15)))))="",0,(IF(OR(City_Inputs!$AK86="",Norm_Stats!$F$15="",Norm_Stats!$G$15="",Norm_Stats!$G$15=Norm_Stats!$F$15),"",MAX(0,MIN(100,100*(Norm_Stats!$G$15-MIN(MAX(City_Inputs!$AK86,Norm_Stats!$F$15),Norm_Stats!$G$15))/(Norm_Stats!$G$15-Norm_Stats!$F$15)))))*0.3))/(IF((IF(OR(City_Inputs!$Z86="",Norm_Stats!$F$14="",Norm_Stats!$G$14="",Norm_Stats!$G$14=Norm_Stats!$F$14),"",MAX(0,MIN(100,100*(MIN(MAX(City_Inputs!$Z86,Norm_Stats!$F$14),Norm_Stats!$G$14)-Norm_Stats!$F$14)/(Norm_Stats!$G$14-Norm_Stats!$F$14)))))="",0,0.7)+IF((IF(OR(City_Inputs!$AK86="",Norm_Stats!$F$15="",Norm_Stats!$G$15="",Norm_Stats!$G$15=Norm_Stats!$F$15),"",MAX(0,MIN(100,100*(Norm_Stats!$G$15-MIN(MAX(City_Inputs!$AK86,Norm_Stats!$F$15),Norm_Stats!$G$15))/(Norm_Stats!$G$15-Norm_Stats!$F$15)))))="",0,0.3)))</f>
        <v/>
      </c>
      <c r="AJ86" s="14">
        <f>IF((IF((IF(OR(City_Inputs!$Z86="",Norm_Stats!$F$14="",Norm_Stats!$G$14="",Norm_Stats!$G$14=Norm_Stats!$F$14),"",MAX(0,MIN(100,100*(MIN(MAX(City_Inputs!$Z86,Norm_Stats!$F$14),Norm_Stats!$G$14)-Norm_Stats!$F$14)/(Norm_Stats!$G$14-Norm_Stats!$F$14)))))="",0,0.7)+IF((IF(OR(City_Inputs!$AK86="",Norm_Stats!$F$15="",Norm_Stats!$G$15="",Norm_Stats!$G$15=Norm_Stats!$F$15),"",MAX(0,MIN(100,100*(Norm_Stats!$G$15-MIN(MAX(City_Inputs!$AK86,Norm_Stats!$F$15),Norm_Stats!$G$15))/(Norm_Stats!$G$15-Norm_Stats!$F$15)))))="",0,0.3))=0,"",(IF((IF(OR(City_Inputs!$Z86="",Norm_Stats!$F$14="",Norm_Stats!$G$14="",Norm_Stats!$G$14=Norm_Stats!$F$14),"",MAX(0,MIN(100,100*(MIN(MAX(City_Inputs!$Z86,Norm_Stats!$F$14),Norm_Stats!$G$14)-Norm_Stats!$F$14)/(Norm_Stats!$G$14-Norm_Stats!$F$14)))))="",0,0.7)+IF((IF(OR(City_Inputs!$AK86="",Norm_Stats!$F$15="",Norm_Stats!$G$15="",Norm_Stats!$G$15=Norm_Stats!$F$15),"",MAX(0,MIN(100,100*(Norm_Stats!$G$15-MIN(MAX(City_Inputs!$AK86,Norm_Stats!$F$15),Norm_Stats!$G$15))/(Norm_Stats!$G$15-Norm_Stats!$F$15)))))="",0,0.3)))</f>
        <v/>
      </c>
      <c r="AK86" s="15">
        <f>IF((IF(AE86="",0,8)+IF(AG86="",0,6)+IF(AI86="",0,4))=0,"",(IF(AE86="",0,AE86*8)+IF(AG86="",0,AG86*6)+IF(AI86="",0,AI86*4))/(IF(AE86="",0,8)+IF(AG86="",0,6)+IF(AI86="",0,4)))</f>
        <v/>
      </c>
      <c r="AL86" s="14">
        <f>IF((IF(AF86="",0,8)+IF(AH86="",0,6)+IF(AJ86="",0,4))=0,"",(IF(AF86="",0,AF86*8)+IF(AH86="",0,AH86*6)+IF(AJ86="",0,AJ86*4))/18)</f>
        <v/>
      </c>
      <c r="AM86" s="11">
        <f>IF(OR(City_Inputs!$AA86="",Norm_Stats!$F$16="",Norm_Stats!$G$16="",Norm_Stats!$G$16=Norm_Stats!$F$16),"",MAX(0,MIN(100,100*(MIN(MAX(City_Inputs!$AA86,Norm_Stats!$F$16),Norm_Stats!$G$16)-Norm_Stats!$F$16)/(Norm_Stats!$G$16-Norm_Stats!$F$16))))</f>
        <v/>
      </c>
      <c r="AN86" s="14">
        <f>IF(AM86="","",1)</f>
        <v/>
      </c>
      <c r="AO86" s="11">
        <f>IF(OR(City_Inputs!$AB86="",Norm_Stats!$F$17="",Norm_Stats!$G$17="",Norm_Stats!$G$17=Norm_Stats!$F$17),"",MAX(0,MIN(100,100*(MIN(MAX(City_Inputs!$AB86,Norm_Stats!$F$17),Norm_Stats!$G$17)-Norm_Stats!$F$17)/(Norm_Stats!$G$17-Norm_Stats!$F$17))))</f>
        <v/>
      </c>
      <c r="AP86" s="14">
        <f>IF(AO86="","",1)</f>
        <v/>
      </c>
      <c r="AQ86" s="11">
        <f>IF(OR(City_Inputs!$AC86="",Norm_Stats!$F$18="",Norm_Stats!$G$18="",Norm_Stats!$G$18=Norm_Stats!$F$18),"",MAX(0,MIN(100,100*(MIN(MAX(City_Inputs!$AC86,Norm_Stats!$F$18),Norm_Stats!$G$18)-Norm_Stats!$F$18)/(Norm_Stats!$G$18-Norm_Stats!$F$18))))</f>
        <v/>
      </c>
      <c r="AR86" s="14">
        <f>IF(AQ86="","",1)</f>
        <v/>
      </c>
      <c r="AS86" s="15">
        <f>IF((IF(AM86="",0,5)+IF(AO86="",0,5)+IF(AQ86="",0,5))=0,"",(IF(AM86="",0,AM86*5)+IF(AO86="",0,AO86*5)+IF(AQ86="",0,AQ86*5))/(IF(AM86="",0,5)+IF(AO86="",0,5)+IF(AQ86="",0,5)))</f>
        <v/>
      </c>
      <c r="AT86" s="14">
        <f>IF((IF(AN86="",0,5)+IF(AP86="",0,5)+IF(AR86="",0,5))=0,"",(IF(AN86="",0,AN86*5)+IF(AP86="",0,AP86*5)+IF(AR86="",0,AR86*5))/15)</f>
        <v/>
      </c>
      <c r="AU86" s="11">
        <f>IF(OR(City_Inputs!$AD86="",Norm_Stats!$F$19="",Norm_Stats!$G$19="",Norm_Stats!$G$19=Norm_Stats!$F$19),"",MAX(0,MIN(100,100*(MIN(MAX(City_Inputs!$AD86,Norm_Stats!$F$19),Norm_Stats!$G$19)-Norm_Stats!$F$19)/(Norm_Stats!$G$19-Norm_Stats!$F$19))))</f>
        <v/>
      </c>
      <c r="AV86" s="14">
        <f>IF(AU86="","",1)</f>
        <v/>
      </c>
      <c r="AW86" s="11">
        <f>IF(OR(City_Inputs!$AE86="",Norm_Stats!$F$20="",Norm_Stats!$G$20="",Norm_Stats!$G$20=Norm_Stats!$F$20),"",MAX(0,MIN(100,100*(MIN(MAX(City_Inputs!$AE86,Norm_Stats!$F$20),Norm_Stats!$G$20)-Norm_Stats!$F$20)/(Norm_Stats!$G$20-Norm_Stats!$F$20))))</f>
        <v/>
      </c>
      <c r="AX86" s="14">
        <f>IF(AW86="","",1)</f>
        <v/>
      </c>
      <c r="AY86" s="11">
        <f>IF((IF((IF(OR(City_Inputs!$AF86="",Norm_Stats!$F$21="",Norm_Stats!$G$21="",Norm_Stats!$G$21=Norm_Stats!$F$21),"",MAX(0,MIN(100,100*(MIN(MAX(City_Inputs!$AF86,Norm_Stats!$F$21),Norm_Stats!$G$21)-Norm_Stats!$F$21)/(Norm_Stats!$G$21-Norm_Stats!$F$21)))))="",0,0.5)+IF((IF(OR(City_Inputs!$AI86="",Norm_Stats!$F$22="",Norm_Stats!$G$22="",Norm_Stats!$G$22=Norm_Stats!$F$22),"",MAX(0,MIN(100,100*(MIN(MAX(City_Inputs!$AI86,Norm_Stats!$F$22),Norm_Stats!$G$22)-Norm_Stats!$F$22)/(Norm_Stats!$G$22-Norm_Stats!$F$22)))))="",0,0.3)+IF((IF(OR(City_Inputs!$AJ86="",Norm_Stats!$F$23="",Norm_Stats!$G$23="",Norm_Stats!$G$23=Norm_Stats!$F$23),"",MAX(0,MIN(100,100*(MIN(MAX(City_Inputs!$AJ86,Norm_Stats!$F$23),Norm_Stats!$G$23)-Norm_Stats!$F$23)/(Norm_Stats!$G$23-Norm_Stats!$F$23)))))="",0,0.2))=0,"",(IF((IF(OR(City_Inputs!$AF86="",Norm_Stats!$F$21="",Norm_Stats!$G$21="",Norm_Stats!$G$21=Norm_Stats!$F$21),"",MAX(0,MIN(100,100*(MIN(MAX(City_Inputs!$AF86,Norm_Stats!$F$21),Norm_Stats!$G$21)-Norm_Stats!$F$21)/(Norm_Stats!$G$21-Norm_Stats!$F$21)))))="",0,(IF(OR(City_Inputs!$AF86="",Norm_Stats!$F$21="",Norm_Stats!$G$21="",Norm_Stats!$G$21=Norm_Stats!$F$21),"",MAX(0,MIN(100,100*(MIN(MAX(City_Inputs!$AF86,Norm_Stats!$F$21),Norm_Stats!$G$21)-Norm_Stats!$F$21)/(Norm_Stats!$G$21-Norm_Stats!$F$21)))))*0.5)+IF((IF(OR(City_Inputs!$AI86="",Norm_Stats!$F$22="",Norm_Stats!$G$22="",Norm_Stats!$G$22=Norm_Stats!$F$22),"",MAX(0,MIN(100,100*(MIN(MAX(City_Inputs!$AI86,Norm_Stats!$F$22),Norm_Stats!$G$22)-Norm_Stats!$F$22)/(Norm_Stats!$G$22-Norm_Stats!$F$22)))))="",0,(IF(OR(City_Inputs!$AI86="",Norm_Stats!$F$22="",Norm_Stats!$G$22="",Norm_Stats!$G$22=Norm_Stats!$F$22),"",MAX(0,MIN(100,100*(MIN(MAX(City_Inputs!$AI86,Norm_Stats!$F$22),Norm_Stats!$G$22)-Norm_Stats!$F$22)/(Norm_Stats!$G$22-Norm_Stats!$F$22)))))*0.3)+IF((IF(OR(City_Inputs!$AJ86="",Norm_Stats!$F$23="",Norm_Stats!$G$23="",Norm_Stats!$G$23=Norm_Stats!$F$23),"",MAX(0,MIN(100,100*(MIN(MAX(City_Inputs!$AJ86,Norm_Stats!$F$23),Norm_Stats!$G$23)-Norm_Stats!$F$23)/(Norm_Stats!$G$23-Norm_Stats!$F$23)))))="",0,(IF(OR(City_Inputs!$AJ86="",Norm_Stats!$F$23="",Norm_Stats!$G$23="",Norm_Stats!$G$23=Norm_Stats!$F$23),"",MAX(0,MIN(100,100*(MIN(MAX(City_Inputs!$AJ86,Norm_Stats!$F$23),Norm_Stats!$G$23)-Norm_Stats!$F$23)/(Norm_Stats!$G$23-Norm_Stats!$F$23)))))*0.2))/(IF((IF(OR(City_Inputs!$AF86="",Norm_Stats!$F$21="",Norm_Stats!$G$21="",Norm_Stats!$G$21=Norm_Stats!$F$21),"",MAX(0,MIN(100,100*(MIN(MAX(City_Inputs!$AF86,Norm_Stats!$F$21),Norm_Stats!$G$21)-Norm_Stats!$F$21)/(Norm_Stats!$G$21-Norm_Stats!$F$21)))))="",0,0.5)+IF((IF(OR(City_Inputs!$AI86="",Norm_Stats!$F$22="",Norm_Stats!$G$22="",Norm_Stats!$G$22=Norm_Stats!$F$22),"",MAX(0,MIN(100,100*(MIN(MAX(City_Inputs!$AI86,Norm_Stats!$F$22),Norm_Stats!$G$22)-Norm_Stats!$F$22)/(Norm_Stats!$G$22-Norm_Stats!$F$22)))))="",0,0.3)+IF((IF(OR(City_Inputs!$AJ86="",Norm_Stats!$F$23="",Norm_Stats!$G$23="",Norm_Stats!$G$23=Norm_Stats!$F$23),"",MAX(0,MIN(100,100*(MIN(MAX(City_Inputs!$AJ86,Norm_Stats!$F$23),Norm_Stats!$G$23)-Norm_Stats!$F$23)/(Norm_Stats!$G$23-Norm_Stats!$F$23)))))="",0,0.2)))</f>
        <v/>
      </c>
      <c r="AZ86" s="14">
        <f>IF((IF((IF(OR(City_Inputs!$AF86="",Norm_Stats!$F$21="",Norm_Stats!$G$21="",Norm_Stats!$G$21=Norm_Stats!$F$21),"",MAX(0,MIN(100,100*(MIN(MAX(City_Inputs!$AF86,Norm_Stats!$F$21),Norm_Stats!$G$21)-Norm_Stats!$F$21)/(Norm_Stats!$G$21-Norm_Stats!$F$21)))))="",0,0.5)+IF((IF(OR(City_Inputs!$AI86="",Norm_Stats!$F$22="",Norm_Stats!$G$22="",Norm_Stats!$G$22=Norm_Stats!$F$22),"",MAX(0,MIN(100,100*(MIN(MAX(City_Inputs!$AI86,Norm_Stats!$F$22),Norm_Stats!$G$22)-Norm_Stats!$F$22)/(Norm_Stats!$G$22-Norm_Stats!$F$22)))))="",0,0.3)+IF((IF(OR(City_Inputs!$AJ86="",Norm_Stats!$F$23="",Norm_Stats!$G$23="",Norm_Stats!$G$23=Norm_Stats!$F$23),"",MAX(0,MIN(100,100*(MIN(MAX(City_Inputs!$AJ86,Norm_Stats!$F$23),Norm_Stats!$G$23)-Norm_Stats!$F$23)/(Norm_Stats!$G$23-Norm_Stats!$F$23)))))="",0,0.2))=0,"",(IF((IF(OR(City_Inputs!$AF86="",Norm_Stats!$F$21="",Norm_Stats!$G$21="",Norm_Stats!$G$21=Norm_Stats!$F$21),"",MAX(0,MIN(100,100*(MIN(MAX(City_Inputs!$AF86,Norm_Stats!$F$21),Norm_Stats!$G$21)-Norm_Stats!$F$21)/(Norm_Stats!$G$21-Norm_Stats!$F$21)))))="",0,0.5)+IF((IF(OR(City_Inputs!$AI86="",Norm_Stats!$F$22="",Norm_Stats!$G$22="",Norm_Stats!$G$22=Norm_Stats!$F$22),"",MAX(0,MIN(100,100*(MIN(MAX(City_Inputs!$AI86,Norm_Stats!$F$22),Norm_Stats!$G$22)-Norm_Stats!$F$22)/(Norm_Stats!$G$22-Norm_Stats!$F$22)))))="",0,0.3)+IF((IF(OR(City_Inputs!$AJ86="",Norm_Stats!$F$23="",Norm_Stats!$G$23="",Norm_Stats!$G$23=Norm_Stats!$F$23),"",MAX(0,MIN(100,100*(MIN(MAX(City_Inputs!$AJ86,Norm_Stats!$F$23),Norm_Stats!$G$23)-Norm_Stats!$F$23)/(Norm_Stats!$G$23-Norm_Stats!$F$23)))))="",0,0.2)))</f>
        <v/>
      </c>
      <c r="BA86" s="11">
        <f>IF(OR(City_Inputs!$AG86="",Norm_Stats!$F$24="",Norm_Stats!$G$24="",Norm_Stats!$G$24=Norm_Stats!$F$24),"",MAX(0,MIN(100,100*(Norm_Stats!$G$24-MIN(MAX(City_Inputs!$AG86,Norm_Stats!$F$24),Norm_Stats!$G$24))/(Norm_Stats!$G$24-Norm_Stats!$F$24))))</f>
        <v/>
      </c>
      <c r="BB86" s="14">
        <f>IF(BA86="","",1)</f>
        <v/>
      </c>
      <c r="BC86" s="15">
        <f>IF((IF(AU86="",0,6)+IF(AW86="",0,5)+IF(AY86="",0,5)+IF(BA86="",0,4))=0,"",(IF(AU86="",0,AU86*6)+IF(AW86="",0,AW86*5)+IF(AY86="",0,AY86*5)+IF(BA86="",0,BA86*4))/(IF(AU86="",0,6)+IF(AW86="",0,5)+IF(AY86="",0,5)+IF(BA86="",0,4)))</f>
        <v/>
      </c>
      <c r="BD86" s="14">
        <f>IF((IF(AV86="",0,6)+IF(AX86="",0,5)+IF(AZ86="",0,5)+IF(BB86="",0,4))=0,"",(IF(AV86="",0,AV86*6)+IF(AX86="",0,AX86*5)+IF(AZ86="",0,AZ86*5)+IF(BB86="",0,BB86*4))/20)</f>
        <v/>
      </c>
      <c r="BE86" s="14">
        <f>IF(AND(R86="",AD86="",AL86="",AT86="",BD86=""),"",((R86*25)+(AD86*22)+(AL86*18)+(AT86*15)+(BD86*20))/100)</f>
        <v/>
      </c>
      <c r="BF86" s="11">
        <f>IF(BE86="","",IF(BE86&gt;=0.75,"A",IF(BE86&gt;=0.5,"B",IF(BE86&gt;=0.35,"C","Watchlist"))))</f>
        <v/>
      </c>
      <c r="BG86" s="11">
        <f>IF(OR(BE86="",BE86&lt;0.5,R86="",R86&lt;0.35,AD86="",AD86&lt;0.35,AL86="",AL86&lt;0.35,AT86="",AT86&lt;0.35,BD86="",BD86&lt;0.35),"Watchlist","Ranked")</f>
        <v/>
      </c>
      <c r="BH86" s="15">
        <f>IF(AND(Q86="",AC86="",AK86="",AS86="",BC86=""),"",(IF(Q86="",0,Q86*25)+IF(AC86="",0,AC86*22)+IF(AK86="",0,AK86*18)+IF(AS86="",0,AS86*15)+IF(BC86="",0,BC86*20))/(IF(Q86="",0,25)+IF(AC86="",0,22)+IF(AK86="",0,18)+IF(AS86="",0,15)+IF(BC86="",0,20)))</f>
        <v/>
      </c>
      <c r="BI86" s="11">
        <f>IF(BG86="Ranked",1+COUNTIFS($BG$2:$BG$103,"Ranked",$BH$2:$BH$103,"&gt;"&amp;BH86),"")</f>
        <v/>
      </c>
      <c r="BJ86" s="11">
        <f>City_Inputs!$AH86</f>
        <v/>
      </c>
    </row>
    <row r="87">
      <c r="A87" t="inlineStr">
        <is>
          <t>rw-kigali</t>
        </is>
      </c>
      <c r="B87" t="inlineStr">
        <is>
          <t>Kigali</t>
        </is>
      </c>
      <c r="C87" t="inlineStr">
        <is>
          <t>Rwanda</t>
        </is>
      </c>
      <c r="D87" t="inlineStr">
        <is>
          <t>Africa</t>
        </is>
      </c>
      <c r="E87" t="inlineStr">
        <is>
          <t>locked</t>
        </is>
      </c>
      <c r="F87" t="inlineStr">
        <is>
          <t>primary</t>
        </is>
      </c>
      <c r="G87" s="11">
        <f>IF(OR(City_Inputs!$M87="",Norm_Stats!$F$2="",Norm_Stats!$G$2="",Norm_Stats!$G$2=Norm_Stats!$F$2),"",MAX(0,MIN(100,100*(MIN(MAX(City_Inputs!$M87,Norm_Stats!$F$2),Norm_Stats!$G$2)-Norm_Stats!$F$2)/(Norm_Stats!$G$2-Norm_Stats!$F$2))))</f>
        <v/>
      </c>
      <c r="H87" s="14">
        <f>IF(G87="","",1)</f>
        <v/>
      </c>
      <c r="I87" s="11">
        <f>IF(OR(City_Inputs!$N87="",Norm_Stats!$F$3="",Norm_Stats!$G$3="",Norm_Stats!$G$3=Norm_Stats!$F$3),"",MAX(0,MIN(100,100*(Norm_Stats!$G$3-MIN(MAX(City_Inputs!$N87,Norm_Stats!$F$3),Norm_Stats!$G$3))/(Norm_Stats!$G$3-Norm_Stats!$F$3))))</f>
        <v/>
      </c>
      <c r="J87" s="14">
        <f>IF(I87="","",1)</f>
        <v/>
      </c>
      <c r="K87" s="11">
        <f>IF(OR(City_Inputs!$P87="",Norm_Stats!$F$4="",Norm_Stats!$G$4="",Norm_Stats!$G$4=Norm_Stats!$F$4),"",MAX(0,MIN(100,100*(Norm_Stats!$G$4-MIN(MAX(City_Inputs!$P87,Norm_Stats!$F$4),Norm_Stats!$G$4))/(Norm_Stats!$G$4-Norm_Stats!$F$4))))</f>
        <v/>
      </c>
      <c r="L87" s="14">
        <f>IF(K87="","",1)</f>
        <v/>
      </c>
      <c r="M87" s="11">
        <f>IF(OR(City_Inputs!$Q87="",Norm_Stats!$F$5="",Norm_Stats!$G$5="",Norm_Stats!$G$5=Norm_Stats!$F$5),"",MAX(0,MIN(100,100*(Norm_Stats!$G$5-MIN(MAX(City_Inputs!$Q87,Norm_Stats!$F$5),Norm_Stats!$G$5))/(Norm_Stats!$G$5-Norm_Stats!$F$5))))</f>
        <v/>
      </c>
      <c r="N87" s="14">
        <f>IF(M87="","",1)</f>
        <v/>
      </c>
      <c r="O87" s="11">
        <f>IF(OR(City_Inputs!$R87="",Norm_Stats!$F$6="",Norm_Stats!$G$6="",Norm_Stats!$G$6=Norm_Stats!$F$6),"",MAX(0,MIN(100,100*(Norm_Stats!$G$6-MIN(MAX(City_Inputs!$R87,Norm_Stats!$F$6),Norm_Stats!$G$6))/(Norm_Stats!$G$6-Norm_Stats!$F$6))))</f>
        <v/>
      </c>
      <c r="P87" s="14">
        <f>IF(O87="","",1)</f>
        <v/>
      </c>
      <c r="Q87" s="15">
        <f>IF((IF(G87="",0,9)+IF(I87="",0,5)+IF(K87="",0,4)+IF(M87="",0,4)+IF(O87="",0,3))=0,"",(IF(G87="",0,G87*9)+IF(I87="",0,I87*5)+IF(K87="",0,K87*4)+IF(M87="",0,M87*4)+IF(O87="",0,O87*3))/(IF(G87="",0,9)+IF(I87="",0,5)+IF(K87="",0,4)+IF(M87="",0,4)+IF(O87="",0,3)))</f>
        <v/>
      </c>
      <c r="R87" s="14">
        <f>IF((IF(H87="",0,9)+IF(J87="",0,5)+IF(L87="",0,4)+IF(N87="",0,4)+IF(P87="",0,3))=0,"",(IF(H87="",0,H87*9)+IF(J87="",0,J87*5)+IF(L87="",0,L87*4)+IF(N87="",0,N87*4)+IF(P87="",0,P87*3))/25)</f>
        <v/>
      </c>
      <c r="S87" s="11">
        <f>IF(OR(City_Inputs!$S87="",Norm_Stats!$F$7="",Norm_Stats!$G$7="",Norm_Stats!$G$7=Norm_Stats!$F$7),"",MAX(0,MIN(100,100*(Norm_Stats!$G$7-MIN(MAX(City_Inputs!$S87,Norm_Stats!$F$7),Norm_Stats!$G$7))/(Norm_Stats!$G$7-Norm_Stats!$F$7))))</f>
        <v/>
      </c>
      <c r="T87" s="14">
        <f>IF(S87="","",1)</f>
        <v/>
      </c>
      <c r="U87" s="11">
        <f>IF(OR(City_Inputs!$T87="",Norm_Stats!$F$8="",Norm_Stats!$G$8="",Norm_Stats!$G$8=Norm_Stats!$F$8),"",MAX(0,MIN(100,100*(MIN(MAX(City_Inputs!$T87,Norm_Stats!$F$8),Norm_Stats!$G$8)-Norm_Stats!$F$8)/(Norm_Stats!$G$8-Norm_Stats!$F$8))))</f>
        <v/>
      </c>
      <c r="V87" s="14">
        <f>IF(U87="","",1)</f>
        <v/>
      </c>
      <c r="W87" s="11">
        <f>IF(OR(City_Inputs!$U87="",Norm_Stats!$F$9="",Norm_Stats!$G$9="",Norm_Stats!$G$9=Norm_Stats!$F$9),"",MAX(0,MIN(100,100*(Norm_Stats!$G$9-MIN(MAX(City_Inputs!$U87,Norm_Stats!$F$9),Norm_Stats!$G$9))/(Norm_Stats!$G$9-Norm_Stats!$F$9))))</f>
        <v/>
      </c>
      <c r="X87" s="14">
        <f>IF(W87="","",1)</f>
        <v/>
      </c>
      <c r="Y87" s="11">
        <f>IF(OR(City_Inputs!$V87="",Norm_Stats!$F$10="",Norm_Stats!$G$10="",Norm_Stats!$G$10=Norm_Stats!$F$10),"",MAX(0,MIN(100,100*(MIN(MAX(City_Inputs!$V87,Norm_Stats!$F$10),Norm_Stats!$G$10)-Norm_Stats!$F$10)/(Norm_Stats!$G$10-Norm_Stats!$F$10))))</f>
        <v/>
      </c>
      <c r="Z87" s="14">
        <f>IF(Y87="","",1)</f>
        <v/>
      </c>
      <c r="AA87" s="11">
        <f>IF(OR(City_Inputs!$W87="",Norm_Stats!$F$11="",Norm_Stats!$G$11="",Norm_Stats!$G$11=Norm_Stats!$F$11),"",MAX(0,MIN(100,100*(MIN(MAX(City_Inputs!$W87,Norm_Stats!$F$11),Norm_Stats!$G$11)-Norm_Stats!$F$11)/(Norm_Stats!$G$11-Norm_Stats!$F$11))))</f>
        <v/>
      </c>
      <c r="AB87" s="14">
        <f>IF(AA87="","",1)</f>
        <v/>
      </c>
      <c r="AC87" s="15">
        <f>IF((IF(S87="",0,5)+IF(U87="",0,5)+IF(W87="",0,4)+IF(Y87="",0,4)+IF(AA87="",0,4))=0,"",(IF(S87="",0,S87*5)+IF(U87="",0,U87*5)+IF(W87="",0,W87*4)+IF(Y87="",0,Y87*4)+IF(AA87="",0,AA87*4))/(IF(S87="",0,5)+IF(U87="",0,5)+IF(W87="",0,4)+IF(Y87="",0,4)+IF(AA87="",0,4)))</f>
        <v/>
      </c>
      <c r="AD87" s="14">
        <f>IF((IF(T87="",0,5)+IF(V87="",0,5)+IF(X87="",0,4)+IF(Z87="",0,4)+IF(AB87="",0,4))=0,"",(IF(T87="",0,T87*5)+IF(V87="",0,V87*5)+IF(X87="",0,X87*4)+IF(Z87="",0,Z87*4)+IF(AB87="",0,AB87*4))/22)</f>
        <v/>
      </c>
      <c r="AE87" s="11">
        <f>IF(OR(City_Inputs!$X87="",Norm_Stats!$F$12="",Norm_Stats!$G$12="",Norm_Stats!$G$12=Norm_Stats!$F$12),"",MAX(0,MIN(100,100*(MIN(MAX(City_Inputs!$X87,Norm_Stats!$F$12),Norm_Stats!$G$12)-Norm_Stats!$F$12)/(Norm_Stats!$G$12-Norm_Stats!$F$12))))</f>
        <v/>
      </c>
      <c r="AF87" s="14">
        <f>IF(AE87="","",1)</f>
        <v/>
      </c>
      <c r="AG87" s="11">
        <f>IF(OR(City_Inputs!$Y87="",Norm_Stats!$F$13="",Norm_Stats!$G$13="",Norm_Stats!$G$13=Norm_Stats!$F$13),"",MAX(0,MIN(100,100*(MIN(MAX(City_Inputs!$Y87,Norm_Stats!$F$13),Norm_Stats!$G$13)-Norm_Stats!$F$13)/(Norm_Stats!$G$13-Norm_Stats!$F$13))))</f>
        <v/>
      </c>
      <c r="AH87" s="14">
        <f>IF(AG87="","",1)</f>
        <v/>
      </c>
      <c r="AI87" s="11">
        <f>IF((IF((IF(OR(City_Inputs!$Z87="",Norm_Stats!$F$14="",Norm_Stats!$G$14="",Norm_Stats!$G$14=Norm_Stats!$F$14),"",MAX(0,MIN(100,100*(MIN(MAX(City_Inputs!$Z87,Norm_Stats!$F$14),Norm_Stats!$G$14)-Norm_Stats!$F$14)/(Norm_Stats!$G$14-Norm_Stats!$F$14)))))="",0,0.7)+IF((IF(OR(City_Inputs!$AK87="",Norm_Stats!$F$15="",Norm_Stats!$G$15="",Norm_Stats!$G$15=Norm_Stats!$F$15),"",MAX(0,MIN(100,100*(Norm_Stats!$G$15-MIN(MAX(City_Inputs!$AK87,Norm_Stats!$F$15),Norm_Stats!$G$15))/(Norm_Stats!$G$15-Norm_Stats!$F$15)))))="",0,0.3))=0,"",(IF((IF(OR(City_Inputs!$Z87="",Norm_Stats!$F$14="",Norm_Stats!$G$14="",Norm_Stats!$G$14=Norm_Stats!$F$14),"",MAX(0,MIN(100,100*(MIN(MAX(City_Inputs!$Z87,Norm_Stats!$F$14),Norm_Stats!$G$14)-Norm_Stats!$F$14)/(Norm_Stats!$G$14-Norm_Stats!$F$14)))))="",0,(IF(OR(City_Inputs!$Z87="",Norm_Stats!$F$14="",Norm_Stats!$G$14="",Norm_Stats!$G$14=Norm_Stats!$F$14),"",MAX(0,MIN(100,100*(MIN(MAX(City_Inputs!$Z87,Norm_Stats!$F$14),Norm_Stats!$G$14)-Norm_Stats!$F$14)/(Norm_Stats!$G$14-Norm_Stats!$F$14)))))*0.7)+IF((IF(OR(City_Inputs!$AK87="",Norm_Stats!$F$15="",Norm_Stats!$G$15="",Norm_Stats!$G$15=Norm_Stats!$F$15),"",MAX(0,MIN(100,100*(Norm_Stats!$G$15-MIN(MAX(City_Inputs!$AK87,Norm_Stats!$F$15),Norm_Stats!$G$15))/(Norm_Stats!$G$15-Norm_Stats!$F$15)))))="",0,(IF(OR(City_Inputs!$AK87="",Norm_Stats!$F$15="",Norm_Stats!$G$15="",Norm_Stats!$G$15=Norm_Stats!$F$15),"",MAX(0,MIN(100,100*(Norm_Stats!$G$15-MIN(MAX(City_Inputs!$AK87,Norm_Stats!$F$15),Norm_Stats!$G$15))/(Norm_Stats!$G$15-Norm_Stats!$F$15)))))*0.3))/(IF((IF(OR(City_Inputs!$Z87="",Norm_Stats!$F$14="",Norm_Stats!$G$14="",Norm_Stats!$G$14=Norm_Stats!$F$14),"",MAX(0,MIN(100,100*(MIN(MAX(City_Inputs!$Z87,Norm_Stats!$F$14),Norm_Stats!$G$14)-Norm_Stats!$F$14)/(Norm_Stats!$G$14-Norm_Stats!$F$14)))))="",0,0.7)+IF((IF(OR(City_Inputs!$AK87="",Norm_Stats!$F$15="",Norm_Stats!$G$15="",Norm_Stats!$G$15=Norm_Stats!$F$15),"",MAX(0,MIN(100,100*(Norm_Stats!$G$15-MIN(MAX(City_Inputs!$AK87,Norm_Stats!$F$15),Norm_Stats!$G$15))/(Norm_Stats!$G$15-Norm_Stats!$F$15)))))="",0,0.3)))</f>
        <v/>
      </c>
      <c r="AJ87" s="14">
        <f>IF((IF((IF(OR(City_Inputs!$Z87="",Norm_Stats!$F$14="",Norm_Stats!$G$14="",Norm_Stats!$G$14=Norm_Stats!$F$14),"",MAX(0,MIN(100,100*(MIN(MAX(City_Inputs!$Z87,Norm_Stats!$F$14),Norm_Stats!$G$14)-Norm_Stats!$F$14)/(Norm_Stats!$G$14-Norm_Stats!$F$14)))))="",0,0.7)+IF((IF(OR(City_Inputs!$AK87="",Norm_Stats!$F$15="",Norm_Stats!$G$15="",Norm_Stats!$G$15=Norm_Stats!$F$15),"",MAX(0,MIN(100,100*(Norm_Stats!$G$15-MIN(MAX(City_Inputs!$AK87,Norm_Stats!$F$15),Norm_Stats!$G$15))/(Norm_Stats!$G$15-Norm_Stats!$F$15)))))="",0,0.3))=0,"",(IF((IF(OR(City_Inputs!$Z87="",Norm_Stats!$F$14="",Norm_Stats!$G$14="",Norm_Stats!$G$14=Norm_Stats!$F$14),"",MAX(0,MIN(100,100*(MIN(MAX(City_Inputs!$Z87,Norm_Stats!$F$14),Norm_Stats!$G$14)-Norm_Stats!$F$14)/(Norm_Stats!$G$14-Norm_Stats!$F$14)))))="",0,0.7)+IF((IF(OR(City_Inputs!$AK87="",Norm_Stats!$F$15="",Norm_Stats!$G$15="",Norm_Stats!$G$15=Norm_Stats!$F$15),"",MAX(0,MIN(100,100*(Norm_Stats!$G$15-MIN(MAX(City_Inputs!$AK87,Norm_Stats!$F$15),Norm_Stats!$G$15))/(Norm_Stats!$G$15-Norm_Stats!$F$15)))))="",0,0.3)))</f>
        <v/>
      </c>
      <c r="AK87" s="15">
        <f>IF((IF(AE87="",0,8)+IF(AG87="",0,6)+IF(AI87="",0,4))=0,"",(IF(AE87="",0,AE87*8)+IF(AG87="",0,AG87*6)+IF(AI87="",0,AI87*4))/(IF(AE87="",0,8)+IF(AG87="",0,6)+IF(AI87="",0,4)))</f>
        <v/>
      </c>
      <c r="AL87" s="14">
        <f>IF((IF(AF87="",0,8)+IF(AH87="",0,6)+IF(AJ87="",0,4))=0,"",(IF(AF87="",0,AF87*8)+IF(AH87="",0,AH87*6)+IF(AJ87="",0,AJ87*4))/18)</f>
        <v/>
      </c>
      <c r="AM87" s="11">
        <f>IF(OR(City_Inputs!$AA87="",Norm_Stats!$F$16="",Norm_Stats!$G$16="",Norm_Stats!$G$16=Norm_Stats!$F$16),"",MAX(0,MIN(100,100*(MIN(MAX(City_Inputs!$AA87,Norm_Stats!$F$16),Norm_Stats!$G$16)-Norm_Stats!$F$16)/(Norm_Stats!$G$16-Norm_Stats!$F$16))))</f>
        <v/>
      </c>
      <c r="AN87" s="14">
        <f>IF(AM87="","",1)</f>
        <v/>
      </c>
      <c r="AO87" s="11">
        <f>IF(OR(City_Inputs!$AB87="",Norm_Stats!$F$17="",Norm_Stats!$G$17="",Norm_Stats!$G$17=Norm_Stats!$F$17),"",MAX(0,MIN(100,100*(MIN(MAX(City_Inputs!$AB87,Norm_Stats!$F$17),Norm_Stats!$G$17)-Norm_Stats!$F$17)/(Norm_Stats!$G$17-Norm_Stats!$F$17))))</f>
        <v/>
      </c>
      <c r="AP87" s="14">
        <f>IF(AO87="","",1)</f>
        <v/>
      </c>
      <c r="AQ87" s="11">
        <f>IF(OR(City_Inputs!$AC87="",Norm_Stats!$F$18="",Norm_Stats!$G$18="",Norm_Stats!$G$18=Norm_Stats!$F$18),"",MAX(0,MIN(100,100*(MIN(MAX(City_Inputs!$AC87,Norm_Stats!$F$18),Norm_Stats!$G$18)-Norm_Stats!$F$18)/(Norm_Stats!$G$18-Norm_Stats!$F$18))))</f>
        <v/>
      </c>
      <c r="AR87" s="14">
        <f>IF(AQ87="","",1)</f>
        <v/>
      </c>
      <c r="AS87" s="15">
        <f>IF((IF(AM87="",0,5)+IF(AO87="",0,5)+IF(AQ87="",0,5))=0,"",(IF(AM87="",0,AM87*5)+IF(AO87="",0,AO87*5)+IF(AQ87="",0,AQ87*5))/(IF(AM87="",0,5)+IF(AO87="",0,5)+IF(AQ87="",0,5)))</f>
        <v/>
      </c>
      <c r="AT87" s="14">
        <f>IF((IF(AN87="",0,5)+IF(AP87="",0,5)+IF(AR87="",0,5))=0,"",(IF(AN87="",0,AN87*5)+IF(AP87="",0,AP87*5)+IF(AR87="",0,AR87*5))/15)</f>
        <v/>
      </c>
      <c r="AU87" s="11">
        <f>IF(OR(City_Inputs!$AD87="",Norm_Stats!$F$19="",Norm_Stats!$G$19="",Norm_Stats!$G$19=Norm_Stats!$F$19),"",MAX(0,MIN(100,100*(MIN(MAX(City_Inputs!$AD87,Norm_Stats!$F$19),Norm_Stats!$G$19)-Norm_Stats!$F$19)/(Norm_Stats!$G$19-Norm_Stats!$F$19))))</f>
        <v/>
      </c>
      <c r="AV87" s="14">
        <f>IF(AU87="","",1)</f>
        <v/>
      </c>
      <c r="AW87" s="11">
        <f>IF(OR(City_Inputs!$AE87="",Norm_Stats!$F$20="",Norm_Stats!$G$20="",Norm_Stats!$G$20=Norm_Stats!$F$20),"",MAX(0,MIN(100,100*(MIN(MAX(City_Inputs!$AE87,Norm_Stats!$F$20),Norm_Stats!$G$20)-Norm_Stats!$F$20)/(Norm_Stats!$G$20-Norm_Stats!$F$20))))</f>
        <v/>
      </c>
      <c r="AX87" s="14">
        <f>IF(AW87="","",1)</f>
        <v/>
      </c>
      <c r="AY87" s="11">
        <f>IF((IF((IF(OR(City_Inputs!$AF87="",Norm_Stats!$F$21="",Norm_Stats!$G$21="",Norm_Stats!$G$21=Norm_Stats!$F$21),"",MAX(0,MIN(100,100*(MIN(MAX(City_Inputs!$AF87,Norm_Stats!$F$21),Norm_Stats!$G$21)-Norm_Stats!$F$21)/(Norm_Stats!$G$21-Norm_Stats!$F$21)))))="",0,0.5)+IF((IF(OR(City_Inputs!$AI87="",Norm_Stats!$F$22="",Norm_Stats!$G$22="",Norm_Stats!$G$22=Norm_Stats!$F$22),"",MAX(0,MIN(100,100*(MIN(MAX(City_Inputs!$AI87,Norm_Stats!$F$22),Norm_Stats!$G$22)-Norm_Stats!$F$22)/(Norm_Stats!$G$22-Norm_Stats!$F$22)))))="",0,0.3)+IF((IF(OR(City_Inputs!$AJ87="",Norm_Stats!$F$23="",Norm_Stats!$G$23="",Norm_Stats!$G$23=Norm_Stats!$F$23),"",MAX(0,MIN(100,100*(MIN(MAX(City_Inputs!$AJ87,Norm_Stats!$F$23),Norm_Stats!$G$23)-Norm_Stats!$F$23)/(Norm_Stats!$G$23-Norm_Stats!$F$23)))))="",0,0.2))=0,"",(IF((IF(OR(City_Inputs!$AF87="",Norm_Stats!$F$21="",Norm_Stats!$G$21="",Norm_Stats!$G$21=Norm_Stats!$F$21),"",MAX(0,MIN(100,100*(MIN(MAX(City_Inputs!$AF87,Norm_Stats!$F$21),Norm_Stats!$G$21)-Norm_Stats!$F$21)/(Norm_Stats!$G$21-Norm_Stats!$F$21)))))="",0,(IF(OR(City_Inputs!$AF87="",Norm_Stats!$F$21="",Norm_Stats!$G$21="",Norm_Stats!$G$21=Norm_Stats!$F$21),"",MAX(0,MIN(100,100*(MIN(MAX(City_Inputs!$AF87,Norm_Stats!$F$21),Norm_Stats!$G$21)-Norm_Stats!$F$21)/(Norm_Stats!$G$21-Norm_Stats!$F$21)))))*0.5)+IF((IF(OR(City_Inputs!$AI87="",Norm_Stats!$F$22="",Norm_Stats!$G$22="",Norm_Stats!$G$22=Norm_Stats!$F$22),"",MAX(0,MIN(100,100*(MIN(MAX(City_Inputs!$AI87,Norm_Stats!$F$22),Norm_Stats!$G$22)-Norm_Stats!$F$22)/(Norm_Stats!$G$22-Norm_Stats!$F$22)))))="",0,(IF(OR(City_Inputs!$AI87="",Norm_Stats!$F$22="",Norm_Stats!$G$22="",Norm_Stats!$G$22=Norm_Stats!$F$22),"",MAX(0,MIN(100,100*(MIN(MAX(City_Inputs!$AI87,Norm_Stats!$F$22),Norm_Stats!$G$22)-Norm_Stats!$F$22)/(Norm_Stats!$G$22-Norm_Stats!$F$22)))))*0.3)+IF((IF(OR(City_Inputs!$AJ87="",Norm_Stats!$F$23="",Norm_Stats!$G$23="",Norm_Stats!$G$23=Norm_Stats!$F$23),"",MAX(0,MIN(100,100*(MIN(MAX(City_Inputs!$AJ87,Norm_Stats!$F$23),Norm_Stats!$G$23)-Norm_Stats!$F$23)/(Norm_Stats!$G$23-Norm_Stats!$F$23)))))="",0,(IF(OR(City_Inputs!$AJ87="",Norm_Stats!$F$23="",Norm_Stats!$G$23="",Norm_Stats!$G$23=Norm_Stats!$F$23),"",MAX(0,MIN(100,100*(MIN(MAX(City_Inputs!$AJ87,Norm_Stats!$F$23),Norm_Stats!$G$23)-Norm_Stats!$F$23)/(Norm_Stats!$G$23-Norm_Stats!$F$23)))))*0.2))/(IF((IF(OR(City_Inputs!$AF87="",Norm_Stats!$F$21="",Norm_Stats!$G$21="",Norm_Stats!$G$21=Norm_Stats!$F$21),"",MAX(0,MIN(100,100*(MIN(MAX(City_Inputs!$AF87,Norm_Stats!$F$21),Norm_Stats!$G$21)-Norm_Stats!$F$21)/(Norm_Stats!$G$21-Norm_Stats!$F$21)))))="",0,0.5)+IF((IF(OR(City_Inputs!$AI87="",Norm_Stats!$F$22="",Norm_Stats!$G$22="",Norm_Stats!$G$22=Norm_Stats!$F$22),"",MAX(0,MIN(100,100*(MIN(MAX(City_Inputs!$AI87,Norm_Stats!$F$22),Norm_Stats!$G$22)-Norm_Stats!$F$22)/(Norm_Stats!$G$22-Norm_Stats!$F$22)))))="",0,0.3)+IF((IF(OR(City_Inputs!$AJ87="",Norm_Stats!$F$23="",Norm_Stats!$G$23="",Norm_Stats!$G$23=Norm_Stats!$F$23),"",MAX(0,MIN(100,100*(MIN(MAX(City_Inputs!$AJ87,Norm_Stats!$F$23),Norm_Stats!$G$23)-Norm_Stats!$F$23)/(Norm_Stats!$G$23-Norm_Stats!$F$23)))))="",0,0.2)))</f>
        <v/>
      </c>
      <c r="AZ87" s="14">
        <f>IF((IF((IF(OR(City_Inputs!$AF87="",Norm_Stats!$F$21="",Norm_Stats!$G$21="",Norm_Stats!$G$21=Norm_Stats!$F$21),"",MAX(0,MIN(100,100*(MIN(MAX(City_Inputs!$AF87,Norm_Stats!$F$21),Norm_Stats!$G$21)-Norm_Stats!$F$21)/(Norm_Stats!$G$21-Norm_Stats!$F$21)))))="",0,0.5)+IF((IF(OR(City_Inputs!$AI87="",Norm_Stats!$F$22="",Norm_Stats!$G$22="",Norm_Stats!$G$22=Norm_Stats!$F$22),"",MAX(0,MIN(100,100*(MIN(MAX(City_Inputs!$AI87,Norm_Stats!$F$22),Norm_Stats!$G$22)-Norm_Stats!$F$22)/(Norm_Stats!$G$22-Norm_Stats!$F$22)))))="",0,0.3)+IF((IF(OR(City_Inputs!$AJ87="",Norm_Stats!$F$23="",Norm_Stats!$G$23="",Norm_Stats!$G$23=Norm_Stats!$F$23),"",MAX(0,MIN(100,100*(MIN(MAX(City_Inputs!$AJ87,Norm_Stats!$F$23),Norm_Stats!$G$23)-Norm_Stats!$F$23)/(Norm_Stats!$G$23-Norm_Stats!$F$23)))))="",0,0.2))=0,"",(IF((IF(OR(City_Inputs!$AF87="",Norm_Stats!$F$21="",Norm_Stats!$G$21="",Norm_Stats!$G$21=Norm_Stats!$F$21),"",MAX(0,MIN(100,100*(MIN(MAX(City_Inputs!$AF87,Norm_Stats!$F$21),Norm_Stats!$G$21)-Norm_Stats!$F$21)/(Norm_Stats!$G$21-Norm_Stats!$F$21)))))="",0,0.5)+IF((IF(OR(City_Inputs!$AI87="",Norm_Stats!$F$22="",Norm_Stats!$G$22="",Norm_Stats!$G$22=Norm_Stats!$F$22),"",MAX(0,MIN(100,100*(MIN(MAX(City_Inputs!$AI87,Norm_Stats!$F$22),Norm_Stats!$G$22)-Norm_Stats!$F$22)/(Norm_Stats!$G$22-Norm_Stats!$F$22)))))="",0,0.3)+IF((IF(OR(City_Inputs!$AJ87="",Norm_Stats!$F$23="",Norm_Stats!$G$23="",Norm_Stats!$G$23=Norm_Stats!$F$23),"",MAX(0,MIN(100,100*(MIN(MAX(City_Inputs!$AJ87,Norm_Stats!$F$23),Norm_Stats!$G$23)-Norm_Stats!$F$23)/(Norm_Stats!$G$23-Norm_Stats!$F$23)))))="",0,0.2)))</f>
        <v/>
      </c>
      <c r="BA87" s="11">
        <f>IF(OR(City_Inputs!$AG87="",Norm_Stats!$F$24="",Norm_Stats!$G$24="",Norm_Stats!$G$24=Norm_Stats!$F$24),"",MAX(0,MIN(100,100*(Norm_Stats!$G$24-MIN(MAX(City_Inputs!$AG87,Norm_Stats!$F$24),Norm_Stats!$G$24))/(Norm_Stats!$G$24-Norm_Stats!$F$24))))</f>
        <v/>
      </c>
      <c r="BB87" s="14">
        <f>IF(BA87="","",1)</f>
        <v/>
      </c>
      <c r="BC87" s="15">
        <f>IF((IF(AU87="",0,6)+IF(AW87="",0,5)+IF(AY87="",0,5)+IF(BA87="",0,4))=0,"",(IF(AU87="",0,AU87*6)+IF(AW87="",0,AW87*5)+IF(AY87="",0,AY87*5)+IF(BA87="",0,BA87*4))/(IF(AU87="",0,6)+IF(AW87="",0,5)+IF(AY87="",0,5)+IF(BA87="",0,4)))</f>
        <v/>
      </c>
      <c r="BD87" s="14">
        <f>IF((IF(AV87="",0,6)+IF(AX87="",0,5)+IF(AZ87="",0,5)+IF(BB87="",0,4))=0,"",(IF(AV87="",0,AV87*6)+IF(AX87="",0,AX87*5)+IF(AZ87="",0,AZ87*5)+IF(BB87="",0,BB87*4))/20)</f>
        <v/>
      </c>
      <c r="BE87" s="14">
        <f>IF(AND(R87="",AD87="",AL87="",AT87="",BD87=""),"",((R87*25)+(AD87*22)+(AL87*18)+(AT87*15)+(BD87*20))/100)</f>
        <v/>
      </c>
      <c r="BF87" s="11">
        <f>IF(BE87="","",IF(BE87&gt;=0.75,"A",IF(BE87&gt;=0.5,"B",IF(BE87&gt;=0.35,"C","Watchlist"))))</f>
        <v/>
      </c>
      <c r="BG87" s="11">
        <f>IF(OR(BE87="",BE87&lt;0.5,R87="",R87&lt;0.35,AD87="",AD87&lt;0.35,AL87="",AL87&lt;0.35,AT87="",AT87&lt;0.35,BD87="",BD87&lt;0.35),"Watchlist","Ranked")</f>
        <v/>
      </c>
      <c r="BH87" s="15">
        <f>IF(AND(Q87="",AC87="",AK87="",AS87="",BC87=""),"",(IF(Q87="",0,Q87*25)+IF(AC87="",0,AC87*22)+IF(AK87="",0,AK87*18)+IF(AS87="",0,AS87*15)+IF(BC87="",0,BC87*20))/(IF(Q87="",0,25)+IF(AC87="",0,22)+IF(AK87="",0,18)+IF(AS87="",0,15)+IF(BC87="",0,20)))</f>
        <v/>
      </c>
      <c r="BI87" s="11">
        <f>IF(BG87="Ranked",1+COUNTIFS($BG$2:$BG$103,"Ranked",$BH$2:$BH$103,"&gt;"&amp;BH87),"")</f>
        <v/>
      </c>
      <c r="BJ87" s="11">
        <f>City_Inputs!$AH87</f>
        <v/>
      </c>
    </row>
    <row r="88">
      <c r="A88" t="inlineStr">
        <is>
          <t>ma-casablanca</t>
        </is>
      </c>
      <c r="B88" t="inlineStr">
        <is>
          <t>Casablanca</t>
        </is>
      </c>
      <c r="C88" t="inlineStr">
        <is>
          <t>Morocco</t>
        </is>
      </c>
      <c r="D88" t="inlineStr">
        <is>
          <t>Africa</t>
        </is>
      </c>
      <c r="E88" t="inlineStr">
        <is>
          <t>provisional</t>
        </is>
      </c>
      <c r="F88" t="inlineStr">
        <is>
          <t>primary</t>
        </is>
      </c>
      <c r="G88" s="11">
        <f>IF(OR(City_Inputs!$M88="",Norm_Stats!$F$2="",Norm_Stats!$G$2="",Norm_Stats!$G$2=Norm_Stats!$F$2),"",MAX(0,MIN(100,100*(MIN(MAX(City_Inputs!$M88,Norm_Stats!$F$2),Norm_Stats!$G$2)-Norm_Stats!$F$2)/(Norm_Stats!$G$2-Norm_Stats!$F$2))))</f>
        <v/>
      </c>
      <c r="H88" s="14">
        <f>IF(G88="","",1)</f>
        <v/>
      </c>
      <c r="I88" s="11">
        <f>IF(OR(City_Inputs!$N88="",Norm_Stats!$F$3="",Norm_Stats!$G$3="",Norm_Stats!$G$3=Norm_Stats!$F$3),"",MAX(0,MIN(100,100*(Norm_Stats!$G$3-MIN(MAX(City_Inputs!$N88,Norm_Stats!$F$3),Norm_Stats!$G$3))/(Norm_Stats!$G$3-Norm_Stats!$F$3))))</f>
        <v/>
      </c>
      <c r="J88" s="14">
        <f>IF(I88="","",1)</f>
        <v/>
      </c>
      <c r="K88" s="11">
        <f>IF(OR(City_Inputs!$P88="",Norm_Stats!$F$4="",Norm_Stats!$G$4="",Norm_Stats!$G$4=Norm_Stats!$F$4),"",MAX(0,MIN(100,100*(Norm_Stats!$G$4-MIN(MAX(City_Inputs!$P88,Norm_Stats!$F$4),Norm_Stats!$G$4))/(Norm_Stats!$G$4-Norm_Stats!$F$4))))</f>
        <v/>
      </c>
      <c r="L88" s="14">
        <f>IF(K88="","",1)</f>
        <v/>
      </c>
      <c r="M88" s="11">
        <f>IF(OR(City_Inputs!$Q88="",Norm_Stats!$F$5="",Norm_Stats!$G$5="",Norm_Stats!$G$5=Norm_Stats!$F$5),"",MAX(0,MIN(100,100*(Norm_Stats!$G$5-MIN(MAX(City_Inputs!$Q88,Norm_Stats!$F$5),Norm_Stats!$G$5))/(Norm_Stats!$G$5-Norm_Stats!$F$5))))</f>
        <v/>
      </c>
      <c r="N88" s="14">
        <f>IF(M88="","",1)</f>
        <v/>
      </c>
      <c r="O88" s="11">
        <f>IF(OR(City_Inputs!$R88="",Norm_Stats!$F$6="",Norm_Stats!$G$6="",Norm_Stats!$G$6=Norm_Stats!$F$6),"",MAX(0,MIN(100,100*(Norm_Stats!$G$6-MIN(MAX(City_Inputs!$R88,Norm_Stats!$F$6),Norm_Stats!$G$6))/(Norm_Stats!$G$6-Norm_Stats!$F$6))))</f>
        <v/>
      </c>
      <c r="P88" s="14">
        <f>IF(O88="","",1)</f>
        <v/>
      </c>
      <c r="Q88" s="15">
        <f>IF((IF(G88="",0,9)+IF(I88="",0,5)+IF(K88="",0,4)+IF(M88="",0,4)+IF(O88="",0,3))=0,"",(IF(G88="",0,G88*9)+IF(I88="",0,I88*5)+IF(K88="",0,K88*4)+IF(M88="",0,M88*4)+IF(O88="",0,O88*3))/(IF(G88="",0,9)+IF(I88="",0,5)+IF(K88="",0,4)+IF(M88="",0,4)+IF(O88="",0,3)))</f>
        <v/>
      </c>
      <c r="R88" s="14">
        <f>IF((IF(H88="",0,9)+IF(J88="",0,5)+IF(L88="",0,4)+IF(N88="",0,4)+IF(P88="",0,3))=0,"",(IF(H88="",0,H88*9)+IF(J88="",0,J88*5)+IF(L88="",0,L88*4)+IF(N88="",0,N88*4)+IF(P88="",0,P88*3))/25)</f>
        <v/>
      </c>
      <c r="S88" s="11">
        <f>IF(OR(City_Inputs!$S88="",Norm_Stats!$F$7="",Norm_Stats!$G$7="",Norm_Stats!$G$7=Norm_Stats!$F$7),"",MAX(0,MIN(100,100*(Norm_Stats!$G$7-MIN(MAX(City_Inputs!$S88,Norm_Stats!$F$7),Norm_Stats!$G$7))/(Norm_Stats!$G$7-Norm_Stats!$F$7))))</f>
        <v/>
      </c>
      <c r="T88" s="14">
        <f>IF(S88="","",1)</f>
        <v/>
      </c>
      <c r="U88" s="11">
        <f>IF(OR(City_Inputs!$T88="",Norm_Stats!$F$8="",Norm_Stats!$G$8="",Norm_Stats!$G$8=Norm_Stats!$F$8),"",MAX(0,MIN(100,100*(MIN(MAX(City_Inputs!$T88,Norm_Stats!$F$8),Norm_Stats!$G$8)-Norm_Stats!$F$8)/(Norm_Stats!$G$8-Norm_Stats!$F$8))))</f>
        <v/>
      </c>
      <c r="V88" s="14">
        <f>IF(U88="","",1)</f>
        <v/>
      </c>
      <c r="W88" s="11">
        <f>IF(OR(City_Inputs!$U88="",Norm_Stats!$F$9="",Norm_Stats!$G$9="",Norm_Stats!$G$9=Norm_Stats!$F$9),"",MAX(0,MIN(100,100*(Norm_Stats!$G$9-MIN(MAX(City_Inputs!$U88,Norm_Stats!$F$9),Norm_Stats!$G$9))/(Norm_Stats!$G$9-Norm_Stats!$F$9))))</f>
        <v/>
      </c>
      <c r="X88" s="14">
        <f>IF(W88="","",1)</f>
        <v/>
      </c>
      <c r="Y88" s="11">
        <f>IF(OR(City_Inputs!$V88="",Norm_Stats!$F$10="",Norm_Stats!$G$10="",Norm_Stats!$G$10=Norm_Stats!$F$10),"",MAX(0,MIN(100,100*(MIN(MAX(City_Inputs!$V88,Norm_Stats!$F$10),Norm_Stats!$G$10)-Norm_Stats!$F$10)/(Norm_Stats!$G$10-Norm_Stats!$F$10))))</f>
        <v/>
      </c>
      <c r="Z88" s="14">
        <f>IF(Y88="","",1)</f>
        <v/>
      </c>
      <c r="AA88" s="11">
        <f>IF(OR(City_Inputs!$W88="",Norm_Stats!$F$11="",Norm_Stats!$G$11="",Norm_Stats!$G$11=Norm_Stats!$F$11),"",MAX(0,MIN(100,100*(MIN(MAX(City_Inputs!$W88,Norm_Stats!$F$11),Norm_Stats!$G$11)-Norm_Stats!$F$11)/(Norm_Stats!$G$11-Norm_Stats!$F$11))))</f>
        <v/>
      </c>
      <c r="AB88" s="14">
        <f>IF(AA88="","",1)</f>
        <v/>
      </c>
      <c r="AC88" s="15">
        <f>IF((IF(S88="",0,5)+IF(U88="",0,5)+IF(W88="",0,4)+IF(Y88="",0,4)+IF(AA88="",0,4))=0,"",(IF(S88="",0,S88*5)+IF(U88="",0,U88*5)+IF(W88="",0,W88*4)+IF(Y88="",0,Y88*4)+IF(AA88="",0,AA88*4))/(IF(S88="",0,5)+IF(U88="",0,5)+IF(W88="",0,4)+IF(Y88="",0,4)+IF(AA88="",0,4)))</f>
        <v/>
      </c>
      <c r="AD88" s="14">
        <f>IF((IF(T88="",0,5)+IF(V88="",0,5)+IF(X88="",0,4)+IF(Z88="",0,4)+IF(AB88="",0,4))=0,"",(IF(T88="",0,T88*5)+IF(V88="",0,V88*5)+IF(X88="",0,X88*4)+IF(Z88="",0,Z88*4)+IF(AB88="",0,AB88*4))/22)</f>
        <v/>
      </c>
      <c r="AE88" s="11">
        <f>IF(OR(City_Inputs!$X88="",Norm_Stats!$F$12="",Norm_Stats!$G$12="",Norm_Stats!$G$12=Norm_Stats!$F$12),"",MAX(0,MIN(100,100*(MIN(MAX(City_Inputs!$X88,Norm_Stats!$F$12),Norm_Stats!$G$12)-Norm_Stats!$F$12)/(Norm_Stats!$G$12-Norm_Stats!$F$12))))</f>
        <v/>
      </c>
      <c r="AF88" s="14">
        <f>IF(AE88="","",1)</f>
        <v/>
      </c>
      <c r="AG88" s="11">
        <f>IF(OR(City_Inputs!$Y88="",Norm_Stats!$F$13="",Norm_Stats!$G$13="",Norm_Stats!$G$13=Norm_Stats!$F$13),"",MAX(0,MIN(100,100*(MIN(MAX(City_Inputs!$Y88,Norm_Stats!$F$13),Norm_Stats!$G$13)-Norm_Stats!$F$13)/(Norm_Stats!$G$13-Norm_Stats!$F$13))))</f>
        <v/>
      </c>
      <c r="AH88" s="14">
        <f>IF(AG88="","",1)</f>
        <v/>
      </c>
      <c r="AI88" s="11">
        <f>IF((IF((IF(OR(City_Inputs!$Z88="",Norm_Stats!$F$14="",Norm_Stats!$G$14="",Norm_Stats!$G$14=Norm_Stats!$F$14),"",MAX(0,MIN(100,100*(MIN(MAX(City_Inputs!$Z88,Norm_Stats!$F$14),Norm_Stats!$G$14)-Norm_Stats!$F$14)/(Norm_Stats!$G$14-Norm_Stats!$F$14)))))="",0,0.7)+IF((IF(OR(City_Inputs!$AK88="",Norm_Stats!$F$15="",Norm_Stats!$G$15="",Norm_Stats!$G$15=Norm_Stats!$F$15),"",MAX(0,MIN(100,100*(Norm_Stats!$G$15-MIN(MAX(City_Inputs!$AK88,Norm_Stats!$F$15),Norm_Stats!$G$15))/(Norm_Stats!$G$15-Norm_Stats!$F$15)))))="",0,0.3))=0,"",(IF((IF(OR(City_Inputs!$Z88="",Norm_Stats!$F$14="",Norm_Stats!$G$14="",Norm_Stats!$G$14=Norm_Stats!$F$14),"",MAX(0,MIN(100,100*(MIN(MAX(City_Inputs!$Z88,Norm_Stats!$F$14),Norm_Stats!$G$14)-Norm_Stats!$F$14)/(Norm_Stats!$G$14-Norm_Stats!$F$14)))))="",0,(IF(OR(City_Inputs!$Z88="",Norm_Stats!$F$14="",Norm_Stats!$G$14="",Norm_Stats!$G$14=Norm_Stats!$F$14),"",MAX(0,MIN(100,100*(MIN(MAX(City_Inputs!$Z88,Norm_Stats!$F$14),Norm_Stats!$G$14)-Norm_Stats!$F$14)/(Norm_Stats!$G$14-Norm_Stats!$F$14)))))*0.7)+IF((IF(OR(City_Inputs!$AK88="",Norm_Stats!$F$15="",Norm_Stats!$G$15="",Norm_Stats!$G$15=Norm_Stats!$F$15),"",MAX(0,MIN(100,100*(Norm_Stats!$G$15-MIN(MAX(City_Inputs!$AK88,Norm_Stats!$F$15),Norm_Stats!$G$15))/(Norm_Stats!$G$15-Norm_Stats!$F$15)))))="",0,(IF(OR(City_Inputs!$AK88="",Norm_Stats!$F$15="",Norm_Stats!$G$15="",Norm_Stats!$G$15=Norm_Stats!$F$15),"",MAX(0,MIN(100,100*(Norm_Stats!$G$15-MIN(MAX(City_Inputs!$AK88,Norm_Stats!$F$15),Norm_Stats!$G$15))/(Norm_Stats!$G$15-Norm_Stats!$F$15)))))*0.3))/(IF((IF(OR(City_Inputs!$Z88="",Norm_Stats!$F$14="",Norm_Stats!$G$14="",Norm_Stats!$G$14=Norm_Stats!$F$14),"",MAX(0,MIN(100,100*(MIN(MAX(City_Inputs!$Z88,Norm_Stats!$F$14),Norm_Stats!$G$14)-Norm_Stats!$F$14)/(Norm_Stats!$G$14-Norm_Stats!$F$14)))))="",0,0.7)+IF((IF(OR(City_Inputs!$AK88="",Norm_Stats!$F$15="",Norm_Stats!$G$15="",Norm_Stats!$G$15=Norm_Stats!$F$15),"",MAX(0,MIN(100,100*(Norm_Stats!$G$15-MIN(MAX(City_Inputs!$AK88,Norm_Stats!$F$15),Norm_Stats!$G$15))/(Norm_Stats!$G$15-Norm_Stats!$F$15)))))="",0,0.3)))</f>
        <v/>
      </c>
      <c r="AJ88" s="14">
        <f>IF((IF((IF(OR(City_Inputs!$Z88="",Norm_Stats!$F$14="",Norm_Stats!$G$14="",Norm_Stats!$G$14=Norm_Stats!$F$14),"",MAX(0,MIN(100,100*(MIN(MAX(City_Inputs!$Z88,Norm_Stats!$F$14),Norm_Stats!$G$14)-Norm_Stats!$F$14)/(Norm_Stats!$G$14-Norm_Stats!$F$14)))))="",0,0.7)+IF((IF(OR(City_Inputs!$AK88="",Norm_Stats!$F$15="",Norm_Stats!$G$15="",Norm_Stats!$G$15=Norm_Stats!$F$15),"",MAX(0,MIN(100,100*(Norm_Stats!$G$15-MIN(MAX(City_Inputs!$AK88,Norm_Stats!$F$15),Norm_Stats!$G$15))/(Norm_Stats!$G$15-Norm_Stats!$F$15)))))="",0,0.3))=0,"",(IF((IF(OR(City_Inputs!$Z88="",Norm_Stats!$F$14="",Norm_Stats!$G$14="",Norm_Stats!$G$14=Norm_Stats!$F$14),"",MAX(0,MIN(100,100*(MIN(MAX(City_Inputs!$Z88,Norm_Stats!$F$14),Norm_Stats!$G$14)-Norm_Stats!$F$14)/(Norm_Stats!$G$14-Norm_Stats!$F$14)))))="",0,0.7)+IF((IF(OR(City_Inputs!$AK88="",Norm_Stats!$F$15="",Norm_Stats!$G$15="",Norm_Stats!$G$15=Norm_Stats!$F$15),"",MAX(0,MIN(100,100*(Norm_Stats!$G$15-MIN(MAX(City_Inputs!$AK88,Norm_Stats!$F$15),Norm_Stats!$G$15))/(Norm_Stats!$G$15-Norm_Stats!$F$15)))))="",0,0.3)))</f>
        <v/>
      </c>
      <c r="AK88" s="15">
        <f>IF((IF(AE88="",0,8)+IF(AG88="",0,6)+IF(AI88="",0,4))=0,"",(IF(AE88="",0,AE88*8)+IF(AG88="",0,AG88*6)+IF(AI88="",0,AI88*4))/(IF(AE88="",0,8)+IF(AG88="",0,6)+IF(AI88="",0,4)))</f>
        <v/>
      </c>
      <c r="AL88" s="14">
        <f>IF((IF(AF88="",0,8)+IF(AH88="",0,6)+IF(AJ88="",0,4))=0,"",(IF(AF88="",0,AF88*8)+IF(AH88="",0,AH88*6)+IF(AJ88="",0,AJ88*4))/18)</f>
        <v/>
      </c>
      <c r="AM88" s="11">
        <f>IF(OR(City_Inputs!$AA88="",Norm_Stats!$F$16="",Norm_Stats!$G$16="",Norm_Stats!$G$16=Norm_Stats!$F$16),"",MAX(0,MIN(100,100*(MIN(MAX(City_Inputs!$AA88,Norm_Stats!$F$16),Norm_Stats!$G$16)-Norm_Stats!$F$16)/(Norm_Stats!$G$16-Norm_Stats!$F$16))))</f>
        <v/>
      </c>
      <c r="AN88" s="14">
        <f>IF(AM88="","",1)</f>
        <v/>
      </c>
      <c r="AO88" s="11">
        <f>IF(OR(City_Inputs!$AB88="",Norm_Stats!$F$17="",Norm_Stats!$G$17="",Norm_Stats!$G$17=Norm_Stats!$F$17),"",MAX(0,MIN(100,100*(MIN(MAX(City_Inputs!$AB88,Norm_Stats!$F$17),Norm_Stats!$G$17)-Norm_Stats!$F$17)/(Norm_Stats!$G$17-Norm_Stats!$F$17))))</f>
        <v/>
      </c>
      <c r="AP88" s="14">
        <f>IF(AO88="","",1)</f>
        <v/>
      </c>
      <c r="AQ88" s="11">
        <f>IF(OR(City_Inputs!$AC88="",Norm_Stats!$F$18="",Norm_Stats!$G$18="",Norm_Stats!$G$18=Norm_Stats!$F$18),"",MAX(0,MIN(100,100*(MIN(MAX(City_Inputs!$AC88,Norm_Stats!$F$18),Norm_Stats!$G$18)-Norm_Stats!$F$18)/(Norm_Stats!$G$18-Norm_Stats!$F$18))))</f>
        <v/>
      </c>
      <c r="AR88" s="14">
        <f>IF(AQ88="","",1)</f>
        <v/>
      </c>
      <c r="AS88" s="15">
        <f>IF((IF(AM88="",0,5)+IF(AO88="",0,5)+IF(AQ88="",0,5))=0,"",(IF(AM88="",0,AM88*5)+IF(AO88="",0,AO88*5)+IF(AQ88="",0,AQ88*5))/(IF(AM88="",0,5)+IF(AO88="",0,5)+IF(AQ88="",0,5)))</f>
        <v/>
      </c>
      <c r="AT88" s="14">
        <f>IF((IF(AN88="",0,5)+IF(AP88="",0,5)+IF(AR88="",0,5))=0,"",(IF(AN88="",0,AN88*5)+IF(AP88="",0,AP88*5)+IF(AR88="",0,AR88*5))/15)</f>
        <v/>
      </c>
      <c r="AU88" s="11">
        <f>IF(OR(City_Inputs!$AD88="",Norm_Stats!$F$19="",Norm_Stats!$G$19="",Norm_Stats!$G$19=Norm_Stats!$F$19),"",MAX(0,MIN(100,100*(MIN(MAX(City_Inputs!$AD88,Norm_Stats!$F$19),Norm_Stats!$G$19)-Norm_Stats!$F$19)/(Norm_Stats!$G$19-Norm_Stats!$F$19))))</f>
        <v/>
      </c>
      <c r="AV88" s="14">
        <f>IF(AU88="","",1)</f>
        <v/>
      </c>
      <c r="AW88" s="11">
        <f>IF(OR(City_Inputs!$AE88="",Norm_Stats!$F$20="",Norm_Stats!$G$20="",Norm_Stats!$G$20=Norm_Stats!$F$20),"",MAX(0,MIN(100,100*(MIN(MAX(City_Inputs!$AE88,Norm_Stats!$F$20),Norm_Stats!$G$20)-Norm_Stats!$F$20)/(Norm_Stats!$G$20-Norm_Stats!$F$20))))</f>
        <v/>
      </c>
      <c r="AX88" s="14">
        <f>IF(AW88="","",1)</f>
        <v/>
      </c>
      <c r="AY88" s="11">
        <f>IF((IF((IF(OR(City_Inputs!$AF88="",Norm_Stats!$F$21="",Norm_Stats!$G$21="",Norm_Stats!$G$21=Norm_Stats!$F$21),"",MAX(0,MIN(100,100*(MIN(MAX(City_Inputs!$AF88,Norm_Stats!$F$21),Norm_Stats!$G$21)-Norm_Stats!$F$21)/(Norm_Stats!$G$21-Norm_Stats!$F$21)))))="",0,0.5)+IF((IF(OR(City_Inputs!$AI88="",Norm_Stats!$F$22="",Norm_Stats!$G$22="",Norm_Stats!$G$22=Norm_Stats!$F$22),"",MAX(0,MIN(100,100*(MIN(MAX(City_Inputs!$AI88,Norm_Stats!$F$22),Norm_Stats!$G$22)-Norm_Stats!$F$22)/(Norm_Stats!$G$22-Norm_Stats!$F$22)))))="",0,0.3)+IF((IF(OR(City_Inputs!$AJ88="",Norm_Stats!$F$23="",Norm_Stats!$G$23="",Norm_Stats!$G$23=Norm_Stats!$F$23),"",MAX(0,MIN(100,100*(MIN(MAX(City_Inputs!$AJ88,Norm_Stats!$F$23),Norm_Stats!$G$23)-Norm_Stats!$F$23)/(Norm_Stats!$G$23-Norm_Stats!$F$23)))))="",0,0.2))=0,"",(IF((IF(OR(City_Inputs!$AF88="",Norm_Stats!$F$21="",Norm_Stats!$G$21="",Norm_Stats!$G$21=Norm_Stats!$F$21),"",MAX(0,MIN(100,100*(MIN(MAX(City_Inputs!$AF88,Norm_Stats!$F$21),Norm_Stats!$G$21)-Norm_Stats!$F$21)/(Norm_Stats!$G$21-Norm_Stats!$F$21)))))="",0,(IF(OR(City_Inputs!$AF88="",Norm_Stats!$F$21="",Norm_Stats!$G$21="",Norm_Stats!$G$21=Norm_Stats!$F$21),"",MAX(0,MIN(100,100*(MIN(MAX(City_Inputs!$AF88,Norm_Stats!$F$21),Norm_Stats!$G$21)-Norm_Stats!$F$21)/(Norm_Stats!$G$21-Norm_Stats!$F$21)))))*0.5)+IF((IF(OR(City_Inputs!$AI88="",Norm_Stats!$F$22="",Norm_Stats!$G$22="",Norm_Stats!$G$22=Norm_Stats!$F$22),"",MAX(0,MIN(100,100*(MIN(MAX(City_Inputs!$AI88,Norm_Stats!$F$22),Norm_Stats!$G$22)-Norm_Stats!$F$22)/(Norm_Stats!$G$22-Norm_Stats!$F$22)))))="",0,(IF(OR(City_Inputs!$AI88="",Norm_Stats!$F$22="",Norm_Stats!$G$22="",Norm_Stats!$G$22=Norm_Stats!$F$22),"",MAX(0,MIN(100,100*(MIN(MAX(City_Inputs!$AI88,Norm_Stats!$F$22),Norm_Stats!$G$22)-Norm_Stats!$F$22)/(Norm_Stats!$G$22-Norm_Stats!$F$22)))))*0.3)+IF((IF(OR(City_Inputs!$AJ88="",Norm_Stats!$F$23="",Norm_Stats!$G$23="",Norm_Stats!$G$23=Norm_Stats!$F$23),"",MAX(0,MIN(100,100*(MIN(MAX(City_Inputs!$AJ88,Norm_Stats!$F$23),Norm_Stats!$G$23)-Norm_Stats!$F$23)/(Norm_Stats!$G$23-Norm_Stats!$F$23)))))="",0,(IF(OR(City_Inputs!$AJ88="",Norm_Stats!$F$23="",Norm_Stats!$G$23="",Norm_Stats!$G$23=Norm_Stats!$F$23),"",MAX(0,MIN(100,100*(MIN(MAX(City_Inputs!$AJ88,Norm_Stats!$F$23),Norm_Stats!$G$23)-Norm_Stats!$F$23)/(Norm_Stats!$G$23-Norm_Stats!$F$23)))))*0.2))/(IF((IF(OR(City_Inputs!$AF88="",Norm_Stats!$F$21="",Norm_Stats!$G$21="",Norm_Stats!$G$21=Norm_Stats!$F$21),"",MAX(0,MIN(100,100*(MIN(MAX(City_Inputs!$AF88,Norm_Stats!$F$21),Norm_Stats!$G$21)-Norm_Stats!$F$21)/(Norm_Stats!$G$21-Norm_Stats!$F$21)))))="",0,0.5)+IF((IF(OR(City_Inputs!$AI88="",Norm_Stats!$F$22="",Norm_Stats!$G$22="",Norm_Stats!$G$22=Norm_Stats!$F$22),"",MAX(0,MIN(100,100*(MIN(MAX(City_Inputs!$AI88,Norm_Stats!$F$22),Norm_Stats!$G$22)-Norm_Stats!$F$22)/(Norm_Stats!$G$22-Norm_Stats!$F$22)))))="",0,0.3)+IF((IF(OR(City_Inputs!$AJ88="",Norm_Stats!$F$23="",Norm_Stats!$G$23="",Norm_Stats!$G$23=Norm_Stats!$F$23),"",MAX(0,MIN(100,100*(MIN(MAX(City_Inputs!$AJ88,Norm_Stats!$F$23),Norm_Stats!$G$23)-Norm_Stats!$F$23)/(Norm_Stats!$G$23-Norm_Stats!$F$23)))))="",0,0.2)))</f>
        <v/>
      </c>
      <c r="AZ88" s="14">
        <f>IF((IF((IF(OR(City_Inputs!$AF88="",Norm_Stats!$F$21="",Norm_Stats!$G$21="",Norm_Stats!$G$21=Norm_Stats!$F$21),"",MAX(0,MIN(100,100*(MIN(MAX(City_Inputs!$AF88,Norm_Stats!$F$21),Norm_Stats!$G$21)-Norm_Stats!$F$21)/(Norm_Stats!$G$21-Norm_Stats!$F$21)))))="",0,0.5)+IF((IF(OR(City_Inputs!$AI88="",Norm_Stats!$F$22="",Norm_Stats!$G$22="",Norm_Stats!$G$22=Norm_Stats!$F$22),"",MAX(0,MIN(100,100*(MIN(MAX(City_Inputs!$AI88,Norm_Stats!$F$22),Norm_Stats!$G$22)-Norm_Stats!$F$22)/(Norm_Stats!$G$22-Norm_Stats!$F$22)))))="",0,0.3)+IF((IF(OR(City_Inputs!$AJ88="",Norm_Stats!$F$23="",Norm_Stats!$G$23="",Norm_Stats!$G$23=Norm_Stats!$F$23),"",MAX(0,MIN(100,100*(MIN(MAX(City_Inputs!$AJ88,Norm_Stats!$F$23),Norm_Stats!$G$23)-Norm_Stats!$F$23)/(Norm_Stats!$G$23-Norm_Stats!$F$23)))))="",0,0.2))=0,"",(IF((IF(OR(City_Inputs!$AF88="",Norm_Stats!$F$21="",Norm_Stats!$G$21="",Norm_Stats!$G$21=Norm_Stats!$F$21),"",MAX(0,MIN(100,100*(MIN(MAX(City_Inputs!$AF88,Norm_Stats!$F$21),Norm_Stats!$G$21)-Norm_Stats!$F$21)/(Norm_Stats!$G$21-Norm_Stats!$F$21)))))="",0,0.5)+IF((IF(OR(City_Inputs!$AI88="",Norm_Stats!$F$22="",Norm_Stats!$G$22="",Norm_Stats!$G$22=Norm_Stats!$F$22),"",MAX(0,MIN(100,100*(MIN(MAX(City_Inputs!$AI88,Norm_Stats!$F$22),Norm_Stats!$G$22)-Norm_Stats!$F$22)/(Norm_Stats!$G$22-Norm_Stats!$F$22)))))="",0,0.3)+IF((IF(OR(City_Inputs!$AJ88="",Norm_Stats!$F$23="",Norm_Stats!$G$23="",Norm_Stats!$G$23=Norm_Stats!$F$23),"",MAX(0,MIN(100,100*(MIN(MAX(City_Inputs!$AJ88,Norm_Stats!$F$23),Norm_Stats!$G$23)-Norm_Stats!$F$23)/(Norm_Stats!$G$23-Norm_Stats!$F$23)))))="",0,0.2)))</f>
        <v/>
      </c>
      <c r="BA88" s="11">
        <f>IF(OR(City_Inputs!$AG88="",Norm_Stats!$F$24="",Norm_Stats!$G$24="",Norm_Stats!$G$24=Norm_Stats!$F$24),"",MAX(0,MIN(100,100*(Norm_Stats!$G$24-MIN(MAX(City_Inputs!$AG88,Norm_Stats!$F$24),Norm_Stats!$G$24))/(Norm_Stats!$G$24-Norm_Stats!$F$24))))</f>
        <v/>
      </c>
      <c r="BB88" s="14">
        <f>IF(BA88="","",1)</f>
        <v/>
      </c>
      <c r="BC88" s="15">
        <f>IF((IF(AU88="",0,6)+IF(AW88="",0,5)+IF(AY88="",0,5)+IF(BA88="",0,4))=0,"",(IF(AU88="",0,AU88*6)+IF(AW88="",0,AW88*5)+IF(AY88="",0,AY88*5)+IF(BA88="",0,BA88*4))/(IF(AU88="",0,6)+IF(AW88="",0,5)+IF(AY88="",0,5)+IF(BA88="",0,4)))</f>
        <v/>
      </c>
      <c r="BD88" s="14">
        <f>IF((IF(AV88="",0,6)+IF(AX88="",0,5)+IF(AZ88="",0,5)+IF(BB88="",0,4))=0,"",(IF(AV88="",0,AV88*6)+IF(AX88="",0,AX88*5)+IF(AZ88="",0,AZ88*5)+IF(BB88="",0,BB88*4))/20)</f>
        <v/>
      </c>
      <c r="BE88" s="14">
        <f>IF(AND(R88="",AD88="",AL88="",AT88="",BD88=""),"",((R88*25)+(AD88*22)+(AL88*18)+(AT88*15)+(BD88*20))/100)</f>
        <v/>
      </c>
      <c r="BF88" s="11">
        <f>IF(BE88="","",IF(BE88&gt;=0.75,"A",IF(BE88&gt;=0.5,"B",IF(BE88&gt;=0.35,"C","Watchlist"))))</f>
        <v/>
      </c>
      <c r="BG88" s="11">
        <f>IF(OR(BE88="",BE88&lt;0.5,R88="",R88&lt;0.35,AD88="",AD88&lt;0.35,AL88="",AL88&lt;0.35,AT88="",AT88&lt;0.35,BD88="",BD88&lt;0.35),"Watchlist","Ranked")</f>
        <v/>
      </c>
      <c r="BH88" s="15">
        <f>IF(AND(Q88="",AC88="",AK88="",AS88="",BC88=""),"",(IF(Q88="",0,Q88*25)+IF(AC88="",0,AC88*22)+IF(AK88="",0,AK88*18)+IF(AS88="",0,AS88*15)+IF(BC88="",0,BC88*20))/(IF(Q88="",0,25)+IF(AC88="",0,22)+IF(AK88="",0,18)+IF(AS88="",0,15)+IF(BC88="",0,20)))</f>
        <v/>
      </c>
      <c r="BI88" s="11">
        <f>IF(BG88="Ranked",1+COUNTIFS($BG$2:$BG$103,"Ranked",$BH$2:$BH$103,"&gt;"&amp;BH88),"")</f>
        <v/>
      </c>
      <c r="BJ88" s="11">
        <f>City_Inputs!$AH88</f>
        <v/>
      </c>
    </row>
    <row r="89">
      <c r="A89" t="inlineStr">
        <is>
          <t>mu-port-louis</t>
        </is>
      </c>
      <c r="B89" t="inlineStr">
        <is>
          <t>Port Louis</t>
        </is>
      </c>
      <c r="C89" t="inlineStr">
        <is>
          <t>Mauritius</t>
        </is>
      </c>
      <c r="D89" t="inlineStr">
        <is>
          <t>Africa</t>
        </is>
      </c>
      <c r="E89" t="inlineStr">
        <is>
          <t>locked</t>
        </is>
      </c>
      <c r="F89" t="inlineStr">
        <is>
          <t>secondary</t>
        </is>
      </c>
      <c r="G89" s="11">
        <f>IF(OR(City_Inputs!$M89="",Norm_Stats!$F$2="",Norm_Stats!$G$2="",Norm_Stats!$G$2=Norm_Stats!$F$2),"",MAX(0,MIN(100,100*(MIN(MAX(City_Inputs!$M89,Norm_Stats!$F$2),Norm_Stats!$G$2)-Norm_Stats!$F$2)/(Norm_Stats!$G$2-Norm_Stats!$F$2))))</f>
        <v/>
      </c>
      <c r="H89" s="14">
        <f>IF(G89="","",1)</f>
        <v/>
      </c>
      <c r="I89" s="11">
        <f>IF(OR(City_Inputs!$N89="",Norm_Stats!$F$3="",Norm_Stats!$G$3="",Norm_Stats!$G$3=Norm_Stats!$F$3),"",MAX(0,MIN(100,100*(Norm_Stats!$G$3-MIN(MAX(City_Inputs!$N89,Norm_Stats!$F$3),Norm_Stats!$G$3))/(Norm_Stats!$G$3-Norm_Stats!$F$3))))</f>
        <v/>
      </c>
      <c r="J89" s="14">
        <f>IF(I89="","",1)</f>
        <v/>
      </c>
      <c r="K89" s="11">
        <f>IF(OR(City_Inputs!$P89="",Norm_Stats!$F$4="",Norm_Stats!$G$4="",Norm_Stats!$G$4=Norm_Stats!$F$4),"",MAX(0,MIN(100,100*(Norm_Stats!$G$4-MIN(MAX(City_Inputs!$P89,Norm_Stats!$F$4),Norm_Stats!$G$4))/(Norm_Stats!$G$4-Norm_Stats!$F$4))))</f>
        <v/>
      </c>
      <c r="L89" s="14">
        <f>IF(K89="","",1)</f>
        <v/>
      </c>
      <c r="M89" s="11">
        <f>IF(OR(City_Inputs!$Q89="",Norm_Stats!$F$5="",Norm_Stats!$G$5="",Norm_Stats!$G$5=Norm_Stats!$F$5),"",MAX(0,MIN(100,100*(Norm_Stats!$G$5-MIN(MAX(City_Inputs!$Q89,Norm_Stats!$F$5),Norm_Stats!$G$5))/(Norm_Stats!$G$5-Norm_Stats!$F$5))))</f>
        <v/>
      </c>
      <c r="N89" s="14">
        <f>IF(M89="","",1)</f>
        <v/>
      </c>
      <c r="O89" s="11">
        <f>IF(OR(City_Inputs!$R89="",Norm_Stats!$F$6="",Norm_Stats!$G$6="",Norm_Stats!$G$6=Norm_Stats!$F$6),"",MAX(0,MIN(100,100*(Norm_Stats!$G$6-MIN(MAX(City_Inputs!$R89,Norm_Stats!$F$6),Norm_Stats!$G$6))/(Norm_Stats!$G$6-Norm_Stats!$F$6))))</f>
        <v/>
      </c>
      <c r="P89" s="14">
        <f>IF(O89="","",1)</f>
        <v/>
      </c>
      <c r="Q89" s="15">
        <f>IF((IF(G89="",0,9)+IF(I89="",0,5)+IF(K89="",0,4)+IF(M89="",0,4)+IF(O89="",0,3))=0,"",(IF(G89="",0,G89*9)+IF(I89="",0,I89*5)+IF(K89="",0,K89*4)+IF(M89="",0,M89*4)+IF(O89="",0,O89*3))/(IF(G89="",0,9)+IF(I89="",0,5)+IF(K89="",0,4)+IF(M89="",0,4)+IF(O89="",0,3)))</f>
        <v/>
      </c>
      <c r="R89" s="14">
        <f>IF((IF(H89="",0,9)+IF(J89="",0,5)+IF(L89="",0,4)+IF(N89="",0,4)+IF(P89="",0,3))=0,"",(IF(H89="",0,H89*9)+IF(J89="",0,J89*5)+IF(L89="",0,L89*4)+IF(N89="",0,N89*4)+IF(P89="",0,P89*3))/25)</f>
        <v/>
      </c>
      <c r="S89" s="11">
        <f>IF(OR(City_Inputs!$S89="",Norm_Stats!$F$7="",Norm_Stats!$G$7="",Norm_Stats!$G$7=Norm_Stats!$F$7),"",MAX(0,MIN(100,100*(Norm_Stats!$G$7-MIN(MAX(City_Inputs!$S89,Norm_Stats!$F$7),Norm_Stats!$G$7))/(Norm_Stats!$G$7-Norm_Stats!$F$7))))</f>
        <v/>
      </c>
      <c r="T89" s="14">
        <f>IF(S89="","",1)</f>
        <v/>
      </c>
      <c r="U89" s="11">
        <f>IF(OR(City_Inputs!$T89="",Norm_Stats!$F$8="",Norm_Stats!$G$8="",Norm_Stats!$G$8=Norm_Stats!$F$8),"",MAX(0,MIN(100,100*(MIN(MAX(City_Inputs!$T89,Norm_Stats!$F$8),Norm_Stats!$G$8)-Norm_Stats!$F$8)/(Norm_Stats!$G$8-Norm_Stats!$F$8))))</f>
        <v/>
      </c>
      <c r="V89" s="14">
        <f>IF(U89="","",1)</f>
        <v/>
      </c>
      <c r="W89" s="11">
        <f>IF(OR(City_Inputs!$U89="",Norm_Stats!$F$9="",Norm_Stats!$G$9="",Norm_Stats!$G$9=Norm_Stats!$F$9),"",MAX(0,MIN(100,100*(Norm_Stats!$G$9-MIN(MAX(City_Inputs!$U89,Norm_Stats!$F$9),Norm_Stats!$G$9))/(Norm_Stats!$G$9-Norm_Stats!$F$9))))</f>
        <v/>
      </c>
      <c r="X89" s="14">
        <f>IF(W89="","",1)</f>
        <v/>
      </c>
      <c r="Y89" s="11">
        <f>IF(OR(City_Inputs!$V89="",Norm_Stats!$F$10="",Norm_Stats!$G$10="",Norm_Stats!$G$10=Norm_Stats!$F$10),"",MAX(0,MIN(100,100*(MIN(MAX(City_Inputs!$V89,Norm_Stats!$F$10),Norm_Stats!$G$10)-Norm_Stats!$F$10)/(Norm_Stats!$G$10-Norm_Stats!$F$10))))</f>
        <v/>
      </c>
      <c r="Z89" s="14">
        <f>IF(Y89="","",1)</f>
        <v/>
      </c>
      <c r="AA89" s="11">
        <f>IF(OR(City_Inputs!$W89="",Norm_Stats!$F$11="",Norm_Stats!$G$11="",Norm_Stats!$G$11=Norm_Stats!$F$11),"",MAX(0,MIN(100,100*(MIN(MAX(City_Inputs!$W89,Norm_Stats!$F$11),Norm_Stats!$G$11)-Norm_Stats!$F$11)/(Norm_Stats!$G$11-Norm_Stats!$F$11))))</f>
        <v/>
      </c>
      <c r="AB89" s="14">
        <f>IF(AA89="","",1)</f>
        <v/>
      </c>
      <c r="AC89" s="15">
        <f>IF((IF(S89="",0,5)+IF(U89="",0,5)+IF(W89="",0,4)+IF(Y89="",0,4)+IF(AA89="",0,4))=0,"",(IF(S89="",0,S89*5)+IF(U89="",0,U89*5)+IF(W89="",0,W89*4)+IF(Y89="",0,Y89*4)+IF(AA89="",0,AA89*4))/(IF(S89="",0,5)+IF(U89="",0,5)+IF(W89="",0,4)+IF(Y89="",0,4)+IF(AA89="",0,4)))</f>
        <v/>
      </c>
      <c r="AD89" s="14">
        <f>IF((IF(T89="",0,5)+IF(V89="",0,5)+IF(X89="",0,4)+IF(Z89="",0,4)+IF(AB89="",0,4))=0,"",(IF(T89="",0,T89*5)+IF(V89="",0,V89*5)+IF(X89="",0,X89*4)+IF(Z89="",0,Z89*4)+IF(AB89="",0,AB89*4))/22)</f>
        <v/>
      </c>
      <c r="AE89" s="11">
        <f>IF(OR(City_Inputs!$X89="",Norm_Stats!$F$12="",Norm_Stats!$G$12="",Norm_Stats!$G$12=Norm_Stats!$F$12),"",MAX(0,MIN(100,100*(MIN(MAX(City_Inputs!$X89,Norm_Stats!$F$12),Norm_Stats!$G$12)-Norm_Stats!$F$12)/(Norm_Stats!$G$12-Norm_Stats!$F$12))))</f>
        <v/>
      </c>
      <c r="AF89" s="14">
        <f>IF(AE89="","",1)</f>
        <v/>
      </c>
      <c r="AG89" s="11">
        <f>IF(OR(City_Inputs!$Y89="",Norm_Stats!$F$13="",Norm_Stats!$G$13="",Norm_Stats!$G$13=Norm_Stats!$F$13),"",MAX(0,MIN(100,100*(MIN(MAX(City_Inputs!$Y89,Norm_Stats!$F$13),Norm_Stats!$G$13)-Norm_Stats!$F$13)/(Norm_Stats!$G$13-Norm_Stats!$F$13))))</f>
        <v/>
      </c>
      <c r="AH89" s="14">
        <f>IF(AG89="","",1)</f>
        <v/>
      </c>
      <c r="AI89" s="11">
        <f>IF((IF((IF(OR(City_Inputs!$Z89="",Norm_Stats!$F$14="",Norm_Stats!$G$14="",Norm_Stats!$G$14=Norm_Stats!$F$14),"",MAX(0,MIN(100,100*(MIN(MAX(City_Inputs!$Z89,Norm_Stats!$F$14),Norm_Stats!$G$14)-Norm_Stats!$F$14)/(Norm_Stats!$G$14-Norm_Stats!$F$14)))))="",0,0.7)+IF((IF(OR(City_Inputs!$AK89="",Norm_Stats!$F$15="",Norm_Stats!$G$15="",Norm_Stats!$G$15=Norm_Stats!$F$15),"",MAX(0,MIN(100,100*(Norm_Stats!$G$15-MIN(MAX(City_Inputs!$AK89,Norm_Stats!$F$15),Norm_Stats!$G$15))/(Norm_Stats!$G$15-Norm_Stats!$F$15)))))="",0,0.3))=0,"",(IF((IF(OR(City_Inputs!$Z89="",Norm_Stats!$F$14="",Norm_Stats!$G$14="",Norm_Stats!$G$14=Norm_Stats!$F$14),"",MAX(0,MIN(100,100*(MIN(MAX(City_Inputs!$Z89,Norm_Stats!$F$14),Norm_Stats!$G$14)-Norm_Stats!$F$14)/(Norm_Stats!$G$14-Norm_Stats!$F$14)))))="",0,(IF(OR(City_Inputs!$Z89="",Norm_Stats!$F$14="",Norm_Stats!$G$14="",Norm_Stats!$G$14=Norm_Stats!$F$14),"",MAX(0,MIN(100,100*(MIN(MAX(City_Inputs!$Z89,Norm_Stats!$F$14),Norm_Stats!$G$14)-Norm_Stats!$F$14)/(Norm_Stats!$G$14-Norm_Stats!$F$14)))))*0.7)+IF((IF(OR(City_Inputs!$AK89="",Norm_Stats!$F$15="",Norm_Stats!$G$15="",Norm_Stats!$G$15=Norm_Stats!$F$15),"",MAX(0,MIN(100,100*(Norm_Stats!$G$15-MIN(MAX(City_Inputs!$AK89,Norm_Stats!$F$15),Norm_Stats!$G$15))/(Norm_Stats!$G$15-Norm_Stats!$F$15)))))="",0,(IF(OR(City_Inputs!$AK89="",Norm_Stats!$F$15="",Norm_Stats!$G$15="",Norm_Stats!$G$15=Norm_Stats!$F$15),"",MAX(0,MIN(100,100*(Norm_Stats!$G$15-MIN(MAX(City_Inputs!$AK89,Norm_Stats!$F$15),Norm_Stats!$G$15))/(Norm_Stats!$G$15-Norm_Stats!$F$15)))))*0.3))/(IF((IF(OR(City_Inputs!$Z89="",Norm_Stats!$F$14="",Norm_Stats!$G$14="",Norm_Stats!$G$14=Norm_Stats!$F$14),"",MAX(0,MIN(100,100*(MIN(MAX(City_Inputs!$Z89,Norm_Stats!$F$14),Norm_Stats!$G$14)-Norm_Stats!$F$14)/(Norm_Stats!$G$14-Norm_Stats!$F$14)))))="",0,0.7)+IF((IF(OR(City_Inputs!$AK89="",Norm_Stats!$F$15="",Norm_Stats!$G$15="",Norm_Stats!$G$15=Norm_Stats!$F$15),"",MAX(0,MIN(100,100*(Norm_Stats!$G$15-MIN(MAX(City_Inputs!$AK89,Norm_Stats!$F$15),Norm_Stats!$G$15))/(Norm_Stats!$G$15-Norm_Stats!$F$15)))))="",0,0.3)))</f>
        <v/>
      </c>
      <c r="AJ89" s="14">
        <f>IF((IF((IF(OR(City_Inputs!$Z89="",Norm_Stats!$F$14="",Norm_Stats!$G$14="",Norm_Stats!$G$14=Norm_Stats!$F$14),"",MAX(0,MIN(100,100*(MIN(MAX(City_Inputs!$Z89,Norm_Stats!$F$14),Norm_Stats!$G$14)-Norm_Stats!$F$14)/(Norm_Stats!$G$14-Norm_Stats!$F$14)))))="",0,0.7)+IF((IF(OR(City_Inputs!$AK89="",Norm_Stats!$F$15="",Norm_Stats!$G$15="",Norm_Stats!$G$15=Norm_Stats!$F$15),"",MAX(0,MIN(100,100*(Norm_Stats!$G$15-MIN(MAX(City_Inputs!$AK89,Norm_Stats!$F$15),Norm_Stats!$G$15))/(Norm_Stats!$G$15-Norm_Stats!$F$15)))))="",0,0.3))=0,"",(IF((IF(OR(City_Inputs!$Z89="",Norm_Stats!$F$14="",Norm_Stats!$G$14="",Norm_Stats!$G$14=Norm_Stats!$F$14),"",MAX(0,MIN(100,100*(MIN(MAX(City_Inputs!$Z89,Norm_Stats!$F$14),Norm_Stats!$G$14)-Norm_Stats!$F$14)/(Norm_Stats!$G$14-Norm_Stats!$F$14)))))="",0,0.7)+IF((IF(OR(City_Inputs!$AK89="",Norm_Stats!$F$15="",Norm_Stats!$G$15="",Norm_Stats!$G$15=Norm_Stats!$F$15),"",MAX(0,MIN(100,100*(Norm_Stats!$G$15-MIN(MAX(City_Inputs!$AK89,Norm_Stats!$F$15),Norm_Stats!$G$15))/(Norm_Stats!$G$15-Norm_Stats!$F$15)))))="",0,0.3)))</f>
        <v/>
      </c>
      <c r="AK89" s="15">
        <f>IF((IF(AE89="",0,8)+IF(AG89="",0,6)+IF(AI89="",0,4))=0,"",(IF(AE89="",0,AE89*8)+IF(AG89="",0,AG89*6)+IF(AI89="",0,AI89*4))/(IF(AE89="",0,8)+IF(AG89="",0,6)+IF(AI89="",0,4)))</f>
        <v/>
      </c>
      <c r="AL89" s="14">
        <f>IF((IF(AF89="",0,8)+IF(AH89="",0,6)+IF(AJ89="",0,4))=0,"",(IF(AF89="",0,AF89*8)+IF(AH89="",0,AH89*6)+IF(AJ89="",0,AJ89*4))/18)</f>
        <v/>
      </c>
      <c r="AM89" s="11">
        <f>IF(OR(City_Inputs!$AA89="",Norm_Stats!$F$16="",Norm_Stats!$G$16="",Norm_Stats!$G$16=Norm_Stats!$F$16),"",MAX(0,MIN(100,100*(MIN(MAX(City_Inputs!$AA89,Norm_Stats!$F$16),Norm_Stats!$G$16)-Norm_Stats!$F$16)/(Norm_Stats!$G$16-Norm_Stats!$F$16))))</f>
        <v/>
      </c>
      <c r="AN89" s="14">
        <f>IF(AM89="","",1)</f>
        <v/>
      </c>
      <c r="AO89" s="11">
        <f>IF(OR(City_Inputs!$AB89="",Norm_Stats!$F$17="",Norm_Stats!$G$17="",Norm_Stats!$G$17=Norm_Stats!$F$17),"",MAX(0,MIN(100,100*(MIN(MAX(City_Inputs!$AB89,Norm_Stats!$F$17),Norm_Stats!$G$17)-Norm_Stats!$F$17)/(Norm_Stats!$G$17-Norm_Stats!$F$17))))</f>
        <v/>
      </c>
      <c r="AP89" s="14">
        <f>IF(AO89="","",1)</f>
        <v/>
      </c>
      <c r="AQ89" s="11">
        <f>IF(OR(City_Inputs!$AC89="",Norm_Stats!$F$18="",Norm_Stats!$G$18="",Norm_Stats!$G$18=Norm_Stats!$F$18),"",MAX(0,MIN(100,100*(MIN(MAX(City_Inputs!$AC89,Norm_Stats!$F$18),Norm_Stats!$G$18)-Norm_Stats!$F$18)/(Norm_Stats!$G$18-Norm_Stats!$F$18))))</f>
        <v/>
      </c>
      <c r="AR89" s="14">
        <f>IF(AQ89="","",1)</f>
        <v/>
      </c>
      <c r="AS89" s="15">
        <f>IF((IF(AM89="",0,5)+IF(AO89="",0,5)+IF(AQ89="",0,5))=0,"",(IF(AM89="",0,AM89*5)+IF(AO89="",0,AO89*5)+IF(AQ89="",0,AQ89*5))/(IF(AM89="",0,5)+IF(AO89="",0,5)+IF(AQ89="",0,5)))</f>
        <v/>
      </c>
      <c r="AT89" s="14">
        <f>IF((IF(AN89="",0,5)+IF(AP89="",0,5)+IF(AR89="",0,5))=0,"",(IF(AN89="",0,AN89*5)+IF(AP89="",0,AP89*5)+IF(AR89="",0,AR89*5))/15)</f>
        <v/>
      </c>
      <c r="AU89" s="11">
        <f>IF(OR(City_Inputs!$AD89="",Norm_Stats!$F$19="",Norm_Stats!$G$19="",Norm_Stats!$G$19=Norm_Stats!$F$19),"",MAX(0,MIN(100,100*(MIN(MAX(City_Inputs!$AD89,Norm_Stats!$F$19),Norm_Stats!$G$19)-Norm_Stats!$F$19)/(Norm_Stats!$G$19-Norm_Stats!$F$19))))</f>
        <v/>
      </c>
      <c r="AV89" s="14">
        <f>IF(AU89="","",1)</f>
        <v/>
      </c>
      <c r="AW89" s="11">
        <f>IF(OR(City_Inputs!$AE89="",Norm_Stats!$F$20="",Norm_Stats!$G$20="",Norm_Stats!$G$20=Norm_Stats!$F$20),"",MAX(0,MIN(100,100*(MIN(MAX(City_Inputs!$AE89,Norm_Stats!$F$20),Norm_Stats!$G$20)-Norm_Stats!$F$20)/(Norm_Stats!$G$20-Norm_Stats!$F$20))))</f>
        <v/>
      </c>
      <c r="AX89" s="14">
        <f>IF(AW89="","",1)</f>
        <v/>
      </c>
      <c r="AY89" s="11">
        <f>IF((IF((IF(OR(City_Inputs!$AF89="",Norm_Stats!$F$21="",Norm_Stats!$G$21="",Norm_Stats!$G$21=Norm_Stats!$F$21),"",MAX(0,MIN(100,100*(MIN(MAX(City_Inputs!$AF89,Norm_Stats!$F$21),Norm_Stats!$G$21)-Norm_Stats!$F$21)/(Norm_Stats!$G$21-Norm_Stats!$F$21)))))="",0,0.5)+IF((IF(OR(City_Inputs!$AI89="",Norm_Stats!$F$22="",Norm_Stats!$G$22="",Norm_Stats!$G$22=Norm_Stats!$F$22),"",MAX(0,MIN(100,100*(MIN(MAX(City_Inputs!$AI89,Norm_Stats!$F$22),Norm_Stats!$G$22)-Norm_Stats!$F$22)/(Norm_Stats!$G$22-Norm_Stats!$F$22)))))="",0,0.3)+IF((IF(OR(City_Inputs!$AJ89="",Norm_Stats!$F$23="",Norm_Stats!$G$23="",Norm_Stats!$G$23=Norm_Stats!$F$23),"",MAX(0,MIN(100,100*(MIN(MAX(City_Inputs!$AJ89,Norm_Stats!$F$23),Norm_Stats!$G$23)-Norm_Stats!$F$23)/(Norm_Stats!$G$23-Norm_Stats!$F$23)))))="",0,0.2))=0,"",(IF((IF(OR(City_Inputs!$AF89="",Norm_Stats!$F$21="",Norm_Stats!$G$21="",Norm_Stats!$G$21=Norm_Stats!$F$21),"",MAX(0,MIN(100,100*(MIN(MAX(City_Inputs!$AF89,Norm_Stats!$F$21),Norm_Stats!$G$21)-Norm_Stats!$F$21)/(Norm_Stats!$G$21-Norm_Stats!$F$21)))))="",0,(IF(OR(City_Inputs!$AF89="",Norm_Stats!$F$21="",Norm_Stats!$G$21="",Norm_Stats!$G$21=Norm_Stats!$F$21),"",MAX(0,MIN(100,100*(MIN(MAX(City_Inputs!$AF89,Norm_Stats!$F$21),Norm_Stats!$G$21)-Norm_Stats!$F$21)/(Norm_Stats!$G$21-Norm_Stats!$F$21)))))*0.5)+IF((IF(OR(City_Inputs!$AI89="",Norm_Stats!$F$22="",Norm_Stats!$G$22="",Norm_Stats!$G$22=Norm_Stats!$F$22),"",MAX(0,MIN(100,100*(MIN(MAX(City_Inputs!$AI89,Norm_Stats!$F$22),Norm_Stats!$G$22)-Norm_Stats!$F$22)/(Norm_Stats!$G$22-Norm_Stats!$F$22)))))="",0,(IF(OR(City_Inputs!$AI89="",Norm_Stats!$F$22="",Norm_Stats!$G$22="",Norm_Stats!$G$22=Norm_Stats!$F$22),"",MAX(0,MIN(100,100*(MIN(MAX(City_Inputs!$AI89,Norm_Stats!$F$22),Norm_Stats!$G$22)-Norm_Stats!$F$22)/(Norm_Stats!$G$22-Norm_Stats!$F$22)))))*0.3)+IF((IF(OR(City_Inputs!$AJ89="",Norm_Stats!$F$23="",Norm_Stats!$G$23="",Norm_Stats!$G$23=Norm_Stats!$F$23),"",MAX(0,MIN(100,100*(MIN(MAX(City_Inputs!$AJ89,Norm_Stats!$F$23),Norm_Stats!$G$23)-Norm_Stats!$F$23)/(Norm_Stats!$G$23-Norm_Stats!$F$23)))))="",0,(IF(OR(City_Inputs!$AJ89="",Norm_Stats!$F$23="",Norm_Stats!$G$23="",Norm_Stats!$G$23=Norm_Stats!$F$23),"",MAX(0,MIN(100,100*(MIN(MAX(City_Inputs!$AJ89,Norm_Stats!$F$23),Norm_Stats!$G$23)-Norm_Stats!$F$23)/(Norm_Stats!$G$23-Norm_Stats!$F$23)))))*0.2))/(IF((IF(OR(City_Inputs!$AF89="",Norm_Stats!$F$21="",Norm_Stats!$G$21="",Norm_Stats!$G$21=Norm_Stats!$F$21),"",MAX(0,MIN(100,100*(MIN(MAX(City_Inputs!$AF89,Norm_Stats!$F$21),Norm_Stats!$G$21)-Norm_Stats!$F$21)/(Norm_Stats!$G$21-Norm_Stats!$F$21)))))="",0,0.5)+IF((IF(OR(City_Inputs!$AI89="",Norm_Stats!$F$22="",Norm_Stats!$G$22="",Norm_Stats!$G$22=Norm_Stats!$F$22),"",MAX(0,MIN(100,100*(MIN(MAX(City_Inputs!$AI89,Norm_Stats!$F$22),Norm_Stats!$G$22)-Norm_Stats!$F$22)/(Norm_Stats!$G$22-Norm_Stats!$F$22)))))="",0,0.3)+IF((IF(OR(City_Inputs!$AJ89="",Norm_Stats!$F$23="",Norm_Stats!$G$23="",Norm_Stats!$G$23=Norm_Stats!$F$23),"",MAX(0,MIN(100,100*(MIN(MAX(City_Inputs!$AJ89,Norm_Stats!$F$23),Norm_Stats!$G$23)-Norm_Stats!$F$23)/(Norm_Stats!$G$23-Norm_Stats!$F$23)))))="",0,0.2)))</f>
        <v/>
      </c>
      <c r="AZ89" s="14">
        <f>IF((IF((IF(OR(City_Inputs!$AF89="",Norm_Stats!$F$21="",Norm_Stats!$G$21="",Norm_Stats!$G$21=Norm_Stats!$F$21),"",MAX(0,MIN(100,100*(MIN(MAX(City_Inputs!$AF89,Norm_Stats!$F$21),Norm_Stats!$G$21)-Norm_Stats!$F$21)/(Norm_Stats!$G$21-Norm_Stats!$F$21)))))="",0,0.5)+IF((IF(OR(City_Inputs!$AI89="",Norm_Stats!$F$22="",Norm_Stats!$G$22="",Norm_Stats!$G$22=Norm_Stats!$F$22),"",MAX(0,MIN(100,100*(MIN(MAX(City_Inputs!$AI89,Norm_Stats!$F$22),Norm_Stats!$G$22)-Norm_Stats!$F$22)/(Norm_Stats!$G$22-Norm_Stats!$F$22)))))="",0,0.3)+IF((IF(OR(City_Inputs!$AJ89="",Norm_Stats!$F$23="",Norm_Stats!$G$23="",Norm_Stats!$G$23=Norm_Stats!$F$23),"",MAX(0,MIN(100,100*(MIN(MAX(City_Inputs!$AJ89,Norm_Stats!$F$23),Norm_Stats!$G$23)-Norm_Stats!$F$23)/(Norm_Stats!$G$23-Norm_Stats!$F$23)))))="",0,0.2))=0,"",(IF((IF(OR(City_Inputs!$AF89="",Norm_Stats!$F$21="",Norm_Stats!$G$21="",Norm_Stats!$G$21=Norm_Stats!$F$21),"",MAX(0,MIN(100,100*(MIN(MAX(City_Inputs!$AF89,Norm_Stats!$F$21),Norm_Stats!$G$21)-Norm_Stats!$F$21)/(Norm_Stats!$G$21-Norm_Stats!$F$21)))))="",0,0.5)+IF((IF(OR(City_Inputs!$AI89="",Norm_Stats!$F$22="",Norm_Stats!$G$22="",Norm_Stats!$G$22=Norm_Stats!$F$22),"",MAX(0,MIN(100,100*(MIN(MAX(City_Inputs!$AI89,Norm_Stats!$F$22),Norm_Stats!$G$22)-Norm_Stats!$F$22)/(Norm_Stats!$G$22-Norm_Stats!$F$22)))))="",0,0.3)+IF((IF(OR(City_Inputs!$AJ89="",Norm_Stats!$F$23="",Norm_Stats!$G$23="",Norm_Stats!$G$23=Norm_Stats!$F$23),"",MAX(0,MIN(100,100*(MIN(MAX(City_Inputs!$AJ89,Norm_Stats!$F$23),Norm_Stats!$G$23)-Norm_Stats!$F$23)/(Norm_Stats!$G$23-Norm_Stats!$F$23)))))="",0,0.2)))</f>
        <v/>
      </c>
      <c r="BA89" s="11">
        <f>IF(OR(City_Inputs!$AG89="",Norm_Stats!$F$24="",Norm_Stats!$G$24="",Norm_Stats!$G$24=Norm_Stats!$F$24),"",MAX(0,MIN(100,100*(Norm_Stats!$G$24-MIN(MAX(City_Inputs!$AG89,Norm_Stats!$F$24),Norm_Stats!$G$24))/(Norm_Stats!$G$24-Norm_Stats!$F$24))))</f>
        <v/>
      </c>
      <c r="BB89" s="14">
        <f>IF(BA89="","",1)</f>
        <v/>
      </c>
      <c r="BC89" s="15">
        <f>IF((IF(AU89="",0,6)+IF(AW89="",0,5)+IF(AY89="",0,5)+IF(BA89="",0,4))=0,"",(IF(AU89="",0,AU89*6)+IF(AW89="",0,AW89*5)+IF(AY89="",0,AY89*5)+IF(BA89="",0,BA89*4))/(IF(AU89="",0,6)+IF(AW89="",0,5)+IF(AY89="",0,5)+IF(BA89="",0,4)))</f>
        <v/>
      </c>
      <c r="BD89" s="14">
        <f>IF((IF(AV89="",0,6)+IF(AX89="",0,5)+IF(AZ89="",0,5)+IF(BB89="",0,4))=0,"",(IF(AV89="",0,AV89*6)+IF(AX89="",0,AX89*5)+IF(AZ89="",0,AZ89*5)+IF(BB89="",0,BB89*4))/20)</f>
        <v/>
      </c>
      <c r="BE89" s="14">
        <f>IF(AND(R89="",AD89="",AL89="",AT89="",BD89=""),"",((R89*25)+(AD89*22)+(AL89*18)+(AT89*15)+(BD89*20))/100)</f>
        <v/>
      </c>
      <c r="BF89" s="11">
        <f>IF(BE89="","",IF(BE89&gt;=0.75,"A",IF(BE89&gt;=0.5,"B",IF(BE89&gt;=0.35,"C","Watchlist"))))</f>
        <v/>
      </c>
      <c r="BG89" s="11">
        <f>IF(OR(BE89="",BE89&lt;0.5,R89="",R89&lt;0.35,AD89="",AD89&lt;0.35,AL89="",AL89&lt;0.35,AT89="",AT89&lt;0.35,BD89="",BD89&lt;0.35),"Watchlist","Ranked")</f>
        <v/>
      </c>
      <c r="BH89" s="15">
        <f>IF(AND(Q89="",AC89="",AK89="",AS89="",BC89=""),"",(IF(Q89="",0,Q89*25)+IF(AC89="",0,AC89*22)+IF(AK89="",0,AK89*18)+IF(AS89="",0,AS89*15)+IF(BC89="",0,BC89*20))/(IF(Q89="",0,25)+IF(AC89="",0,22)+IF(AK89="",0,18)+IF(AS89="",0,15)+IF(BC89="",0,20)))</f>
        <v/>
      </c>
      <c r="BI89" s="11">
        <f>IF(BG89="Ranked",1+COUNTIFS($BG$2:$BG$103,"Ranked",$BH$2:$BH$103,"&gt;"&amp;BH89),"")</f>
        <v/>
      </c>
      <c r="BJ89" s="11">
        <f>City_Inputs!$AH89</f>
        <v/>
      </c>
    </row>
    <row r="90">
      <c r="A90" t="inlineStr">
        <is>
          <t>bw-gaborone</t>
        </is>
      </c>
      <c r="B90" t="inlineStr">
        <is>
          <t>Gaborone</t>
        </is>
      </c>
      <c r="C90" t="inlineStr">
        <is>
          <t>Botswana</t>
        </is>
      </c>
      <c r="D90" t="inlineStr">
        <is>
          <t>Africa</t>
        </is>
      </c>
      <c r="E90" t="inlineStr">
        <is>
          <t>locked</t>
        </is>
      </c>
      <c r="F90" t="inlineStr">
        <is>
          <t>secondary</t>
        </is>
      </c>
      <c r="G90" s="11">
        <f>IF(OR(City_Inputs!$M90="",Norm_Stats!$F$2="",Norm_Stats!$G$2="",Norm_Stats!$G$2=Norm_Stats!$F$2),"",MAX(0,MIN(100,100*(MIN(MAX(City_Inputs!$M90,Norm_Stats!$F$2),Norm_Stats!$G$2)-Norm_Stats!$F$2)/(Norm_Stats!$G$2-Norm_Stats!$F$2))))</f>
        <v/>
      </c>
      <c r="H90" s="14">
        <f>IF(G90="","",1)</f>
        <v/>
      </c>
      <c r="I90" s="11">
        <f>IF(OR(City_Inputs!$N90="",Norm_Stats!$F$3="",Norm_Stats!$G$3="",Norm_Stats!$G$3=Norm_Stats!$F$3),"",MAX(0,MIN(100,100*(Norm_Stats!$G$3-MIN(MAX(City_Inputs!$N90,Norm_Stats!$F$3),Norm_Stats!$G$3))/(Norm_Stats!$G$3-Norm_Stats!$F$3))))</f>
        <v/>
      </c>
      <c r="J90" s="14">
        <f>IF(I90="","",1)</f>
        <v/>
      </c>
      <c r="K90" s="11">
        <f>IF(OR(City_Inputs!$P90="",Norm_Stats!$F$4="",Norm_Stats!$G$4="",Norm_Stats!$G$4=Norm_Stats!$F$4),"",MAX(0,MIN(100,100*(Norm_Stats!$G$4-MIN(MAX(City_Inputs!$P90,Norm_Stats!$F$4),Norm_Stats!$G$4))/(Norm_Stats!$G$4-Norm_Stats!$F$4))))</f>
        <v/>
      </c>
      <c r="L90" s="14">
        <f>IF(K90="","",1)</f>
        <v/>
      </c>
      <c r="M90" s="11">
        <f>IF(OR(City_Inputs!$Q90="",Norm_Stats!$F$5="",Norm_Stats!$G$5="",Norm_Stats!$G$5=Norm_Stats!$F$5),"",MAX(0,MIN(100,100*(Norm_Stats!$G$5-MIN(MAX(City_Inputs!$Q90,Norm_Stats!$F$5),Norm_Stats!$G$5))/(Norm_Stats!$G$5-Norm_Stats!$F$5))))</f>
        <v/>
      </c>
      <c r="N90" s="14">
        <f>IF(M90="","",1)</f>
        <v/>
      </c>
      <c r="O90" s="11">
        <f>IF(OR(City_Inputs!$R90="",Norm_Stats!$F$6="",Norm_Stats!$G$6="",Norm_Stats!$G$6=Norm_Stats!$F$6),"",MAX(0,MIN(100,100*(Norm_Stats!$G$6-MIN(MAX(City_Inputs!$R90,Norm_Stats!$F$6),Norm_Stats!$G$6))/(Norm_Stats!$G$6-Norm_Stats!$F$6))))</f>
        <v/>
      </c>
      <c r="P90" s="14">
        <f>IF(O90="","",1)</f>
        <v/>
      </c>
      <c r="Q90" s="15">
        <f>IF((IF(G90="",0,9)+IF(I90="",0,5)+IF(K90="",0,4)+IF(M90="",0,4)+IF(O90="",0,3))=0,"",(IF(G90="",0,G90*9)+IF(I90="",0,I90*5)+IF(K90="",0,K90*4)+IF(M90="",0,M90*4)+IF(O90="",0,O90*3))/(IF(G90="",0,9)+IF(I90="",0,5)+IF(K90="",0,4)+IF(M90="",0,4)+IF(O90="",0,3)))</f>
        <v/>
      </c>
      <c r="R90" s="14">
        <f>IF((IF(H90="",0,9)+IF(J90="",0,5)+IF(L90="",0,4)+IF(N90="",0,4)+IF(P90="",0,3))=0,"",(IF(H90="",0,H90*9)+IF(J90="",0,J90*5)+IF(L90="",0,L90*4)+IF(N90="",0,N90*4)+IF(P90="",0,P90*3))/25)</f>
        <v/>
      </c>
      <c r="S90" s="11">
        <f>IF(OR(City_Inputs!$S90="",Norm_Stats!$F$7="",Norm_Stats!$G$7="",Norm_Stats!$G$7=Norm_Stats!$F$7),"",MAX(0,MIN(100,100*(Norm_Stats!$G$7-MIN(MAX(City_Inputs!$S90,Norm_Stats!$F$7),Norm_Stats!$G$7))/(Norm_Stats!$G$7-Norm_Stats!$F$7))))</f>
        <v/>
      </c>
      <c r="T90" s="14">
        <f>IF(S90="","",1)</f>
        <v/>
      </c>
      <c r="U90" s="11">
        <f>IF(OR(City_Inputs!$T90="",Norm_Stats!$F$8="",Norm_Stats!$G$8="",Norm_Stats!$G$8=Norm_Stats!$F$8),"",MAX(0,MIN(100,100*(MIN(MAX(City_Inputs!$T90,Norm_Stats!$F$8),Norm_Stats!$G$8)-Norm_Stats!$F$8)/(Norm_Stats!$G$8-Norm_Stats!$F$8))))</f>
        <v/>
      </c>
      <c r="V90" s="14">
        <f>IF(U90="","",1)</f>
        <v/>
      </c>
      <c r="W90" s="11">
        <f>IF(OR(City_Inputs!$U90="",Norm_Stats!$F$9="",Norm_Stats!$G$9="",Norm_Stats!$G$9=Norm_Stats!$F$9),"",MAX(0,MIN(100,100*(Norm_Stats!$G$9-MIN(MAX(City_Inputs!$U90,Norm_Stats!$F$9),Norm_Stats!$G$9))/(Norm_Stats!$G$9-Norm_Stats!$F$9))))</f>
        <v/>
      </c>
      <c r="X90" s="14">
        <f>IF(W90="","",1)</f>
        <v/>
      </c>
      <c r="Y90" s="11">
        <f>IF(OR(City_Inputs!$V90="",Norm_Stats!$F$10="",Norm_Stats!$G$10="",Norm_Stats!$G$10=Norm_Stats!$F$10),"",MAX(0,MIN(100,100*(MIN(MAX(City_Inputs!$V90,Norm_Stats!$F$10),Norm_Stats!$G$10)-Norm_Stats!$F$10)/(Norm_Stats!$G$10-Norm_Stats!$F$10))))</f>
        <v/>
      </c>
      <c r="Z90" s="14">
        <f>IF(Y90="","",1)</f>
        <v/>
      </c>
      <c r="AA90" s="11">
        <f>IF(OR(City_Inputs!$W90="",Norm_Stats!$F$11="",Norm_Stats!$G$11="",Norm_Stats!$G$11=Norm_Stats!$F$11),"",MAX(0,MIN(100,100*(MIN(MAX(City_Inputs!$W90,Norm_Stats!$F$11),Norm_Stats!$G$11)-Norm_Stats!$F$11)/(Norm_Stats!$G$11-Norm_Stats!$F$11))))</f>
        <v/>
      </c>
      <c r="AB90" s="14">
        <f>IF(AA90="","",1)</f>
        <v/>
      </c>
      <c r="AC90" s="15">
        <f>IF((IF(S90="",0,5)+IF(U90="",0,5)+IF(W90="",0,4)+IF(Y90="",0,4)+IF(AA90="",0,4))=0,"",(IF(S90="",0,S90*5)+IF(U90="",0,U90*5)+IF(W90="",0,W90*4)+IF(Y90="",0,Y90*4)+IF(AA90="",0,AA90*4))/(IF(S90="",0,5)+IF(U90="",0,5)+IF(W90="",0,4)+IF(Y90="",0,4)+IF(AA90="",0,4)))</f>
        <v/>
      </c>
      <c r="AD90" s="14">
        <f>IF((IF(T90="",0,5)+IF(V90="",0,5)+IF(X90="",0,4)+IF(Z90="",0,4)+IF(AB90="",0,4))=0,"",(IF(T90="",0,T90*5)+IF(V90="",0,V90*5)+IF(X90="",0,X90*4)+IF(Z90="",0,Z90*4)+IF(AB90="",0,AB90*4))/22)</f>
        <v/>
      </c>
      <c r="AE90" s="11">
        <f>IF(OR(City_Inputs!$X90="",Norm_Stats!$F$12="",Norm_Stats!$G$12="",Norm_Stats!$G$12=Norm_Stats!$F$12),"",MAX(0,MIN(100,100*(MIN(MAX(City_Inputs!$X90,Norm_Stats!$F$12),Norm_Stats!$G$12)-Norm_Stats!$F$12)/(Norm_Stats!$G$12-Norm_Stats!$F$12))))</f>
        <v/>
      </c>
      <c r="AF90" s="14">
        <f>IF(AE90="","",1)</f>
        <v/>
      </c>
      <c r="AG90" s="11">
        <f>IF(OR(City_Inputs!$Y90="",Norm_Stats!$F$13="",Norm_Stats!$G$13="",Norm_Stats!$G$13=Norm_Stats!$F$13),"",MAX(0,MIN(100,100*(MIN(MAX(City_Inputs!$Y90,Norm_Stats!$F$13),Norm_Stats!$G$13)-Norm_Stats!$F$13)/(Norm_Stats!$G$13-Norm_Stats!$F$13))))</f>
        <v/>
      </c>
      <c r="AH90" s="14">
        <f>IF(AG90="","",1)</f>
        <v/>
      </c>
      <c r="AI90" s="11">
        <f>IF((IF((IF(OR(City_Inputs!$Z90="",Norm_Stats!$F$14="",Norm_Stats!$G$14="",Norm_Stats!$G$14=Norm_Stats!$F$14),"",MAX(0,MIN(100,100*(MIN(MAX(City_Inputs!$Z90,Norm_Stats!$F$14),Norm_Stats!$G$14)-Norm_Stats!$F$14)/(Norm_Stats!$G$14-Norm_Stats!$F$14)))))="",0,0.7)+IF((IF(OR(City_Inputs!$AK90="",Norm_Stats!$F$15="",Norm_Stats!$G$15="",Norm_Stats!$G$15=Norm_Stats!$F$15),"",MAX(0,MIN(100,100*(Norm_Stats!$G$15-MIN(MAX(City_Inputs!$AK90,Norm_Stats!$F$15),Norm_Stats!$G$15))/(Norm_Stats!$G$15-Norm_Stats!$F$15)))))="",0,0.3))=0,"",(IF((IF(OR(City_Inputs!$Z90="",Norm_Stats!$F$14="",Norm_Stats!$G$14="",Norm_Stats!$G$14=Norm_Stats!$F$14),"",MAX(0,MIN(100,100*(MIN(MAX(City_Inputs!$Z90,Norm_Stats!$F$14),Norm_Stats!$G$14)-Norm_Stats!$F$14)/(Norm_Stats!$G$14-Norm_Stats!$F$14)))))="",0,(IF(OR(City_Inputs!$Z90="",Norm_Stats!$F$14="",Norm_Stats!$G$14="",Norm_Stats!$G$14=Norm_Stats!$F$14),"",MAX(0,MIN(100,100*(MIN(MAX(City_Inputs!$Z90,Norm_Stats!$F$14),Norm_Stats!$G$14)-Norm_Stats!$F$14)/(Norm_Stats!$G$14-Norm_Stats!$F$14)))))*0.7)+IF((IF(OR(City_Inputs!$AK90="",Norm_Stats!$F$15="",Norm_Stats!$G$15="",Norm_Stats!$G$15=Norm_Stats!$F$15),"",MAX(0,MIN(100,100*(Norm_Stats!$G$15-MIN(MAX(City_Inputs!$AK90,Norm_Stats!$F$15),Norm_Stats!$G$15))/(Norm_Stats!$G$15-Norm_Stats!$F$15)))))="",0,(IF(OR(City_Inputs!$AK90="",Norm_Stats!$F$15="",Norm_Stats!$G$15="",Norm_Stats!$G$15=Norm_Stats!$F$15),"",MAX(0,MIN(100,100*(Norm_Stats!$G$15-MIN(MAX(City_Inputs!$AK90,Norm_Stats!$F$15),Norm_Stats!$G$15))/(Norm_Stats!$G$15-Norm_Stats!$F$15)))))*0.3))/(IF((IF(OR(City_Inputs!$Z90="",Norm_Stats!$F$14="",Norm_Stats!$G$14="",Norm_Stats!$G$14=Norm_Stats!$F$14),"",MAX(0,MIN(100,100*(MIN(MAX(City_Inputs!$Z90,Norm_Stats!$F$14),Norm_Stats!$G$14)-Norm_Stats!$F$14)/(Norm_Stats!$G$14-Norm_Stats!$F$14)))))="",0,0.7)+IF((IF(OR(City_Inputs!$AK90="",Norm_Stats!$F$15="",Norm_Stats!$G$15="",Norm_Stats!$G$15=Norm_Stats!$F$15),"",MAX(0,MIN(100,100*(Norm_Stats!$G$15-MIN(MAX(City_Inputs!$AK90,Norm_Stats!$F$15),Norm_Stats!$G$15))/(Norm_Stats!$G$15-Norm_Stats!$F$15)))))="",0,0.3)))</f>
        <v/>
      </c>
      <c r="AJ90" s="14">
        <f>IF((IF((IF(OR(City_Inputs!$Z90="",Norm_Stats!$F$14="",Norm_Stats!$G$14="",Norm_Stats!$G$14=Norm_Stats!$F$14),"",MAX(0,MIN(100,100*(MIN(MAX(City_Inputs!$Z90,Norm_Stats!$F$14),Norm_Stats!$G$14)-Norm_Stats!$F$14)/(Norm_Stats!$G$14-Norm_Stats!$F$14)))))="",0,0.7)+IF((IF(OR(City_Inputs!$AK90="",Norm_Stats!$F$15="",Norm_Stats!$G$15="",Norm_Stats!$G$15=Norm_Stats!$F$15),"",MAX(0,MIN(100,100*(Norm_Stats!$G$15-MIN(MAX(City_Inputs!$AK90,Norm_Stats!$F$15),Norm_Stats!$G$15))/(Norm_Stats!$G$15-Norm_Stats!$F$15)))))="",0,0.3))=0,"",(IF((IF(OR(City_Inputs!$Z90="",Norm_Stats!$F$14="",Norm_Stats!$G$14="",Norm_Stats!$G$14=Norm_Stats!$F$14),"",MAX(0,MIN(100,100*(MIN(MAX(City_Inputs!$Z90,Norm_Stats!$F$14),Norm_Stats!$G$14)-Norm_Stats!$F$14)/(Norm_Stats!$G$14-Norm_Stats!$F$14)))))="",0,0.7)+IF((IF(OR(City_Inputs!$AK90="",Norm_Stats!$F$15="",Norm_Stats!$G$15="",Norm_Stats!$G$15=Norm_Stats!$F$15),"",MAX(0,MIN(100,100*(Norm_Stats!$G$15-MIN(MAX(City_Inputs!$AK90,Norm_Stats!$F$15),Norm_Stats!$G$15))/(Norm_Stats!$G$15-Norm_Stats!$F$15)))))="",0,0.3)))</f>
        <v/>
      </c>
      <c r="AK90" s="15">
        <f>IF((IF(AE90="",0,8)+IF(AG90="",0,6)+IF(AI90="",0,4))=0,"",(IF(AE90="",0,AE90*8)+IF(AG90="",0,AG90*6)+IF(AI90="",0,AI90*4))/(IF(AE90="",0,8)+IF(AG90="",0,6)+IF(AI90="",0,4)))</f>
        <v/>
      </c>
      <c r="AL90" s="14">
        <f>IF((IF(AF90="",0,8)+IF(AH90="",0,6)+IF(AJ90="",0,4))=0,"",(IF(AF90="",0,AF90*8)+IF(AH90="",0,AH90*6)+IF(AJ90="",0,AJ90*4))/18)</f>
        <v/>
      </c>
      <c r="AM90" s="11">
        <f>IF(OR(City_Inputs!$AA90="",Norm_Stats!$F$16="",Norm_Stats!$G$16="",Norm_Stats!$G$16=Norm_Stats!$F$16),"",MAX(0,MIN(100,100*(MIN(MAX(City_Inputs!$AA90,Norm_Stats!$F$16),Norm_Stats!$G$16)-Norm_Stats!$F$16)/(Norm_Stats!$G$16-Norm_Stats!$F$16))))</f>
        <v/>
      </c>
      <c r="AN90" s="14">
        <f>IF(AM90="","",1)</f>
        <v/>
      </c>
      <c r="AO90" s="11">
        <f>IF(OR(City_Inputs!$AB90="",Norm_Stats!$F$17="",Norm_Stats!$G$17="",Norm_Stats!$G$17=Norm_Stats!$F$17),"",MAX(0,MIN(100,100*(MIN(MAX(City_Inputs!$AB90,Norm_Stats!$F$17),Norm_Stats!$G$17)-Norm_Stats!$F$17)/(Norm_Stats!$G$17-Norm_Stats!$F$17))))</f>
        <v/>
      </c>
      <c r="AP90" s="14">
        <f>IF(AO90="","",1)</f>
        <v/>
      </c>
      <c r="AQ90" s="11">
        <f>IF(OR(City_Inputs!$AC90="",Norm_Stats!$F$18="",Norm_Stats!$G$18="",Norm_Stats!$G$18=Norm_Stats!$F$18),"",MAX(0,MIN(100,100*(MIN(MAX(City_Inputs!$AC90,Norm_Stats!$F$18),Norm_Stats!$G$18)-Norm_Stats!$F$18)/(Norm_Stats!$G$18-Norm_Stats!$F$18))))</f>
        <v/>
      </c>
      <c r="AR90" s="14">
        <f>IF(AQ90="","",1)</f>
        <v/>
      </c>
      <c r="AS90" s="15">
        <f>IF((IF(AM90="",0,5)+IF(AO90="",0,5)+IF(AQ90="",0,5))=0,"",(IF(AM90="",0,AM90*5)+IF(AO90="",0,AO90*5)+IF(AQ90="",0,AQ90*5))/(IF(AM90="",0,5)+IF(AO90="",0,5)+IF(AQ90="",0,5)))</f>
        <v/>
      </c>
      <c r="AT90" s="14">
        <f>IF((IF(AN90="",0,5)+IF(AP90="",0,5)+IF(AR90="",0,5))=0,"",(IF(AN90="",0,AN90*5)+IF(AP90="",0,AP90*5)+IF(AR90="",0,AR90*5))/15)</f>
        <v/>
      </c>
      <c r="AU90" s="11">
        <f>IF(OR(City_Inputs!$AD90="",Norm_Stats!$F$19="",Norm_Stats!$G$19="",Norm_Stats!$G$19=Norm_Stats!$F$19),"",MAX(0,MIN(100,100*(MIN(MAX(City_Inputs!$AD90,Norm_Stats!$F$19),Norm_Stats!$G$19)-Norm_Stats!$F$19)/(Norm_Stats!$G$19-Norm_Stats!$F$19))))</f>
        <v/>
      </c>
      <c r="AV90" s="14">
        <f>IF(AU90="","",1)</f>
        <v/>
      </c>
      <c r="AW90" s="11">
        <f>IF(OR(City_Inputs!$AE90="",Norm_Stats!$F$20="",Norm_Stats!$G$20="",Norm_Stats!$G$20=Norm_Stats!$F$20),"",MAX(0,MIN(100,100*(MIN(MAX(City_Inputs!$AE90,Norm_Stats!$F$20),Norm_Stats!$G$20)-Norm_Stats!$F$20)/(Norm_Stats!$G$20-Norm_Stats!$F$20))))</f>
        <v/>
      </c>
      <c r="AX90" s="14">
        <f>IF(AW90="","",1)</f>
        <v/>
      </c>
      <c r="AY90" s="11">
        <f>IF((IF((IF(OR(City_Inputs!$AF90="",Norm_Stats!$F$21="",Norm_Stats!$G$21="",Norm_Stats!$G$21=Norm_Stats!$F$21),"",MAX(0,MIN(100,100*(MIN(MAX(City_Inputs!$AF90,Norm_Stats!$F$21),Norm_Stats!$G$21)-Norm_Stats!$F$21)/(Norm_Stats!$G$21-Norm_Stats!$F$21)))))="",0,0.5)+IF((IF(OR(City_Inputs!$AI90="",Norm_Stats!$F$22="",Norm_Stats!$G$22="",Norm_Stats!$G$22=Norm_Stats!$F$22),"",MAX(0,MIN(100,100*(MIN(MAX(City_Inputs!$AI90,Norm_Stats!$F$22),Norm_Stats!$G$22)-Norm_Stats!$F$22)/(Norm_Stats!$G$22-Norm_Stats!$F$22)))))="",0,0.3)+IF((IF(OR(City_Inputs!$AJ90="",Norm_Stats!$F$23="",Norm_Stats!$G$23="",Norm_Stats!$G$23=Norm_Stats!$F$23),"",MAX(0,MIN(100,100*(MIN(MAX(City_Inputs!$AJ90,Norm_Stats!$F$23),Norm_Stats!$G$23)-Norm_Stats!$F$23)/(Norm_Stats!$G$23-Norm_Stats!$F$23)))))="",0,0.2))=0,"",(IF((IF(OR(City_Inputs!$AF90="",Norm_Stats!$F$21="",Norm_Stats!$G$21="",Norm_Stats!$G$21=Norm_Stats!$F$21),"",MAX(0,MIN(100,100*(MIN(MAX(City_Inputs!$AF90,Norm_Stats!$F$21),Norm_Stats!$G$21)-Norm_Stats!$F$21)/(Norm_Stats!$G$21-Norm_Stats!$F$21)))))="",0,(IF(OR(City_Inputs!$AF90="",Norm_Stats!$F$21="",Norm_Stats!$G$21="",Norm_Stats!$G$21=Norm_Stats!$F$21),"",MAX(0,MIN(100,100*(MIN(MAX(City_Inputs!$AF90,Norm_Stats!$F$21),Norm_Stats!$G$21)-Norm_Stats!$F$21)/(Norm_Stats!$G$21-Norm_Stats!$F$21)))))*0.5)+IF((IF(OR(City_Inputs!$AI90="",Norm_Stats!$F$22="",Norm_Stats!$G$22="",Norm_Stats!$G$22=Norm_Stats!$F$22),"",MAX(0,MIN(100,100*(MIN(MAX(City_Inputs!$AI90,Norm_Stats!$F$22),Norm_Stats!$G$22)-Norm_Stats!$F$22)/(Norm_Stats!$G$22-Norm_Stats!$F$22)))))="",0,(IF(OR(City_Inputs!$AI90="",Norm_Stats!$F$22="",Norm_Stats!$G$22="",Norm_Stats!$G$22=Norm_Stats!$F$22),"",MAX(0,MIN(100,100*(MIN(MAX(City_Inputs!$AI90,Norm_Stats!$F$22),Norm_Stats!$G$22)-Norm_Stats!$F$22)/(Norm_Stats!$G$22-Norm_Stats!$F$22)))))*0.3)+IF((IF(OR(City_Inputs!$AJ90="",Norm_Stats!$F$23="",Norm_Stats!$G$23="",Norm_Stats!$G$23=Norm_Stats!$F$23),"",MAX(0,MIN(100,100*(MIN(MAX(City_Inputs!$AJ90,Norm_Stats!$F$23),Norm_Stats!$G$23)-Norm_Stats!$F$23)/(Norm_Stats!$G$23-Norm_Stats!$F$23)))))="",0,(IF(OR(City_Inputs!$AJ90="",Norm_Stats!$F$23="",Norm_Stats!$G$23="",Norm_Stats!$G$23=Norm_Stats!$F$23),"",MAX(0,MIN(100,100*(MIN(MAX(City_Inputs!$AJ90,Norm_Stats!$F$23),Norm_Stats!$G$23)-Norm_Stats!$F$23)/(Norm_Stats!$G$23-Norm_Stats!$F$23)))))*0.2))/(IF((IF(OR(City_Inputs!$AF90="",Norm_Stats!$F$21="",Norm_Stats!$G$21="",Norm_Stats!$G$21=Norm_Stats!$F$21),"",MAX(0,MIN(100,100*(MIN(MAX(City_Inputs!$AF90,Norm_Stats!$F$21),Norm_Stats!$G$21)-Norm_Stats!$F$21)/(Norm_Stats!$G$21-Norm_Stats!$F$21)))))="",0,0.5)+IF((IF(OR(City_Inputs!$AI90="",Norm_Stats!$F$22="",Norm_Stats!$G$22="",Norm_Stats!$G$22=Norm_Stats!$F$22),"",MAX(0,MIN(100,100*(MIN(MAX(City_Inputs!$AI90,Norm_Stats!$F$22),Norm_Stats!$G$22)-Norm_Stats!$F$22)/(Norm_Stats!$G$22-Norm_Stats!$F$22)))))="",0,0.3)+IF((IF(OR(City_Inputs!$AJ90="",Norm_Stats!$F$23="",Norm_Stats!$G$23="",Norm_Stats!$G$23=Norm_Stats!$F$23),"",MAX(0,MIN(100,100*(MIN(MAX(City_Inputs!$AJ90,Norm_Stats!$F$23),Norm_Stats!$G$23)-Norm_Stats!$F$23)/(Norm_Stats!$G$23-Norm_Stats!$F$23)))))="",0,0.2)))</f>
        <v/>
      </c>
      <c r="AZ90" s="14">
        <f>IF((IF((IF(OR(City_Inputs!$AF90="",Norm_Stats!$F$21="",Norm_Stats!$G$21="",Norm_Stats!$G$21=Norm_Stats!$F$21),"",MAX(0,MIN(100,100*(MIN(MAX(City_Inputs!$AF90,Norm_Stats!$F$21),Norm_Stats!$G$21)-Norm_Stats!$F$21)/(Norm_Stats!$G$21-Norm_Stats!$F$21)))))="",0,0.5)+IF((IF(OR(City_Inputs!$AI90="",Norm_Stats!$F$22="",Norm_Stats!$G$22="",Norm_Stats!$G$22=Norm_Stats!$F$22),"",MAX(0,MIN(100,100*(MIN(MAX(City_Inputs!$AI90,Norm_Stats!$F$22),Norm_Stats!$G$22)-Norm_Stats!$F$22)/(Norm_Stats!$G$22-Norm_Stats!$F$22)))))="",0,0.3)+IF((IF(OR(City_Inputs!$AJ90="",Norm_Stats!$F$23="",Norm_Stats!$G$23="",Norm_Stats!$G$23=Norm_Stats!$F$23),"",MAX(0,MIN(100,100*(MIN(MAX(City_Inputs!$AJ90,Norm_Stats!$F$23),Norm_Stats!$G$23)-Norm_Stats!$F$23)/(Norm_Stats!$G$23-Norm_Stats!$F$23)))))="",0,0.2))=0,"",(IF((IF(OR(City_Inputs!$AF90="",Norm_Stats!$F$21="",Norm_Stats!$G$21="",Norm_Stats!$G$21=Norm_Stats!$F$21),"",MAX(0,MIN(100,100*(MIN(MAX(City_Inputs!$AF90,Norm_Stats!$F$21),Norm_Stats!$G$21)-Norm_Stats!$F$21)/(Norm_Stats!$G$21-Norm_Stats!$F$21)))))="",0,0.5)+IF((IF(OR(City_Inputs!$AI90="",Norm_Stats!$F$22="",Norm_Stats!$G$22="",Norm_Stats!$G$22=Norm_Stats!$F$22),"",MAX(0,MIN(100,100*(MIN(MAX(City_Inputs!$AI90,Norm_Stats!$F$22),Norm_Stats!$G$22)-Norm_Stats!$F$22)/(Norm_Stats!$G$22-Norm_Stats!$F$22)))))="",0,0.3)+IF((IF(OR(City_Inputs!$AJ90="",Norm_Stats!$F$23="",Norm_Stats!$G$23="",Norm_Stats!$G$23=Norm_Stats!$F$23),"",MAX(0,MIN(100,100*(MIN(MAX(City_Inputs!$AJ90,Norm_Stats!$F$23),Norm_Stats!$G$23)-Norm_Stats!$F$23)/(Norm_Stats!$G$23-Norm_Stats!$F$23)))))="",0,0.2)))</f>
        <v/>
      </c>
      <c r="BA90" s="11">
        <f>IF(OR(City_Inputs!$AG90="",Norm_Stats!$F$24="",Norm_Stats!$G$24="",Norm_Stats!$G$24=Norm_Stats!$F$24),"",MAX(0,MIN(100,100*(Norm_Stats!$G$24-MIN(MAX(City_Inputs!$AG90,Norm_Stats!$F$24),Norm_Stats!$G$24))/(Norm_Stats!$G$24-Norm_Stats!$F$24))))</f>
        <v/>
      </c>
      <c r="BB90" s="14">
        <f>IF(BA90="","",1)</f>
        <v/>
      </c>
      <c r="BC90" s="15">
        <f>IF((IF(AU90="",0,6)+IF(AW90="",0,5)+IF(AY90="",0,5)+IF(BA90="",0,4))=0,"",(IF(AU90="",0,AU90*6)+IF(AW90="",0,AW90*5)+IF(AY90="",0,AY90*5)+IF(BA90="",0,BA90*4))/(IF(AU90="",0,6)+IF(AW90="",0,5)+IF(AY90="",0,5)+IF(BA90="",0,4)))</f>
        <v/>
      </c>
      <c r="BD90" s="14">
        <f>IF((IF(AV90="",0,6)+IF(AX90="",0,5)+IF(AZ90="",0,5)+IF(BB90="",0,4))=0,"",(IF(AV90="",0,AV90*6)+IF(AX90="",0,AX90*5)+IF(AZ90="",0,AZ90*5)+IF(BB90="",0,BB90*4))/20)</f>
        <v/>
      </c>
      <c r="BE90" s="14">
        <f>IF(AND(R90="",AD90="",AL90="",AT90="",BD90=""),"",((R90*25)+(AD90*22)+(AL90*18)+(AT90*15)+(BD90*20))/100)</f>
        <v/>
      </c>
      <c r="BF90" s="11">
        <f>IF(BE90="","",IF(BE90&gt;=0.75,"A",IF(BE90&gt;=0.5,"B",IF(BE90&gt;=0.35,"C","Watchlist"))))</f>
        <v/>
      </c>
      <c r="BG90" s="11">
        <f>IF(OR(BE90="",BE90&lt;0.5,R90="",R90&lt;0.35,AD90="",AD90&lt;0.35,AL90="",AL90&lt;0.35,AT90="",AT90&lt;0.35,BD90="",BD90&lt;0.35),"Watchlist","Ranked")</f>
        <v/>
      </c>
      <c r="BH90" s="15">
        <f>IF(AND(Q90="",AC90="",AK90="",AS90="",BC90=""),"",(IF(Q90="",0,Q90*25)+IF(AC90="",0,AC90*22)+IF(AK90="",0,AK90*18)+IF(AS90="",0,AS90*15)+IF(BC90="",0,BC90*20))/(IF(Q90="",0,25)+IF(AC90="",0,22)+IF(AK90="",0,18)+IF(AS90="",0,15)+IF(BC90="",0,20)))</f>
        <v/>
      </c>
      <c r="BI90" s="11">
        <f>IF(BG90="Ranked",1+COUNTIFS($BG$2:$BG$103,"Ranked",$BH$2:$BH$103,"&gt;"&amp;BH90),"")</f>
        <v/>
      </c>
      <c r="BJ90" s="11">
        <f>City_Inputs!$AH90</f>
        <v/>
      </c>
    </row>
    <row r="91">
      <c r="A91" t="inlineStr">
        <is>
          <t>na-windhoek</t>
        </is>
      </c>
      <c r="B91" t="inlineStr">
        <is>
          <t>Windhoek</t>
        </is>
      </c>
      <c r="C91" t="inlineStr">
        <is>
          <t>Namibia</t>
        </is>
      </c>
      <c r="D91" t="inlineStr">
        <is>
          <t>Africa</t>
        </is>
      </c>
      <c r="E91" t="inlineStr">
        <is>
          <t>locked</t>
        </is>
      </c>
      <c r="F91" t="inlineStr">
        <is>
          <t>secondary</t>
        </is>
      </c>
      <c r="G91" s="11">
        <f>IF(OR(City_Inputs!$M91="",Norm_Stats!$F$2="",Norm_Stats!$G$2="",Norm_Stats!$G$2=Norm_Stats!$F$2),"",MAX(0,MIN(100,100*(MIN(MAX(City_Inputs!$M91,Norm_Stats!$F$2),Norm_Stats!$G$2)-Norm_Stats!$F$2)/(Norm_Stats!$G$2-Norm_Stats!$F$2))))</f>
        <v/>
      </c>
      <c r="H91" s="14">
        <f>IF(G91="","",1)</f>
        <v/>
      </c>
      <c r="I91" s="11">
        <f>IF(OR(City_Inputs!$N91="",Norm_Stats!$F$3="",Norm_Stats!$G$3="",Norm_Stats!$G$3=Norm_Stats!$F$3),"",MAX(0,MIN(100,100*(Norm_Stats!$G$3-MIN(MAX(City_Inputs!$N91,Norm_Stats!$F$3),Norm_Stats!$G$3))/(Norm_Stats!$G$3-Norm_Stats!$F$3))))</f>
        <v/>
      </c>
      <c r="J91" s="14">
        <f>IF(I91="","",1)</f>
        <v/>
      </c>
      <c r="K91" s="11">
        <f>IF(OR(City_Inputs!$P91="",Norm_Stats!$F$4="",Norm_Stats!$G$4="",Norm_Stats!$G$4=Norm_Stats!$F$4),"",MAX(0,MIN(100,100*(Norm_Stats!$G$4-MIN(MAX(City_Inputs!$P91,Norm_Stats!$F$4),Norm_Stats!$G$4))/(Norm_Stats!$G$4-Norm_Stats!$F$4))))</f>
        <v/>
      </c>
      <c r="L91" s="14">
        <f>IF(K91="","",1)</f>
        <v/>
      </c>
      <c r="M91" s="11">
        <f>IF(OR(City_Inputs!$Q91="",Norm_Stats!$F$5="",Norm_Stats!$G$5="",Norm_Stats!$G$5=Norm_Stats!$F$5),"",MAX(0,MIN(100,100*(Norm_Stats!$G$5-MIN(MAX(City_Inputs!$Q91,Norm_Stats!$F$5),Norm_Stats!$G$5))/(Norm_Stats!$G$5-Norm_Stats!$F$5))))</f>
        <v/>
      </c>
      <c r="N91" s="14">
        <f>IF(M91="","",1)</f>
        <v/>
      </c>
      <c r="O91" s="11">
        <f>IF(OR(City_Inputs!$R91="",Norm_Stats!$F$6="",Norm_Stats!$G$6="",Norm_Stats!$G$6=Norm_Stats!$F$6),"",MAX(0,MIN(100,100*(Norm_Stats!$G$6-MIN(MAX(City_Inputs!$R91,Norm_Stats!$F$6),Norm_Stats!$G$6))/(Norm_Stats!$G$6-Norm_Stats!$F$6))))</f>
        <v/>
      </c>
      <c r="P91" s="14">
        <f>IF(O91="","",1)</f>
        <v/>
      </c>
      <c r="Q91" s="15">
        <f>IF((IF(G91="",0,9)+IF(I91="",0,5)+IF(K91="",0,4)+IF(M91="",0,4)+IF(O91="",0,3))=0,"",(IF(G91="",0,G91*9)+IF(I91="",0,I91*5)+IF(K91="",0,K91*4)+IF(M91="",0,M91*4)+IF(O91="",0,O91*3))/(IF(G91="",0,9)+IF(I91="",0,5)+IF(K91="",0,4)+IF(M91="",0,4)+IF(O91="",0,3)))</f>
        <v/>
      </c>
      <c r="R91" s="14">
        <f>IF((IF(H91="",0,9)+IF(J91="",0,5)+IF(L91="",0,4)+IF(N91="",0,4)+IF(P91="",0,3))=0,"",(IF(H91="",0,H91*9)+IF(J91="",0,J91*5)+IF(L91="",0,L91*4)+IF(N91="",0,N91*4)+IF(P91="",0,P91*3))/25)</f>
        <v/>
      </c>
      <c r="S91" s="11">
        <f>IF(OR(City_Inputs!$S91="",Norm_Stats!$F$7="",Norm_Stats!$G$7="",Norm_Stats!$G$7=Norm_Stats!$F$7),"",MAX(0,MIN(100,100*(Norm_Stats!$G$7-MIN(MAX(City_Inputs!$S91,Norm_Stats!$F$7),Norm_Stats!$G$7))/(Norm_Stats!$G$7-Norm_Stats!$F$7))))</f>
        <v/>
      </c>
      <c r="T91" s="14">
        <f>IF(S91="","",1)</f>
        <v/>
      </c>
      <c r="U91" s="11">
        <f>IF(OR(City_Inputs!$T91="",Norm_Stats!$F$8="",Norm_Stats!$G$8="",Norm_Stats!$G$8=Norm_Stats!$F$8),"",MAX(0,MIN(100,100*(MIN(MAX(City_Inputs!$T91,Norm_Stats!$F$8),Norm_Stats!$G$8)-Norm_Stats!$F$8)/(Norm_Stats!$G$8-Norm_Stats!$F$8))))</f>
        <v/>
      </c>
      <c r="V91" s="14">
        <f>IF(U91="","",1)</f>
        <v/>
      </c>
      <c r="W91" s="11">
        <f>IF(OR(City_Inputs!$U91="",Norm_Stats!$F$9="",Norm_Stats!$G$9="",Norm_Stats!$G$9=Norm_Stats!$F$9),"",MAX(0,MIN(100,100*(Norm_Stats!$G$9-MIN(MAX(City_Inputs!$U91,Norm_Stats!$F$9),Norm_Stats!$G$9))/(Norm_Stats!$G$9-Norm_Stats!$F$9))))</f>
        <v/>
      </c>
      <c r="X91" s="14">
        <f>IF(W91="","",1)</f>
        <v/>
      </c>
      <c r="Y91" s="11">
        <f>IF(OR(City_Inputs!$V91="",Norm_Stats!$F$10="",Norm_Stats!$G$10="",Norm_Stats!$G$10=Norm_Stats!$F$10),"",MAX(0,MIN(100,100*(MIN(MAX(City_Inputs!$V91,Norm_Stats!$F$10),Norm_Stats!$G$10)-Norm_Stats!$F$10)/(Norm_Stats!$G$10-Norm_Stats!$F$10))))</f>
        <v/>
      </c>
      <c r="Z91" s="14">
        <f>IF(Y91="","",1)</f>
        <v/>
      </c>
      <c r="AA91" s="11">
        <f>IF(OR(City_Inputs!$W91="",Norm_Stats!$F$11="",Norm_Stats!$G$11="",Norm_Stats!$G$11=Norm_Stats!$F$11),"",MAX(0,MIN(100,100*(MIN(MAX(City_Inputs!$W91,Norm_Stats!$F$11),Norm_Stats!$G$11)-Norm_Stats!$F$11)/(Norm_Stats!$G$11-Norm_Stats!$F$11))))</f>
        <v/>
      </c>
      <c r="AB91" s="14">
        <f>IF(AA91="","",1)</f>
        <v/>
      </c>
      <c r="AC91" s="15">
        <f>IF((IF(S91="",0,5)+IF(U91="",0,5)+IF(W91="",0,4)+IF(Y91="",0,4)+IF(AA91="",0,4))=0,"",(IF(S91="",0,S91*5)+IF(U91="",0,U91*5)+IF(W91="",0,W91*4)+IF(Y91="",0,Y91*4)+IF(AA91="",0,AA91*4))/(IF(S91="",0,5)+IF(U91="",0,5)+IF(W91="",0,4)+IF(Y91="",0,4)+IF(AA91="",0,4)))</f>
        <v/>
      </c>
      <c r="AD91" s="14">
        <f>IF((IF(T91="",0,5)+IF(V91="",0,5)+IF(X91="",0,4)+IF(Z91="",0,4)+IF(AB91="",0,4))=0,"",(IF(T91="",0,T91*5)+IF(V91="",0,V91*5)+IF(X91="",0,X91*4)+IF(Z91="",0,Z91*4)+IF(AB91="",0,AB91*4))/22)</f>
        <v/>
      </c>
      <c r="AE91" s="11">
        <f>IF(OR(City_Inputs!$X91="",Norm_Stats!$F$12="",Norm_Stats!$G$12="",Norm_Stats!$G$12=Norm_Stats!$F$12),"",MAX(0,MIN(100,100*(MIN(MAX(City_Inputs!$X91,Norm_Stats!$F$12),Norm_Stats!$G$12)-Norm_Stats!$F$12)/(Norm_Stats!$G$12-Norm_Stats!$F$12))))</f>
        <v/>
      </c>
      <c r="AF91" s="14">
        <f>IF(AE91="","",1)</f>
        <v/>
      </c>
      <c r="AG91" s="11">
        <f>IF(OR(City_Inputs!$Y91="",Norm_Stats!$F$13="",Norm_Stats!$G$13="",Norm_Stats!$G$13=Norm_Stats!$F$13),"",MAX(0,MIN(100,100*(MIN(MAX(City_Inputs!$Y91,Norm_Stats!$F$13),Norm_Stats!$G$13)-Norm_Stats!$F$13)/(Norm_Stats!$G$13-Norm_Stats!$F$13))))</f>
        <v/>
      </c>
      <c r="AH91" s="14">
        <f>IF(AG91="","",1)</f>
        <v/>
      </c>
      <c r="AI91" s="11">
        <f>IF((IF((IF(OR(City_Inputs!$Z91="",Norm_Stats!$F$14="",Norm_Stats!$G$14="",Norm_Stats!$G$14=Norm_Stats!$F$14),"",MAX(0,MIN(100,100*(MIN(MAX(City_Inputs!$Z91,Norm_Stats!$F$14),Norm_Stats!$G$14)-Norm_Stats!$F$14)/(Norm_Stats!$G$14-Norm_Stats!$F$14)))))="",0,0.7)+IF((IF(OR(City_Inputs!$AK91="",Norm_Stats!$F$15="",Norm_Stats!$G$15="",Norm_Stats!$G$15=Norm_Stats!$F$15),"",MAX(0,MIN(100,100*(Norm_Stats!$G$15-MIN(MAX(City_Inputs!$AK91,Norm_Stats!$F$15),Norm_Stats!$G$15))/(Norm_Stats!$G$15-Norm_Stats!$F$15)))))="",0,0.3))=0,"",(IF((IF(OR(City_Inputs!$Z91="",Norm_Stats!$F$14="",Norm_Stats!$G$14="",Norm_Stats!$G$14=Norm_Stats!$F$14),"",MAX(0,MIN(100,100*(MIN(MAX(City_Inputs!$Z91,Norm_Stats!$F$14),Norm_Stats!$G$14)-Norm_Stats!$F$14)/(Norm_Stats!$G$14-Norm_Stats!$F$14)))))="",0,(IF(OR(City_Inputs!$Z91="",Norm_Stats!$F$14="",Norm_Stats!$G$14="",Norm_Stats!$G$14=Norm_Stats!$F$14),"",MAX(0,MIN(100,100*(MIN(MAX(City_Inputs!$Z91,Norm_Stats!$F$14),Norm_Stats!$G$14)-Norm_Stats!$F$14)/(Norm_Stats!$G$14-Norm_Stats!$F$14)))))*0.7)+IF((IF(OR(City_Inputs!$AK91="",Norm_Stats!$F$15="",Norm_Stats!$G$15="",Norm_Stats!$G$15=Norm_Stats!$F$15),"",MAX(0,MIN(100,100*(Norm_Stats!$G$15-MIN(MAX(City_Inputs!$AK91,Norm_Stats!$F$15),Norm_Stats!$G$15))/(Norm_Stats!$G$15-Norm_Stats!$F$15)))))="",0,(IF(OR(City_Inputs!$AK91="",Norm_Stats!$F$15="",Norm_Stats!$G$15="",Norm_Stats!$G$15=Norm_Stats!$F$15),"",MAX(0,MIN(100,100*(Norm_Stats!$G$15-MIN(MAX(City_Inputs!$AK91,Norm_Stats!$F$15),Norm_Stats!$G$15))/(Norm_Stats!$G$15-Norm_Stats!$F$15)))))*0.3))/(IF((IF(OR(City_Inputs!$Z91="",Norm_Stats!$F$14="",Norm_Stats!$G$14="",Norm_Stats!$G$14=Norm_Stats!$F$14),"",MAX(0,MIN(100,100*(MIN(MAX(City_Inputs!$Z91,Norm_Stats!$F$14),Norm_Stats!$G$14)-Norm_Stats!$F$14)/(Norm_Stats!$G$14-Norm_Stats!$F$14)))))="",0,0.7)+IF((IF(OR(City_Inputs!$AK91="",Norm_Stats!$F$15="",Norm_Stats!$G$15="",Norm_Stats!$G$15=Norm_Stats!$F$15),"",MAX(0,MIN(100,100*(Norm_Stats!$G$15-MIN(MAX(City_Inputs!$AK91,Norm_Stats!$F$15),Norm_Stats!$G$15))/(Norm_Stats!$G$15-Norm_Stats!$F$15)))))="",0,0.3)))</f>
        <v/>
      </c>
      <c r="AJ91" s="14">
        <f>IF((IF((IF(OR(City_Inputs!$Z91="",Norm_Stats!$F$14="",Norm_Stats!$G$14="",Norm_Stats!$G$14=Norm_Stats!$F$14),"",MAX(0,MIN(100,100*(MIN(MAX(City_Inputs!$Z91,Norm_Stats!$F$14),Norm_Stats!$G$14)-Norm_Stats!$F$14)/(Norm_Stats!$G$14-Norm_Stats!$F$14)))))="",0,0.7)+IF((IF(OR(City_Inputs!$AK91="",Norm_Stats!$F$15="",Norm_Stats!$G$15="",Norm_Stats!$G$15=Norm_Stats!$F$15),"",MAX(0,MIN(100,100*(Norm_Stats!$G$15-MIN(MAX(City_Inputs!$AK91,Norm_Stats!$F$15),Norm_Stats!$G$15))/(Norm_Stats!$G$15-Norm_Stats!$F$15)))))="",0,0.3))=0,"",(IF((IF(OR(City_Inputs!$Z91="",Norm_Stats!$F$14="",Norm_Stats!$G$14="",Norm_Stats!$G$14=Norm_Stats!$F$14),"",MAX(0,MIN(100,100*(MIN(MAX(City_Inputs!$Z91,Norm_Stats!$F$14),Norm_Stats!$G$14)-Norm_Stats!$F$14)/(Norm_Stats!$G$14-Norm_Stats!$F$14)))))="",0,0.7)+IF((IF(OR(City_Inputs!$AK91="",Norm_Stats!$F$15="",Norm_Stats!$G$15="",Norm_Stats!$G$15=Norm_Stats!$F$15),"",MAX(0,MIN(100,100*(Norm_Stats!$G$15-MIN(MAX(City_Inputs!$AK91,Norm_Stats!$F$15),Norm_Stats!$G$15))/(Norm_Stats!$G$15-Norm_Stats!$F$15)))))="",0,0.3)))</f>
        <v/>
      </c>
      <c r="AK91" s="15">
        <f>IF((IF(AE91="",0,8)+IF(AG91="",0,6)+IF(AI91="",0,4))=0,"",(IF(AE91="",0,AE91*8)+IF(AG91="",0,AG91*6)+IF(AI91="",0,AI91*4))/(IF(AE91="",0,8)+IF(AG91="",0,6)+IF(AI91="",0,4)))</f>
        <v/>
      </c>
      <c r="AL91" s="14">
        <f>IF((IF(AF91="",0,8)+IF(AH91="",0,6)+IF(AJ91="",0,4))=0,"",(IF(AF91="",0,AF91*8)+IF(AH91="",0,AH91*6)+IF(AJ91="",0,AJ91*4))/18)</f>
        <v/>
      </c>
      <c r="AM91" s="11">
        <f>IF(OR(City_Inputs!$AA91="",Norm_Stats!$F$16="",Norm_Stats!$G$16="",Norm_Stats!$G$16=Norm_Stats!$F$16),"",MAX(0,MIN(100,100*(MIN(MAX(City_Inputs!$AA91,Norm_Stats!$F$16),Norm_Stats!$G$16)-Norm_Stats!$F$16)/(Norm_Stats!$G$16-Norm_Stats!$F$16))))</f>
        <v/>
      </c>
      <c r="AN91" s="14">
        <f>IF(AM91="","",1)</f>
        <v/>
      </c>
      <c r="AO91" s="11">
        <f>IF(OR(City_Inputs!$AB91="",Norm_Stats!$F$17="",Norm_Stats!$G$17="",Norm_Stats!$G$17=Norm_Stats!$F$17),"",MAX(0,MIN(100,100*(MIN(MAX(City_Inputs!$AB91,Norm_Stats!$F$17),Norm_Stats!$G$17)-Norm_Stats!$F$17)/(Norm_Stats!$G$17-Norm_Stats!$F$17))))</f>
        <v/>
      </c>
      <c r="AP91" s="14">
        <f>IF(AO91="","",1)</f>
        <v/>
      </c>
      <c r="AQ91" s="11">
        <f>IF(OR(City_Inputs!$AC91="",Norm_Stats!$F$18="",Norm_Stats!$G$18="",Norm_Stats!$G$18=Norm_Stats!$F$18),"",MAX(0,MIN(100,100*(MIN(MAX(City_Inputs!$AC91,Norm_Stats!$F$18),Norm_Stats!$G$18)-Norm_Stats!$F$18)/(Norm_Stats!$G$18-Norm_Stats!$F$18))))</f>
        <v/>
      </c>
      <c r="AR91" s="14">
        <f>IF(AQ91="","",1)</f>
        <v/>
      </c>
      <c r="AS91" s="15">
        <f>IF((IF(AM91="",0,5)+IF(AO91="",0,5)+IF(AQ91="",0,5))=0,"",(IF(AM91="",0,AM91*5)+IF(AO91="",0,AO91*5)+IF(AQ91="",0,AQ91*5))/(IF(AM91="",0,5)+IF(AO91="",0,5)+IF(AQ91="",0,5)))</f>
        <v/>
      </c>
      <c r="AT91" s="14">
        <f>IF((IF(AN91="",0,5)+IF(AP91="",0,5)+IF(AR91="",0,5))=0,"",(IF(AN91="",0,AN91*5)+IF(AP91="",0,AP91*5)+IF(AR91="",0,AR91*5))/15)</f>
        <v/>
      </c>
      <c r="AU91" s="11">
        <f>IF(OR(City_Inputs!$AD91="",Norm_Stats!$F$19="",Norm_Stats!$G$19="",Norm_Stats!$G$19=Norm_Stats!$F$19),"",MAX(0,MIN(100,100*(MIN(MAX(City_Inputs!$AD91,Norm_Stats!$F$19),Norm_Stats!$G$19)-Norm_Stats!$F$19)/(Norm_Stats!$G$19-Norm_Stats!$F$19))))</f>
        <v/>
      </c>
      <c r="AV91" s="14">
        <f>IF(AU91="","",1)</f>
        <v/>
      </c>
      <c r="AW91" s="11">
        <f>IF(OR(City_Inputs!$AE91="",Norm_Stats!$F$20="",Norm_Stats!$G$20="",Norm_Stats!$G$20=Norm_Stats!$F$20),"",MAX(0,MIN(100,100*(MIN(MAX(City_Inputs!$AE91,Norm_Stats!$F$20),Norm_Stats!$G$20)-Norm_Stats!$F$20)/(Norm_Stats!$G$20-Norm_Stats!$F$20))))</f>
        <v/>
      </c>
      <c r="AX91" s="14">
        <f>IF(AW91="","",1)</f>
        <v/>
      </c>
      <c r="AY91" s="11">
        <f>IF((IF((IF(OR(City_Inputs!$AF91="",Norm_Stats!$F$21="",Norm_Stats!$G$21="",Norm_Stats!$G$21=Norm_Stats!$F$21),"",MAX(0,MIN(100,100*(MIN(MAX(City_Inputs!$AF91,Norm_Stats!$F$21),Norm_Stats!$G$21)-Norm_Stats!$F$21)/(Norm_Stats!$G$21-Norm_Stats!$F$21)))))="",0,0.5)+IF((IF(OR(City_Inputs!$AI91="",Norm_Stats!$F$22="",Norm_Stats!$G$22="",Norm_Stats!$G$22=Norm_Stats!$F$22),"",MAX(0,MIN(100,100*(MIN(MAX(City_Inputs!$AI91,Norm_Stats!$F$22),Norm_Stats!$G$22)-Norm_Stats!$F$22)/(Norm_Stats!$G$22-Norm_Stats!$F$22)))))="",0,0.3)+IF((IF(OR(City_Inputs!$AJ91="",Norm_Stats!$F$23="",Norm_Stats!$G$23="",Norm_Stats!$G$23=Norm_Stats!$F$23),"",MAX(0,MIN(100,100*(MIN(MAX(City_Inputs!$AJ91,Norm_Stats!$F$23),Norm_Stats!$G$23)-Norm_Stats!$F$23)/(Norm_Stats!$G$23-Norm_Stats!$F$23)))))="",0,0.2))=0,"",(IF((IF(OR(City_Inputs!$AF91="",Norm_Stats!$F$21="",Norm_Stats!$G$21="",Norm_Stats!$G$21=Norm_Stats!$F$21),"",MAX(0,MIN(100,100*(MIN(MAX(City_Inputs!$AF91,Norm_Stats!$F$21),Norm_Stats!$G$21)-Norm_Stats!$F$21)/(Norm_Stats!$G$21-Norm_Stats!$F$21)))))="",0,(IF(OR(City_Inputs!$AF91="",Norm_Stats!$F$21="",Norm_Stats!$G$21="",Norm_Stats!$G$21=Norm_Stats!$F$21),"",MAX(0,MIN(100,100*(MIN(MAX(City_Inputs!$AF91,Norm_Stats!$F$21),Norm_Stats!$G$21)-Norm_Stats!$F$21)/(Norm_Stats!$G$21-Norm_Stats!$F$21)))))*0.5)+IF((IF(OR(City_Inputs!$AI91="",Norm_Stats!$F$22="",Norm_Stats!$G$22="",Norm_Stats!$G$22=Norm_Stats!$F$22),"",MAX(0,MIN(100,100*(MIN(MAX(City_Inputs!$AI91,Norm_Stats!$F$22),Norm_Stats!$G$22)-Norm_Stats!$F$22)/(Norm_Stats!$G$22-Norm_Stats!$F$22)))))="",0,(IF(OR(City_Inputs!$AI91="",Norm_Stats!$F$22="",Norm_Stats!$G$22="",Norm_Stats!$G$22=Norm_Stats!$F$22),"",MAX(0,MIN(100,100*(MIN(MAX(City_Inputs!$AI91,Norm_Stats!$F$22),Norm_Stats!$G$22)-Norm_Stats!$F$22)/(Norm_Stats!$G$22-Norm_Stats!$F$22)))))*0.3)+IF((IF(OR(City_Inputs!$AJ91="",Norm_Stats!$F$23="",Norm_Stats!$G$23="",Norm_Stats!$G$23=Norm_Stats!$F$23),"",MAX(0,MIN(100,100*(MIN(MAX(City_Inputs!$AJ91,Norm_Stats!$F$23),Norm_Stats!$G$23)-Norm_Stats!$F$23)/(Norm_Stats!$G$23-Norm_Stats!$F$23)))))="",0,(IF(OR(City_Inputs!$AJ91="",Norm_Stats!$F$23="",Norm_Stats!$G$23="",Norm_Stats!$G$23=Norm_Stats!$F$23),"",MAX(0,MIN(100,100*(MIN(MAX(City_Inputs!$AJ91,Norm_Stats!$F$23),Norm_Stats!$G$23)-Norm_Stats!$F$23)/(Norm_Stats!$G$23-Norm_Stats!$F$23)))))*0.2))/(IF((IF(OR(City_Inputs!$AF91="",Norm_Stats!$F$21="",Norm_Stats!$G$21="",Norm_Stats!$G$21=Norm_Stats!$F$21),"",MAX(0,MIN(100,100*(MIN(MAX(City_Inputs!$AF91,Norm_Stats!$F$21),Norm_Stats!$G$21)-Norm_Stats!$F$21)/(Norm_Stats!$G$21-Norm_Stats!$F$21)))))="",0,0.5)+IF((IF(OR(City_Inputs!$AI91="",Norm_Stats!$F$22="",Norm_Stats!$G$22="",Norm_Stats!$G$22=Norm_Stats!$F$22),"",MAX(0,MIN(100,100*(MIN(MAX(City_Inputs!$AI91,Norm_Stats!$F$22),Norm_Stats!$G$22)-Norm_Stats!$F$22)/(Norm_Stats!$G$22-Norm_Stats!$F$22)))))="",0,0.3)+IF((IF(OR(City_Inputs!$AJ91="",Norm_Stats!$F$23="",Norm_Stats!$G$23="",Norm_Stats!$G$23=Norm_Stats!$F$23),"",MAX(0,MIN(100,100*(MIN(MAX(City_Inputs!$AJ91,Norm_Stats!$F$23),Norm_Stats!$G$23)-Norm_Stats!$F$23)/(Norm_Stats!$G$23-Norm_Stats!$F$23)))))="",0,0.2)))</f>
        <v/>
      </c>
      <c r="AZ91" s="14">
        <f>IF((IF((IF(OR(City_Inputs!$AF91="",Norm_Stats!$F$21="",Norm_Stats!$G$21="",Norm_Stats!$G$21=Norm_Stats!$F$21),"",MAX(0,MIN(100,100*(MIN(MAX(City_Inputs!$AF91,Norm_Stats!$F$21),Norm_Stats!$G$21)-Norm_Stats!$F$21)/(Norm_Stats!$G$21-Norm_Stats!$F$21)))))="",0,0.5)+IF((IF(OR(City_Inputs!$AI91="",Norm_Stats!$F$22="",Norm_Stats!$G$22="",Norm_Stats!$G$22=Norm_Stats!$F$22),"",MAX(0,MIN(100,100*(MIN(MAX(City_Inputs!$AI91,Norm_Stats!$F$22),Norm_Stats!$G$22)-Norm_Stats!$F$22)/(Norm_Stats!$G$22-Norm_Stats!$F$22)))))="",0,0.3)+IF((IF(OR(City_Inputs!$AJ91="",Norm_Stats!$F$23="",Norm_Stats!$G$23="",Norm_Stats!$G$23=Norm_Stats!$F$23),"",MAX(0,MIN(100,100*(MIN(MAX(City_Inputs!$AJ91,Norm_Stats!$F$23),Norm_Stats!$G$23)-Norm_Stats!$F$23)/(Norm_Stats!$G$23-Norm_Stats!$F$23)))))="",0,0.2))=0,"",(IF((IF(OR(City_Inputs!$AF91="",Norm_Stats!$F$21="",Norm_Stats!$G$21="",Norm_Stats!$G$21=Norm_Stats!$F$21),"",MAX(0,MIN(100,100*(MIN(MAX(City_Inputs!$AF91,Norm_Stats!$F$21),Norm_Stats!$G$21)-Norm_Stats!$F$21)/(Norm_Stats!$G$21-Norm_Stats!$F$21)))))="",0,0.5)+IF((IF(OR(City_Inputs!$AI91="",Norm_Stats!$F$22="",Norm_Stats!$G$22="",Norm_Stats!$G$22=Norm_Stats!$F$22),"",MAX(0,MIN(100,100*(MIN(MAX(City_Inputs!$AI91,Norm_Stats!$F$22),Norm_Stats!$G$22)-Norm_Stats!$F$22)/(Norm_Stats!$G$22-Norm_Stats!$F$22)))))="",0,0.3)+IF((IF(OR(City_Inputs!$AJ91="",Norm_Stats!$F$23="",Norm_Stats!$G$23="",Norm_Stats!$G$23=Norm_Stats!$F$23),"",MAX(0,MIN(100,100*(MIN(MAX(City_Inputs!$AJ91,Norm_Stats!$F$23),Norm_Stats!$G$23)-Norm_Stats!$F$23)/(Norm_Stats!$G$23-Norm_Stats!$F$23)))))="",0,0.2)))</f>
        <v/>
      </c>
      <c r="BA91" s="11">
        <f>IF(OR(City_Inputs!$AG91="",Norm_Stats!$F$24="",Norm_Stats!$G$24="",Norm_Stats!$G$24=Norm_Stats!$F$24),"",MAX(0,MIN(100,100*(Norm_Stats!$G$24-MIN(MAX(City_Inputs!$AG91,Norm_Stats!$F$24),Norm_Stats!$G$24))/(Norm_Stats!$G$24-Norm_Stats!$F$24))))</f>
        <v/>
      </c>
      <c r="BB91" s="14">
        <f>IF(BA91="","",1)</f>
        <v/>
      </c>
      <c r="BC91" s="15">
        <f>IF((IF(AU91="",0,6)+IF(AW91="",0,5)+IF(AY91="",0,5)+IF(BA91="",0,4))=0,"",(IF(AU91="",0,AU91*6)+IF(AW91="",0,AW91*5)+IF(AY91="",0,AY91*5)+IF(BA91="",0,BA91*4))/(IF(AU91="",0,6)+IF(AW91="",0,5)+IF(AY91="",0,5)+IF(BA91="",0,4)))</f>
        <v/>
      </c>
      <c r="BD91" s="14">
        <f>IF((IF(AV91="",0,6)+IF(AX91="",0,5)+IF(AZ91="",0,5)+IF(BB91="",0,4))=0,"",(IF(AV91="",0,AV91*6)+IF(AX91="",0,AX91*5)+IF(AZ91="",0,AZ91*5)+IF(BB91="",0,BB91*4))/20)</f>
        <v/>
      </c>
      <c r="BE91" s="14">
        <f>IF(AND(R91="",AD91="",AL91="",AT91="",BD91=""),"",((R91*25)+(AD91*22)+(AL91*18)+(AT91*15)+(BD91*20))/100)</f>
        <v/>
      </c>
      <c r="BF91" s="11">
        <f>IF(BE91="","",IF(BE91&gt;=0.75,"A",IF(BE91&gt;=0.5,"B",IF(BE91&gt;=0.35,"C","Watchlist"))))</f>
        <v/>
      </c>
      <c r="BG91" s="11">
        <f>IF(OR(BE91="",BE91&lt;0.5,R91="",R91&lt;0.35,AD91="",AD91&lt;0.35,AL91="",AL91&lt;0.35,AT91="",AT91&lt;0.35,BD91="",BD91&lt;0.35),"Watchlist","Ranked")</f>
        <v/>
      </c>
      <c r="BH91" s="15">
        <f>IF(AND(Q91="",AC91="",AK91="",AS91="",BC91=""),"",(IF(Q91="",0,Q91*25)+IF(AC91="",0,AC91*22)+IF(AK91="",0,AK91*18)+IF(AS91="",0,AS91*15)+IF(BC91="",0,BC91*20))/(IF(Q91="",0,25)+IF(AC91="",0,22)+IF(AK91="",0,18)+IF(AS91="",0,15)+IF(BC91="",0,20)))</f>
        <v/>
      </c>
      <c r="BI91" s="11">
        <f>IF(BG91="Ranked",1+COUNTIFS($BG$2:$BG$103,"Ranked",$BH$2:$BH$103,"&gt;"&amp;BH91),"")</f>
        <v/>
      </c>
      <c r="BJ91" s="11">
        <f>City_Inputs!$AH91</f>
        <v/>
      </c>
    </row>
    <row r="92">
      <c r="A92" t="inlineStr">
        <is>
          <t>gh-accra</t>
        </is>
      </c>
      <c r="B92" t="inlineStr">
        <is>
          <t>Accra</t>
        </is>
      </c>
      <c r="C92" t="inlineStr">
        <is>
          <t>Ghana</t>
        </is>
      </c>
      <c r="D92" t="inlineStr">
        <is>
          <t>Africa</t>
        </is>
      </c>
      <c r="E92" t="inlineStr">
        <is>
          <t>locked</t>
        </is>
      </c>
      <c r="F92" t="inlineStr">
        <is>
          <t>secondary</t>
        </is>
      </c>
      <c r="G92" s="11">
        <f>IF(OR(City_Inputs!$M92="",Norm_Stats!$F$2="",Norm_Stats!$G$2="",Norm_Stats!$G$2=Norm_Stats!$F$2),"",MAX(0,MIN(100,100*(MIN(MAX(City_Inputs!$M92,Norm_Stats!$F$2),Norm_Stats!$G$2)-Norm_Stats!$F$2)/(Norm_Stats!$G$2-Norm_Stats!$F$2))))</f>
        <v/>
      </c>
      <c r="H92" s="14">
        <f>IF(G92="","",1)</f>
        <v/>
      </c>
      <c r="I92" s="11">
        <f>IF(OR(City_Inputs!$N92="",Norm_Stats!$F$3="",Norm_Stats!$G$3="",Norm_Stats!$G$3=Norm_Stats!$F$3),"",MAX(0,MIN(100,100*(Norm_Stats!$G$3-MIN(MAX(City_Inputs!$N92,Norm_Stats!$F$3),Norm_Stats!$G$3))/(Norm_Stats!$G$3-Norm_Stats!$F$3))))</f>
        <v/>
      </c>
      <c r="J92" s="14">
        <f>IF(I92="","",1)</f>
        <v/>
      </c>
      <c r="K92" s="11">
        <f>IF(OR(City_Inputs!$P92="",Norm_Stats!$F$4="",Norm_Stats!$G$4="",Norm_Stats!$G$4=Norm_Stats!$F$4),"",MAX(0,MIN(100,100*(Norm_Stats!$G$4-MIN(MAX(City_Inputs!$P92,Norm_Stats!$F$4),Norm_Stats!$G$4))/(Norm_Stats!$G$4-Norm_Stats!$F$4))))</f>
        <v/>
      </c>
      <c r="L92" s="14">
        <f>IF(K92="","",1)</f>
        <v/>
      </c>
      <c r="M92" s="11">
        <f>IF(OR(City_Inputs!$Q92="",Norm_Stats!$F$5="",Norm_Stats!$G$5="",Norm_Stats!$G$5=Norm_Stats!$F$5),"",MAX(0,MIN(100,100*(Norm_Stats!$G$5-MIN(MAX(City_Inputs!$Q92,Norm_Stats!$F$5),Norm_Stats!$G$5))/(Norm_Stats!$G$5-Norm_Stats!$F$5))))</f>
        <v/>
      </c>
      <c r="N92" s="14">
        <f>IF(M92="","",1)</f>
        <v/>
      </c>
      <c r="O92" s="11">
        <f>IF(OR(City_Inputs!$R92="",Norm_Stats!$F$6="",Norm_Stats!$G$6="",Norm_Stats!$G$6=Norm_Stats!$F$6),"",MAX(0,MIN(100,100*(Norm_Stats!$G$6-MIN(MAX(City_Inputs!$R92,Norm_Stats!$F$6),Norm_Stats!$G$6))/(Norm_Stats!$G$6-Norm_Stats!$F$6))))</f>
        <v/>
      </c>
      <c r="P92" s="14">
        <f>IF(O92="","",1)</f>
        <v/>
      </c>
      <c r="Q92" s="15">
        <f>IF((IF(G92="",0,9)+IF(I92="",0,5)+IF(K92="",0,4)+IF(M92="",0,4)+IF(O92="",0,3))=0,"",(IF(G92="",0,G92*9)+IF(I92="",0,I92*5)+IF(K92="",0,K92*4)+IF(M92="",0,M92*4)+IF(O92="",0,O92*3))/(IF(G92="",0,9)+IF(I92="",0,5)+IF(K92="",0,4)+IF(M92="",0,4)+IF(O92="",0,3)))</f>
        <v/>
      </c>
      <c r="R92" s="14">
        <f>IF((IF(H92="",0,9)+IF(J92="",0,5)+IF(L92="",0,4)+IF(N92="",0,4)+IF(P92="",0,3))=0,"",(IF(H92="",0,H92*9)+IF(J92="",0,J92*5)+IF(L92="",0,L92*4)+IF(N92="",0,N92*4)+IF(P92="",0,P92*3))/25)</f>
        <v/>
      </c>
      <c r="S92" s="11">
        <f>IF(OR(City_Inputs!$S92="",Norm_Stats!$F$7="",Norm_Stats!$G$7="",Norm_Stats!$G$7=Norm_Stats!$F$7),"",MAX(0,MIN(100,100*(Norm_Stats!$G$7-MIN(MAX(City_Inputs!$S92,Norm_Stats!$F$7),Norm_Stats!$G$7))/(Norm_Stats!$G$7-Norm_Stats!$F$7))))</f>
        <v/>
      </c>
      <c r="T92" s="14">
        <f>IF(S92="","",1)</f>
        <v/>
      </c>
      <c r="U92" s="11">
        <f>IF(OR(City_Inputs!$T92="",Norm_Stats!$F$8="",Norm_Stats!$G$8="",Norm_Stats!$G$8=Norm_Stats!$F$8),"",MAX(0,MIN(100,100*(MIN(MAX(City_Inputs!$T92,Norm_Stats!$F$8),Norm_Stats!$G$8)-Norm_Stats!$F$8)/(Norm_Stats!$G$8-Norm_Stats!$F$8))))</f>
        <v/>
      </c>
      <c r="V92" s="14">
        <f>IF(U92="","",1)</f>
        <v/>
      </c>
      <c r="W92" s="11">
        <f>IF(OR(City_Inputs!$U92="",Norm_Stats!$F$9="",Norm_Stats!$G$9="",Norm_Stats!$G$9=Norm_Stats!$F$9),"",MAX(0,MIN(100,100*(Norm_Stats!$G$9-MIN(MAX(City_Inputs!$U92,Norm_Stats!$F$9),Norm_Stats!$G$9))/(Norm_Stats!$G$9-Norm_Stats!$F$9))))</f>
        <v/>
      </c>
      <c r="X92" s="14">
        <f>IF(W92="","",1)</f>
        <v/>
      </c>
      <c r="Y92" s="11">
        <f>IF(OR(City_Inputs!$V92="",Norm_Stats!$F$10="",Norm_Stats!$G$10="",Norm_Stats!$G$10=Norm_Stats!$F$10),"",MAX(0,MIN(100,100*(MIN(MAX(City_Inputs!$V92,Norm_Stats!$F$10),Norm_Stats!$G$10)-Norm_Stats!$F$10)/(Norm_Stats!$G$10-Norm_Stats!$F$10))))</f>
        <v/>
      </c>
      <c r="Z92" s="14">
        <f>IF(Y92="","",1)</f>
        <v/>
      </c>
      <c r="AA92" s="11">
        <f>IF(OR(City_Inputs!$W92="",Norm_Stats!$F$11="",Norm_Stats!$G$11="",Norm_Stats!$G$11=Norm_Stats!$F$11),"",MAX(0,MIN(100,100*(MIN(MAX(City_Inputs!$W92,Norm_Stats!$F$11),Norm_Stats!$G$11)-Norm_Stats!$F$11)/(Norm_Stats!$G$11-Norm_Stats!$F$11))))</f>
        <v/>
      </c>
      <c r="AB92" s="14">
        <f>IF(AA92="","",1)</f>
        <v/>
      </c>
      <c r="AC92" s="15">
        <f>IF((IF(S92="",0,5)+IF(U92="",0,5)+IF(W92="",0,4)+IF(Y92="",0,4)+IF(AA92="",0,4))=0,"",(IF(S92="",0,S92*5)+IF(U92="",0,U92*5)+IF(W92="",0,W92*4)+IF(Y92="",0,Y92*4)+IF(AA92="",0,AA92*4))/(IF(S92="",0,5)+IF(U92="",0,5)+IF(W92="",0,4)+IF(Y92="",0,4)+IF(AA92="",0,4)))</f>
        <v/>
      </c>
      <c r="AD92" s="14">
        <f>IF((IF(T92="",0,5)+IF(V92="",0,5)+IF(X92="",0,4)+IF(Z92="",0,4)+IF(AB92="",0,4))=0,"",(IF(T92="",0,T92*5)+IF(V92="",0,V92*5)+IF(X92="",0,X92*4)+IF(Z92="",0,Z92*4)+IF(AB92="",0,AB92*4))/22)</f>
        <v/>
      </c>
      <c r="AE92" s="11">
        <f>IF(OR(City_Inputs!$X92="",Norm_Stats!$F$12="",Norm_Stats!$G$12="",Norm_Stats!$G$12=Norm_Stats!$F$12),"",MAX(0,MIN(100,100*(MIN(MAX(City_Inputs!$X92,Norm_Stats!$F$12),Norm_Stats!$G$12)-Norm_Stats!$F$12)/(Norm_Stats!$G$12-Norm_Stats!$F$12))))</f>
        <v/>
      </c>
      <c r="AF92" s="14">
        <f>IF(AE92="","",1)</f>
        <v/>
      </c>
      <c r="AG92" s="11">
        <f>IF(OR(City_Inputs!$Y92="",Norm_Stats!$F$13="",Norm_Stats!$G$13="",Norm_Stats!$G$13=Norm_Stats!$F$13),"",MAX(0,MIN(100,100*(MIN(MAX(City_Inputs!$Y92,Norm_Stats!$F$13),Norm_Stats!$G$13)-Norm_Stats!$F$13)/(Norm_Stats!$G$13-Norm_Stats!$F$13))))</f>
        <v/>
      </c>
      <c r="AH92" s="14">
        <f>IF(AG92="","",1)</f>
        <v/>
      </c>
      <c r="AI92" s="11">
        <f>IF((IF((IF(OR(City_Inputs!$Z92="",Norm_Stats!$F$14="",Norm_Stats!$G$14="",Norm_Stats!$G$14=Norm_Stats!$F$14),"",MAX(0,MIN(100,100*(MIN(MAX(City_Inputs!$Z92,Norm_Stats!$F$14),Norm_Stats!$G$14)-Norm_Stats!$F$14)/(Norm_Stats!$G$14-Norm_Stats!$F$14)))))="",0,0.7)+IF((IF(OR(City_Inputs!$AK92="",Norm_Stats!$F$15="",Norm_Stats!$G$15="",Norm_Stats!$G$15=Norm_Stats!$F$15),"",MAX(0,MIN(100,100*(Norm_Stats!$G$15-MIN(MAX(City_Inputs!$AK92,Norm_Stats!$F$15),Norm_Stats!$G$15))/(Norm_Stats!$G$15-Norm_Stats!$F$15)))))="",0,0.3))=0,"",(IF((IF(OR(City_Inputs!$Z92="",Norm_Stats!$F$14="",Norm_Stats!$G$14="",Norm_Stats!$G$14=Norm_Stats!$F$14),"",MAX(0,MIN(100,100*(MIN(MAX(City_Inputs!$Z92,Norm_Stats!$F$14),Norm_Stats!$G$14)-Norm_Stats!$F$14)/(Norm_Stats!$G$14-Norm_Stats!$F$14)))))="",0,(IF(OR(City_Inputs!$Z92="",Norm_Stats!$F$14="",Norm_Stats!$G$14="",Norm_Stats!$G$14=Norm_Stats!$F$14),"",MAX(0,MIN(100,100*(MIN(MAX(City_Inputs!$Z92,Norm_Stats!$F$14),Norm_Stats!$G$14)-Norm_Stats!$F$14)/(Norm_Stats!$G$14-Norm_Stats!$F$14)))))*0.7)+IF((IF(OR(City_Inputs!$AK92="",Norm_Stats!$F$15="",Norm_Stats!$G$15="",Norm_Stats!$G$15=Norm_Stats!$F$15),"",MAX(0,MIN(100,100*(Norm_Stats!$G$15-MIN(MAX(City_Inputs!$AK92,Norm_Stats!$F$15),Norm_Stats!$G$15))/(Norm_Stats!$G$15-Norm_Stats!$F$15)))))="",0,(IF(OR(City_Inputs!$AK92="",Norm_Stats!$F$15="",Norm_Stats!$G$15="",Norm_Stats!$G$15=Norm_Stats!$F$15),"",MAX(0,MIN(100,100*(Norm_Stats!$G$15-MIN(MAX(City_Inputs!$AK92,Norm_Stats!$F$15),Norm_Stats!$G$15))/(Norm_Stats!$G$15-Norm_Stats!$F$15)))))*0.3))/(IF((IF(OR(City_Inputs!$Z92="",Norm_Stats!$F$14="",Norm_Stats!$G$14="",Norm_Stats!$G$14=Norm_Stats!$F$14),"",MAX(0,MIN(100,100*(MIN(MAX(City_Inputs!$Z92,Norm_Stats!$F$14),Norm_Stats!$G$14)-Norm_Stats!$F$14)/(Norm_Stats!$G$14-Norm_Stats!$F$14)))))="",0,0.7)+IF((IF(OR(City_Inputs!$AK92="",Norm_Stats!$F$15="",Norm_Stats!$G$15="",Norm_Stats!$G$15=Norm_Stats!$F$15),"",MAX(0,MIN(100,100*(Norm_Stats!$G$15-MIN(MAX(City_Inputs!$AK92,Norm_Stats!$F$15),Norm_Stats!$G$15))/(Norm_Stats!$G$15-Norm_Stats!$F$15)))))="",0,0.3)))</f>
        <v/>
      </c>
      <c r="AJ92" s="14">
        <f>IF((IF((IF(OR(City_Inputs!$Z92="",Norm_Stats!$F$14="",Norm_Stats!$G$14="",Norm_Stats!$G$14=Norm_Stats!$F$14),"",MAX(0,MIN(100,100*(MIN(MAX(City_Inputs!$Z92,Norm_Stats!$F$14),Norm_Stats!$G$14)-Norm_Stats!$F$14)/(Norm_Stats!$G$14-Norm_Stats!$F$14)))))="",0,0.7)+IF((IF(OR(City_Inputs!$AK92="",Norm_Stats!$F$15="",Norm_Stats!$G$15="",Norm_Stats!$G$15=Norm_Stats!$F$15),"",MAX(0,MIN(100,100*(Norm_Stats!$G$15-MIN(MAX(City_Inputs!$AK92,Norm_Stats!$F$15),Norm_Stats!$G$15))/(Norm_Stats!$G$15-Norm_Stats!$F$15)))))="",0,0.3))=0,"",(IF((IF(OR(City_Inputs!$Z92="",Norm_Stats!$F$14="",Norm_Stats!$G$14="",Norm_Stats!$G$14=Norm_Stats!$F$14),"",MAX(0,MIN(100,100*(MIN(MAX(City_Inputs!$Z92,Norm_Stats!$F$14),Norm_Stats!$G$14)-Norm_Stats!$F$14)/(Norm_Stats!$G$14-Norm_Stats!$F$14)))))="",0,0.7)+IF((IF(OR(City_Inputs!$AK92="",Norm_Stats!$F$15="",Norm_Stats!$G$15="",Norm_Stats!$G$15=Norm_Stats!$F$15),"",MAX(0,MIN(100,100*(Norm_Stats!$G$15-MIN(MAX(City_Inputs!$AK92,Norm_Stats!$F$15),Norm_Stats!$G$15))/(Norm_Stats!$G$15-Norm_Stats!$F$15)))))="",0,0.3)))</f>
        <v/>
      </c>
      <c r="AK92" s="15">
        <f>IF((IF(AE92="",0,8)+IF(AG92="",0,6)+IF(AI92="",0,4))=0,"",(IF(AE92="",0,AE92*8)+IF(AG92="",0,AG92*6)+IF(AI92="",0,AI92*4))/(IF(AE92="",0,8)+IF(AG92="",0,6)+IF(AI92="",0,4)))</f>
        <v/>
      </c>
      <c r="AL92" s="14">
        <f>IF((IF(AF92="",0,8)+IF(AH92="",0,6)+IF(AJ92="",0,4))=0,"",(IF(AF92="",0,AF92*8)+IF(AH92="",0,AH92*6)+IF(AJ92="",0,AJ92*4))/18)</f>
        <v/>
      </c>
      <c r="AM92" s="11">
        <f>IF(OR(City_Inputs!$AA92="",Norm_Stats!$F$16="",Norm_Stats!$G$16="",Norm_Stats!$G$16=Norm_Stats!$F$16),"",MAX(0,MIN(100,100*(MIN(MAX(City_Inputs!$AA92,Norm_Stats!$F$16),Norm_Stats!$G$16)-Norm_Stats!$F$16)/(Norm_Stats!$G$16-Norm_Stats!$F$16))))</f>
        <v/>
      </c>
      <c r="AN92" s="14">
        <f>IF(AM92="","",1)</f>
        <v/>
      </c>
      <c r="AO92" s="11">
        <f>IF(OR(City_Inputs!$AB92="",Norm_Stats!$F$17="",Norm_Stats!$G$17="",Norm_Stats!$G$17=Norm_Stats!$F$17),"",MAX(0,MIN(100,100*(MIN(MAX(City_Inputs!$AB92,Norm_Stats!$F$17),Norm_Stats!$G$17)-Norm_Stats!$F$17)/(Norm_Stats!$G$17-Norm_Stats!$F$17))))</f>
        <v/>
      </c>
      <c r="AP92" s="14">
        <f>IF(AO92="","",1)</f>
        <v/>
      </c>
      <c r="AQ92" s="11">
        <f>IF(OR(City_Inputs!$AC92="",Norm_Stats!$F$18="",Norm_Stats!$G$18="",Norm_Stats!$G$18=Norm_Stats!$F$18),"",MAX(0,MIN(100,100*(MIN(MAX(City_Inputs!$AC92,Norm_Stats!$F$18),Norm_Stats!$G$18)-Norm_Stats!$F$18)/(Norm_Stats!$G$18-Norm_Stats!$F$18))))</f>
        <v/>
      </c>
      <c r="AR92" s="14">
        <f>IF(AQ92="","",1)</f>
        <v/>
      </c>
      <c r="AS92" s="15">
        <f>IF((IF(AM92="",0,5)+IF(AO92="",0,5)+IF(AQ92="",0,5))=0,"",(IF(AM92="",0,AM92*5)+IF(AO92="",0,AO92*5)+IF(AQ92="",0,AQ92*5))/(IF(AM92="",0,5)+IF(AO92="",0,5)+IF(AQ92="",0,5)))</f>
        <v/>
      </c>
      <c r="AT92" s="14">
        <f>IF((IF(AN92="",0,5)+IF(AP92="",0,5)+IF(AR92="",0,5))=0,"",(IF(AN92="",0,AN92*5)+IF(AP92="",0,AP92*5)+IF(AR92="",0,AR92*5))/15)</f>
        <v/>
      </c>
      <c r="AU92" s="11">
        <f>IF(OR(City_Inputs!$AD92="",Norm_Stats!$F$19="",Norm_Stats!$G$19="",Norm_Stats!$G$19=Norm_Stats!$F$19),"",MAX(0,MIN(100,100*(MIN(MAX(City_Inputs!$AD92,Norm_Stats!$F$19),Norm_Stats!$G$19)-Norm_Stats!$F$19)/(Norm_Stats!$G$19-Norm_Stats!$F$19))))</f>
        <v/>
      </c>
      <c r="AV92" s="14">
        <f>IF(AU92="","",1)</f>
        <v/>
      </c>
      <c r="AW92" s="11">
        <f>IF(OR(City_Inputs!$AE92="",Norm_Stats!$F$20="",Norm_Stats!$G$20="",Norm_Stats!$G$20=Norm_Stats!$F$20),"",MAX(0,MIN(100,100*(MIN(MAX(City_Inputs!$AE92,Norm_Stats!$F$20),Norm_Stats!$G$20)-Norm_Stats!$F$20)/(Norm_Stats!$G$20-Norm_Stats!$F$20))))</f>
        <v/>
      </c>
      <c r="AX92" s="14">
        <f>IF(AW92="","",1)</f>
        <v/>
      </c>
      <c r="AY92" s="11">
        <f>IF((IF((IF(OR(City_Inputs!$AF92="",Norm_Stats!$F$21="",Norm_Stats!$G$21="",Norm_Stats!$G$21=Norm_Stats!$F$21),"",MAX(0,MIN(100,100*(MIN(MAX(City_Inputs!$AF92,Norm_Stats!$F$21),Norm_Stats!$G$21)-Norm_Stats!$F$21)/(Norm_Stats!$G$21-Norm_Stats!$F$21)))))="",0,0.5)+IF((IF(OR(City_Inputs!$AI92="",Norm_Stats!$F$22="",Norm_Stats!$G$22="",Norm_Stats!$G$22=Norm_Stats!$F$22),"",MAX(0,MIN(100,100*(MIN(MAX(City_Inputs!$AI92,Norm_Stats!$F$22),Norm_Stats!$G$22)-Norm_Stats!$F$22)/(Norm_Stats!$G$22-Norm_Stats!$F$22)))))="",0,0.3)+IF((IF(OR(City_Inputs!$AJ92="",Norm_Stats!$F$23="",Norm_Stats!$G$23="",Norm_Stats!$G$23=Norm_Stats!$F$23),"",MAX(0,MIN(100,100*(MIN(MAX(City_Inputs!$AJ92,Norm_Stats!$F$23),Norm_Stats!$G$23)-Norm_Stats!$F$23)/(Norm_Stats!$G$23-Norm_Stats!$F$23)))))="",0,0.2))=0,"",(IF((IF(OR(City_Inputs!$AF92="",Norm_Stats!$F$21="",Norm_Stats!$G$21="",Norm_Stats!$G$21=Norm_Stats!$F$21),"",MAX(0,MIN(100,100*(MIN(MAX(City_Inputs!$AF92,Norm_Stats!$F$21),Norm_Stats!$G$21)-Norm_Stats!$F$21)/(Norm_Stats!$G$21-Norm_Stats!$F$21)))))="",0,(IF(OR(City_Inputs!$AF92="",Norm_Stats!$F$21="",Norm_Stats!$G$21="",Norm_Stats!$G$21=Norm_Stats!$F$21),"",MAX(0,MIN(100,100*(MIN(MAX(City_Inputs!$AF92,Norm_Stats!$F$21),Norm_Stats!$G$21)-Norm_Stats!$F$21)/(Norm_Stats!$G$21-Norm_Stats!$F$21)))))*0.5)+IF((IF(OR(City_Inputs!$AI92="",Norm_Stats!$F$22="",Norm_Stats!$G$22="",Norm_Stats!$G$22=Norm_Stats!$F$22),"",MAX(0,MIN(100,100*(MIN(MAX(City_Inputs!$AI92,Norm_Stats!$F$22),Norm_Stats!$G$22)-Norm_Stats!$F$22)/(Norm_Stats!$G$22-Norm_Stats!$F$22)))))="",0,(IF(OR(City_Inputs!$AI92="",Norm_Stats!$F$22="",Norm_Stats!$G$22="",Norm_Stats!$G$22=Norm_Stats!$F$22),"",MAX(0,MIN(100,100*(MIN(MAX(City_Inputs!$AI92,Norm_Stats!$F$22),Norm_Stats!$G$22)-Norm_Stats!$F$22)/(Norm_Stats!$G$22-Norm_Stats!$F$22)))))*0.3)+IF((IF(OR(City_Inputs!$AJ92="",Norm_Stats!$F$23="",Norm_Stats!$G$23="",Norm_Stats!$G$23=Norm_Stats!$F$23),"",MAX(0,MIN(100,100*(MIN(MAX(City_Inputs!$AJ92,Norm_Stats!$F$23),Norm_Stats!$G$23)-Norm_Stats!$F$23)/(Norm_Stats!$G$23-Norm_Stats!$F$23)))))="",0,(IF(OR(City_Inputs!$AJ92="",Norm_Stats!$F$23="",Norm_Stats!$G$23="",Norm_Stats!$G$23=Norm_Stats!$F$23),"",MAX(0,MIN(100,100*(MIN(MAX(City_Inputs!$AJ92,Norm_Stats!$F$23),Norm_Stats!$G$23)-Norm_Stats!$F$23)/(Norm_Stats!$G$23-Norm_Stats!$F$23)))))*0.2))/(IF((IF(OR(City_Inputs!$AF92="",Norm_Stats!$F$21="",Norm_Stats!$G$21="",Norm_Stats!$G$21=Norm_Stats!$F$21),"",MAX(0,MIN(100,100*(MIN(MAX(City_Inputs!$AF92,Norm_Stats!$F$21),Norm_Stats!$G$21)-Norm_Stats!$F$21)/(Norm_Stats!$G$21-Norm_Stats!$F$21)))))="",0,0.5)+IF((IF(OR(City_Inputs!$AI92="",Norm_Stats!$F$22="",Norm_Stats!$G$22="",Norm_Stats!$G$22=Norm_Stats!$F$22),"",MAX(0,MIN(100,100*(MIN(MAX(City_Inputs!$AI92,Norm_Stats!$F$22),Norm_Stats!$G$22)-Norm_Stats!$F$22)/(Norm_Stats!$G$22-Norm_Stats!$F$22)))))="",0,0.3)+IF((IF(OR(City_Inputs!$AJ92="",Norm_Stats!$F$23="",Norm_Stats!$G$23="",Norm_Stats!$G$23=Norm_Stats!$F$23),"",MAX(0,MIN(100,100*(MIN(MAX(City_Inputs!$AJ92,Norm_Stats!$F$23),Norm_Stats!$G$23)-Norm_Stats!$F$23)/(Norm_Stats!$G$23-Norm_Stats!$F$23)))))="",0,0.2)))</f>
        <v/>
      </c>
      <c r="AZ92" s="14">
        <f>IF((IF((IF(OR(City_Inputs!$AF92="",Norm_Stats!$F$21="",Norm_Stats!$G$21="",Norm_Stats!$G$21=Norm_Stats!$F$21),"",MAX(0,MIN(100,100*(MIN(MAX(City_Inputs!$AF92,Norm_Stats!$F$21),Norm_Stats!$G$21)-Norm_Stats!$F$21)/(Norm_Stats!$G$21-Norm_Stats!$F$21)))))="",0,0.5)+IF((IF(OR(City_Inputs!$AI92="",Norm_Stats!$F$22="",Norm_Stats!$G$22="",Norm_Stats!$G$22=Norm_Stats!$F$22),"",MAX(0,MIN(100,100*(MIN(MAX(City_Inputs!$AI92,Norm_Stats!$F$22),Norm_Stats!$G$22)-Norm_Stats!$F$22)/(Norm_Stats!$G$22-Norm_Stats!$F$22)))))="",0,0.3)+IF((IF(OR(City_Inputs!$AJ92="",Norm_Stats!$F$23="",Norm_Stats!$G$23="",Norm_Stats!$G$23=Norm_Stats!$F$23),"",MAX(0,MIN(100,100*(MIN(MAX(City_Inputs!$AJ92,Norm_Stats!$F$23),Norm_Stats!$G$23)-Norm_Stats!$F$23)/(Norm_Stats!$G$23-Norm_Stats!$F$23)))))="",0,0.2))=0,"",(IF((IF(OR(City_Inputs!$AF92="",Norm_Stats!$F$21="",Norm_Stats!$G$21="",Norm_Stats!$G$21=Norm_Stats!$F$21),"",MAX(0,MIN(100,100*(MIN(MAX(City_Inputs!$AF92,Norm_Stats!$F$21),Norm_Stats!$G$21)-Norm_Stats!$F$21)/(Norm_Stats!$G$21-Norm_Stats!$F$21)))))="",0,0.5)+IF((IF(OR(City_Inputs!$AI92="",Norm_Stats!$F$22="",Norm_Stats!$G$22="",Norm_Stats!$G$22=Norm_Stats!$F$22),"",MAX(0,MIN(100,100*(MIN(MAX(City_Inputs!$AI92,Norm_Stats!$F$22),Norm_Stats!$G$22)-Norm_Stats!$F$22)/(Norm_Stats!$G$22-Norm_Stats!$F$22)))))="",0,0.3)+IF((IF(OR(City_Inputs!$AJ92="",Norm_Stats!$F$23="",Norm_Stats!$G$23="",Norm_Stats!$G$23=Norm_Stats!$F$23),"",MAX(0,MIN(100,100*(MIN(MAX(City_Inputs!$AJ92,Norm_Stats!$F$23),Norm_Stats!$G$23)-Norm_Stats!$F$23)/(Norm_Stats!$G$23-Norm_Stats!$F$23)))))="",0,0.2)))</f>
        <v/>
      </c>
      <c r="BA92" s="11">
        <f>IF(OR(City_Inputs!$AG92="",Norm_Stats!$F$24="",Norm_Stats!$G$24="",Norm_Stats!$G$24=Norm_Stats!$F$24),"",MAX(0,MIN(100,100*(Norm_Stats!$G$24-MIN(MAX(City_Inputs!$AG92,Norm_Stats!$F$24),Norm_Stats!$G$24))/(Norm_Stats!$G$24-Norm_Stats!$F$24))))</f>
        <v/>
      </c>
      <c r="BB92" s="14">
        <f>IF(BA92="","",1)</f>
        <v/>
      </c>
      <c r="BC92" s="15">
        <f>IF((IF(AU92="",0,6)+IF(AW92="",0,5)+IF(AY92="",0,5)+IF(BA92="",0,4))=0,"",(IF(AU92="",0,AU92*6)+IF(AW92="",0,AW92*5)+IF(AY92="",0,AY92*5)+IF(BA92="",0,BA92*4))/(IF(AU92="",0,6)+IF(AW92="",0,5)+IF(AY92="",0,5)+IF(BA92="",0,4)))</f>
        <v/>
      </c>
      <c r="BD92" s="14">
        <f>IF((IF(AV92="",0,6)+IF(AX92="",0,5)+IF(AZ92="",0,5)+IF(BB92="",0,4))=0,"",(IF(AV92="",0,AV92*6)+IF(AX92="",0,AX92*5)+IF(AZ92="",0,AZ92*5)+IF(BB92="",0,BB92*4))/20)</f>
        <v/>
      </c>
      <c r="BE92" s="14">
        <f>IF(AND(R92="",AD92="",AL92="",AT92="",BD92=""),"",((R92*25)+(AD92*22)+(AL92*18)+(AT92*15)+(BD92*20))/100)</f>
        <v/>
      </c>
      <c r="BF92" s="11">
        <f>IF(BE92="","",IF(BE92&gt;=0.75,"A",IF(BE92&gt;=0.5,"B",IF(BE92&gt;=0.35,"C","Watchlist"))))</f>
        <v/>
      </c>
      <c r="BG92" s="11">
        <f>IF(OR(BE92="",BE92&lt;0.5,R92="",R92&lt;0.35,AD92="",AD92&lt;0.35,AL92="",AL92&lt;0.35,AT92="",AT92&lt;0.35,BD92="",BD92&lt;0.35),"Watchlist","Ranked")</f>
        <v/>
      </c>
      <c r="BH92" s="15">
        <f>IF(AND(Q92="",AC92="",AK92="",AS92="",BC92=""),"",(IF(Q92="",0,Q92*25)+IF(AC92="",0,AC92*22)+IF(AK92="",0,AK92*18)+IF(AS92="",0,AS92*15)+IF(BC92="",0,BC92*20))/(IF(Q92="",0,25)+IF(AC92="",0,22)+IF(AK92="",0,18)+IF(AS92="",0,15)+IF(BC92="",0,20)))</f>
        <v/>
      </c>
      <c r="BI92" s="11">
        <f>IF(BG92="Ranked",1+COUNTIFS($BG$2:$BG$103,"Ranked",$BH$2:$BH$103,"&gt;"&amp;BH92),"")</f>
        <v/>
      </c>
      <c r="BJ92" s="11">
        <f>City_Inputs!$AH92</f>
        <v/>
      </c>
    </row>
    <row r="93">
      <c r="A93" t="inlineStr">
        <is>
          <t>sn-dakar</t>
        </is>
      </c>
      <c r="B93" t="inlineStr">
        <is>
          <t>Dakar</t>
        </is>
      </c>
      <c r="C93" t="inlineStr">
        <is>
          <t>Senegal</t>
        </is>
      </c>
      <c r="D93" t="inlineStr">
        <is>
          <t>Africa</t>
        </is>
      </c>
      <c r="E93" t="inlineStr">
        <is>
          <t>provisional</t>
        </is>
      </c>
      <c r="F93" t="inlineStr">
        <is>
          <t>secondary</t>
        </is>
      </c>
      <c r="G93" s="11">
        <f>IF(OR(City_Inputs!$M93="",Norm_Stats!$F$2="",Norm_Stats!$G$2="",Norm_Stats!$G$2=Norm_Stats!$F$2),"",MAX(0,MIN(100,100*(MIN(MAX(City_Inputs!$M93,Norm_Stats!$F$2),Norm_Stats!$G$2)-Norm_Stats!$F$2)/(Norm_Stats!$G$2-Norm_Stats!$F$2))))</f>
        <v/>
      </c>
      <c r="H93" s="14">
        <f>IF(G93="","",1)</f>
        <v/>
      </c>
      <c r="I93" s="11">
        <f>IF(OR(City_Inputs!$N93="",Norm_Stats!$F$3="",Norm_Stats!$G$3="",Norm_Stats!$G$3=Norm_Stats!$F$3),"",MAX(0,MIN(100,100*(Norm_Stats!$G$3-MIN(MAX(City_Inputs!$N93,Norm_Stats!$F$3),Norm_Stats!$G$3))/(Norm_Stats!$G$3-Norm_Stats!$F$3))))</f>
        <v/>
      </c>
      <c r="J93" s="14">
        <f>IF(I93="","",1)</f>
        <v/>
      </c>
      <c r="K93" s="11">
        <f>IF(OR(City_Inputs!$P93="",Norm_Stats!$F$4="",Norm_Stats!$G$4="",Norm_Stats!$G$4=Norm_Stats!$F$4),"",MAX(0,MIN(100,100*(Norm_Stats!$G$4-MIN(MAX(City_Inputs!$P93,Norm_Stats!$F$4),Norm_Stats!$G$4))/(Norm_Stats!$G$4-Norm_Stats!$F$4))))</f>
        <v/>
      </c>
      <c r="L93" s="14">
        <f>IF(K93="","",1)</f>
        <v/>
      </c>
      <c r="M93" s="11">
        <f>IF(OR(City_Inputs!$Q93="",Norm_Stats!$F$5="",Norm_Stats!$G$5="",Norm_Stats!$G$5=Norm_Stats!$F$5),"",MAX(0,MIN(100,100*(Norm_Stats!$G$5-MIN(MAX(City_Inputs!$Q93,Norm_Stats!$F$5),Norm_Stats!$G$5))/(Norm_Stats!$G$5-Norm_Stats!$F$5))))</f>
        <v/>
      </c>
      <c r="N93" s="14">
        <f>IF(M93="","",1)</f>
        <v/>
      </c>
      <c r="O93" s="11">
        <f>IF(OR(City_Inputs!$R93="",Norm_Stats!$F$6="",Norm_Stats!$G$6="",Norm_Stats!$G$6=Norm_Stats!$F$6),"",MAX(0,MIN(100,100*(Norm_Stats!$G$6-MIN(MAX(City_Inputs!$R93,Norm_Stats!$F$6),Norm_Stats!$G$6))/(Norm_Stats!$G$6-Norm_Stats!$F$6))))</f>
        <v/>
      </c>
      <c r="P93" s="14">
        <f>IF(O93="","",1)</f>
        <v/>
      </c>
      <c r="Q93" s="15">
        <f>IF((IF(G93="",0,9)+IF(I93="",0,5)+IF(K93="",0,4)+IF(M93="",0,4)+IF(O93="",0,3))=0,"",(IF(G93="",0,G93*9)+IF(I93="",0,I93*5)+IF(K93="",0,K93*4)+IF(M93="",0,M93*4)+IF(O93="",0,O93*3))/(IF(G93="",0,9)+IF(I93="",0,5)+IF(K93="",0,4)+IF(M93="",0,4)+IF(O93="",0,3)))</f>
        <v/>
      </c>
      <c r="R93" s="14">
        <f>IF((IF(H93="",0,9)+IF(J93="",0,5)+IF(L93="",0,4)+IF(N93="",0,4)+IF(P93="",0,3))=0,"",(IF(H93="",0,H93*9)+IF(J93="",0,J93*5)+IF(L93="",0,L93*4)+IF(N93="",0,N93*4)+IF(P93="",0,P93*3))/25)</f>
        <v/>
      </c>
      <c r="S93" s="11">
        <f>IF(OR(City_Inputs!$S93="",Norm_Stats!$F$7="",Norm_Stats!$G$7="",Norm_Stats!$G$7=Norm_Stats!$F$7),"",MAX(0,MIN(100,100*(Norm_Stats!$G$7-MIN(MAX(City_Inputs!$S93,Norm_Stats!$F$7),Norm_Stats!$G$7))/(Norm_Stats!$G$7-Norm_Stats!$F$7))))</f>
        <v/>
      </c>
      <c r="T93" s="14">
        <f>IF(S93="","",1)</f>
        <v/>
      </c>
      <c r="U93" s="11">
        <f>IF(OR(City_Inputs!$T93="",Norm_Stats!$F$8="",Norm_Stats!$G$8="",Norm_Stats!$G$8=Norm_Stats!$F$8),"",MAX(0,MIN(100,100*(MIN(MAX(City_Inputs!$T93,Norm_Stats!$F$8),Norm_Stats!$G$8)-Norm_Stats!$F$8)/(Norm_Stats!$G$8-Norm_Stats!$F$8))))</f>
        <v/>
      </c>
      <c r="V93" s="14">
        <f>IF(U93="","",1)</f>
        <v/>
      </c>
      <c r="W93" s="11">
        <f>IF(OR(City_Inputs!$U93="",Norm_Stats!$F$9="",Norm_Stats!$G$9="",Norm_Stats!$G$9=Norm_Stats!$F$9),"",MAX(0,MIN(100,100*(Norm_Stats!$G$9-MIN(MAX(City_Inputs!$U93,Norm_Stats!$F$9),Norm_Stats!$G$9))/(Norm_Stats!$G$9-Norm_Stats!$F$9))))</f>
        <v/>
      </c>
      <c r="X93" s="14">
        <f>IF(W93="","",1)</f>
        <v/>
      </c>
      <c r="Y93" s="11">
        <f>IF(OR(City_Inputs!$V93="",Norm_Stats!$F$10="",Norm_Stats!$G$10="",Norm_Stats!$G$10=Norm_Stats!$F$10),"",MAX(0,MIN(100,100*(MIN(MAX(City_Inputs!$V93,Norm_Stats!$F$10),Norm_Stats!$G$10)-Norm_Stats!$F$10)/(Norm_Stats!$G$10-Norm_Stats!$F$10))))</f>
        <v/>
      </c>
      <c r="Z93" s="14">
        <f>IF(Y93="","",1)</f>
        <v/>
      </c>
      <c r="AA93" s="11">
        <f>IF(OR(City_Inputs!$W93="",Norm_Stats!$F$11="",Norm_Stats!$G$11="",Norm_Stats!$G$11=Norm_Stats!$F$11),"",MAX(0,MIN(100,100*(MIN(MAX(City_Inputs!$W93,Norm_Stats!$F$11),Norm_Stats!$G$11)-Norm_Stats!$F$11)/(Norm_Stats!$G$11-Norm_Stats!$F$11))))</f>
        <v/>
      </c>
      <c r="AB93" s="14">
        <f>IF(AA93="","",1)</f>
        <v/>
      </c>
      <c r="AC93" s="15">
        <f>IF((IF(S93="",0,5)+IF(U93="",0,5)+IF(W93="",0,4)+IF(Y93="",0,4)+IF(AA93="",0,4))=0,"",(IF(S93="",0,S93*5)+IF(U93="",0,U93*5)+IF(W93="",0,W93*4)+IF(Y93="",0,Y93*4)+IF(AA93="",0,AA93*4))/(IF(S93="",0,5)+IF(U93="",0,5)+IF(W93="",0,4)+IF(Y93="",0,4)+IF(AA93="",0,4)))</f>
        <v/>
      </c>
      <c r="AD93" s="14">
        <f>IF((IF(T93="",0,5)+IF(V93="",0,5)+IF(X93="",0,4)+IF(Z93="",0,4)+IF(AB93="",0,4))=0,"",(IF(T93="",0,T93*5)+IF(V93="",0,V93*5)+IF(X93="",0,X93*4)+IF(Z93="",0,Z93*4)+IF(AB93="",0,AB93*4))/22)</f>
        <v/>
      </c>
      <c r="AE93" s="11">
        <f>IF(OR(City_Inputs!$X93="",Norm_Stats!$F$12="",Norm_Stats!$G$12="",Norm_Stats!$G$12=Norm_Stats!$F$12),"",MAX(0,MIN(100,100*(MIN(MAX(City_Inputs!$X93,Norm_Stats!$F$12),Norm_Stats!$G$12)-Norm_Stats!$F$12)/(Norm_Stats!$G$12-Norm_Stats!$F$12))))</f>
        <v/>
      </c>
      <c r="AF93" s="14">
        <f>IF(AE93="","",1)</f>
        <v/>
      </c>
      <c r="AG93" s="11">
        <f>IF(OR(City_Inputs!$Y93="",Norm_Stats!$F$13="",Norm_Stats!$G$13="",Norm_Stats!$G$13=Norm_Stats!$F$13),"",MAX(0,MIN(100,100*(MIN(MAX(City_Inputs!$Y93,Norm_Stats!$F$13),Norm_Stats!$G$13)-Norm_Stats!$F$13)/(Norm_Stats!$G$13-Norm_Stats!$F$13))))</f>
        <v/>
      </c>
      <c r="AH93" s="14">
        <f>IF(AG93="","",1)</f>
        <v/>
      </c>
      <c r="AI93" s="11">
        <f>IF((IF((IF(OR(City_Inputs!$Z93="",Norm_Stats!$F$14="",Norm_Stats!$G$14="",Norm_Stats!$G$14=Norm_Stats!$F$14),"",MAX(0,MIN(100,100*(MIN(MAX(City_Inputs!$Z93,Norm_Stats!$F$14),Norm_Stats!$G$14)-Norm_Stats!$F$14)/(Norm_Stats!$G$14-Norm_Stats!$F$14)))))="",0,0.7)+IF((IF(OR(City_Inputs!$AK93="",Norm_Stats!$F$15="",Norm_Stats!$G$15="",Norm_Stats!$G$15=Norm_Stats!$F$15),"",MAX(0,MIN(100,100*(Norm_Stats!$G$15-MIN(MAX(City_Inputs!$AK93,Norm_Stats!$F$15),Norm_Stats!$G$15))/(Norm_Stats!$G$15-Norm_Stats!$F$15)))))="",0,0.3))=0,"",(IF((IF(OR(City_Inputs!$Z93="",Norm_Stats!$F$14="",Norm_Stats!$G$14="",Norm_Stats!$G$14=Norm_Stats!$F$14),"",MAX(0,MIN(100,100*(MIN(MAX(City_Inputs!$Z93,Norm_Stats!$F$14),Norm_Stats!$G$14)-Norm_Stats!$F$14)/(Norm_Stats!$G$14-Norm_Stats!$F$14)))))="",0,(IF(OR(City_Inputs!$Z93="",Norm_Stats!$F$14="",Norm_Stats!$G$14="",Norm_Stats!$G$14=Norm_Stats!$F$14),"",MAX(0,MIN(100,100*(MIN(MAX(City_Inputs!$Z93,Norm_Stats!$F$14),Norm_Stats!$G$14)-Norm_Stats!$F$14)/(Norm_Stats!$G$14-Norm_Stats!$F$14)))))*0.7)+IF((IF(OR(City_Inputs!$AK93="",Norm_Stats!$F$15="",Norm_Stats!$G$15="",Norm_Stats!$G$15=Norm_Stats!$F$15),"",MAX(0,MIN(100,100*(Norm_Stats!$G$15-MIN(MAX(City_Inputs!$AK93,Norm_Stats!$F$15),Norm_Stats!$G$15))/(Norm_Stats!$G$15-Norm_Stats!$F$15)))))="",0,(IF(OR(City_Inputs!$AK93="",Norm_Stats!$F$15="",Norm_Stats!$G$15="",Norm_Stats!$G$15=Norm_Stats!$F$15),"",MAX(0,MIN(100,100*(Norm_Stats!$G$15-MIN(MAX(City_Inputs!$AK93,Norm_Stats!$F$15),Norm_Stats!$G$15))/(Norm_Stats!$G$15-Norm_Stats!$F$15)))))*0.3))/(IF((IF(OR(City_Inputs!$Z93="",Norm_Stats!$F$14="",Norm_Stats!$G$14="",Norm_Stats!$G$14=Norm_Stats!$F$14),"",MAX(0,MIN(100,100*(MIN(MAX(City_Inputs!$Z93,Norm_Stats!$F$14),Norm_Stats!$G$14)-Norm_Stats!$F$14)/(Norm_Stats!$G$14-Norm_Stats!$F$14)))))="",0,0.7)+IF((IF(OR(City_Inputs!$AK93="",Norm_Stats!$F$15="",Norm_Stats!$G$15="",Norm_Stats!$G$15=Norm_Stats!$F$15),"",MAX(0,MIN(100,100*(Norm_Stats!$G$15-MIN(MAX(City_Inputs!$AK93,Norm_Stats!$F$15),Norm_Stats!$G$15))/(Norm_Stats!$G$15-Norm_Stats!$F$15)))))="",0,0.3)))</f>
        <v/>
      </c>
      <c r="AJ93" s="14">
        <f>IF((IF((IF(OR(City_Inputs!$Z93="",Norm_Stats!$F$14="",Norm_Stats!$G$14="",Norm_Stats!$G$14=Norm_Stats!$F$14),"",MAX(0,MIN(100,100*(MIN(MAX(City_Inputs!$Z93,Norm_Stats!$F$14),Norm_Stats!$G$14)-Norm_Stats!$F$14)/(Norm_Stats!$G$14-Norm_Stats!$F$14)))))="",0,0.7)+IF((IF(OR(City_Inputs!$AK93="",Norm_Stats!$F$15="",Norm_Stats!$G$15="",Norm_Stats!$G$15=Norm_Stats!$F$15),"",MAX(0,MIN(100,100*(Norm_Stats!$G$15-MIN(MAX(City_Inputs!$AK93,Norm_Stats!$F$15),Norm_Stats!$G$15))/(Norm_Stats!$G$15-Norm_Stats!$F$15)))))="",0,0.3))=0,"",(IF((IF(OR(City_Inputs!$Z93="",Norm_Stats!$F$14="",Norm_Stats!$G$14="",Norm_Stats!$G$14=Norm_Stats!$F$14),"",MAX(0,MIN(100,100*(MIN(MAX(City_Inputs!$Z93,Norm_Stats!$F$14),Norm_Stats!$G$14)-Norm_Stats!$F$14)/(Norm_Stats!$G$14-Norm_Stats!$F$14)))))="",0,0.7)+IF((IF(OR(City_Inputs!$AK93="",Norm_Stats!$F$15="",Norm_Stats!$G$15="",Norm_Stats!$G$15=Norm_Stats!$F$15),"",MAX(0,MIN(100,100*(Norm_Stats!$G$15-MIN(MAX(City_Inputs!$AK93,Norm_Stats!$F$15),Norm_Stats!$G$15))/(Norm_Stats!$G$15-Norm_Stats!$F$15)))))="",0,0.3)))</f>
        <v/>
      </c>
      <c r="AK93" s="15">
        <f>IF((IF(AE93="",0,8)+IF(AG93="",0,6)+IF(AI93="",0,4))=0,"",(IF(AE93="",0,AE93*8)+IF(AG93="",0,AG93*6)+IF(AI93="",0,AI93*4))/(IF(AE93="",0,8)+IF(AG93="",0,6)+IF(AI93="",0,4)))</f>
        <v/>
      </c>
      <c r="AL93" s="14">
        <f>IF((IF(AF93="",0,8)+IF(AH93="",0,6)+IF(AJ93="",0,4))=0,"",(IF(AF93="",0,AF93*8)+IF(AH93="",0,AH93*6)+IF(AJ93="",0,AJ93*4))/18)</f>
        <v/>
      </c>
      <c r="AM93" s="11">
        <f>IF(OR(City_Inputs!$AA93="",Norm_Stats!$F$16="",Norm_Stats!$G$16="",Norm_Stats!$G$16=Norm_Stats!$F$16),"",MAX(0,MIN(100,100*(MIN(MAX(City_Inputs!$AA93,Norm_Stats!$F$16),Norm_Stats!$G$16)-Norm_Stats!$F$16)/(Norm_Stats!$G$16-Norm_Stats!$F$16))))</f>
        <v/>
      </c>
      <c r="AN93" s="14">
        <f>IF(AM93="","",1)</f>
        <v/>
      </c>
      <c r="AO93" s="11">
        <f>IF(OR(City_Inputs!$AB93="",Norm_Stats!$F$17="",Norm_Stats!$G$17="",Norm_Stats!$G$17=Norm_Stats!$F$17),"",MAX(0,MIN(100,100*(MIN(MAX(City_Inputs!$AB93,Norm_Stats!$F$17),Norm_Stats!$G$17)-Norm_Stats!$F$17)/(Norm_Stats!$G$17-Norm_Stats!$F$17))))</f>
        <v/>
      </c>
      <c r="AP93" s="14">
        <f>IF(AO93="","",1)</f>
        <v/>
      </c>
      <c r="AQ93" s="11">
        <f>IF(OR(City_Inputs!$AC93="",Norm_Stats!$F$18="",Norm_Stats!$G$18="",Norm_Stats!$G$18=Norm_Stats!$F$18),"",MAX(0,MIN(100,100*(MIN(MAX(City_Inputs!$AC93,Norm_Stats!$F$18),Norm_Stats!$G$18)-Norm_Stats!$F$18)/(Norm_Stats!$G$18-Norm_Stats!$F$18))))</f>
        <v/>
      </c>
      <c r="AR93" s="14">
        <f>IF(AQ93="","",1)</f>
        <v/>
      </c>
      <c r="AS93" s="15">
        <f>IF((IF(AM93="",0,5)+IF(AO93="",0,5)+IF(AQ93="",0,5))=0,"",(IF(AM93="",0,AM93*5)+IF(AO93="",0,AO93*5)+IF(AQ93="",0,AQ93*5))/(IF(AM93="",0,5)+IF(AO93="",0,5)+IF(AQ93="",0,5)))</f>
        <v/>
      </c>
      <c r="AT93" s="14">
        <f>IF((IF(AN93="",0,5)+IF(AP93="",0,5)+IF(AR93="",0,5))=0,"",(IF(AN93="",0,AN93*5)+IF(AP93="",0,AP93*5)+IF(AR93="",0,AR93*5))/15)</f>
        <v/>
      </c>
      <c r="AU93" s="11">
        <f>IF(OR(City_Inputs!$AD93="",Norm_Stats!$F$19="",Norm_Stats!$G$19="",Norm_Stats!$G$19=Norm_Stats!$F$19),"",MAX(0,MIN(100,100*(MIN(MAX(City_Inputs!$AD93,Norm_Stats!$F$19),Norm_Stats!$G$19)-Norm_Stats!$F$19)/(Norm_Stats!$G$19-Norm_Stats!$F$19))))</f>
        <v/>
      </c>
      <c r="AV93" s="14">
        <f>IF(AU93="","",1)</f>
        <v/>
      </c>
      <c r="AW93" s="11">
        <f>IF(OR(City_Inputs!$AE93="",Norm_Stats!$F$20="",Norm_Stats!$G$20="",Norm_Stats!$G$20=Norm_Stats!$F$20),"",MAX(0,MIN(100,100*(MIN(MAX(City_Inputs!$AE93,Norm_Stats!$F$20),Norm_Stats!$G$20)-Norm_Stats!$F$20)/(Norm_Stats!$G$20-Norm_Stats!$F$20))))</f>
        <v/>
      </c>
      <c r="AX93" s="14">
        <f>IF(AW93="","",1)</f>
        <v/>
      </c>
      <c r="AY93" s="11">
        <f>IF((IF((IF(OR(City_Inputs!$AF93="",Norm_Stats!$F$21="",Norm_Stats!$G$21="",Norm_Stats!$G$21=Norm_Stats!$F$21),"",MAX(0,MIN(100,100*(MIN(MAX(City_Inputs!$AF93,Norm_Stats!$F$21),Norm_Stats!$G$21)-Norm_Stats!$F$21)/(Norm_Stats!$G$21-Norm_Stats!$F$21)))))="",0,0.5)+IF((IF(OR(City_Inputs!$AI93="",Norm_Stats!$F$22="",Norm_Stats!$G$22="",Norm_Stats!$G$22=Norm_Stats!$F$22),"",MAX(0,MIN(100,100*(MIN(MAX(City_Inputs!$AI93,Norm_Stats!$F$22),Norm_Stats!$G$22)-Norm_Stats!$F$22)/(Norm_Stats!$G$22-Norm_Stats!$F$22)))))="",0,0.3)+IF((IF(OR(City_Inputs!$AJ93="",Norm_Stats!$F$23="",Norm_Stats!$G$23="",Norm_Stats!$G$23=Norm_Stats!$F$23),"",MAX(0,MIN(100,100*(MIN(MAX(City_Inputs!$AJ93,Norm_Stats!$F$23),Norm_Stats!$G$23)-Norm_Stats!$F$23)/(Norm_Stats!$G$23-Norm_Stats!$F$23)))))="",0,0.2))=0,"",(IF((IF(OR(City_Inputs!$AF93="",Norm_Stats!$F$21="",Norm_Stats!$G$21="",Norm_Stats!$G$21=Norm_Stats!$F$21),"",MAX(0,MIN(100,100*(MIN(MAX(City_Inputs!$AF93,Norm_Stats!$F$21),Norm_Stats!$G$21)-Norm_Stats!$F$21)/(Norm_Stats!$G$21-Norm_Stats!$F$21)))))="",0,(IF(OR(City_Inputs!$AF93="",Norm_Stats!$F$21="",Norm_Stats!$G$21="",Norm_Stats!$G$21=Norm_Stats!$F$21),"",MAX(0,MIN(100,100*(MIN(MAX(City_Inputs!$AF93,Norm_Stats!$F$21),Norm_Stats!$G$21)-Norm_Stats!$F$21)/(Norm_Stats!$G$21-Norm_Stats!$F$21)))))*0.5)+IF((IF(OR(City_Inputs!$AI93="",Norm_Stats!$F$22="",Norm_Stats!$G$22="",Norm_Stats!$G$22=Norm_Stats!$F$22),"",MAX(0,MIN(100,100*(MIN(MAX(City_Inputs!$AI93,Norm_Stats!$F$22),Norm_Stats!$G$22)-Norm_Stats!$F$22)/(Norm_Stats!$G$22-Norm_Stats!$F$22)))))="",0,(IF(OR(City_Inputs!$AI93="",Norm_Stats!$F$22="",Norm_Stats!$G$22="",Norm_Stats!$G$22=Norm_Stats!$F$22),"",MAX(0,MIN(100,100*(MIN(MAX(City_Inputs!$AI93,Norm_Stats!$F$22),Norm_Stats!$G$22)-Norm_Stats!$F$22)/(Norm_Stats!$G$22-Norm_Stats!$F$22)))))*0.3)+IF((IF(OR(City_Inputs!$AJ93="",Norm_Stats!$F$23="",Norm_Stats!$G$23="",Norm_Stats!$G$23=Norm_Stats!$F$23),"",MAX(0,MIN(100,100*(MIN(MAX(City_Inputs!$AJ93,Norm_Stats!$F$23),Norm_Stats!$G$23)-Norm_Stats!$F$23)/(Norm_Stats!$G$23-Norm_Stats!$F$23)))))="",0,(IF(OR(City_Inputs!$AJ93="",Norm_Stats!$F$23="",Norm_Stats!$G$23="",Norm_Stats!$G$23=Norm_Stats!$F$23),"",MAX(0,MIN(100,100*(MIN(MAX(City_Inputs!$AJ93,Norm_Stats!$F$23),Norm_Stats!$G$23)-Norm_Stats!$F$23)/(Norm_Stats!$G$23-Norm_Stats!$F$23)))))*0.2))/(IF((IF(OR(City_Inputs!$AF93="",Norm_Stats!$F$21="",Norm_Stats!$G$21="",Norm_Stats!$G$21=Norm_Stats!$F$21),"",MAX(0,MIN(100,100*(MIN(MAX(City_Inputs!$AF93,Norm_Stats!$F$21),Norm_Stats!$G$21)-Norm_Stats!$F$21)/(Norm_Stats!$G$21-Norm_Stats!$F$21)))))="",0,0.5)+IF((IF(OR(City_Inputs!$AI93="",Norm_Stats!$F$22="",Norm_Stats!$G$22="",Norm_Stats!$G$22=Norm_Stats!$F$22),"",MAX(0,MIN(100,100*(MIN(MAX(City_Inputs!$AI93,Norm_Stats!$F$22),Norm_Stats!$G$22)-Norm_Stats!$F$22)/(Norm_Stats!$G$22-Norm_Stats!$F$22)))))="",0,0.3)+IF((IF(OR(City_Inputs!$AJ93="",Norm_Stats!$F$23="",Norm_Stats!$G$23="",Norm_Stats!$G$23=Norm_Stats!$F$23),"",MAX(0,MIN(100,100*(MIN(MAX(City_Inputs!$AJ93,Norm_Stats!$F$23),Norm_Stats!$G$23)-Norm_Stats!$F$23)/(Norm_Stats!$G$23-Norm_Stats!$F$23)))))="",0,0.2)))</f>
        <v/>
      </c>
      <c r="AZ93" s="14">
        <f>IF((IF((IF(OR(City_Inputs!$AF93="",Norm_Stats!$F$21="",Norm_Stats!$G$21="",Norm_Stats!$G$21=Norm_Stats!$F$21),"",MAX(0,MIN(100,100*(MIN(MAX(City_Inputs!$AF93,Norm_Stats!$F$21),Norm_Stats!$G$21)-Norm_Stats!$F$21)/(Norm_Stats!$G$21-Norm_Stats!$F$21)))))="",0,0.5)+IF((IF(OR(City_Inputs!$AI93="",Norm_Stats!$F$22="",Norm_Stats!$G$22="",Norm_Stats!$G$22=Norm_Stats!$F$22),"",MAX(0,MIN(100,100*(MIN(MAX(City_Inputs!$AI93,Norm_Stats!$F$22),Norm_Stats!$G$22)-Norm_Stats!$F$22)/(Norm_Stats!$G$22-Norm_Stats!$F$22)))))="",0,0.3)+IF((IF(OR(City_Inputs!$AJ93="",Norm_Stats!$F$23="",Norm_Stats!$G$23="",Norm_Stats!$G$23=Norm_Stats!$F$23),"",MAX(0,MIN(100,100*(MIN(MAX(City_Inputs!$AJ93,Norm_Stats!$F$23),Norm_Stats!$G$23)-Norm_Stats!$F$23)/(Norm_Stats!$G$23-Norm_Stats!$F$23)))))="",0,0.2))=0,"",(IF((IF(OR(City_Inputs!$AF93="",Norm_Stats!$F$21="",Norm_Stats!$G$21="",Norm_Stats!$G$21=Norm_Stats!$F$21),"",MAX(0,MIN(100,100*(MIN(MAX(City_Inputs!$AF93,Norm_Stats!$F$21),Norm_Stats!$G$21)-Norm_Stats!$F$21)/(Norm_Stats!$G$21-Norm_Stats!$F$21)))))="",0,0.5)+IF((IF(OR(City_Inputs!$AI93="",Norm_Stats!$F$22="",Norm_Stats!$G$22="",Norm_Stats!$G$22=Norm_Stats!$F$22),"",MAX(0,MIN(100,100*(MIN(MAX(City_Inputs!$AI93,Norm_Stats!$F$22),Norm_Stats!$G$22)-Norm_Stats!$F$22)/(Norm_Stats!$G$22-Norm_Stats!$F$22)))))="",0,0.3)+IF((IF(OR(City_Inputs!$AJ93="",Norm_Stats!$F$23="",Norm_Stats!$G$23="",Norm_Stats!$G$23=Norm_Stats!$F$23),"",MAX(0,MIN(100,100*(MIN(MAX(City_Inputs!$AJ93,Norm_Stats!$F$23),Norm_Stats!$G$23)-Norm_Stats!$F$23)/(Norm_Stats!$G$23-Norm_Stats!$F$23)))))="",0,0.2)))</f>
        <v/>
      </c>
      <c r="BA93" s="11">
        <f>IF(OR(City_Inputs!$AG93="",Norm_Stats!$F$24="",Norm_Stats!$G$24="",Norm_Stats!$G$24=Norm_Stats!$F$24),"",MAX(0,MIN(100,100*(Norm_Stats!$G$24-MIN(MAX(City_Inputs!$AG93,Norm_Stats!$F$24),Norm_Stats!$G$24))/(Norm_Stats!$G$24-Norm_Stats!$F$24))))</f>
        <v/>
      </c>
      <c r="BB93" s="14">
        <f>IF(BA93="","",1)</f>
        <v/>
      </c>
      <c r="BC93" s="15">
        <f>IF((IF(AU93="",0,6)+IF(AW93="",0,5)+IF(AY93="",0,5)+IF(BA93="",0,4))=0,"",(IF(AU93="",0,AU93*6)+IF(AW93="",0,AW93*5)+IF(AY93="",0,AY93*5)+IF(BA93="",0,BA93*4))/(IF(AU93="",0,6)+IF(AW93="",0,5)+IF(AY93="",0,5)+IF(BA93="",0,4)))</f>
        <v/>
      </c>
      <c r="BD93" s="14">
        <f>IF((IF(AV93="",0,6)+IF(AX93="",0,5)+IF(AZ93="",0,5)+IF(BB93="",0,4))=0,"",(IF(AV93="",0,AV93*6)+IF(AX93="",0,AX93*5)+IF(AZ93="",0,AZ93*5)+IF(BB93="",0,BB93*4))/20)</f>
        <v/>
      </c>
      <c r="BE93" s="14">
        <f>IF(AND(R93="",AD93="",AL93="",AT93="",BD93=""),"",((R93*25)+(AD93*22)+(AL93*18)+(AT93*15)+(BD93*20))/100)</f>
        <v/>
      </c>
      <c r="BF93" s="11">
        <f>IF(BE93="","",IF(BE93&gt;=0.75,"A",IF(BE93&gt;=0.5,"B",IF(BE93&gt;=0.35,"C","Watchlist"))))</f>
        <v/>
      </c>
      <c r="BG93" s="11">
        <f>IF(OR(BE93="",BE93&lt;0.5,R93="",R93&lt;0.35,AD93="",AD93&lt;0.35,AL93="",AL93&lt;0.35,AT93="",AT93&lt;0.35,BD93="",BD93&lt;0.35),"Watchlist","Ranked")</f>
        <v/>
      </c>
      <c r="BH93" s="15">
        <f>IF(AND(Q93="",AC93="",AK93="",AS93="",BC93=""),"",(IF(Q93="",0,Q93*25)+IF(AC93="",0,AC93*22)+IF(AK93="",0,AK93*18)+IF(AS93="",0,AS93*15)+IF(BC93="",0,BC93*20))/(IF(Q93="",0,25)+IF(AC93="",0,22)+IF(AK93="",0,18)+IF(AS93="",0,15)+IF(BC93="",0,20)))</f>
        <v/>
      </c>
      <c r="BI93" s="11">
        <f>IF(BG93="Ranked",1+COUNTIFS($BG$2:$BG$103,"Ranked",$BH$2:$BH$103,"&gt;"&amp;BH93),"")</f>
        <v/>
      </c>
      <c r="BJ93" s="11">
        <f>City_Inputs!$AH93</f>
        <v/>
      </c>
    </row>
    <row r="94">
      <c r="A94" t="inlineStr">
        <is>
          <t>nz-auckland</t>
        </is>
      </c>
      <c r="B94" t="inlineStr">
        <is>
          <t>Auckland</t>
        </is>
      </c>
      <c r="C94" t="inlineStr">
        <is>
          <t>New Zealand</t>
        </is>
      </c>
      <c r="D94" t="inlineStr">
        <is>
          <t>Oceania</t>
        </is>
      </c>
      <c r="E94" t="inlineStr">
        <is>
          <t>locked</t>
        </is>
      </c>
      <c r="F94" t="inlineStr">
        <is>
          <t>primary</t>
        </is>
      </c>
      <c r="G94" s="11">
        <f>IF(OR(City_Inputs!$M94="",Norm_Stats!$F$2="",Norm_Stats!$G$2="",Norm_Stats!$G$2=Norm_Stats!$F$2),"",MAX(0,MIN(100,100*(MIN(MAX(City_Inputs!$M94,Norm_Stats!$F$2),Norm_Stats!$G$2)-Norm_Stats!$F$2)/(Norm_Stats!$G$2-Norm_Stats!$F$2))))</f>
        <v/>
      </c>
      <c r="H94" s="14">
        <f>IF(G94="","",1)</f>
        <v/>
      </c>
      <c r="I94" s="11">
        <f>IF(OR(City_Inputs!$N94="",Norm_Stats!$F$3="",Norm_Stats!$G$3="",Norm_Stats!$G$3=Norm_Stats!$F$3),"",MAX(0,MIN(100,100*(Norm_Stats!$G$3-MIN(MAX(City_Inputs!$N94,Norm_Stats!$F$3),Norm_Stats!$G$3))/(Norm_Stats!$G$3-Norm_Stats!$F$3))))</f>
        <v/>
      </c>
      <c r="J94" s="14">
        <f>IF(I94="","",1)</f>
        <v/>
      </c>
      <c r="K94" s="11">
        <f>IF(OR(City_Inputs!$P94="",Norm_Stats!$F$4="",Norm_Stats!$G$4="",Norm_Stats!$G$4=Norm_Stats!$F$4),"",MAX(0,MIN(100,100*(Norm_Stats!$G$4-MIN(MAX(City_Inputs!$P94,Norm_Stats!$F$4),Norm_Stats!$G$4))/(Norm_Stats!$G$4-Norm_Stats!$F$4))))</f>
        <v/>
      </c>
      <c r="L94" s="14">
        <f>IF(K94="","",1)</f>
        <v/>
      </c>
      <c r="M94" s="11">
        <f>IF(OR(City_Inputs!$Q94="",Norm_Stats!$F$5="",Norm_Stats!$G$5="",Norm_Stats!$G$5=Norm_Stats!$F$5),"",MAX(0,MIN(100,100*(Norm_Stats!$G$5-MIN(MAX(City_Inputs!$Q94,Norm_Stats!$F$5),Norm_Stats!$G$5))/(Norm_Stats!$G$5-Norm_Stats!$F$5))))</f>
        <v/>
      </c>
      <c r="N94" s="14">
        <f>IF(M94="","",1)</f>
        <v/>
      </c>
      <c r="O94" s="11">
        <f>IF(OR(City_Inputs!$R94="",Norm_Stats!$F$6="",Norm_Stats!$G$6="",Norm_Stats!$G$6=Norm_Stats!$F$6),"",MAX(0,MIN(100,100*(Norm_Stats!$G$6-MIN(MAX(City_Inputs!$R94,Norm_Stats!$F$6),Norm_Stats!$G$6))/(Norm_Stats!$G$6-Norm_Stats!$F$6))))</f>
        <v/>
      </c>
      <c r="P94" s="14">
        <f>IF(O94="","",1)</f>
        <v/>
      </c>
      <c r="Q94" s="15">
        <f>IF((IF(G94="",0,9)+IF(I94="",0,5)+IF(K94="",0,4)+IF(M94="",0,4)+IF(O94="",0,3))=0,"",(IF(G94="",0,G94*9)+IF(I94="",0,I94*5)+IF(K94="",0,K94*4)+IF(M94="",0,M94*4)+IF(O94="",0,O94*3))/(IF(G94="",0,9)+IF(I94="",0,5)+IF(K94="",0,4)+IF(M94="",0,4)+IF(O94="",0,3)))</f>
        <v/>
      </c>
      <c r="R94" s="14">
        <f>IF((IF(H94="",0,9)+IF(J94="",0,5)+IF(L94="",0,4)+IF(N94="",0,4)+IF(P94="",0,3))=0,"",(IF(H94="",0,H94*9)+IF(J94="",0,J94*5)+IF(L94="",0,L94*4)+IF(N94="",0,N94*4)+IF(P94="",0,P94*3))/25)</f>
        <v/>
      </c>
      <c r="S94" s="11">
        <f>IF(OR(City_Inputs!$S94="",Norm_Stats!$F$7="",Norm_Stats!$G$7="",Norm_Stats!$G$7=Norm_Stats!$F$7),"",MAX(0,MIN(100,100*(Norm_Stats!$G$7-MIN(MAX(City_Inputs!$S94,Norm_Stats!$F$7),Norm_Stats!$G$7))/(Norm_Stats!$G$7-Norm_Stats!$F$7))))</f>
        <v/>
      </c>
      <c r="T94" s="14">
        <f>IF(S94="","",1)</f>
        <v/>
      </c>
      <c r="U94" s="11">
        <f>IF(OR(City_Inputs!$T94="",Norm_Stats!$F$8="",Norm_Stats!$G$8="",Norm_Stats!$G$8=Norm_Stats!$F$8),"",MAX(0,MIN(100,100*(MIN(MAX(City_Inputs!$T94,Norm_Stats!$F$8),Norm_Stats!$G$8)-Norm_Stats!$F$8)/(Norm_Stats!$G$8-Norm_Stats!$F$8))))</f>
        <v/>
      </c>
      <c r="V94" s="14">
        <f>IF(U94="","",1)</f>
        <v/>
      </c>
      <c r="W94" s="11">
        <f>IF(OR(City_Inputs!$U94="",Norm_Stats!$F$9="",Norm_Stats!$G$9="",Norm_Stats!$G$9=Norm_Stats!$F$9),"",MAX(0,MIN(100,100*(Norm_Stats!$G$9-MIN(MAX(City_Inputs!$U94,Norm_Stats!$F$9),Norm_Stats!$G$9))/(Norm_Stats!$G$9-Norm_Stats!$F$9))))</f>
        <v/>
      </c>
      <c r="X94" s="14">
        <f>IF(W94="","",1)</f>
        <v/>
      </c>
      <c r="Y94" s="11">
        <f>IF(OR(City_Inputs!$V94="",Norm_Stats!$F$10="",Norm_Stats!$G$10="",Norm_Stats!$G$10=Norm_Stats!$F$10),"",MAX(0,MIN(100,100*(MIN(MAX(City_Inputs!$V94,Norm_Stats!$F$10),Norm_Stats!$G$10)-Norm_Stats!$F$10)/(Norm_Stats!$G$10-Norm_Stats!$F$10))))</f>
        <v/>
      </c>
      <c r="Z94" s="14">
        <f>IF(Y94="","",1)</f>
        <v/>
      </c>
      <c r="AA94" s="11">
        <f>IF(OR(City_Inputs!$W94="",Norm_Stats!$F$11="",Norm_Stats!$G$11="",Norm_Stats!$G$11=Norm_Stats!$F$11),"",MAX(0,MIN(100,100*(MIN(MAX(City_Inputs!$W94,Norm_Stats!$F$11),Norm_Stats!$G$11)-Norm_Stats!$F$11)/(Norm_Stats!$G$11-Norm_Stats!$F$11))))</f>
        <v/>
      </c>
      <c r="AB94" s="14">
        <f>IF(AA94="","",1)</f>
        <v/>
      </c>
      <c r="AC94" s="15">
        <f>IF((IF(S94="",0,5)+IF(U94="",0,5)+IF(W94="",0,4)+IF(Y94="",0,4)+IF(AA94="",0,4))=0,"",(IF(S94="",0,S94*5)+IF(U94="",0,U94*5)+IF(W94="",0,W94*4)+IF(Y94="",0,Y94*4)+IF(AA94="",0,AA94*4))/(IF(S94="",0,5)+IF(U94="",0,5)+IF(W94="",0,4)+IF(Y94="",0,4)+IF(AA94="",0,4)))</f>
        <v/>
      </c>
      <c r="AD94" s="14">
        <f>IF((IF(T94="",0,5)+IF(V94="",0,5)+IF(X94="",0,4)+IF(Z94="",0,4)+IF(AB94="",0,4))=0,"",(IF(T94="",0,T94*5)+IF(V94="",0,V94*5)+IF(X94="",0,X94*4)+IF(Z94="",0,Z94*4)+IF(AB94="",0,AB94*4))/22)</f>
        <v/>
      </c>
      <c r="AE94" s="11">
        <f>IF(OR(City_Inputs!$X94="",Norm_Stats!$F$12="",Norm_Stats!$G$12="",Norm_Stats!$G$12=Norm_Stats!$F$12),"",MAX(0,MIN(100,100*(MIN(MAX(City_Inputs!$X94,Norm_Stats!$F$12),Norm_Stats!$G$12)-Norm_Stats!$F$12)/(Norm_Stats!$G$12-Norm_Stats!$F$12))))</f>
        <v/>
      </c>
      <c r="AF94" s="14">
        <f>IF(AE94="","",1)</f>
        <v/>
      </c>
      <c r="AG94" s="11">
        <f>IF(OR(City_Inputs!$Y94="",Norm_Stats!$F$13="",Norm_Stats!$G$13="",Norm_Stats!$G$13=Norm_Stats!$F$13),"",MAX(0,MIN(100,100*(MIN(MAX(City_Inputs!$Y94,Norm_Stats!$F$13),Norm_Stats!$G$13)-Norm_Stats!$F$13)/(Norm_Stats!$G$13-Norm_Stats!$F$13))))</f>
        <v/>
      </c>
      <c r="AH94" s="14">
        <f>IF(AG94="","",1)</f>
        <v/>
      </c>
      <c r="AI94" s="11">
        <f>IF((IF((IF(OR(City_Inputs!$Z94="",Norm_Stats!$F$14="",Norm_Stats!$G$14="",Norm_Stats!$G$14=Norm_Stats!$F$14),"",MAX(0,MIN(100,100*(MIN(MAX(City_Inputs!$Z94,Norm_Stats!$F$14),Norm_Stats!$G$14)-Norm_Stats!$F$14)/(Norm_Stats!$G$14-Norm_Stats!$F$14)))))="",0,0.7)+IF((IF(OR(City_Inputs!$AK94="",Norm_Stats!$F$15="",Norm_Stats!$G$15="",Norm_Stats!$G$15=Norm_Stats!$F$15),"",MAX(0,MIN(100,100*(Norm_Stats!$G$15-MIN(MAX(City_Inputs!$AK94,Norm_Stats!$F$15),Norm_Stats!$G$15))/(Norm_Stats!$G$15-Norm_Stats!$F$15)))))="",0,0.3))=0,"",(IF((IF(OR(City_Inputs!$Z94="",Norm_Stats!$F$14="",Norm_Stats!$G$14="",Norm_Stats!$G$14=Norm_Stats!$F$14),"",MAX(0,MIN(100,100*(MIN(MAX(City_Inputs!$Z94,Norm_Stats!$F$14),Norm_Stats!$G$14)-Norm_Stats!$F$14)/(Norm_Stats!$G$14-Norm_Stats!$F$14)))))="",0,(IF(OR(City_Inputs!$Z94="",Norm_Stats!$F$14="",Norm_Stats!$G$14="",Norm_Stats!$G$14=Norm_Stats!$F$14),"",MAX(0,MIN(100,100*(MIN(MAX(City_Inputs!$Z94,Norm_Stats!$F$14),Norm_Stats!$G$14)-Norm_Stats!$F$14)/(Norm_Stats!$G$14-Norm_Stats!$F$14)))))*0.7)+IF((IF(OR(City_Inputs!$AK94="",Norm_Stats!$F$15="",Norm_Stats!$G$15="",Norm_Stats!$G$15=Norm_Stats!$F$15),"",MAX(0,MIN(100,100*(Norm_Stats!$G$15-MIN(MAX(City_Inputs!$AK94,Norm_Stats!$F$15),Norm_Stats!$G$15))/(Norm_Stats!$G$15-Norm_Stats!$F$15)))))="",0,(IF(OR(City_Inputs!$AK94="",Norm_Stats!$F$15="",Norm_Stats!$G$15="",Norm_Stats!$G$15=Norm_Stats!$F$15),"",MAX(0,MIN(100,100*(Norm_Stats!$G$15-MIN(MAX(City_Inputs!$AK94,Norm_Stats!$F$15),Norm_Stats!$G$15))/(Norm_Stats!$G$15-Norm_Stats!$F$15)))))*0.3))/(IF((IF(OR(City_Inputs!$Z94="",Norm_Stats!$F$14="",Norm_Stats!$G$14="",Norm_Stats!$G$14=Norm_Stats!$F$14),"",MAX(0,MIN(100,100*(MIN(MAX(City_Inputs!$Z94,Norm_Stats!$F$14),Norm_Stats!$G$14)-Norm_Stats!$F$14)/(Norm_Stats!$G$14-Norm_Stats!$F$14)))))="",0,0.7)+IF((IF(OR(City_Inputs!$AK94="",Norm_Stats!$F$15="",Norm_Stats!$G$15="",Norm_Stats!$G$15=Norm_Stats!$F$15),"",MAX(0,MIN(100,100*(Norm_Stats!$G$15-MIN(MAX(City_Inputs!$AK94,Norm_Stats!$F$15),Norm_Stats!$G$15))/(Norm_Stats!$G$15-Norm_Stats!$F$15)))))="",0,0.3)))</f>
        <v/>
      </c>
      <c r="AJ94" s="14">
        <f>IF((IF((IF(OR(City_Inputs!$Z94="",Norm_Stats!$F$14="",Norm_Stats!$G$14="",Norm_Stats!$G$14=Norm_Stats!$F$14),"",MAX(0,MIN(100,100*(MIN(MAX(City_Inputs!$Z94,Norm_Stats!$F$14),Norm_Stats!$G$14)-Norm_Stats!$F$14)/(Norm_Stats!$G$14-Norm_Stats!$F$14)))))="",0,0.7)+IF((IF(OR(City_Inputs!$AK94="",Norm_Stats!$F$15="",Norm_Stats!$G$15="",Norm_Stats!$G$15=Norm_Stats!$F$15),"",MAX(0,MIN(100,100*(Norm_Stats!$G$15-MIN(MAX(City_Inputs!$AK94,Norm_Stats!$F$15),Norm_Stats!$G$15))/(Norm_Stats!$G$15-Norm_Stats!$F$15)))))="",0,0.3))=0,"",(IF((IF(OR(City_Inputs!$Z94="",Norm_Stats!$F$14="",Norm_Stats!$G$14="",Norm_Stats!$G$14=Norm_Stats!$F$14),"",MAX(0,MIN(100,100*(MIN(MAX(City_Inputs!$Z94,Norm_Stats!$F$14),Norm_Stats!$G$14)-Norm_Stats!$F$14)/(Norm_Stats!$G$14-Norm_Stats!$F$14)))))="",0,0.7)+IF((IF(OR(City_Inputs!$AK94="",Norm_Stats!$F$15="",Norm_Stats!$G$15="",Norm_Stats!$G$15=Norm_Stats!$F$15),"",MAX(0,MIN(100,100*(Norm_Stats!$G$15-MIN(MAX(City_Inputs!$AK94,Norm_Stats!$F$15),Norm_Stats!$G$15))/(Norm_Stats!$G$15-Norm_Stats!$F$15)))))="",0,0.3)))</f>
        <v/>
      </c>
      <c r="AK94" s="15">
        <f>IF((IF(AE94="",0,8)+IF(AG94="",0,6)+IF(AI94="",0,4))=0,"",(IF(AE94="",0,AE94*8)+IF(AG94="",0,AG94*6)+IF(AI94="",0,AI94*4))/(IF(AE94="",0,8)+IF(AG94="",0,6)+IF(AI94="",0,4)))</f>
        <v/>
      </c>
      <c r="AL94" s="14">
        <f>IF((IF(AF94="",0,8)+IF(AH94="",0,6)+IF(AJ94="",0,4))=0,"",(IF(AF94="",0,AF94*8)+IF(AH94="",0,AH94*6)+IF(AJ94="",0,AJ94*4))/18)</f>
        <v/>
      </c>
      <c r="AM94" s="11">
        <f>IF(OR(City_Inputs!$AA94="",Norm_Stats!$F$16="",Norm_Stats!$G$16="",Norm_Stats!$G$16=Norm_Stats!$F$16),"",MAX(0,MIN(100,100*(MIN(MAX(City_Inputs!$AA94,Norm_Stats!$F$16),Norm_Stats!$G$16)-Norm_Stats!$F$16)/(Norm_Stats!$G$16-Norm_Stats!$F$16))))</f>
        <v/>
      </c>
      <c r="AN94" s="14">
        <f>IF(AM94="","",1)</f>
        <v/>
      </c>
      <c r="AO94" s="11">
        <f>IF(OR(City_Inputs!$AB94="",Norm_Stats!$F$17="",Norm_Stats!$G$17="",Norm_Stats!$G$17=Norm_Stats!$F$17),"",MAX(0,MIN(100,100*(MIN(MAX(City_Inputs!$AB94,Norm_Stats!$F$17),Norm_Stats!$G$17)-Norm_Stats!$F$17)/(Norm_Stats!$G$17-Norm_Stats!$F$17))))</f>
        <v/>
      </c>
      <c r="AP94" s="14">
        <f>IF(AO94="","",1)</f>
        <v/>
      </c>
      <c r="AQ94" s="11">
        <f>IF(OR(City_Inputs!$AC94="",Norm_Stats!$F$18="",Norm_Stats!$G$18="",Norm_Stats!$G$18=Norm_Stats!$F$18),"",MAX(0,MIN(100,100*(MIN(MAX(City_Inputs!$AC94,Norm_Stats!$F$18),Norm_Stats!$G$18)-Norm_Stats!$F$18)/(Norm_Stats!$G$18-Norm_Stats!$F$18))))</f>
        <v/>
      </c>
      <c r="AR94" s="14">
        <f>IF(AQ94="","",1)</f>
        <v/>
      </c>
      <c r="AS94" s="15">
        <f>IF((IF(AM94="",0,5)+IF(AO94="",0,5)+IF(AQ94="",0,5))=0,"",(IF(AM94="",0,AM94*5)+IF(AO94="",0,AO94*5)+IF(AQ94="",0,AQ94*5))/(IF(AM94="",0,5)+IF(AO94="",0,5)+IF(AQ94="",0,5)))</f>
        <v/>
      </c>
      <c r="AT94" s="14">
        <f>IF((IF(AN94="",0,5)+IF(AP94="",0,5)+IF(AR94="",0,5))=0,"",(IF(AN94="",0,AN94*5)+IF(AP94="",0,AP94*5)+IF(AR94="",0,AR94*5))/15)</f>
        <v/>
      </c>
      <c r="AU94" s="11">
        <f>IF(OR(City_Inputs!$AD94="",Norm_Stats!$F$19="",Norm_Stats!$G$19="",Norm_Stats!$G$19=Norm_Stats!$F$19),"",MAX(0,MIN(100,100*(MIN(MAX(City_Inputs!$AD94,Norm_Stats!$F$19),Norm_Stats!$G$19)-Norm_Stats!$F$19)/(Norm_Stats!$G$19-Norm_Stats!$F$19))))</f>
        <v/>
      </c>
      <c r="AV94" s="14">
        <f>IF(AU94="","",1)</f>
        <v/>
      </c>
      <c r="AW94" s="11">
        <f>IF(OR(City_Inputs!$AE94="",Norm_Stats!$F$20="",Norm_Stats!$G$20="",Norm_Stats!$G$20=Norm_Stats!$F$20),"",MAX(0,MIN(100,100*(MIN(MAX(City_Inputs!$AE94,Norm_Stats!$F$20),Norm_Stats!$G$20)-Norm_Stats!$F$20)/(Norm_Stats!$G$20-Norm_Stats!$F$20))))</f>
        <v/>
      </c>
      <c r="AX94" s="14">
        <f>IF(AW94="","",1)</f>
        <v/>
      </c>
      <c r="AY94" s="11">
        <f>IF((IF((IF(OR(City_Inputs!$AF94="",Norm_Stats!$F$21="",Norm_Stats!$G$21="",Norm_Stats!$G$21=Norm_Stats!$F$21),"",MAX(0,MIN(100,100*(MIN(MAX(City_Inputs!$AF94,Norm_Stats!$F$21),Norm_Stats!$G$21)-Norm_Stats!$F$21)/(Norm_Stats!$G$21-Norm_Stats!$F$21)))))="",0,0.5)+IF((IF(OR(City_Inputs!$AI94="",Norm_Stats!$F$22="",Norm_Stats!$G$22="",Norm_Stats!$G$22=Norm_Stats!$F$22),"",MAX(0,MIN(100,100*(MIN(MAX(City_Inputs!$AI94,Norm_Stats!$F$22),Norm_Stats!$G$22)-Norm_Stats!$F$22)/(Norm_Stats!$G$22-Norm_Stats!$F$22)))))="",0,0.3)+IF((IF(OR(City_Inputs!$AJ94="",Norm_Stats!$F$23="",Norm_Stats!$G$23="",Norm_Stats!$G$23=Norm_Stats!$F$23),"",MAX(0,MIN(100,100*(MIN(MAX(City_Inputs!$AJ94,Norm_Stats!$F$23),Norm_Stats!$G$23)-Norm_Stats!$F$23)/(Norm_Stats!$G$23-Norm_Stats!$F$23)))))="",0,0.2))=0,"",(IF((IF(OR(City_Inputs!$AF94="",Norm_Stats!$F$21="",Norm_Stats!$G$21="",Norm_Stats!$G$21=Norm_Stats!$F$21),"",MAX(0,MIN(100,100*(MIN(MAX(City_Inputs!$AF94,Norm_Stats!$F$21),Norm_Stats!$G$21)-Norm_Stats!$F$21)/(Norm_Stats!$G$21-Norm_Stats!$F$21)))))="",0,(IF(OR(City_Inputs!$AF94="",Norm_Stats!$F$21="",Norm_Stats!$G$21="",Norm_Stats!$G$21=Norm_Stats!$F$21),"",MAX(0,MIN(100,100*(MIN(MAX(City_Inputs!$AF94,Norm_Stats!$F$21),Norm_Stats!$G$21)-Norm_Stats!$F$21)/(Norm_Stats!$G$21-Norm_Stats!$F$21)))))*0.5)+IF((IF(OR(City_Inputs!$AI94="",Norm_Stats!$F$22="",Norm_Stats!$G$22="",Norm_Stats!$G$22=Norm_Stats!$F$22),"",MAX(0,MIN(100,100*(MIN(MAX(City_Inputs!$AI94,Norm_Stats!$F$22),Norm_Stats!$G$22)-Norm_Stats!$F$22)/(Norm_Stats!$G$22-Norm_Stats!$F$22)))))="",0,(IF(OR(City_Inputs!$AI94="",Norm_Stats!$F$22="",Norm_Stats!$G$22="",Norm_Stats!$G$22=Norm_Stats!$F$22),"",MAX(0,MIN(100,100*(MIN(MAX(City_Inputs!$AI94,Norm_Stats!$F$22),Norm_Stats!$G$22)-Norm_Stats!$F$22)/(Norm_Stats!$G$22-Norm_Stats!$F$22)))))*0.3)+IF((IF(OR(City_Inputs!$AJ94="",Norm_Stats!$F$23="",Norm_Stats!$G$23="",Norm_Stats!$G$23=Norm_Stats!$F$23),"",MAX(0,MIN(100,100*(MIN(MAX(City_Inputs!$AJ94,Norm_Stats!$F$23),Norm_Stats!$G$23)-Norm_Stats!$F$23)/(Norm_Stats!$G$23-Norm_Stats!$F$23)))))="",0,(IF(OR(City_Inputs!$AJ94="",Norm_Stats!$F$23="",Norm_Stats!$G$23="",Norm_Stats!$G$23=Norm_Stats!$F$23),"",MAX(0,MIN(100,100*(MIN(MAX(City_Inputs!$AJ94,Norm_Stats!$F$23),Norm_Stats!$G$23)-Norm_Stats!$F$23)/(Norm_Stats!$G$23-Norm_Stats!$F$23)))))*0.2))/(IF((IF(OR(City_Inputs!$AF94="",Norm_Stats!$F$21="",Norm_Stats!$G$21="",Norm_Stats!$G$21=Norm_Stats!$F$21),"",MAX(0,MIN(100,100*(MIN(MAX(City_Inputs!$AF94,Norm_Stats!$F$21),Norm_Stats!$G$21)-Norm_Stats!$F$21)/(Norm_Stats!$G$21-Norm_Stats!$F$21)))))="",0,0.5)+IF((IF(OR(City_Inputs!$AI94="",Norm_Stats!$F$22="",Norm_Stats!$G$22="",Norm_Stats!$G$22=Norm_Stats!$F$22),"",MAX(0,MIN(100,100*(MIN(MAX(City_Inputs!$AI94,Norm_Stats!$F$22),Norm_Stats!$G$22)-Norm_Stats!$F$22)/(Norm_Stats!$G$22-Norm_Stats!$F$22)))))="",0,0.3)+IF((IF(OR(City_Inputs!$AJ94="",Norm_Stats!$F$23="",Norm_Stats!$G$23="",Norm_Stats!$G$23=Norm_Stats!$F$23),"",MAX(0,MIN(100,100*(MIN(MAX(City_Inputs!$AJ94,Norm_Stats!$F$23),Norm_Stats!$G$23)-Norm_Stats!$F$23)/(Norm_Stats!$G$23-Norm_Stats!$F$23)))))="",0,0.2)))</f>
        <v/>
      </c>
      <c r="AZ94" s="14">
        <f>IF((IF((IF(OR(City_Inputs!$AF94="",Norm_Stats!$F$21="",Norm_Stats!$G$21="",Norm_Stats!$G$21=Norm_Stats!$F$21),"",MAX(0,MIN(100,100*(MIN(MAX(City_Inputs!$AF94,Norm_Stats!$F$21),Norm_Stats!$G$21)-Norm_Stats!$F$21)/(Norm_Stats!$G$21-Norm_Stats!$F$21)))))="",0,0.5)+IF((IF(OR(City_Inputs!$AI94="",Norm_Stats!$F$22="",Norm_Stats!$G$22="",Norm_Stats!$G$22=Norm_Stats!$F$22),"",MAX(0,MIN(100,100*(MIN(MAX(City_Inputs!$AI94,Norm_Stats!$F$22),Norm_Stats!$G$22)-Norm_Stats!$F$22)/(Norm_Stats!$G$22-Norm_Stats!$F$22)))))="",0,0.3)+IF((IF(OR(City_Inputs!$AJ94="",Norm_Stats!$F$23="",Norm_Stats!$G$23="",Norm_Stats!$G$23=Norm_Stats!$F$23),"",MAX(0,MIN(100,100*(MIN(MAX(City_Inputs!$AJ94,Norm_Stats!$F$23),Norm_Stats!$G$23)-Norm_Stats!$F$23)/(Norm_Stats!$G$23-Norm_Stats!$F$23)))))="",0,0.2))=0,"",(IF((IF(OR(City_Inputs!$AF94="",Norm_Stats!$F$21="",Norm_Stats!$G$21="",Norm_Stats!$G$21=Norm_Stats!$F$21),"",MAX(0,MIN(100,100*(MIN(MAX(City_Inputs!$AF94,Norm_Stats!$F$21),Norm_Stats!$G$21)-Norm_Stats!$F$21)/(Norm_Stats!$G$21-Norm_Stats!$F$21)))))="",0,0.5)+IF((IF(OR(City_Inputs!$AI94="",Norm_Stats!$F$22="",Norm_Stats!$G$22="",Norm_Stats!$G$22=Norm_Stats!$F$22),"",MAX(0,MIN(100,100*(MIN(MAX(City_Inputs!$AI94,Norm_Stats!$F$22),Norm_Stats!$G$22)-Norm_Stats!$F$22)/(Norm_Stats!$G$22-Norm_Stats!$F$22)))))="",0,0.3)+IF((IF(OR(City_Inputs!$AJ94="",Norm_Stats!$F$23="",Norm_Stats!$G$23="",Norm_Stats!$G$23=Norm_Stats!$F$23),"",MAX(0,MIN(100,100*(MIN(MAX(City_Inputs!$AJ94,Norm_Stats!$F$23),Norm_Stats!$G$23)-Norm_Stats!$F$23)/(Norm_Stats!$G$23-Norm_Stats!$F$23)))))="",0,0.2)))</f>
        <v/>
      </c>
      <c r="BA94" s="11">
        <f>IF(OR(City_Inputs!$AG94="",Norm_Stats!$F$24="",Norm_Stats!$G$24="",Norm_Stats!$G$24=Norm_Stats!$F$24),"",MAX(0,MIN(100,100*(Norm_Stats!$G$24-MIN(MAX(City_Inputs!$AG94,Norm_Stats!$F$24),Norm_Stats!$G$24))/(Norm_Stats!$G$24-Norm_Stats!$F$24))))</f>
        <v/>
      </c>
      <c r="BB94" s="14">
        <f>IF(BA94="","",1)</f>
        <v/>
      </c>
      <c r="BC94" s="15">
        <f>IF((IF(AU94="",0,6)+IF(AW94="",0,5)+IF(AY94="",0,5)+IF(BA94="",0,4))=0,"",(IF(AU94="",0,AU94*6)+IF(AW94="",0,AW94*5)+IF(AY94="",0,AY94*5)+IF(BA94="",0,BA94*4))/(IF(AU94="",0,6)+IF(AW94="",0,5)+IF(AY94="",0,5)+IF(BA94="",0,4)))</f>
        <v/>
      </c>
      <c r="BD94" s="14">
        <f>IF((IF(AV94="",0,6)+IF(AX94="",0,5)+IF(AZ94="",0,5)+IF(BB94="",0,4))=0,"",(IF(AV94="",0,AV94*6)+IF(AX94="",0,AX94*5)+IF(AZ94="",0,AZ94*5)+IF(BB94="",0,BB94*4))/20)</f>
        <v/>
      </c>
      <c r="BE94" s="14">
        <f>IF(AND(R94="",AD94="",AL94="",AT94="",BD94=""),"",((R94*25)+(AD94*22)+(AL94*18)+(AT94*15)+(BD94*20))/100)</f>
        <v/>
      </c>
      <c r="BF94" s="11">
        <f>IF(BE94="","",IF(BE94&gt;=0.75,"A",IF(BE94&gt;=0.5,"B",IF(BE94&gt;=0.35,"C","Watchlist"))))</f>
        <v/>
      </c>
      <c r="BG94" s="11">
        <f>IF(OR(BE94="",BE94&lt;0.5,R94="",R94&lt;0.35,AD94="",AD94&lt;0.35,AL94="",AL94&lt;0.35,AT94="",AT94&lt;0.35,BD94="",BD94&lt;0.35),"Watchlist","Ranked")</f>
        <v/>
      </c>
      <c r="BH94" s="15">
        <f>IF(AND(Q94="",AC94="",AK94="",AS94="",BC94=""),"",(IF(Q94="",0,Q94*25)+IF(AC94="",0,AC94*22)+IF(AK94="",0,AK94*18)+IF(AS94="",0,AS94*15)+IF(BC94="",0,BC94*20))/(IF(Q94="",0,25)+IF(AC94="",0,22)+IF(AK94="",0,18)+IF(AS94="",0,15)+IF(BC94="",0,20)))</f>
        <v/>
      </c>
      <c r="BI94" s="11">
        <f>IF(BG94="Ranked",1+COUNTIFS($BG$2:$BG$103,"Ranked",$BH$2:$BH$103,"&gt;"&amp;BH94),"")</f>
        <v/>
      </c>
      <c r="BJ94" s="11">
        <f>City_Inputs!$AH94</f>
        <v/>
      </c>
    </row>
    <row r="95">
      <c r="A95" t="inlineStr">
        <is>
          <t>au-sydney</t>
        </is>
      </c>
      <c r="B95" t="inlineStr">
        <is>
          <t>Sydney</t>
        </is>
      </c>
      <c r="C95" t="inlineStr">
        <is>
          <t>Australia</t>
        </is>
      </c>
      <c r="D95" t="inlineStr">
        <is>
          <t>Oceania</t>
        </is>
      </c>
      <c r="E95" t="inlineStr">
        <is>
          <t>provisional</t>
        </is>
      </c>
      <c r="F95" t="inlineStr">
        <is>
          <t>primary</t>
        </is>
      </c>
      <c r="G95" s="11">
        <f>IF(OR(City_Inputs!$M95="",Norm_Stats!$F$2="",Norm_Stats!$G$2="",Norm_Stats!$G$2=Norm_Stats!$F$2),"",MAX(0,MIN(100,100*(MIN(MAX(City_Inputs!$M95,Norm_Stats!$F$2),Norm_Stats!$G$2)-Norm_Stats!$F$2)/(Norm_Stats!$G$2-Norm_Stats!$F$2))))</f>
        <v/>
      </c>
      <c r="H95" s="14">
        <f>IF(G95="","",1)</f>
        <v/>
      </c>
      <c r="I95" s="11">
        <f>IF(OR(City_Inputs!$N95="",Norm_Stats!$F$3="",Norm_Stats!$G$3="",Norm_Stats!$G$3=Norm_Stats!$F$3),"",MAX(0,MIN(100,100*(Norm_Stats!$G$3-MIN(MAX(City_Inputs!$N95,Norm_Stats!$F$3),Norm_Stats!$G$3))/(Norm_Stats!$G$3-Norm_Stats!$F$3))))</f>
        <v/>
      </c>
      <c r="J95" s="14">
        <f>IF(I95="","",1)</f>
        <v/>
      </c>
      <c r="K95" s="11">
        <f>IF(OR(City_Inputs!$P95="",Norm_Stats!$F$4="",Norm_Stats!$G$4="",Norm_Stats!$G$4=Norm_Stats!$F$4),"",MAX(0,MIN(100,100*(Norm_Stats!$G$4-MIN(MAX(City_Inputs!$P95,Norm_Stats!$F$4),Norm_Stats!$G$4))/(Norm_Stats!$G$4-Norm_Stats!$F$4))))</f>
        <v/>
      </c>
      <c r="L95" s="14">
        <f>IF(K95="","",1)</f>
        <v/>
      </c>
      <c r="M95" s="11">
        <f>IF(OR(City_Inputs!$Q95="",Norm_Stats!$F$5="",Norm_Stats!$G$5="",Norm_Stats!$G$5=Norm_Stats!$F$5),"",MAX(0,MIN(100,100*(Norm_Stats!$G$5-MIN(MAX(City_Inputs!$Q95,Norm_Stats!$F$5),Norm_Stats!$G$5))/(Norm_Stats!$G$5-Norm_Stats!$F$5))))</f>
        <v/>
      </c>
      <c r="N95" s="14">
        <f>IF(M95="","",1)</f>
        <v/>
      </c>
      <c r="O95" s="11">
        <f>IF(OR(City_Inputs!$R95="",Norm_Stats!$F$6="",Norm_Stats!$G$6="",Norm_Stats!$G$6=Norm_Stats!$F$6),"",MAX(0,MIN(100,100*(Norm_Stats!$G$6-MIN(MAX(City_Inputs!$R95,Norm_Stats!$F$6),Norm_Stats!$G$6))/(Norm_Stats!$G$6-Norm_Stats!$F$6))))</f>
        <v/>
      </c>
      <c r="P95" s="14">
        <f>IF(O95="","",1)</f>
        <v/>
      </c>
      <c r="Q95" s="15">
        <f>IF((IF(G95="",0,9)+IF(I95="",0,5)+IF(K95="",0,4)+IF(M95="",0,4)+IF(O95="",0,3))=0,"",(IF(G95="",0,G95*9)+IF(I95="",0,I95*5)+IF(K95="",0,K95*4)+IF(M95="",0,M95*4)+IF(O95="",0,O95*3))/(IF(G95="",0,9)+IF(I95="",0,5)+IF(K95="",0,4)+IF(M95="",0,4)+IF(O95="",0,3)))</f>
        <v/>
      </c>
      <c r="R95" s="14">
        <f>IF((IF(H95="",0,9)+IF(J95="",0,5)+IF(L95="",0,4)+IF(N95="",0,4)+IF(P95="",0,3))=0,"",(IF(H95="",0,H95*9)+IF(J95="",0,J95*5)+IF(L95="",0,L95*4)+IF(N95="",0,N95*4)+IF(P95="",0,P95*3))/25)</f>
        <v/>
      </c>
      <c r="S95" s="11">
        <f>IF(OR(City_Inputs!$S95="",Norm_Stats!$F$7="",Norm_Stats!$G$7="",Norm_Stats!$G$7=Norm_Stats!$F$7),"",MAX(0,MIN(100,100*(Norm_Stats!$G$7-MIN(MAX(City_Inputs!$S95,Norm_Stats!$F$7),Norm_Stats!$G$7))/(Norm_Stats!$G$7-Norm_Stats!$F$7))))</f>
        <v/>
      </c>
      <c r="T95" s="14">
        <f>IF(S95="","",1)</f>
        <v/>
      </c>
      <c r="U95" s="11">
        <f>IF(OR(City_Inputs!$T95="",Norm_Stats!$F$8="",Norm_Stats!$G$8="",Norm_Stats!$G$8=Norm_Stats!$F$8),"",MAX(0,MIN(100,100*(MIN(MAX(City_Inputs!$T95,Norm_Stats!$F$8),Norm_Stats!$G$8)-Norm_Stats!$F$8)/(Norm_Stats!$G$8-Norm_Stats!$F$8))))</f>
        <v/>
      </c>
      <c r="V95" s="14">
        <f>IF(U95="","",1)</f>
        <v/>
      </c>
      <c r="W95" s="11">
        <f>IF(OR(City_Inputs!$U95="",Norm_Stats!$F$9="",Norm_Stats!$G$9="",Norm_Stats!$G$9=Norm_Stats!$F$9),"",MAX(0,MIN(100,100*(Norm_Stats!$G$9-MIN(MAX(City_Inputs!$U95,Norm_Stats!$F$9),Norm_Stats!$G$9))/(Norm_Stats!$G$9-Norm_Stats!$F$9))))</f>
        <v/>
      </c>
      <c r="X95" s="14">
        <f>IF(W95="","",1)</f>
        <v/>
      </c>
      <c r="Y95" s="11">
        <f>IF(OR(City_Inputs!$V95="",Norm_Stats!$F$10="",Norm_Stats!$G$10="",Norm_Stats!$G$10=Norm_Stats!$F$10),"",MAX(0,MIN(100,100*(MIN(MAX(City_Inputs!$V95,Norm_Stats!$F$10),Norm_Stats!$G$10)-Norm_Stats!$F$10)/(Norm_Stats!$G$10-Norm_Stats!$F$10))))</f>
        <v/>
      </c>
      <c r="Z95" s="14">
        <f>IF(Y95="","",1)</f>
        <v/>
      </c>
      <c r="AA95" s="11">
        <f>IF(OR(City_Inputs!$W95="",Norm_Stats!$F$11="",Norm_Stats!$G$11="",Norm_Stats!$G$11=Norm_Stats!$F$11),"",MAX(0,MIN(100,100*(MIN(MAX(City_Inputs!$W95,Norm_Stats!$F$11),Norm_Stats!$G$11)-Norm_Stats!$F$11)/(Norm_Stats!$G$11-Norm_Stats!$F$11))))</f>
        <v/>
      </c>
      <c r="AB95" s="14">
        <f>IF(AA95="","",1)</f>
        <v/>
      </c>
      <c r="AC95" s="15">
        <f>IF((IF(S95="",0,5)+IF(U95="",0,5)+IF(W95="",0,4)+IF(Y95="",0,4)+IF(AA95="",0,4))=0,"",(IF(S95="",0,S95*5)+IF(U95="",0,U95*5)+IF(W95="",0,W95*4)+IF(Y95="",0,Y95*4)+IF(AA95="",0,AA95*4))/(IF(S95="",0,5)+IF(U95="",0,5)+IF(W95="",0,4)+IF(Y95="",0,4)+IF(AA95="",0,4)))</f>
        <v/>
      </c>
      <c r="AD95" s="14">
        <f>IF((IF(T95="",0,5)+IF(V95="",0,5)+IF(X95="",0,4)+IF(Z95="",0,4)+IF(AB95="",0,4))=0,"",(IF(T95="",0,T95*5)+IF(V95="",0,V95*5)+IF(X95="",0,X95*4)+IF(Z95="",0,Z95*4)+IF(AB95="",0,AB95*4))/22)</f>
        <v/>
      </c>
      <c r="AE95" s="11">
        <f>IF(OR(City_Inputs!$X95="",Norm_Stats!$F$12="",Norm_Stats!$G$12="",Norm_Stats!$G$12=Norm_Stats!$F$12),"",MAX(0,MIN(100,100*(MIN(MAX(City_Inputs!$X95,Norm_Stats!$F$12),Norm_Stats!$G$12)-Norm_Stats!$F$12)/(Norm_Stats!$G$12-Norm_Stats!$F$12))))</f>
        <v/>
      </c>
      <c r="AF95" s="14">
        <f>IF(AE95="","",1)</f>
        <v/>
      </c>
      <c r="AG95" s="11">
        <f>IF(OR(City_Inputs!$Y95="",Norm_Stats!$F$13="",Norm_Stats!$G$13="",Norm_Stats!$G$13=Norm_Stats!$F$13),"",MAX(0,MIN(100,100*(MIN(MAX(City_Inputs!$Y95,Norm_Stats!$F$13),Norm_Stats!$G$13)-Norm_Stats!$F$13)/(Norm_Stats!$G$13-Norm_Stats!$F$13))))</f>
        <v/>
      </c>
      <c r="AH95" s="14">
        <f>IF(AG95="","",1)</f>
        <v/>
      </c>
      <c r="AI95" s="11">
        <f>IF((IF((IF(OR(City_Inputs!$Z95="",Norm_Stats!$F$14="",Norm_Stats!$G$14="",Norm_Stats!$G$14=Norm_Stats!$F$14),"",MAX(0,MIN(100,100*(MIN(MAX(City_Inputs!$Z95,Norm_Stats!$F$14),Norm_Stats!$G$14)-Norm_Stats!$F$14)/(Norm_Stats!$G$14-Norm_Stats!$F$14)))))="",0,0.7)+IF((IF(OR(City_Inputs!$AK95="",Norm_Stats!$F$15="",Norm_Stats!$G$15="",Norm_Stats!$G$15=Norm_Stats!$F$15),"",MAX(0,MIN(100,100*(Norm_Stats!$G$15-MIN(MAX(City_Inputs!$AK95,Norm_Stats!$F$15),Norm_Stats!$G$15))/(Norm_Stats!$G$15-Norm_Stats!$F$15)))))="",0,0.3))=0,"",(IF((IF(OR(City_Inputs!$Z95="",Norm_Stats!$F$14="",Norm_Stats!$G$14="",Norm_Stats!$G$14=Norm_Stats!$F$14),"",MAX(0,MIN(100,100*(MIN(MAX(City_Inputs!$Z95,Norm_Stats!$F$14),Norm_Stats!$G$14)-Norm_Stats!$F$14)/(Norm_Stats!$G$14-Norm_Stats!$F$14)))))="",0,(IF(OR(City_Inputs!$Z95="",Norm_Stats!$F$14="",Norm_Stats!$G$14="",Norm_Stats!$G$14=Norm_Stats!$F$14),"",MAX(0,MIN(100,100*(MIN(MAX(City_Inputs!$Z95,Norm_Stats!$F$14),Norm_Stats!$G$14)-Norm_Stats!$F$14)/(Norm_Stats!$G$14-Norm_Stats!$F$14)))))*0.7)+IF((IF(OR(City_Inputs!$AK95="",Norm_Stats!$F$15="",Norm_Stats!$G$15="",Norm_Stats!$G$15=Norm_Stats!$F$15),"",MAX(0,MIN(100,100*(Norm_Stats!$G$15-MIN(MAX(City_Inputs!$AK95,Norm_Stats!$F$15),Norm_Stats!$G$15))/(Norm_Stats!$G$15-Norm_Stats!$F$15)))))="",0,(IF(OR(City_Inputs!$AK95="",Norm_Stats!$F$15="",Norm_Stats!$G$15="",Norm_Stats!$G$15=Norm_Stats!$F$15),"",MAX(0,MIN(100,100*(Norm_Stats!$G$15-MIN(MAX(City_Inputs!$AK95,Norm_Stats!$F$15),Norm_Stats!$G$15))/(Norm_Stats!$G$15-Norm_Stats!$F$15)))))*0.3))/(IF((IF(OR(City_Inputs!$Z95="",Norm_Stats!$F$14="",Norm_Stats!$G$14="",Norm_Stats!$G$14=Norm_Stats!$F$14),"",MAX(0,MIN(100,100*(MIN(MAX(City_Inputs!$Z95,Norm_Stats!$F$14),Norm_Stats!$G$14)-Norm_Stats!$F$14)/(Norm_Stats!$G$14-Norm_Stats!$F$14)))))="",0,0.7)+IF((IF(OR(City_Inputs!$AK95="",Norm_Stats!$F$15="",Norm_Stats!$G$15="",Norm_Stats!$G$15=Norm_Stats!$F$15),"",MAX(0,MIN(100,100*(Norm_Stats!$G$15-MIN(MAX(City_Inputs!$AK95,Norm_Stats!$F$15),Norm_Stats!$G$15))/(Norm_Stats!$G$15-Norm_Stats!$F$15)))))="",0,0.3)))</f>
        <v/>
      </c>
      <c r="AJ95" s="14">
        <f>IF((IF((IF(OR(City_Inputs!$Z95="",Norm_Stats!$F$14="",Norm_Stats!$G$14="",Norm_Stats!$G$14=Norm_Stats!$F$14),"",MAX(0,MIN(100,100*(MIN(MAX(City_Inputs!$Z95,Norm_Stats!$F$14),Norm_Stats!$G$14)-Norm_Stats!$F$14)/(Norm_Stats!$G$14-Norm_Stats!$F$14)))))="",0,0.7)+IF((IF(OR(City_Inputs!$AK95="",Norm_Stats!$F$15="",Norm_Stats!$G$15="",Norm_Stats!$G$15=Norm_Stats!$F$15),"",MAX(0,MIN(100,100*(Norm_Stats!$G$15-MIN(MAX(City_Inputs!$AK95,Norm_Stats!$F$15),Norm_Stats!$G$15))/(Norm_Stats!$G$15-Norm_Stats!$F$15)))))="",0,0.3))=0,"",(IF((IF(OR(City_Inputs!$Z95="",Norm_Stats!$F$14="",Norm_Stats!$G$14="",Norm_Stats!$G$14=Norm_Stats!$F$14),"",MAX(0,MIN(100,100*(MIN(MAX(City_Inputs!$Z95,Norm_Stats!$F$14),Norm_Stats!$G$14)-Norm_Stats!$F$14)/(Norm_Stats!$G$14-Norm_Stats!$F$14)))))="",0,0.7)+IF((IF(OR(City_Inputs!$AK95="",Norm_Stats!$F$15="",Norm_Stats!$G$15="",Norm_Stats!$G$15=Norm_Stats!$F$15),"",MAX(0,MIN(100,100*(Norm_Stats!$G$15-MIN(MAX(City_Inputs!$AK95,Norm_Stats!$F$15),Norm_Stats!$G$15))/(Norm_Stats!$G$15-Norm_Stats!$F$15)))))="",0,0.3)))</f>
        <v/>
      </c>
      <c r="AK95" s="15">
        <f>IF((IF(AE95="",0,8)+IF(AG95="",0,6)+IF(AI95="",0,4))=0,"",(IF(AE95="",0,AE95*8)+IF(AG95="",0,AG95*6)+IF(AI95="",0,AI95*4))/(IF(AE95="",0,8)+IF(AG95="",0,6)+IF(AI95="",0,4)))</f>
        <v/>
      </c>
      <c r="AL95" s="14">
        <f>IF((IF(AF95="",0,8)+IF(AH95="",0,6)+IF(AJ95="",0,4))=0,"",(IF(AF95="",0,AF95*8)+IF(AH95="",0,AH95*6)+IF(AJ95="",0,AJ95*4))/18)</f>
        <v/>
      </c>
      <c r="AM95" s="11">
        <f>IF(OR(City_Inputs!$AA95="",Norm_Stats!$F$16="",Norm_Stats!$G$16="",Norm_Stats!$G$16=Norm_Stats!$F$16),"",MAX(0,MIN(100,100*(MIN(MAX(City_Inputs!$AA95,Norm_Stats!$F$16),Norm_Stats!$G$16)-Norm_Stats!$F$16)/(Norm_Stats!$G$16-Norm_Stats!$F$16))))</f>
        <v/>
      </c>
      <c r="AN95" s="14">
        <f>IF(AM95="","",1)</f>
        <v/>
      </c>
      <c r="AO95" s="11">
        <f>IF(OR(City_Inputs!$AB95="",Norm_Stats!$F$17="",Norm_Stats!$G$17="",Norm_Stats!$G$17=Norm_Stats!$F$17),"",MAX(0,MIN(100,100*(MIN(MAX(City_Inputs!$AB95,Norm_Stats!$F$17),Norm_Stats!$G$17)-Norm_Stats!$F$17)/(Norm_Stats!$G$17-Norm_Stats!$F$17))))</f>
        <v/>
      </c>
      <c r="AP95" s="14">
        <f>IF(AO95="","",1)</f>
        <v/>
      </c>
      <c r="AQ95" s="11">
        <f>IF(OR(City_Inputs!$AC95="",Norm_Stats!$F$18="",Norm_Stats!$G$18="",Norm_Stats!$G$18=Norm_Stats!$F$18),"",MAX(0,MIN(100,100*(MIN(MAX(City_Inputs!$AC95,Norm_Stats!$F$18),Norm_Stats!$G$18)-Norm_Stats!$F$18)/(Norm_Stats!$G$18-Norm_Stats!$F$18))))</f>
        <v/>
      </c>
      <c r="AR95" s="14">
        <f>IF(AQ95="","",1)</f>
        <v/>
      </c>
      <c r="AS95" s="15">
        <f>IF((IF(AM95="",0,5)+IF(AO95="",0,5)+IF(AQ95="",0,5))=0,"",(IF(AM95="",0,AM95*5)+IF(AO95="",0,AO95*5)+IF(AQ95="",0,AQ95*5))/(IF(AM95="",0,5)+IF(AO95="",0,5)+IF(AQ95="",0,5)))</f>
        <v/>
      </c>
      <c r="AT95" s="14">
        <f>IF((IF(AN95="",0,5)+IF(AP95="",0,5)+IF(AR95="",0,5))=0,"",(IF(AN95="",0,AN95*5)+IF(AP95="",0,AP95*5)+IF(AR95="",0,AR95*5))/15)</f>
        <v/>
      </c>
      <c r="AU95" s="11">
        <f>IF(OR(City_Inputs!$AD95="",Norm_Stats!$F$19="",Norm_Stats!$G$19="",Norm_Stats!$G$19=Norm_Stats!$F$19),"",MAX(0,MIN(100,100*(MIN(MAX(City_Inputs!$AD95,Norm_Stats!$F$19),Norm_Stats!$G$19)-Norm_Stats!$F$19)/(Norm_Stats!$G$19-Norm_Stats!$F$19))))</f>
        <v/>
      </c>
      <c r="AV95" s="14">
        <f>IF(AU95="","",1)</f>
        <v/>
      </c>
      <c r="AW95" s="11">
        <f>IF(OR(City_Inputs!$AE95="",Norm_Stats!$F$20="",Norm_Stats!$G$20="",Norm_Stats!$G$20=Norm_Stats!$F$20),"",MAX(0,MIN(100,100*(MIN(MAX(City_Inputs!$AE95,Norm_Stats!$F$20),Norm_Stats!$G$20)-Norm_Stats!$F$20)/(Norm_Stats!$G$20-Norm_Stats!$F$20))))</f>
        <v/>
      </c>
      <c r="AX95" s="14">
        <f>IF(AW95="","",1)</f>
        <v/>
      </c>
      <c r="AY95" s="11">
        <f>IF((IF((IF(OR(City_Inputs!$AF95="",Norm_Stats!$F$21="",Norm_Stats!$G$21="",Norm_Stats!$G$21=Norm_Stats!$F$21),"",MAX(0,MIN(100,100*(MIN(MAX(City_Inputs!$AF95,Norm_Stats!$F$21),Norm_Stats!$G$21)-Norm_Stats!$F$21)/(Norm_Stats!$G$21-Norm_Stats!$F$21)))))="",0,0.5)+IF((IF(OR(City_Inputs!$AI95="",Norm_Stats!$F$22="",Norm_Stats!$G$22="",Norm_Stats!$G$22=Norm_Stats!$F$22),"",MAX(0,MIN(100,100*(MIN(MAX(City_Inputs!$AI95,Norm_Stats!$F$22),Norm_Stats!$G$22)-Norm_Stats!$F$22)/(Norm_Stats!$G$22-Norm_Stats!$F$22)))))="",0,0.3)+IF((IF(OR(City_Inputs!$AJ95="",Norm_Stats!$F$23="",Norm_Stats!$G$23="",Norm_Stats!$G$23=Norm_Stats!$F$23),"",MAX(0,MIN(100,100*(MIN(MAX(City_Inputs!$AJ95,Norm_Stats!$F$23),Norm_Stats!$G$23)-Norm_Stats!$F$23)/(Norm_Stats!$G$23-Norm_Stats!$F$23)))))="",0,0.2))=0,"",(IF((IF(OR(City_Inputs!$AF95="",Norm_Stats!$F$21="",Norm_Stats!$G$21="",Norm_Stats!$G$21=Norm_Stats!$F$21),"",MAX(0,MIN(100,100*(MIN(MAX(City_Inputs!$AF95,Norm_Stats!$F$21),Norm_Stats!$G$21)-Norm_Stats!$F$21)/(Norm_Stats!$G$21-Norm_Stats!$F$21)))))="",0,(IF(OR(City_Inputs!$AF95="",Norm_Stats!$F$21="",Norm_Stats!$G$21="",Norm_Stats!$G$21=Norm_Stats!$F$21),"",MAX(0,MIN(100,100*(MIN(MAX(City_Inputs!$AF95,Norm_Stats!$F$21),Norm_Stats!$G$21)-Norm_Stats!$F$21)/(Norm_Stats!$G$21-Norm_Stats!$F$21)))))*0.5)+IF((IF(OR(City_Inputs!$AI95="",Norm_Stats!$F$22="",Norm_Stats!$G$22="",Norm_Stats!$G$22=Norm_Stats!$F$22),"",MAX(0,MIN(100,100*(MIN(MAX(City_Inputs!$AI95,Norm_Stats!$F$22),Norm_Stats!$G$22)-Norm_Stats!$F$22)/(Norm_Stats!$G$22-Norm_Stats!$F$22)))))="",0,(IF(OR(City_Inputs!$AI95="",Norm_Stats!$F$22="",Norm_Stats!$G$22="",Norm_Stats!$G$22=Norm_Stats!$F$22),"",MAX(0,MIN(100,100*(MIN(MAX(City_Inputs!$AI95,Norm_Stats!$F$22),Norm_Stats!$G$22)-Norm_Stats!$F$22)/(Norm_Stats!$G$22-Norm_Stats!$F$22)))))*0.3)+IF((IF(OR(City_Inputs!$AJ95="",Norm_Stats!$F$23="",Norm_Stats!$G$23="",Norm_Stats!$G$23=Norm_Stats!$F$23),"",MAX(0,MIN(100,100*(MIN(MAX(City_Inputs!$AJ95,Norm_Stats!$F$23),Norm_Stats!$G$23)-Norm_Stats!$F$23)/(Norm_Stats!$G$23-Norm_Stats!$F$23)))))="",0,(IF(OR(City_Inputs!$AJ95="",Norm_Stats!$F$23="",Norm_Stats!$G$23="",Norm_Stats!$G$23=Norm_Stats!$F$23),"",MAX(0,MIN(100,100*(MIN(MAX(City_Inputs!$AJ95,Norm_Stats!$F$23),Norm_Stats!$G$23)-Norm_Stats!$F$23)/(Norm_Stats!$G$23-Norm_Stats!$F$23)))))*0.2))/(IF((IF(OR(City_Inputs!$AF95="",Norm_Stats!$F$21="",Norm_Stats!$G$21="",Norm_Stats!$G$21=Norm_Stats!$F$21),"",MAX(0,MIN(100,100*(MIN(MAX(City_Inputs!$AF95,Norm_Stats!$F$21),Norm_Stats!$G$21)-Norm_Stats!$F$21)/(Norm_Stats!$G$21-Norm_Stats!$F$21)))))="",0,0.5)+IF((IF(OR(City_Inputs!$AI95="",Norm_Stats!$F$22="",Norm_Stats!$G$22="",Norm_Stats!$G$22=Norm_Stats!$F$22),"",MAX(0,MIN(100,100*(MIN(MAX(City_Inputs!$AI95,Norm_Stats!$F$22),Norm_Stats!$G$22)-Norm_Stats!$F$22)/(Norm_Stats!$G$22-Norm_Stats!$F$22)))))="",0,0.3)+IF((IF(OR(City_Inputs!$AJ95="",Norm_Stats!$F$23="",Norm_Stats!$G$23="",Norm_Stats!$G$23=Norm_Stats!$F$23),"",MAX(0,MIN(100,100*(MIN(MAX(City_Inputs!$AJ95,Norm_Stats!$F$23),Norm_Stats!$G$23)-Norm_Stats!$F$23)/(Norm_Stats!$G$23-Norm_Stats!$F$23)))))="",0,0.2)))</f>
        <v/>
      </c>
      <c r="AZ95" s="14">
        <f>IF((IF((IF(OR(City_Inputs!$AF95="",Norm_Stats!$F$21="",Norm_Stats!$G$21="",Norm_Stats!$G$21=Norm_Stats!$F$21),"",MAX(0,MIN(100,100*(MIN(MAX(City_Inputs!$AF95,Norm_Stats!$F$21),Norm_Stats!$G$21)-Norm_Stats!$F$21)/(Norm_Stats!$G$21-Norm_Stats!$F$21)))))="",0,0.5)+IF((IF(OR(City_Inputs!$AI95="",Norm_Stats!$F$22="",Norm_Stats!$G$22="",Norm_Stats!$G$22=Norm_Stats!$F$22),"",MAX(0,MIN(100,100*(MIN(MAX(City_Inputs!$AI95,Norm_Stats!$F$22),Norm_Stats!$G$22)-Norm_Stats!$F$22)/(Norm_Stats!$G$22-Norm_Stats!$F$22)))))="",0,0.3)+IF((IF(OR(City_Inputs!$AJ95="",Norm_Stats!$F$23="",Norm_Stats!$G$23="",Norm_Stats!$G$23=Norm_Stats!$F$23),"",MAX(0,MIN(100,100*(MIN(MAX(City_Inputs!$AJ95,Norm_Stats!$F$23),Norm_Stats!$G$23)-Norm_Stats!$F$23)/(Norm_Stats!$G$23-Norm_Stats!$F$23)))))="",0,0.2))=0,"",(IF((IF(OR(City_Inputs!$AF95="",Norm_Stats!$F$21="",Norm_Stats!$G$21="",Norm_Stats!$G$21=Norm_Stats!$F$21),"",MAX(0,MIN(100,100*(MIN(MAX(City_Inputs!$AF95,Norm_Stats!$F$21),Norm_Stats!$G$21)-Norm_Stats!$F$21)/(Norm_Stats!$G$21-Norm_Stats!$F$21)))))="",0,0.5)+IF((IF(OR(City_Inputs!$AI95="",Norm_Stats!$F$22="",Norm_Stats!$G$22="",Norm_Stats!$G$22=Norm_Stats!$F$22),"",MAX(0,MIN(100,100*(MIN(MAX(City_Inputs!$AI95,Norm_Stats!$F$22),Norm_Stats!$G$22)-Norm_Stats!$F$22)/(Norm_Stats!$G$22-Norm_Stats!$F$22)))))="",0,0.3)+IF((IF(OR(City_Inputs!$AJ95="",Norm_Stats!$F$23="",Norm_Stats!$G$23="",Norm_Stats!$G$23=Norm_Stats!$F$23),"",MAX(0,MIN(100,100*(MIN(MAX(City_Inputs!$AJ95,Norm_Stats!$F$23),Norm_Stats!$G$23)-Norm_Stats!$F$23)/(Norm_Stats!$G$23-Norm_Stats!$F$23)))))="",0,0.2)))</f>
        <v/>
      </c>
      <c r="BA95" s="11">
        <f>IF(OR(City_Inputs!$AG95="",Norm_Stats!$F$24="",Norm_Stats!$G$24="",Norm_Stats!$G$24=Norm_Stats!$F$24),"",MAX(0,MIN(100,100*(Norm_Stats!$G$24-MIN(MAX(City_Inputs!$AG95,Norm_Stats!$F$24),Norm_Stats!$G$24))/(Norm_Stats!$G$24-Norm_Stats!$F$24))))</f>
        <v/>
      </c>
      <c r="BB95" s="14">
        <f>IF(BA95="","",1)</f>
        <v/>
      </c>
      <c r="BC95" s="15">
        <f>IF((IF(AU95="",0,6)+IF(AW95="",0,5)+IF(AY95="",0,5)+IF(BA95="",0,4))=0,"",(IF(AU95="",0,AU95*6)+IF(AW95="",0,AW95*5)+IF(AY95="",0,AY95*5)+IF(BA95="",0,BA95*4))/(IF(AU95="",0,6)+IF(AW95="",0,5)+IF(AY95="",0,5)+IF(BA95="",0,4)))</f>
        <v/>
      </c>
      <c r="BD95" s="14">
        <f>IF((IF(AV95="",0,6)+IF(AX95="",0,5)+IF(AZ95="",0,5)+IF(BB95="",0,4))=0,"",(IF(AV95="",0,AV95*6)+IF(AX95="",0,AX95*5)+IF(AZ95="",0,AZ95*5)+IF(BB95="",0,BB95*4))/20)</f>
        <v/>
      </c>
      <c r="BE95" s="14">
        <f>IF(AND(R95="",AD95="",AL95="",AT95="",BD95=""),"",((R95*25)+(AD95*22)+(AL95*18)+(AT95*15)+(BD95*20))/100)</f>
        <v/>
      </c>
      <c r="BF95" s="11">
        <f>IF(BE95="","",IF(BE95&gt;=0.75,"A",IF(BE95&gt;=0.5,"B",IF(BE95&gt;=0.35,"C","Watchlist"))))</f>
        <v/>
      </c>
      <c r="BG95" s="11">
        <f>IF(OR(BE95="",BE95&lt;0.5,R95="",R95&lt;0.35,AD95="",AD95&lt;0.35,AL95="",AL95&lt;0.35,AT95="",AT95&lt;0.35,BD95="",BD95&lt;0.35),"Watchlist","Ranked")</f>
        <v/>
      </c>
      <c r="BH95" s="15">
        <f>IF(AND(Q95="",AC95="",AK95="",AS95="",BC95=""),"",(IF(Q95="",0,Q95*25)+IF(AC95="",0,AC95*22)+IF(AK95="",0,AK95*18)+IF(AS95="",0,AS95*15)+IF(BC95="",0,BC95*20))/(IF(Q95="",0,25)+IF(AC95="",0,22)+IF(AK95="",0,18)+IF(AS95="",0,15)+IF(BC95="",0,20)))</f>
        <v/>
      </c>
      <c r="BI95" s="11">
        <f>IF(BG95="Ranked",1+COUNTIFS($BG$2:$BG$103,"Ranked",$BH$2:$BH$103,"&gt;"&amp;BH95),"")</f>
        <v/>
      </c>
      <c r="BJ95" s="11">
        <f>City_Inputs!$AH95</f>
        <v/>
      </c>
    </row>
    <row r="96">
      <c r="A96" t="inlineStr">
        <is>
          <t>au-melbourne</t>
        </is>
      </c>
      <c r="B96" t="inlineStr">
        <is>
          <t>Melbourne</t>
        </is>
      </c>
      <c r="C96" t="inlineStr">
        <is>
          <t>Australia</t>
        </is>
      </c>
      <c r="D96" t="inlineStr">
        <is>
          <t>Oceania</t>
        </is>
      </c>
      <c r="E96" t="inlineStr">
        <is>
          <t>provisional</t>
        </is>
      </c>
      <c r="F96" t="inlineStr">
        <is>
          <t>primary</t>
        </is>
      </c>
      <c r="G96" s="11">
        <f>IF(OR(City_Inputs!$M96="",Norm_Stats!$F$2="",Norm_Stats!$G$2="",Norm_Stats!$G$2=Norm_Stats!$F$2),"",MAX(0,MIN(100,100*(MIN(MAX(City_Inputs!$M96,Norm_Stats!$F$2),Norm_Stats!$G$2)-Norm_Stats!$F$2)/(Norm_Stats!$G$2-Norm_Stats!$F$2))))</f>
        <v/>
      </c>
      <c r="H96" s="14">
        <f>IF(G96="","",1)</f>
        <v/>
      </c>
      <c r="I96" s="11">
        <f>IF(OR(City_Inputs!$N96="",Norm_Stats!$F$3="",Norm_Stats!$G$3="",Norm_Stats!$G$3=Norm_Stats!$F$3),"",MAX(0,MIN(100,100*(Norm_Stats!$G$3-MIN(MAX(City_Inputs!$N96,Norm_Stats!$F$3),Norm_Stats!$G$3))/(Norm_Stats!$G$3-Norm_Stats!$F$3))))</f>
        <v/>
      </c>
      <c r="J96" s="14">
        <f>IF(I96="","",1)</f>
        <v/>
      </c>
      <c r="K96" s="11">
        <f>IF(OR(City_Inputs!$P96="",Norm_Stats!$F$4="",Norm_Stats!$G$4="",Norm_Stats!$G$4=Norm_Stats!$F$4),"",MAX(0,MIN(100,100*(Norm_Stats!$G$4-MIN(MAX(City_Inputs!$P96,Norm_Stats!$F$4),Norm_Stats!$G$4))/(Norm_Stats!$G$4-Norm_Stats!$F$4))))</f>
        <v/>
      </c>
      <c r="L96" s="14">
        <f>IF(K96="","",1)</f>
        <v/>
      </c>
      <c r="M96" s="11">
        <f>IF(OR(City_Inputs!$Q96="",Norm_Stats!$F$5="",Norm_Stats!$G$5="",Norm_Stats!$G$5=Norm_Stats!$F$5),"",MAX(0,MIN(100,100*(Norm_Stats!$G$5-MIN(MAX(City_Inputs!$Q96,Norm_Stats!$F$5),Norm_Stats!$G$5))/(Norm_Stats!$G$5-Norm_Stats!$F$5))))</f>
        <v/>
      </c>
      <c r="N96" s="14">
        <f>IF(M96="","",1)</f>
        <v/>
      </c>
      <c r="O96" s="11">
        <f>IF(OR(City_Inputs!$R96="",Norm_Stats!$F$6="",Norm_Stats!$G$6="",Norm_Stats!$G$6=Norm_Stats!$F$6),"",MAX(0,MIN(100,100*(Norm_Stats!$G$6-MIN(MAX(City_Inputs!$R96,Norm_Stats!$F$6),Norm_Stats!$G$6))/(Norm_Stats!$G$6-Norm_Stats!$F$6))))</f>
        <v/>
      </c>
      <c r="P96" s="14">
        <f>IF(O96="","",1)</f>
        <v/>
      </c>
      <c r="Q96" s="15">
        <f>IF((IF(G96="",0,9)+IF(I96="",0,5)+IF(K96="",0,4)+IF(M96="",0,4)+IF(O96="",0,3))=0,"",(IF(G96="",0,G96*9)+IF(I96="",0,I96*5)+IF(K96="",0,K96*4)+IF(M96="",0,M96*4)+IF(O96="",0,O96*3))/(IF(G96="",0,9)+IF(I96="",0,5)+IF(K96="",0,4)+IF(M96="",0,4)+IF(O96="",0,3)))</f>
        <v/>
      </c>
      <c r="R96" s="14">
        <f>IF((IF(H96="",0,9)+IF(J96="",0,5)+IF(L96="",0,4)+IF(N96="",0,4)+IF(P96="",0,3))=0,"",(IF(H96="",0,H96*9)+IF(J96="",0,J96*5)+IF(L96="",0,L96*4)+IF(N96="",0,N96*4)+IF(P96="",0,P96*3))/25)</f>
        <v/>
      </c>
      <c r="S96" s="11">
        <f>IF(OR(City_Inputs!$S96="",Norm_Stats!$F$7="",Norm_Stats!$G$7="",Norm_Stats!$G$7=Norm_Stats!$F$7),"",MAX(0,MIN(100,100*(Norm_Stats!$G$7-MIN(MAX(City_Inputs!$S96,Norm_Stats!$F$7),Norm_Stats!$G$7))/(Norm_Stats!$G$7-Norm_Stats!$F$7))))</f>
        <v/>
      </c>
      <c r="T96" s="14">
        <f>IF(S96="","",1)</f>
        <v/>
      </c>
      <c r="U96" s="11">
        <f>IF(OR(City_Inputs!$T96="",Norm_Stats!$F$8="",Norm_Stats!$G$8="",Norm_Stats!$G$8=Norm_Stats!$F$8),"",MAX(0,MIN(100,100*(MIN(MAX(City_Inputs!$T96,Norm_Stats!$F$8),Norm_Stats!$G$8)-Norm_Stats!$F$8)/(Norm_Stats!$G$8-Norm_Stats!$F$8))))</f>
        <v/>
      </c>
      <c r="V96" s="14">
        <f>IF(U96="","",1)</f>
        <v/>
      </c>
      <c r="W96" s="11">
        <f>IF(OR(City_Inputs!$U96="",Norm_Stats!$F$9="",Norm_Stats!$G$9="",Norm_Stats!$G$9=Norm_Stats!$F$9),"",MAX(0,MIN(100,100*(Norm_Stats!$G$9-MIN(MAX(City_Inputs!$U96,Norm_Stats!$F$9),Norm_Stats!$G$9))/(Norm_Stats!$G$9-Norm_Stats!$F$9))))</f>
        <v/>
      </c>
      <c r="X96" s="14">
        <f>IF(W96="","",1)</f>
        <v/>
      </c>
      <c r="Y96" s="11">
        <f>IF(OR(City_Inputs!$V96="",Norm_Stats!$F$10="",Norm_Stats!$G$10="",Norm_Stats!$G$10=Norm_Stats!$F$10),"",MAX(0,MIN(100,100*(MIN(MAX(City_Inputs!$V96,Norm_Stats!$F$10),Norm_Stats!$G$10)-Norm_Stats!$F$10)/(Norm_Stats!$G$10-Norm_Stats!$F$10))))</f>
        <v/>
      </c>
      <c r="Z96" s="14">
        <f>IF(Y96="","",1)</f>
        <v/>
      </c>
      <c r="AA96" s="11">
        <f>IF(OR(City_Inputs!$W96="",Norm_Stats!$F$11="",Norm_Stats!$G$11="",Norm_Stats!$G$11=Norm_Stats!$F$11),"",MAX(0,MIN(100,100*(MIN(MAX(City_Inputs!$W96,Norm_Stats!$F$11),Norm_Stats!$G$11)-Norm_Stats!$F$11)/(Norm_Stats!$G$11-Norm_Stats!$F$11))))</f>
        <v/>
      </c>
      <c r="AB96" s="14">
        <f>IF(AA96="","",1)</f>
        <v/>
      </c>
      <c r="AC96" s="15">
        <f>IF((IF(S96="",0,5)+IF(U96="",0,5)+IF(W96="",0,4)+IF(Y96="",0,4)+IF(AA96="",0,4))=0,"",(IF(S96="",0,S96*5)+IF(U96="",0,U96*5)+IF(W96="",0,W96*4)+IF(Y96="",0,Y96*4)+IF(AA96="",0,AA96*4))/(IF(S96="",0,5)+IF(U96="",0,5)+IF(W96="",0,4)+IF(Y96="",0,4)+IF(AA96="",0,4)))</f>
        <v/>
      </c>
      <c r="AD96" s="14">
        <f>IF((IF(T96="",0,5)+IF(V96="",0,5)+IF(X96="",0,4)+IF(Z96="",0,4)+IF(AB96="",0,4))=0,"",(IF(T96="",0,T96*5)+IF(V96="",0,V96*5)+IF(X96="",0,X96*4)+IF(Z96="",0,Z96*4)+IF(AB96="",0,AB96*4))/22)</f>
        <v/>
      </c>
      <c r="AE96" s="11">
        <f>IF(OR(City_Inputs!$X96="",Norm_Stats!$F$12="",Norm_Stats!$G$12="",Norm_Stats!$G$12=Norm_Stats!$F$12),"",MAX(0,MIN(100,100*(MIN(MAX(City_Inputs!$X96,Norm_Stats!$F$12),Norm_Stats!$G$12)-Norm_Stats!$F$12)/(Norm_Stats!$G$12-Norm_Stats!$F$12))))</f>
        <v/>
      </c>
      <c r="AF96" s="14">
        <f>IF(AE96="","",1)</f>
        <v/>
      </c>
      <c r="AG96" s="11">
        <f>IF(OR(City_Inputs!$Y96="",Norm_Stats!$F$13="",Norm_Stats!$G$13="",Norm_Stats!$G$13=Norm_Stats!$F$13),"",MAX(0,MIN(100,100*(MIN(MAX(City_Inputs!$Y96,Norm_Stats!$F$13),Norm_Stats!$G$13)-Norm_Stats!$F$13)/(Norm_Stats!$G$13-Norm_Stats!$F$13))))</f>
        <v/>
      </c>
      <c r="AH96" s="14">
        <f>IF(AG96="","",1)</f>
        <v/>
      </c>
      <c r="AI96" s="11">
        <f>IF((IF((IF(OR(City_Inputs!$Z96="",Norm_Stats!$F$14="",Norm_Stats!$G$14="",Norm_Stats!$G$14=Norm_Stats!$F$14),"",MAX(0,MIN(100,100*(MIN(MAX(City_Inputs!$Z96,Norm_Stats!$F$14),Norm_Stats!$G$14)-Norm_Stats!$F$14)/(Norm_Stats!$G$14-Norm_Stats!$F$14)))))="",0,0.7)+IF((IF(OR(City_Inputs!$AK96="",Norm_Stats!$F$15="",Norm_Stats!$G$15="",Norm_Stats!$G$15=Norm_Stats!$F$15),"",MAX(0,MIN(100,100*(Norm_Stats!$G$15-MIN(MAX(City_Inputs!$AK96,Norm_Stats!$F$15),Norm_Stats!$G$15))/(Norm_Stats!$G$15-Norm_Stats!$F$15)))))="",0,0.3))=0,"",(IF((IF(OR(City_Inputs!$Z96="",Norm_Stats!$F$14="",Norm_Stats!$G$14="",Norm_Stats!$G$14=Norm_Stats!$F$14),"",MAX(0,MIN(100,100*(MIN(MAX(City_Inputs!$Z96,Norm_Stats!$F$14),Norm_Stats!$G$14)-Norm_Stats!$F$14)/(Norm_Stats!$G$14-Norm_Stats!$F$14)))))="",0,(IF(OR(City_Inputs!$Z96="",Norm_Stats!$F$14="",Norm_Stats!$G$14="",Norm_Stats!$G$14=Norm_Stats!$F$14),"",MAX(0,MIN(100,100*(MIN(MAX(City_Inputs!$Z96,Norm_Stats!$F$14),Norm_Stats!$G$14)-Norm_Stats!$F$14)/(Norm_Stats!$G$14-Norm_Stats!$F$14)))))*0.7)+IF((IF(OR(City_Inputs!$AK96="",Norm_Stats!$F$15="",Norm_Stats!$G$15="",Norm_Stats!$G$15=Norm_Stats!$F$15),"",MAX(0,MIN(100,100*(Norm_Stats!$G$15-MIN(MAX(City_Inputs!$AK96,Norm_Stats!$F$15),Norm_Stats!$G$15))/(Norm_Stats!$G$15-Norm_Stats!$F$15)))))="",0,(IF(OR(City_Inputs!$AK96="",Norm_Stats!$F$15="",Norm_Stats!$G$15="",Norm_Stats!$G$15=Norm_Stats!$F$15),"",MAX(0,MIN(100,100*(Norm_Stats!$G$15-MIN(MAX(City_Inputs!$AK96,Norm_Stats!$F$15),Norm_Stats!$G$15))/(Norm_Stats!$G$15-Norm_Stats!$F$15)))))*0.3))/(IF((IF(OR(City_Inputs!$Z96="",Norm_Stats!$F$14="",Norm_Stats!$G$14="",Norm_Stats!$G$14=Norm_Stats!$F$14),"",MAX(0,MIN(100,100*(MIN(MAX(City_Inputs!$Z96,Norm_Stats!$F$14),Norm_Stats!$G$14)-Norm_Stats!$F$14)/(Norm_Stats!$G$14-Norm_Stats!$F$14)))))="",0,0.7)+IF((IF(OR(City_Inputs!$AK96="",Norm_Stats!$F$15="",Norm_Stats!$G$15="",Norm_Stats!$G$15=Norm_Stats!$F$15),"",MAX(0,MIN(100,100*(Norm_Stats!$G$15-MIN(MAX(City_Inputs!$AK96,Norm_Stats!$F$15),Norm_Stats!$G$15))/(Norm_Stats!$G$15-Norm_Stats!$F$15)))))="",0,0.3)))</f>
        <v/>
      </c>
      <c r="AJ96" s="14">
        <f>IF((IF((IF(OR(City_Inputs!$Z96="",Norm_Stats!$F$14="",Norm_Stats!$G$14="",Norm_Stats!$G$14=Norm_Stats!$F$14),"",MAX(0,MIN(100,100*(MIN(MAX(City_Inputs!$Z96,Norm_Stats!$F$14),Norm_Stats!$G$14)-Norm_Stats!$F$14)/(Norm_Stats!$G$14-Norm_Stats!$F$14)))))="",0,0.7)+IF((IF(OR(City_Inputs!$AK96="",Norm_Stats!$F$15="",Norm_Stats!$G$15="",Norm_Stats!$G$15=Norm_Stats!$F$15),"",MAX(0,MIN(100,100*(Norm_Stats!$G$15-MIN(MAX(City_Inputs!$AK96,Norm_Stats!$F$15),Norm_Stats!$G$15))/(Norm_Stats!$G$15-Norm_Stats!$F$15)))))="",0,0.3))=0,"",(IF((IF(OR(City_Inputs!$Z96="",Norm_Stats!$F$14="",Norm_Stats!$G$14="",Norm_Stats!$G$14=Norm_Stats!$F$14),"",MAX(0,MIN(100,100*(MIN(MAX(City_Inputs!$Z96,Norm_Stats!$F$14),Norm_Stats!$G$14)-Norm_Stats!$F$14)/(Norm_Stats!$G$14-Norm_Stats!$F$14)))))="",0,0.7)+IF((IF(OR(City_Inputs!$AK96="",Norm_Stats!$F$15="",Norm_Stats!$G$15="",Norm_Stats!$G$15=Norm_Stats!$F$15),"",MAX(0,MIN(100,100*(Norm_Stats!$G$15-MIN(MAX(City_Inputs!$AK96,Norm_Stats!$F$15),Norm_Stats!$G$15))/(Norm_Stats!$G$15-Norm_Stats!$F$15)))))="",0,0.3)))</f>
        <v/>
      </c>
      <c r="AK96" s="15">
        <f>IF((IF(AE96="",0,8)+IF(AG96="",0,6)+IF(AI96="",0,4))=0,"",(IF(AE96="",0,AE96*8)+IF(AG96="",0,AG96*6)+IF(AI96="",0,AI96*4))/(IF(AE96="",0,8)+IF(AG96="",0,6)+IF(AI96="",0,4)))</f>
        <v/>
      </c>
      <c r="AL96" s="14">
        <f>IF((IF(AF96="",0,8)+IF(AH96="",0,6)+IF(AJ96="",0,4))=0,"",(IF(AF96="",0,AF96*8)+IF(AH96="",0,AH96*6)+IF(AJ96="",0,AJ96*4))/18)</f>
        <v/>
      </c>
      <c r="AM96" s="11">
        <f>IF(OR(City_Inputs!$AA96="",Norm_Stats!$F$16="",Norm_Stats!$G$16="",Norm_Stats!$G$16=Norm_Stats!$F$16),"",MAX(0,MIN(100,100*(MIN(MAX(City_Inputs!$AA96,Norm_Stats!$F$16),Norm_Stats!$G$16)-Norm_Stats!$F$16)/(Norm_Stats!$G$16-Norm_Stats!$F$16))))</f>
        <v/>
      </c>
      <c r="AN96" s="14">
        <f>IF(AM96="","",1)</f>
        <v/>
      </c>
      <c r="AO96" s="11">
        <f>IF(OR(City_Inputs!$AB96="",Norm_Stats!$F$17="",Norm_Stats!$G$17="",Norm_Stats!$G$17=Norm_Stats!$F$17),"",MAX(0,MIN(100,100*(MIN(MAX(City_Inputs!$AB96,Norm_Stats!$F$17),Norm_Stats!$G$17)-Norm_Stats!$F$17)/(Norm_Stats!$G$17-Norm_Stats!$F$17))))</f>
        <v/>
      </c>
      <c r="AP96" s="14">
        <f>IF(AO96="","",1)</f>
        <v/>
      </c>
      <c r="AQ96" s="11">
        <f>IF(OR(City_Inputs!$AC96="",Norm_Stats!$F$18="",Norm_Stats!$G$18="",Norm_Stats!$G$18=Norm_Stats!$F$18),"",MAX(0,MIN(100,100*(MIN(MAX(City_Inputs!$AC96,Norm_Stats!$F$18),Norm_Stats!$G$18)-Norm_Stats!$F$18)/(Norm_Stats!$G$18-Norm_Stats!$F$18))))</f>
        <v/>
      </c>
      <c r="AR96" s="14">
        <f>IF(AQ96="","",1)</f>
        <v/>
      </c>
      <c r="AS96" s="15">
        <f>IF((IF(AM96="",0,5)+IF(AO96="",0,5)+IF(AQ96="",0,5))=0,"",(IF(AM96="",0,AM96*5)+IF(AO96="",0,AO96*5)+IF(AQ96="",0,AQ96*5))/(IF(AM96="",0,5)+IF(AO96="",0,5)+IF(AQ96="",0,5)))</f>
        <v/>
      </c>
      <c r="AT96" s="14">
        <f>IF((IF(AN96="",0,5)+IF(AP96="",0,5)+IF(AR96="",0,5))=0,"",(IF(AN96="",0,AN96*5)+IF(AP96="",0,AP96*5)+IF(AR96="",0,AR96*5))/15)</f>
        <v/>
      </c>
      <c r="AU96" s="11">
        <f>IF(OR(City_Inputs!$AD96="",Norm_Stats!$F$19="",Norm_Stats!$G$19="",Norm_Stats!$G$19=Norm_Stats!$F$19),"",MAX(0,MIN(100,100*(MIN(MAX(City_Inputs!$AD96,Norm_Stats!$F$19),Norm_Stats!$G$19)-Norm_Stats!$F$19)/(Norm_Stats!$G$19-Norm_Stats!$F$19))))</f>
        <v/>
      </c>
      <c r="AV96" s="14">
        <f>IF(AU96="","",1)</f>
        <v/>
      </c>
      <c r="AW96" s="11">
        <f>IF(OR(City_Inputs!$AE96="",Norm_Stats!$F$20="",Norm_Stats!$G$20="",Norm_Stats!$G$20=Norm_Stats!$F$20),"",MAX(0,MIN(100,100*(MIN(MAX(City_Inputs!$AE96,Norm_Stats!$F$20),Norm_Stats!$G$20)-Norm_Stats!$F$20)/(Norm_Stats!$G$20-Norm_Stats!$F$20))))</f>
        <v/>
      </c>
      <c r="AX96" s="14">
        <f>IF(AW96="","",1)</f>
        <v/>
      </c>
      <c r="AY96" s="11">
        <f>IF((IF((IF(OR(City_Inputs!$AF96="",Norm_Stats!$F$21="",Norm_Stats!$G$21="",Norm_Stats!$G$21=Norm_Stats!$F$21),"",MAX(0,MIN(100,100*(MIN(MAX(City_Inputs!$AF96,Norm_Stats!$F$21),Norm_Stats!$G$21)-Norm_Stats!$F$21)/(Norm_Stats!$G$21-Norm_Stats!$F$21)))))="",0,0.5)+IF((IF(OR(City_Inputs!$AI96="",Norm_Stats!$F$22="",Norm_Stats!$G$22="",Norm_Stats!$G$22=Norm_Stats!$F$22),"",MAX(0,MIN(100,100*(MIN(MAX(City_Inputs!$AI96,Norm_Stats!$F$22),Norm_Stats!$G$22)-Norm_Stats!$F$22)/(Norm_Stats!$G$22-Norm_Stats!$F$22)))))="",0,0.3)+IF((IF(OR(City_Inputs!$AJ96="",Norm_Stats!$F$23="",Norm_Stats!$G$23="",Norm_Stats!$G$23=Norm_Stats!$F$23),"",MAX(0,MIN(100,100*(MIN(MAX(City_Inputs!$AJ96,Norm_Stats!$F$23),Norm_Stats!$G$23)-Norm_Stats!$F$23)/(Norm_Stats!$G$23-Norm_Stats!$F$23)))))="",0,0.2))=0,"",(IF((IF(OR(City_Inputs!$AF96="",Norm_Stats!$F$21="",Norm_Stats!$G$21="",Norm_Stats!$G$21=Norm_Stats!$F$21),"",MAX(0,MIN(100,100*(MIN(MAX(City_Inputs!$AF96,Norm_Stats!$F$21),Norm_Stats!$G$21)-Norm_Stats!$F$21)/(Norm_Stats!$G$21-Norm_Stats!$F$21)))))="",0,(IF(OR(City_Inputs!$AF96="",Norm_Stats!$F$21="",Norm_Stats!$G$21="",Norm_Stats!$G$21=Norm_Stats!$F$21),"",MAX(0,MIN(100,100*(MIN(MAX(City_Inputs!$AF96,Norm_Stats!$F$21),Norm_Stats!$G$21)-Norm_Stats!$F$21)/(Norm_Stats!$G$21-Norm_Stats!$F$21)))))*0.5)+IF((IF(OR(City_Inputs!$AI96="",Norm_Stats!$F$22="",Norm_Stats!$G$22="",Norm_Stats!$G$22=Norm_Stats!$F$22),"",MAX(0,MIN(100,100*(MIN(MAX(City_Inputs!$AI96,Norm_Stats!$F$22),Norm_Stats!$G$22)-Norm_Stats!$F$22)/(Norm_Stats!$G$22-Norm_Stats!$F$22)))))="",0,(IF(OR(City_Inputs!$AI96="",Norm_Stats!$F$22="",Norm_Stats!$G$22="",Norm_Stats!$G$22=Norm_Stats!$F$22),"",MAX(0,MIN(100,100*(MIN(MAX(City_Inputs!$AI96,Norm_Stats!$F$22),Norm_Stats!$G$22)-Norm_Stats!$F$22)/(Norm_Stats!$G$22-Norm_Stats!$F$22)))))*0.3)+IF((IF(OR(City_Inputs!$AJ96="",Norm_Stats!$F$23="",Norm_Stats!$G$23="",Norm_Stats!$G$23=Norm_Stats!$F$23),"",MAX(0,MIN(100,100*(MIN(MAX(City_Inputs!$AJ96,Norm_Stats!$F$23),Norm_Stats!$G$23)-Norm_Stats!$F$23)/(Norm_Stats!$G$23-Norm_Stats!$F$23)))))="",0,(IF(OR(City_Inputs!$AJ96="",Norm_Stats!$F$23="",Norm_Stats!$G$23="",Norm_Stats!$G$23=Norm_Stats!$F$23),"",MAX(0,MIN(100,100*(MIN(MAX(City_Inputs!$AJ96,Norm_Stats!$F$23),Norm_Stats!$G$23)-Norm_Stats!$F$23)/(Norm_Stats!$G$23-Norm_Stats!$F$23)))))*0.2))/(IF((IF(OR(City_Inputs!$AF96="",Norm_Stats!$F$21="",Norm_Stats!$G$21="",Norm_Stats!$G$21=Norm_Stats!$F$21),"",MAX(0,MIN(100,100*(MIN(MAX(City_Inputs!$AF96,Norm_Stats!$F$21),Norm_Stats!$G$21)-Norm_Stats!$F$21)/(Norm_Stats!$G$21-Norm_Stats!$F$21)))))="",0,0.5)+IF((IF(OR(City_Inputs!$AI96="",Norm_Stats!$F$22="",Norm_Stats!$G$22="",Norm_Stats!$G$22=Norm_Stats!$F$22),"",MAX(0,MIN(100,100*(MIN(MAX(City_Inputs!$AI96,Norm_Stats!$F$22),Norm_Stats!$G$22)-Norm_Stats!$F$22)/(Norm_Stats!$G$22-Norm_Stats!$F$22)))))="",0,0.3)+IF((IF(OR(City_Inputs!$AJ96="",Norm_Stats!$F$23="",Norm_Stats!$G$23="",Norm_Stats!$G$23=Norm_Stats!$F$23),"",MAX(0,MIN(100,100*(MIN(MAX(City_Inputs!$AJ96,Norm_Stats!$F$23),Norm_Stats!$G$23)-Norm_Stats!$F$23)/(Norm_Stats!$G$23-Norm_Stats!$F$23)))))="",0,0.2)))</f>
        <v/>
      </c>
      <c r="AZ96" s="14">
        <f>IF((IF((IF(OR(City_Inputs!$AF96="",Norm_Stats!$F$21="",Norm_Stats!$G$21="",Norm_Stats!$G$21=Norm_Stats!$F$21),"",MAX(0,MIN(100,100*(MIN(MAX(City_Inputs!$AF96,Norm_Stats!$F$21),Norm_Stats!$G$21)-Norm_Stats!$F$21)/(Norm_Stats!$G$21-Norm_Stats!$F$21)))))="",0,0.5)+IF((IF(OR(City_Inputs!$AI96="",Norm_Stats!$F$22="",Norm_Stats!$G$22="",Norm_Stats!$G$22=Norm_Stats!$F$22),"",MAX(0,MIN(100,100*(MIN(MAX(City_Inputs!$AI96,Norm_Stats!$F$22),Norm_Stats!$G$22)-Norm_Stats!$F$22)/(Norm_Stats!$G$22-Norm_Stats!$F$22)))))="",0,0.3)+IF((IF(OR(City_Inputs!$AJ96="",Norm_Stats!$F$23="",Norm_Stats!$G$23="",Norm_Stats!$G$23=Norm_Stats!$F$23),"",MAX(0,MIN(100,100*(MIN(MAX(City_Inputs!$AJ96,Norm_Stats!$F$23),Norm_Stats!$G$23)-Norm_Stats!$F$23)/(Norm_Stats!$G$23-Norm_Stats!$F$23)))))="",0,0.2))=0,"",(IF((IF(OR(City_Inputs!$AF96="",Norm_Stats!$F$21="",Norm_Stats!$G$21="",Norm_Stats!$G$21=Norm_Stats!$F$21),"",MAX(0,MIN(100,100*(MIN(MAX(City_Inputs!$AF96,Norm_Stats!$F$21),Norm_Stats!$G$21)-Norm_Stats!$F$21)/(Norm_Stats!$G$21-Norm_Stats!$F$21)))))="",0,0.5)+IF((IF(OR(City_Inputs!$AI96="",Norm_Stats!$F$22="",Norm_Stats!$G$22="",Norm_Stats!$G$22=Norm_Stats!$F$22),"",MAX(0,MIN(100,100*(MIN(MAX(City_Inputs!$AI96,Norm_Stats!$F$22),Norm_Stats!$G$22)-Norm_Stats!$F$22)/(Norm_Stats!$G$22-Norm_Stats!$F$22)))))="",0,0.3)+IF((IF(OR(City_Inputs!$AJ96="",Norm_Stats!$F$23="",Norm_Stats!$G$23="",Norm_Stats!$G$23=Norm_Stats!$F$23),"",MAX(0,MIN(100,100*(MIN(MAX(City_Inputs!$AJ96,Norm_Stats!$F$23),Norm_Stats!$G$23)-Norm_Stats!$F$23)/(Norm_Stats!$G$23-Norm_Stats!$F$23)))))="",0,0.2)))</f>
        <v/>
      </c>
      <c r="BA96" s="11">
        <f>IF(OR(City_Inputs!$AG96="",Norm_Stats!$F$24="",Norm_Stats!$G$24="",Norm_Stats!$G$24=Norm_Stats!$F$24),"",MAX(0,MIN(100,100*(Norm_Stats!$G$24-MIN(MAX(City_Inputs!$AG96,Norm_Stats!$F$24),Norm_Stats!$G$24))/(Norm_Stats!$G$24-Norm_Stats!$F$24))))</f>
        <v/>
      </c>
      <c r="BB96" s="14">
        <f>IF(BA96="","",1)</f>
        <v/>
      </c>
      <c r="BC96" s="15">
        <f>IF((IF(AU96="",0,6)+IF(AW96="",0,5)+IF(AY96="",0,5)+IF(BA96="",0,4))=0,"",(IF(AU96="",0,AU96*6)+IF(AW96="",0,AW96*5)+IF(AY96="",0,AY96*5)+IF(BA96="",0,BA96*4))/(IF(AU96="",0,6)+IF(AW96="",0,5)+IF(AY96="",0,5)+IF(BA96="",0,4)))</f>
        <v/>
      </c>
      <c r="BD96" s="14">
        <f>IF((IF(AV96="",0,6)+IF(AX96="",0,5)+IF(AZ96="",0,5)+IF(BB96="",0,4))=0,"",(IF(AV96="",0,AV96*6)+IF(AX96="",0,AX96*5)+IF(AZ96="",0,AZ96*5)+IF(BB96="",0,BB96*4))/20)</f>
        <v/>
      </c>
      <c r="BE96" s="14">
        <f>IF(AND(R96="",AD96="",AL96="",AT96="",BD96=""),"",((R96*25)+(AD96*22)+(AL96*18)+(AT96*15)+(BD96*20))/100)</f>
        <v/>
      </c>
      <c r="BF96" s="11">
        <f>IF(BE96="","",IF(BE96&gt;=0.75,"A",IF(BE96&gt;=0.5,"B",IF(BE96&gt;=0.35,"C","Watchlist"))))</f>
        <v/>
      </c>
      <c r="BG96" s="11">
        <f>IF(OR(BE96="",BE96&lt;0.5,R96="",R96&lt;0.35,AD96="",AD96&lt;0.35,AL96="",AL96&lt;0.35,AT96="",AT96&lt;0.35,BD96="",BD96&lt;0.35),"Watchlist","Ranked")</f>
        <v/>
      </c>
      <c r="BH96" s="15">
        <f>IF(AND(Q96="",AC96="",AK96="",AS96="",BC96=""),"",(IF(Q96="",0,Q96*25)+IF(AC96="",0,AC96*22)+IF(AK96="",0,AK96*18)+IF(AS96="",0,AS96*15)+IF(BC96="",0,BC96*20))/(IF(Q96="",0,25)+IF(AC96="",0,22)+IF(AK96="",0,18)+IF(AS96="",0,15)+IF(BC96="",0,20)))</f>
        <v/>
      </c>
      <c r="BI96" s="11">
        <f>IF(BG96="Ranked",1+COUNTIFS($BG$2:$BG$103,"Ranked",$BH$2:$BH$103,"&gt;"&amp;BH96),"")</f>
        <v/>
      </c>
      <c r="BJ96" s="11">
        <f>City_Inputs!$AH96</f>
        <v/>
      </c>
    </row>
    <row r="97">
      <c r="A97" t="inlineStr">
        <is>
          <t>au-brisbane</t>
        </is>
      </c>
      <c r="B97" t="inlineStr">
        <is>
          <t>Brisbane</t>
        </is>
      </c>
      <c r="C97" t="inlineStr">
        <is>
          <t>Australia</t>
        </is>
      </c>
      <c r="D97" t="inlineStr">
        <is>
          <t>Oceania</t>
        </is>
      </c>
      <c r="E97" t="inlineStr">
        <is>
          <t>locked</t>
        </is>
      </c>
      <c r="F97" t="inlineStr">
        <is>
          <t>primary</t>
        </is>
      </c>
      <c r="G97" s="11">
        <f>IF(OR(City_Inputs!$M97="",Norm_Stats!$F$2="",Norm_Stats!$G$2="",Norm_Stats!$G$2=Norm_Stats!$F$2),"",MAX(0,MIN(100,100*(MIN(MAX(City_Inputs!$M97,Norm_Stats!$F$2),Norm_Stats!$G$2)-Norm_Stats!$F$2)/(Norm_Stats!$G$2-Norm_Stats!$F$2))))</f>
        <v/>
      </c>
      <c r="H97" s="14">
        <f>IF(G97="","",1)</f>
        <v/>
      </c>
      <c r="I97" s="11">
        <f>IF(OR(City_Inputs!$N97="",Norm_Stats!$F$3="",Norm_Stats!$G$3="",Norm_Stats!$G$3=Norm_Stats!$F$3),"",MAX(0,MIN(100,100*(Norm_Stats!$G$3-MIN(MAX(City_Inputs!$N97,Norm_Stats!$F$3),Norm_Stats!$G$3))/(Norm_Stats!$G$3-Norm_Stats!$F$3))))</f>
        <v/>
      </c>
      <c r="J97" s="14">
        <f>IF(I97="","",1)</f>
        <v/>
      </c>
      <c r="K97" s="11">
        <f>IF(OR(City_Inputs!$P97="",Norm_Stats!$F$4="",Norm_Stats!$G$4="",Norm_Stats!$G$4=Norm_Stats!$F$4),"",MAX(0,MIN(100,100*(Norm_Stats!$G$4-MIN(MAX(City_Inputs!$P97,Norm_Stats!$F$4),Norm_Stats!$G$4))/(Norm_Stats!$G$4-Norm_Stats!$F$4))))</f>
        <v/>
      </c>
      <c r="L97" s="14">
        <f>IF(K97="","",1)</f>
        <v/>
      </c>
      <c r="M97" s="11">
        <f>IF(OR(City_Inputs!$Q97="",Norm_Stats!$F$5="",Norm_Stats!$G$5="",Norm_Stats!$G$5=Norm_Stats!$F$5),"",MAX(0,MIN(100,100*(Norm_Stats!$G$5-MIN(MAX(City_Inputs!$Q97,Norm_Stats!$F$5),Norm_Stats!$G$5))/(Norm_Stats!$G$5-Norm_Stats!$F$5))))</f>
        <v/>
      </c>
      <c r="N97" s="14">
        <f>IF(M97="","",1)</f>
        <v/>
      </c>
      <c r="O97" s="11">
        <f>IF(OR(City_Inputs!$R97="",Norm_Stats!$F$6="",Norm_Stats!$G$6="",Norm_Stats!$G$6=Norm_Stats!$F$6),"",MAX(0,MIN(100,100*(Norm_Stats!$G$6-MIN(MAX(City_Inputs!$R97,Norm_Stats!$F$6),Norm_Stats!$G$6))/(Norm_Stats!$G$6-Norm_Stats!$F$6))))</f>
        <v/>
      </c>
      <c r="P97" s="14">
        <f>IF(O97="","",1)</f>
        <v/>
      </c>
      <c r="Q97" s="15">
        <f>IF((IF(G97="",0,9)+IF(I97="",0,5)+IF(K97="",0,4)+IF(M97="",0,4)+IF(O97="",0,3))=0,"",(IF(G97="",0,G97*9)+IF(I97="",0,I97*5)+IF(K97="",0,K97*4)+IF(M97="",0,M97*4)+IF(O97="",0,O97*3))/(IF(G97="",0,9)+IF(I97="",0,5)+IF(K97="",0,4)+IF(M97="",0,4)+IF(O97="",0,3)))</f>
        <v/>
      </c>
      <c r="R97" s="14">
        <f>IF((IF(H97="",0,9)+IF(J97="",0,5)+IF(L97="",0,4)+IF(N97="",0,4)+IF(P97="",0,3))=0,"",(IF(H97="",0,H97*9)+IF(J97="",0,J97*5)+IF(L97="",0,L97*4)+IF(N97="",0,N97*4)+IF(P97="",0,P97*3))/25)</f>
        <v/>
      </c>
      <c r="S97" s="11">
        <f>IF(OR(City_Inputs!$S97="",Norm_Stats!$F$7="",Norm_Stats!$G$7="",Norm_Stats!$G$7=Norm_Stats!$F$7),"",MAX(0,MIN(100,100*(Norm_Stats!$G$7-MIN(MAX(City_Inputs!$S97,Norm_Stats!$F$7),Norm_Stats!$G$7))/(Norm_Stats!$G$7-Norm_Stats!$F$7))))</f>
        <v/>
      </c>
      <c r="T97" s="14">
        <f>IF(S97="","",1)</f>
        <v/>
      </c>
      <c r="U97" s="11">
        <f>IF(OR(City_Inputs!$T97="",Norm_Stats!$F$8="",Norm_Stats!$G$8="",Norm_Stats!$G$8=Norm_Stats!$F$8),"",MAX(0,MIN(100,100*(MIN(MAX(City_Inputs!$T97,Norm_Stats!$F$8),Norm_Stats!$G$8)-Norm_Stats!$F$8)/(Norm_Stats!$G$8-Norm_Stats!$F$8))))</f>
        <v/>
      </c>
      <c r="V97" s="14">
        <f>IF(U97="","",1)</f>
        <v/>
      </c>
      <c r="W97" s="11">
        <f>IF(OR(City_Inputs!$U97="",Norm_Stats!$F$9="",Norm_Stats!$G$9="",Norm_Stats!$G$9=Norm_Stats!$F$9),"",MAX(0,MIN(100,100*(Norm_Stats!$G$9-MIN(MAX(City_Inputs!$U97,Norm_Stats!$F$9),Norm_Stats!$G$9))/(Norm_Stats!$G$9-Norm_Stats!$F$9))))</f>
        <v/>
      </c>
      <c r="X97" s="14">
        <f>IF(W97="","",1)</f>
        <v/>
      </c>
      <c r="Y97" s="11">
        <f>IF(OR(City_Inputs!$V97="",Norm_Stats!$F$10="",Norm_Stats!$G$10="",Norm_Stats!$G$10=Norm_Stats!$F$10),"",MAX(0,MIN(100,100*(MIN(MAX(City_Inputs!$V97,Norm_Stats!$F$10),Norm_Stats!$G$10)-Norm_Stats!$F$10)/(Norm_Stats!$G$10-Norm_Stats!$F$10))))</f>
        <v/>
      </c>
      <c r="Z97" s="14">
        <f>IF(Y97="","",1)</f>
        <v/>
      </c>
      <c r="AA97" s="11">
        <f>IF(OR(City_Inputs!$W97="",Norm_Stats!$F$11="",Norm_Stats!$G$11="",Norm_Stats!$G$11=Norm_Stats!$F$11),"",MAX(0,MIN(100,100*(MIN(MAX(City_Inputs!$W97,Norm_Stats!$F$11),Norm_Stats!$G$11)-Norm_Stats!$F$11)/(Norm_Stats!$G$11-Norm_Stats!$F$11))))</f>
        <v/>
      </c>
      <c r="AB97" s="14">
        <f>IF(AA97="","",1)</f>
        <v/>
      </c>
      <c r="AC97" s="15">
        <f>IF((IF(S97="",0,5)+IF(U97="",0,5)+IF(W97="",0,4)+IF(Y97="",0,4)+IF(AA97="",0,4))=0,"",(IF(S97="",0,S97*5)+IF(U97="",0,U97*5)+IF(W97="",0,W97*4)+IF(Y97="",0,Y97*4)+IF(AA97="",0,AA97*4))/(IF(S97="",0,5)+IF(U97="",0,5)+IF(W97="",0,4)+IF(Y97="",0,4)+IF(AA97="",0,4)))</f>
        <v/>
      </c>
      <c r="AD97" s="14">
        <f>IF((IF(T97="",0,5)+IF(V97="",0,5)+IF(X97="",0,4)+IF(Z97="",0,4)+IF(AB97="",0,4))=0,"",(IF(T97="",0,T97*5)+IF(V97="",0,V97*5)+IF(X97="",0,X97*4)+IF(Z97="",0,Z97*4)+IF(AB97="",0,AB97*4))/22)</f>
        <v/>
      </c>
      <c r="AE97" s="11">
        <f>IF(OR(City_Inputs!$X97="",Norm_Stats!$F$12="",Norm_Stats!$G$12="",Norm_Stats!$G$12=Norm_Stats!$F$12),"",MAX(0,MIN(100,100*(MIN(MAX(City_Inputs!$X97,Norm_Stats!$F$12),Norm_Stats!$G$12)-Norm_Stats!$F$12)/(Norm_Stats!$G$12-Norm_Stats!$F$12))))</f>
        <v/>
      </c>
      <c r="AF97" s="14">
        <f>IF(AE97="","",1)</f>
        <v/>
      </c>
      <c r="AG97" s="11">
        <f>IF(OR(City_Inputs!$Y97="",Norm_Stats!$F$13="",Norm_Stats!$G$13="",Norm_Stats!$G$13=Norm_Stats!$F$13),"",MAX(0,MIN(100,100*(MIN(MAX(City_Inputs!$Y97,Norm_Stats!$F$13),Norm_Stats!$G$13)-Norm_Stats!$F$13)/(Norm_Stats!$G$13-Norm_Stats!$F$13))))</f>
        <v/>
      </c>
      <c r="AH97" s="14">
        <f>IF(AG97="","",1)</f>
        <v/>
      </c>
      <c r="AI97" s="11">
        <f>IF((IF((IF(OR(City_Inputs!$Z97="",Norm_Stats!$F$14="",Norm_Stats!$G$14="",Norm_Stats!$G$14=Norm_Stats!$F$14),"",MAX(0,MIN(100,100*(MIN(MAX(City_Inputs!$Z97,Norm_Stats!$F$14),Norm_Stats!$G$14)-Norm_Stats!$F$14)/(Norm_Stats!$G$14-Norm_Stats!$F$14)))))="",0,0.7)+IF((IF(OR(City_Inputs!$AK97="",Norm_Stats!$F$15="",Norm_Stats!$G$15="",Norm_Stats!$G$15=Norm_Stats!$F$15),"",MAX(0,MIN(100,100*(Norm_Stats!$G$15-MIN(MAX(City_Inputs!$AK97,Norm_Stats!$F$15),Norm_Stats!$G$15))/(Norm_Stats!$G$15-Norm_Stats!$F$15)))))="",0,0.3))=0,"",(IF((IF(OR(City_Inputs!$Z97="",Norm_Stats!$F$14="",Norm_Stats!$G$14="",Norm_Stats!$G$14=Norm_Stats!$F$14),"",MAX(0,MIN(100,100*(MIN(MAX(City_Inputs!$Z97,Norm_Stats!$F$14),Norm_Stats!$G$14)-Norm_Stats!$F$14)/(Norm_Stats!$G$14-Norm_Stats!$F$14)))))="",0,(IF(OR(City_Inputs!$Z97="",Norm_Stats!$F$14="",Norm_Stats!$G$14="",Norm_Stats!$G$14=Norm_Stats!$F$14),"",MAX(0,MIN(100,100*(MIN(MAX(City_Inputs!$Z97,Norm_Stats!$F$14),Norm_Stats!$G$14)-Norm_Stats!$F$14)/(Norm_Stats!$G$14-Norm_Stats!$F$14)))))*0.7)+IF((IF(OR(City_Inputs!$AK97="",Norm_Stats!$F$15="",Norm_Stats!$G$15="",Norm_Stats!$G$15=Norm_Stats!$F$15),"",MAX(0,MIN(100,100*(Norm_Stats!$G$15-MIN(MAX(City_Inputs!$AK97,Norm_Stats!$F$15),Norm_Stats!$G$15))/(Norm_Stats!$G$15-Norm_Stats!$F$15)))))="",0,(IF(OR(City_Inputs!$AK97="",Norm_Stats!$F$15="",Norm_Stats!$G$15="",Norm_Stats!$G$15=Norm_Stats!$F$15),"",MAX(0,MIN(100,100*(Norm_Stats!$G$15-MIN(MAX(City_Inputs!$AK97,Norm_Stats!$F$15),Norm_Stats!$G$15))/(Norm_Stats!$G$15-Norm_Stats!$F$15)))))*0.3))/(IF((IF(OR(City_Inputs!$Z97="",Norm_Stats!$F$14="",Norm_Stats!$G$14="",Norm_Stats!$G$14=Norm_Stats!$F$14),"",MAX(0,MIN(100,100*(MIN(MAX(City_Inputs!$Z97,Norm_Stats!$F$14),Norm_Stats!$G$14)-Norm_Stats!$F$14)/(Norm_Stats!$G$14-Norm_Stats!$F$14)))))="",0,0.7)+IF((IF(OR(City_Inputs!$AK97="",Norm_Stats!$F$15="",Norm_Stats!$G$15="",Norm_Stats!$G$15=Norm_Stats!$F$15),"",MAX(0,MIN(100,100*(Norm_Stats!$G$15-MIN(MAX(City_Inputs!$AK97,Norm_Stats!$F$15),Norm_Stats!$G$15))/(Norm_Stats!$G$15-Norm_Stats!$F$15)))))="",0,0.3)))</f>
        <v/>
      </c>
      <c r="AJ97" s="14">
        <f>IF((IF((IF(OR(City_Inputs!$Z97="",Norm_Stats!$F$14="",Norm_Stats!$G$14="",Norm_Stats!$G$14=Norm_Stats!$F$14),"",MAX(0,MIN(100,100*(MIN(MAX(City_Inputs!$Z97,Norm_Stats!$F$14),Norm_Stats!$G$14)-Norm_Stats!$F$14)/(Norm_Stats!$G$14-Norm_Stats!$F$14)))))="",0,0.7)+IF((IF(OR(City_Inputs!$AK97="",Norm_Stats!$F$15="",Norm_Stats!$G$15="",Norm_Stats!$G$15=Norm_Stats!$F$15),"",MAX(0,MIN(100,100*(Norm_Stats!$G$15-MIN(MAX(City_Inputs!$AK97,Norm_Stats!$F$15),Norm_Stats!$G$15))/(Norm_Stats!$G$15-Norm_Stats!$F$15)))))="",0,0.3))=0,"",(IF((IF(OR(City_Inputs!$Z97="",Norm_Stats!$F$14="",Norm_Stats!$G$14="",Norm_Stats!$G$14=Norm_Stats!$F$14),"",MAX(0,MIN(100,100*(MIN(MAX(City_Inputs!$Z97,Norm_Stats!$F$14),Norm_Stats!$G$14)-Norm_Stats!$F$14)/(Norm_Stats!$G$14-Norm_Stats!$F$14)))))="",0,0.7)+IF((IF(OR(City_Inputs!$AK97="",Norm_Stats!$F$15="",Norm_Stats!$G$15="",Norm_Stats!$G$15=Norm_Stats!$F$15),"",MAX(0,MIN(100,100*(Norm_Stats!$G$15-MIN(MAX(City_Inputs!$AK97,Norm_Stats!$F$15),Norm_Stats!$G$15))/(Norm_Stats!$G$15-Norm_Stats!$F$15)))))="",0,0.3)))</f>
        <v/>
      </c>
      <c r="AK97" s="15">
        <f>IF((IF(AE97="",0,8)+IF(AG97="",0,6)+IF(AI97="",0,4))=0,"",(IF(AE97="",0,AE97*8)+IF(AG97="",0,AG97*6)+IF(AI97="",0,AI97*4))/(IF(AE97="",0,8)+IF(AG97="",0,6)+IF(AI97="",0,4)))</f>
        <v/>
      </c>
      <c r="AL97" s="14">
        <f>IF((IF(AF97="",0,8)+IF(AH97="",0,6)+IF(AJ97="",0,4))=0,"",(IF(AF97="",0,AF97*8)+IF(AH97="",0,AH97*6)+IF(AJ97="",0,AJ97*4))/18)</f>
        <v/>
      </c>
      <c r="AM97" s="11">
        <f>IF(OR(City_Inputs!$AA97="",Norm_Stats!$F$16="",Norm_Stats!$G$16="",Norm_Stats!$G$16=Norm_Stats!$F$16),"",MAX(0,MIN(100,100*(MIN(MAX(City_Inputs!$AA97,Norm_Stats!$F$16),Norm_Stats!$G$16)-Norm_Stats!$F$16)/(Norm_Stats!$G$16-Norm_Stats!$F$16))))</f>
        <v/>
      </c>
      <c r="AN97" s="14">
        <f>IF(AM97="","",1)</f>
        <v/>
      </c>
      <c r="AO97" s="11">
        <f>IF(OR(City_Inputs!$AB97="",Norm_Stats!$F$17="",Norm_Stats!$G$17="",Norm_Stats!$G$17=Norm_Stats!$F$17),"",MAX(0,MIN(100,100*(MIN(MAX(City_Inputs!$AB97,Norm_Stats!$F$17),Norm_Stats!$G$17)-Norm_Stats!$F$17)/(Norm_Stats!$G$17-Norm_Stats!$F$17))))</f>
        <v/>
      </c>
      <c r="AP97" s="14">
        <f>IF(AO97="","",1)</f>
        <v/>
      </c>
      <c r="AQ97" s="11">
        <f>IF(OR(City_Inputs!$AC97="",Norm_Stats!$F$18="",Norm_Stats!$G$18="",Norm_Stats!$G$18=Norm_Stats!$F$18),"",MAX(0,MIN(100,100*(MIN(MAX(City_Inputs!$AC97,Norm_Stats!$F$18),Norm_Stats!$G$18)-Norm_Stats!$F$18)/(Norm_Stats!$G$18-Norm_Stats!$F$18))))</f>
        <v/>
      </c>
      <c r="AR97" s="14">
        <f>IF(AQ97="","",1)</f>
        <v/>
      </c>
      <c r="AS97" s="15">
        <f>IF((IF(AM97="",0,5)+IF(AO97="",0,5)+IF(AQ97="",0,5))=0,"",(IF(AM97="",0,AM97*5)+IF(AO97="",0,AO97*5)+IF(AQ97="",0,AQ97*5))/(IF(AM97="",0,5)+IF(AO97="",0,5)+IF(AQ97="",0,5)))</f>
        <v/>
      </c>
      <c r="AT97" s="14">
        <f>IF((IF(AN97="",0,5)+IF(AP97="",0,5)+IF(AR97="",0,5))=0,"",(IF(AN97="",0,AN97*5)+IF(AP97="",0,AP97*5)+IF(AR97="",0,AR97*5))/15)</f>
        <v/>
      </c>
      <c r="AU97" s="11">
        <f>IF(OR(City_Inputs!$AD97="",Norm_Stats!$F$19="",Norm_Stats!$G$19="",Norm_Stats!$G$19=Norm_Stats!$F$19),"",MAX(0,MIN(100,100*(MIN(MAX(City_Inputs!$AD97,Norm_Stats!$F$19),Norm_Stats!$G$19)-Norm_Stats!$F$19)/(Norm_Stats!$G$19-Norm_Stats!$F$19))))</f>
        <v/>
      </c>
      <c r="AV97" s="14">
        <f>IF(AU97="","",1)</f>
        <v/>
      </c>
      <c r="AW97" s="11">
        <f>IF(OR(City_Inputs!$AE97="",Norm_Stats!$F$20="",Norm_Stats!$G$20="",Norm_Stats!$G$20=Norm_Stats!$F$20),"",MAX(0,MIN(100,100*(MIN(MAX(City_Inputs!$AE97,Norm_Stats!$F$20),Norm_Stats!$G$20)-Norm_Stats!$F$20)/(Norm_Stats!$G$20-Norm_Stats!$F$20))))</f>
        <v/>
      </c>
      <c r="AX97" s="14">
        <f>IF(AW97="","",1)</f>
        <v/>
      </c>
      <c r="AY97" s="11">
        <f>IF((IF((IF(OR(City_Inputs!$AF97="",Norm_Stats!$F$21="",Norm_Stats!$G$21="",Norm_Stats!$G$21=Norm_Stats!$F$21),"",MAX(0,MIN(100,100*(MIN(MAX(City_Inputs!$AF97,Norm_Stats!$F$21),Norm_Stats!$G$21)-Norm_Stats!$F$21)/(Norm_Stats!$G$21-Norm_Stats!$F$21)))))="",0,0.5)+IF((IF(OR(City_Inputs!$AI97="",Norm_Stats!$F$22="",Norm_Stats!$G$22="",Norm_Stats!$G$22=Norm_Stats!$F$22),"",MAX(0,MIN(100,100*(MIN(MAX(City_Inputs!$AI97,Norm_Stats!$F$22),Norm_Stats!$G$22)-Norm_Stats!$F$22)/(Norm_Stats!$G$22-Norm_Stats!$F$22)))))="",0,0.3)+IF((IF(OR(City_Inputs!$AJ97="",Norm_Stats!$F$23="",Norm_Stats!$G$23="",Norm_Stats!$G$23=Norm_Stats!$F$23),"",MAX(0,MIN(100,100*(MIN(MAX(City_Inputs!$AJ97,Norm_Stats!$F$23),Norm_Stats!$G$23)-Norm_Stats!$F$23)/(Norm_Stats!$G$23-Norm_Stats!$F$23)))))="",0,0.2))=0,"",(IF((IF(OR(City_Inputs!$AF97="",Norm_Stats!$F$21="",Norm_Stats!$G$21="",Norm_Stats!$G$21=Norm_Stats!$F$21),"",MAX(0,MIN(100,100*(MIN(MAX(City_Inputs!$AF97,Norm_Stats!$F$21),Norm_Stats!$G$21)-Norm_Stats!$F$21)/(Norm_Stats!$G$21-Norm_Stats!$F$21)))))="",0,(IF(OR(City_Inputs!$AF97="",Norm_Stats!$F$21="",Norm_Stats!$G$21="",Norm_Stats!$G$21=Norm_Stats!$F$21),"",MAX(0,MIN(100,100*(MIN(MAX(City_Inputs!$AF97,Norm_Stats!$F$21),Norm_Stats!$G$21)-Norm_Stats!$F$21)/(Norm_Stats!$G$21-Norm_Stats!$F$21)))))*0.5)+IF((IF(OR(City_Inputs!$AI97="",Norm_Stats!$F$22="",Norm_Stats!$G$22="",Norm_Stats!$G$22=Norm_Stats!$F$22),"",MAX(0,MIN(100,100*(MIN(MAX(City_Inputs!$AI97,Norm_Stats!$F$22),Norm_Stats!$G$22)-Norm_Stats!$F$22)/(Norm_Stats!$G$22-Norm_Stats!$F$22)))))="",0,(IF(OR(City_Inputs!$AI97="",Norm_Stats!$F$22="",Norm_Stats!$G$22="",Norm_Stats!$G$22=Norm_Stats!$F$22),"",MAX(0,MIN(100,100*(MIN(MAX(City_Inputs!$AI97,Norm_Stats!$F$22),Norm_Stats!$G$22)-Norm_Stats!$F$22)/(Norm_Stats!$G$22-Norm_Stats!$F$22)))))*0.3)+IF((IF(OR(City_Inputs!$AJ97="",Norm_Stats!$F$23="",Norm_Stats!$G$23="",Norm_Stats!$G$23=Norm_Stats!$F$23),"",MAX(0,MIN(100,100*(MIN(MAX(City_Inputs!$AJ97,Norm_Stats!$F$23),Norm_Stats!$G$23)-Norm_Stats!$F$23)/(Norm_Stats!$G$23-Norm_Stats!$F$23)))))="",0,(IF(OR(City_Inputs!$AJ97="",Norm_Stats!$F$23="",Norm_Stats!$G$23="",Norm_Stats!$G$23=Norm_Stats!$F$23),"",MAX(0,MIN(100,100*(MIN(MAX(City_Inputs!$AJ97,Norm_Stats!$F$23),Norm_Stats!$G$23)-Norm_Stats!$F$23)/(Norm_Stats!$G$23-Norm_Stats!$F$23)))))*0.2))/(IF((IF(OR(City_Inputs!$AF97="",Norm_Stats!$F$21="",Norm_Stats!$G$21="",Norm_Stats!$G$21=Norm_Stats!$F$21),"",MAX(0,MIN(100,100*(MIN(MAX(City_Inputs!$AF97,Norm_Stats!$F$21),Norm_Stats!$G$21)-Norm_Stats!$F$21)/(Norm_Stats!$G$21-Norm_Stats!$F$21)))))="",0,0.5)+IF((IF(OR(City_Inputs!$AI97="",Norm_Stats!$F$22="",Norm_Stats!$G$22="",Norm_Stats!$G$22=Norm_Stats!$F$22),"",MAX(0,MIN(100,100*(MIN(MAX(City_Inputs!$AI97,Norm_Stats!$F$22),Norm_Stats!$G$22)-Norm_Stats!$F$22)/(Norm_Stats!$G$22-Norm_Stats!$F$22)))))="",0,0.3)+IF((IF(OR(City_Inputs!$AJ97="",Norm_Stats!$F$23="",Norm_Stats!$G$23="",Norm_Stats!$G$23=Norm_Stats!$F$23),"",MAX(0,MIN(100,100*(MIN(MAX(City_Inputs!$AJ97,Norm_Stats!$F$23),Norm_Stats!$G$23)-Norm_Stats!$F$23)/(Norm_Stats!$G$23-Norm_Stats!$F$23)))))="",0,0.2)))</f>
        <v/>
      </c>
      <c r="AZ97" s="14">
        <f>IF((IF((IF(OR(City_Inputs!$AF97="",Norm_Stats!$F$21="",Norm_Stats!$G$21="",Norm_Stats!$G$21=Norm_Stats!$F$21),"",MAX(0,MIN(100,100*(MIN(MAX(City_Inputs!$AF97,Norm_Stats!$F$21),Norm_Stats!$G$21)-Norm_Stats!$F$21)/(Norm_Stats!$G$21-Norm_Stats!$F$21)))))="",0,0.5)+IF((IF(OR(City_Inputs!$AI97="",Norm_Stats!$F$22="",Norm_Stats!$G$22="",Norm_Stats!$G$22=Norm_Stats!$F$22),"",MAX(0,MIN(100,100*(MIN(MAX(City_Inputs!$AI97,Norm_Stats!$F$22),Norm_Stats!$G$22)-Norm_Stats!$F$22)/(Norm_Stats!$G$22-Norm_Stats!$F$22)))))="",0,0.3)+IF((IF(OR(City_Inputs!$AJ97="",Norm_Stats!$F$23="",Norm_Stats!$G$23="",Norm_Stats!$G$23=Norm_Stats!$F$23),"",MAX(0,MIN(100,100*(MIN(MAX(City_Inputs!$AJ97,Norm_Stats!$F$23),Norm_Stats!$G$23)-Norm_Stats!$F$23)/(Norm_Stats!$G$23-Norm_Stats!$F$23)))))="",0,0.2))=0,"",(IF((IF(OR(City_Inputs!$AF97="",Norm_Stats!$F$21="",Norm_Stats!$G$21="",Norm_Stats!$G$21=Norm_Stats!$F$21),"",MAX(0,MIN(100,100*(MIN(MAX(City_Inputs!$AF97,Norm_Stats!$F$21),Norm_Stats!$G$21)-Norm_Stats!$F$21)/(Norm_Stats!$G$21-Norm_Stats!$F$21)))))="",0,0.5)+IF((IF(OR(City_Inputs!$AI97="",Norm_Stats!$F$22="",Norm_Stats!$G$22="",Norm_Stats!$G$22=Norm_Stats!$F$22),"",MAX(0,MIN(100,100*(MIN(MAX(City_Inputs!$AI97,Norm_Stats!$F$22),Norm_Stats!$G$22)-Norm_Stats!$F$22)/(Norm_Stats!$G$22-Norm_Stats!$F$22)))))="",0,0.3)+IF((IF(OR(City_Inputs!$AJ97="",Norm_Stats!$F$23="",Norm_Stats!$G$23="",Norm_Stats!$G$23=Norm_Stats!$F$23),"",MAX(0,MIN(100,100*(MIN(MAX(City_Inputs!$AJ97,Norm_Stats!$F$23),Norm_Stats!$G$23)-Norm_Stats!$F$23)/(Norm_Stats!$G$23-Norm_Stats!$F$23)))))="",0,0.2)))</f>
        <v/>
      </c>
      <c r="BA97" s="11">
        <f>IF(OR(City_Inputs!$AG97="",Norm_Stats!$F$24="",Norm_Stats!$G$24="",Norm_Stats!$G$24=Norm_Stats!$F$24),"",MAX(0,MIN(100,100*(Norm_Stats!$G$24-MIN(MAX(City_Inputs!$AG97,Norm_Stats!$F$24),Norm_Stats!$G$24))/(Norm_Stats!$G$24-Norm_Stats!$F$24))))</f>
        <v/>
      </c>
      <c r="BB97" s="14">
        <f>IF(BA97="","",1)</f>
        <v/>
      </c>
      <c r="BC97" s="15">
        <f>IF((IF(AU97="",0,6)+IF(AW97="",0,5)+IF(AY97="",0,5)+IF(BA97="",0,4))=0,"",(IF(AU97="",0,AU97*6)+IF(AW97="",0,AW97*5)+IF(AY97="",0,AY97*5)+IF(BA97="",0,BA97*4))/(IF(AU97="",0,6)+IF(AW97="",0,5)+IF(AY97="",0,5)+IF(BA97="",0,4)))</f>
        <v/>
      </c>
      <c r="BD97" s="14">
        <f>IF((IF(AV97="",0,6)+IF(AX97="",0,5)+IF(AZ97="",0,5)+IF(BB97="",0,4))=0,"",(IF(AV97="",0,AV97*6)+IF(AX97="",0,AX97*5)+IF(AZ97="",0,AZ97*5)+IF(BB97="",0,BB97*4))/20)</f>
        <v/>
      </c>
      <c r="BE97" s="14">
        <f>IF(AND(R97="",AD97="",AL97="",AT97="",BD97=""),"",((R97*25)+(AD97*22)+(AL97*18)+(AT97*15)+(BD97*20))/100)</f>
        <v/>
      </c>
      <c r="BF97" s="11">
        <f>IF(BE97="","",IF(BE97&gt;=0.75,"A",IF(BE97&gt;=0.5,"B",IF(BE97&gt;=0.35,"C","Watchlist"))))</f>
        <v/>
      </c>
      <c r="BG97" s="11">
        <f>IF(OR(BE97="",BE97&lt;0.5,R97="",R97&lt;0.35,AD97="",AD97&lt;0.35,AL97="",AL97&lt;0.35,AT97="",AT97&lt;0.35,BD97="",BD97&lt;0.35),"Watchlist","Ranked")</f>
        <v/>
      </c>
      <c r="BH97" s="15">
        <f>IF(AND(Q97="",AC97="",AK97="",AS97="",BC97=""),"",(IF(Q97="",0,Q97*25)+IF(AC97="",0,AC97*22)+IF(AK97="",0,AK97*18)+IF(AS97="",0,AS97*15)+IF(BC97="",0,BC97*20))/(IF(Q97="",0,25)+IF(AC97="",0,22)+IF(AK97="",0,18)+IF(AS97="",0,15)+IF(BC97="",0,20)))</f>
        <v/>
      </c>
      <c r="BI97" s="11">
        <f>IF(BG97="Ranked",1+COUNTIFS($BG$2:$BG$103,"Ranked",$BH$2:$BH$103,"&gt;"&amp;BH97),"")</f>
        <v/>
      </c>
      <c r="BJ97" s="11">
        <f>City_Inputs!$AH97</f>
        <v/>
      </c>
    </row>
    <row r="98">
      <c r="A98" t="inlineStr">
        <is>
          <t>nz-wellington</t>
        </is>
      </c>
      <c r="B98" t="inlineStr">
        <is>
          <t>Wellington</t>
        </is>
      </c>
      <c r="C98" t="inlineStr">
        <is>
          <t>New Zealand</t>
        </is>
      </c>
      <c r="D98" t="inlineStr">
        <is>
          <t>Oceania</t>
        </is>
      </c>
      <c r="E98" t="inlineStr">
        <is>
          <t>locked</t>
        </is>
      </c>
      <c r="F98" t="inlineStr">
        <is>
          <t>primary</t>
        </is>
      </c>
      <c r="G98" s="11">
        <f>IF(OR(City_Inputs!$M98="",Norm_Stats!$F$2="",Norm_Stats!$G$2="",Norm_Stats!$G$2=Norm_Stats!$F$2),"",MAX(0,MIN(100,100*(MIN(MAX(City_Inputs!$M98,Norm_Stats!$F$2),Norm_Stats!$G$2)-Norm_Stats!$F$2)/(Norm_Stats!$G$2-Norm_Stats!$F$2))))</f>
        <v/>
      </c>
      <c r="H98" s="14">
        <f>IF(G98="","",1)</f>
        <v/>
      </c>
      <c r="I98" s="11">
        <f>IF(OR(City_Inputs!$N98="",Norm_Stats!$F$3="",Norm_Stats!$G$3="",Norm_Stats!$G$3=Norm_Stats!$F$3),"",MAX(0,MIN(100,100*(Norm_Stats!$G$3-MIN(MAX(City_Inputs!$N98,Norm_Stats!$F$3),Norm_Stats!$G$3))/(Norm_Stats!$G$3-Norm_Stats!$F$3))))</f>
        <v/>
      </c>
      <c r="J98" s="14">
        <f>IF(I98="","",1)</f>
        <v/>
      </c>
      <c r="K98" s="11">
        <f>IF(OR(City_Inputs!$P98="",Norm_Stats!$F$4="",Norm_Stats!$G$4="",Norm_Stats!$G$4=Norm_Stats!$F$4),"",MAX(0,MIN(100,100*(Norm_Stats!$G$4-MIN(MAX(City_Inputs!$P98,Norm_Stats!$F$4),Norm_Stats!$G$4))/(Norm_Stats!$G$4-Norm_Stats!$F$4))))</f>
        <v/>
      </c>
      <c r="L98" s="14">
        <f>IF(K98="","",1)</f>
        <v/>
      </c>
      <c r="M98" s="11">
        <f>IF(OR(City_Inputs!$Q98="",Norm_Stats!$F$5="",Norm_Stats!$G$5="",Norm_Stats!$G$5=Norm_Stats!$F$5),"",MAX(0,MIN(100,100*(Norm_Stats!$G$5-MIN(MAX(City_Inputs!$Q98,Norm_Stats!$F$5),Norm_Stats!$G$5))/(Norm_Stats!$G$5-Norm_Stats!$F$5))))</f>
        <v/>
      </c>
      <c r="N98" s="14">
        <f>IF(M98="","",1)</f>
        <v/>
      </c>
      <c r="O98" s="11">
        <f>IF(OR(City_Inputs!$R98="",Norm_Stats!$F$6="",Norm_Stats!$G$6="",Norm_Stats!$G$6=Norm_Stats!$F$6),"",MAX(0,MIN(100,100*(Norm_Stats!$G$6-MIN(MAX(City_Inputs!$R98,Norm_Stats!$F$6),Norm_Stats!$G$6))/(Norm_Stats!$G$6-Norm_Stats!$F$6))))</f>
        <v/>
      </c>
      <c r="P98" s="14">
        <f>IF(O98="","",1)</f>
        <v/>
      </c>
      <c r="Q98" s="15">
        <f>IF((IF(G98="",0,9)+IF(I98="",0,5)+IF(K98="",0,4)+IF(M98="",0,4)+IF(O98="",0,3))=0,"",(IF(G98="",0,G98*9)+IF(I98="",0,I98*5)+IF(K98="",0,K98*4)+IF(M98="",0,M98*4)+IF(O98="",0,O98*3))/(IF(G98="",0,9)+IF(I98="",0,5)+IF(K98="",0,4)+IF(M98="",0,4)+IF(O98="",0,3)))</f>
        <v/>
      </c>
      <c r="R98" s="14">
        <f>IF((IF(H98="",0,9)+IF(J98="",0,5)+IF(L98="",0,4)+IF(N98="",0,4)+IF(P98="",0,3))=0,"",(IF(H98="",0,H98*9)+IF(J98="",0,J98*5)+IF(L98="",0,L98*4)+IF(N98="",0,N98*4)+IF(P98="",0,P98*3))/25)</f>
        <v/>
      </c>
      <c r="S98" s="11">
        <f>IF(OR(City_Inputs!$S98="",Norm_Stats!$F$7="",Norm_Stats!$G$7="",Norm_Stats!$G$7=Norm_Stats!$F$7),"",MAX(0,MIN(100,100*(Norm_Stats!$G$7-MIN(MAX(City_Inputs!$S98,Norm_Stats!$F$7),Norm_Stats!$G$7))/(Norm_Stats!$G$7-Norm_Stats!$F$7))))</f>
        <v/>
      </c>
      <c r="T98" s="14">
        <f>IF(S98="","",1)</f>
        <v/>
      </c>
      <c r="U98" s="11">
        <f>IF(OR(City_Inputs!$T98="",Norm_Stats!$F$8="",Norm_Stats!$G$8="",Norm_Stats!$G$8=Norm_Stats!$F$8),"",MAX(0,MIN(100,100*(MIN(MAX(City_Inputs!$T98,Norm_Stats!$F$8),Norm_Stats!$G$8)-Norm_Stats!$F$8)/(Norm_Stats!$G$8-Norm_Stats!$F$8))))</f>
        <v/>
      </c>
      <c r="V98" s="14">
        <f>IF(U98="","",1)</f>
        <v/>
      </c>
      <c r="W98" s="11">
        <f>IF(OR(City_Inputs!$U98="",Norm_Stats!$F$9="",Norm_Stats!$G$9="",Norm_Stats!$G$9=Norm_Stats!$F$9),"",MAX(0,MIN(100,100*(Norm_Stats!$G$9-MIN(MAX(City_Inputs!$U98,Norm_Stats!$F$9),Norm_Stats!$G$9))/(Norm_Stats!$G$9-Norm_Stats!$F$9))))</f>
        <v/>
      </c>
      <c r="X98" s="14">
        <f>IF(W98="","",1)</f>
        <v/>
      </c>
      <c r="Y98" s="11">
        <f>IF(OR(City_Inputs!$V98="",Norm_Stats!$F$10="",Norm_Stats!$G$10="",Norm_Stats!$G$10=Norm_Stats!$F$10),"",MAX(0,MIN(100,100*(MIN(MAX(City_Inputs!$V98,Norm_Stats!$F$10),Norm_Stats!$G$10)-Norm_Stats!$F$10)/(Norm_Stats!$G$10-Norm_Stats!$F$10))))</f>
        <v/>
      </c>
      <c r="Z98" s="14">
        <f>IF(Y98="","",1)</f>
        <v/>
      </c>
      <c r="AA98" s="11">
        <f>IF(OR(City_Inputs!$W98="",Norm_Stats!$F$11="",Norm_Stats!$G$11="",Norm_Stats!$G$11=Norm_Stats!$F$11),"",MAX(0,MIN(100,100*(MIN(MAX(City_Inputs!$W98,Norm_Stats!$F$11),Norm_Stats!$G$11)-Norm_Stats!$F$11)/(Norm_Stats!$G$11-Norm_Stats!$F$11))))</f>
        <v/>
      </c>
      <c r="AB98" s="14">
        <f>IF(AA98="","",1)</f>
        <v/>
      </c>
      <c r="AC98" s="15">
        <f>IF((IF(S98="",0,5)+IF(U98="",0,5)+IF(W98="",0,4)+IF(Y98="",0,4)+IF(AA98="",0,4))=0,"",(IF(S98="",0,S98*5)+IF(U98="",0,U98*5)+IF(W98="",0,W98*4)+IF(Y98="",0,Y98*4)+IF(AA98="",0,AA98*4))/(IF(S98="",0,5)+IF(U98="",0,5)+IF(W98="",0,4)+IF(Y98="",0,4)+IF(AA98="",0,4)))</f>
        <v/>
      </c>
      <c r="AD98" s="14">
        <f>IF((IF(T98="",0,5)+IF(V98="",0,5)+IF(X98="",0,4)+IF(Z98="",0,4)+IF(AB98="",0,4))=0,"",(IF(T98="",0,T98*5)+IF(V98="",0,V98*5)+IF(X98="",0,X98*4)+IF(Z98="",0,Z98*4)+IF(AB98="",0,AB98*4))/22)</f>
        <v/>
      </c>
      <c r="AE98" s="11">
        <f>IF(OR(City_Inputs!$X98="",Norm_Stats!$F$12="",Norm_Stats!$G$12="",Norm_Stats!$G$12=Norm_Stats!$F$12),"",MAX(0,MIN(100,100*(MIN(MAX(City_Inputs!$X98,Norm_Stats!$F$12),Norm_Stats!$G$12)-Norm_Stats!$F$12)/(Norm_Stats!$G$12-Norm_Stats!$F$12))))</f>
        <v/>
      </c>
      <c r="AF98" s="14">
        <f>IF(AE98="","",1)</f>
        <v/>
      </c>
      <c r="AG98" s="11">
        <f>IF(OR(City_Inputs!$Y98="",Norm_Stats!$F$13="",Norm_Stats!$G$13="",Norm_Stats!$G$13=Norm_Stats!$F$13),"",MAX(0,MIN(100,100*(MIN(MAX(City_Inputs!$Y98,Norm_Stats!$F$13),Norm_Stats!$G$13)-Norm_Stats!$F$13)/(Norm_Stats!$G$13-Norm_Stats!$F$13))))</f>
        <v/>
      </c>
      <c r="AH98" s="14">
        <f>IF(AG98="","",1)</f>
        <v/>
      </c>
      <c r="AI98" s="11">
        <f>IF((IF((IF(OR(City_Inputs!$Z98="",Norm_Stats!$F$14="",Norm_Stats!$G$14="",Norm_Stats!$G$14=Norm_Stats!$F$14),"",MAX(0,MIN(100,100*(MIN(MAX(City_Inputs!$Z98,Norm_Stats!$F$14),Norm_Stats!$G$14)-Norm_Stats!$F$14)/(Norm_Stats!$G$14-Norm_Stats!$F$14)))))="",0,0.7)+IF((IF(OR(City_Inputs!$AK98="",Norm_Stats!$F$15="",Norm_Stats!$G$15="",Norm_Stats!$G$15=Norm_Stats!$F$15),"",MAX(0,MIN(100,100*(Norm_Stats!$G$15-MIN(MAX(City_Inputs!$AK98,Norm_Stats!$F$15),Norm_Stats!$G$15))/(Norm_Stats!$G$15-Norm_Stats!$F$15)))))="",0,0.3))=0,"",(IF((IF(OR(City_Inputs!$Z98="",Norm_Stats!$F$14="",Norm_Stats!$G$14="",Norm_Stats!$G$14=Norm_Stats!$F$14),"",MAX(0,MIN(100,100*(MIN(MAX(City_Inputs!$Z98,Norm_Stats!$F$14),Norm_Stats!$G$14)-Norm_Stats!$F$14)/(Norm_Stats!$G$14-Norm_Stats!$F$14)))))="",0,(IF(OR(City_Inputs!$Z98="",Norm_Stats!$F$14="",Norm_Stats!$G$14="",Norm_Stats!$G$14=Norm_Stats!$F$14),"",MAX(0,MIN(100,100*(MIN(MAX(City_Inputs!$Z98,Norm_Stats!$F$14),Norm_Stats!$G$14)-Norm_Stats!$F$14)/(Norm_Stats!$G$14-Norm_Stats!$F$14)))))*0.7)+IF((IF(OR(City_Inputs!$AK98="",Norm_Stats!$F$15="",Norm_Stats!$G$15="",Norm_Stats!$G$15=Norm_Stats!$F$15),"",MAX(0,MIN(100,100*(Norm_Stats!$G$15-MIN(MAX(City_Inputs!$AK98,Norm_Stats!$F$15),Norm_Stats!$G$15))/(Norm_Stats!$G$15-Norm_Stats!$F$15)))))="",0,(IF(OR(City_Inputs!$AK98="",Norm_Stats!$F$15="",Norm_Stats!$G$15="",Norm_Stats!$G$15=Norm_Stats!$F$15),"",MAX(0,MIN(100,100*(Norm_Stats!$G$15-MIN(MAX(City_Inputs!$AK98,Norm_Stats!$F$15),Norm_Stats!$G$15))/(Norm_Stats!$G$15-Norm_Stats!$F$15)))))*0.3))/(IF((IF(OR(City_Inputs!$Z98="",Norm_Stats!$F$14="",Norm_Stats!$G$14="",Norm_Stats!$G$14=Norm_Stats!$F$14),"",MAX(0,MIN(100,100*(MIN(MAX(City_Inputs!$Z98,Norm_Stats!$F$14),Norm_Stats!$G$14)-Norm_Stats!$F$14)/(Norm_Stats!$G$14-Norm_Stats!$F$14)))))="",0,0.7)+IF((IF(OR(City_Inputs!$AK98="",Norm_Stats!$F$15="",Norm_Stats!$G$15="",Norm_Stats!$G$15=Norm_Stats!$F$15),"",MAX(0,MIN(100,100*(Norm_Stats!$G$15-MIN(MAX(City_Inputs!$AK98,Norm_Stats!$F$15),Norm_Stats!$G$15))/(Norm_Stats!$G$15-Norm_Stats!$F$15)))))="",0,0.3)))</f>
        <v/>
      </c>
      <c r="AJ98" s="14">
        <f>IF((IF((IF(OR(City_Inputs!$Z98="",Norm_Stats!$F$14="",Norm_Stats!$G$14="",Norm_Stats!$G$14=Norm_Stats!$F$14),"",MAX(0,MIN(100,100*(MIN(MAX(City_Inputs!$Z98,Norm_Stats!$F$14),Norm_Stats!$G$14)-Norm_Stats!$F$14)/(Norm_Stats!$G$14-Norm_Stats!$F$14)))))="",0,0.7)+IF((IF(OR(City_Inputs!$AK98="",Norm_Stats!$F$15="",Norm_Stats!$G$15="",Norm_Stats!$G$15=Norm_Stats!$F$15),"",MAX(0,MIN(100,100*(Norm_Stats!$G$15-MIN(MAX(City_Inputs!$AK98,Norm_Stats!$F$15),Norm_Stats!$G$15))/(Norm_Stats!$G$15-Norm_Stats!$F$15)))))="",0,0.3))=0,"",(IF((IF(OR(City_Inputs!$Z98="",Norm_Stats!$F$14="",Norm_Stats!$G$14="",Norm_Stats!$G$14=Norm_Stats!$F$14),"",MAX(0,MIN(100,100*(MIN(MAX(City_Inputs!$Z98,Norm_Stats!$F$14),Norm_Stats!$G$14)-Norm_Stats!$F$14)/(Norm_Stats!$G$14-Norm_Stats!$F$14)))))="",0,0.7)+IF((IF(OR(City_Inputs!$AK98="",Norm_Stats!$F$15="",Norm_Stats!$G$15="",Norm_Stats!$G$15=Norm_Stats!$F$15),"",MAX(0,MIN(100,100*(Norm_Stats!$G$15-MIN(MAX(City_Inputs!$AK98,Norm_Stats!$F$15),Norm_Stats!$G$15))/(Norm_Stats!$G$15-Norm_Stats!$F$15)))))="",0,0.3)))</f>
        <v/>
      </c>
      <c r="AK98" s="15">
        <f>IF((IF(AE98="",0,8)+IF(AG98="",0,6)+IF(AI98="",0,4))=0,"",(IF(AE98="",0,AE98*8)+IF(AG98="",0,AG98*6)+IF(AI98="",0,AI98*4))/(IF(AE98="",0,8)+IF(AG98="",0,6)+IF(AI98="",0,4)))</f>
        <v/>
      </c>
      <c r="AL98" s="14">
        <f>IF((IF(AF98="",0,8)+IF(AH98="",0,6)+IF(AJ98="",0,4))=0,"",(IF(AF98="",0,AF98*8)+IF(AH98="",0,AH98*6)+IF(AJ98="",0,AJ98*4))/18)</f>
        <v/>
      </c>
      <c r="AM98" s="11">
        <f>IF(OR(City_Inputs!$AA98="",Norm_Stats!$F$16="",Norm_Stats!$G$16="",Norm_Stats!$G$16=Norm_Stats!$F$16),"",MAX(0,MIN(100,100*(MIN(MAX(City_Inputs!$AA98,Norm_Stats!$F$16),Norm_Stats!$G$16)-Norm_Stats!$F$16)/(Norm_Stats!$G$16-Norm_Stats!$F$16))))</f>
        <v/>
      </c>
      <c r="AN98" s="14">
        <f>IF(AM98="","",1)</f>
        <v/>
      </c>
      <c r="AO98" s="11">
        <f>IF(OR(City_Inputs!$AB98="",Norm_Stats!$F$17="",Norm_Stats!$G$17="",Norm_Stats!$G$17=Norm_Stats!$F$17),"",MAX(0,MIN(100,100*(MIN(MAX(City_Inputs!$AB98,Norm_Stats!$F$17),Norm_Stats!$G$17)-Norm_Stats!$F$17)/(Norm_Stats!$G$17-Norm_Stats!$F$17))))</f>
        <v/>
      </c>
      <c r="AP98" s="14">
        <f>IF(AO98="","",1)</f>
        <v/>
      </c>
      <c r="AQ98" s="11">
        <f>IF(OR(City_Inputs!$AC98="",Norm_Stats!$F$18="",Norm_Stats!$G$18="",Norm_Stats!$G$18=Norm_Stats!$F$18),"",MAX(0,MIN(100,100*(MIN(MAX(City_Inputs!$AC98,Norm_Stats!$F$18),Norm_Stats!$G$18)-Norm_Stats!$F$18)/(Norm_Stats!$G$18-Norm_Stats!$F$18))))</f>
        <v/>
      </c>
      <c r="AR98" s="14">
        <f>IF(AQ98="","",1)</f>
        <v/>
      </c>
      <c r="AS98" s="15">
        <f>IF((IF(AM98="",0,5)+IF(AO98="",0,5)+IF(AQ98="",0,5))=0,"",(IF(AM98="",0,AM98*5)+IF(AO98="",0,AO98*5)+IF(AQ98="",0,AQ98*5))/(IF(AM98="",0,5)+IF(AO98="",0,5)+IF(AQ98="",0,5)))</f>
        <v/>
      </c>
      <c r="AT98" s="14">
        <f>IF((IF(AN98="",0,5)+IF(AP98="",0,5)+IF(AR98="",0,5))=0,"",(IF(AN98="",0,AN98*5)+IF(AP98="",0,AP98*5)+IF(AR98="",0,AR98*5))/15)</f>
        <v/>
      </c>
      <c r="AU98" s="11">
        <f>IF(OR(City_Inputs!$AD98="",Norm_Stats!$F$19="",Norm_Stats!$G$19="",Norm_Stats!$G$19=Norm_Stats!$F$19),"",MAX(0,MIN(100,100*(MIN(MAX(City_Inputs!$AD98,Norm_Stats!$F$19),Norm_Stats!$G$19)-Norm_Stats!$F$19)/(Norm_Stats!$G$19-Norm_Stats!$F$19))))</f>
        <v/>
      </c>
      <c r="AV98" s="14">
        <f>IF(AU98="","",1)</f>
        <v/>
      </c>
      <c r="AW98" s="11">
        <f>IF(OR(City_Inputs!$AE98="",Norm_Stats!$F$20="",Norm_Stats!$G$20="",Norm_Stats!$G$20=Norm_Stats!$F$20),"",MAX(0,MIN(100,100*(MIN(MAX(City_Inputs!$AE98,Norm_Stats!$F$20),Norm_Stats!$G$20)-Norm_Stats!$F$20)/(Norm_Stats!$G$20-Norm_Stats!$F$20))))</f>
        <v/>
      </c>
      <c r="AX98" s="14">
        <f>IF(AW98="","",1)</f>
        <v/>
      </c>
      <c r="AY98" s="11">
        <f>IF((IF((IF(OR(City_Inputs!$AF98="",Norm_Stats!$F$21="",Norm_Stats!$G$21="",Norm_Stats!$G$21=Norm_Stats!$F$21),"",MAX(0,MIN(100,100*(MIN(MAX(City_Inputs!$AF98,Norm_Stats!$F$21),Norm_Stats!$G$21)-Norm_Stats!$F$21)/(Norm_Stats!$G$21-Norm_Stats!$F$21)))))="",0,0.5)+IF((IF(OR(City_Inputs!$AI98="",Norm_Stats!$F$22="",Norm_Stats!$G$22="",Norm_Stats!$G$22=Norm_Stats!$F$22),"",MAX(0,MIN(100,100*(MIN(MAX(City_Inputs!$AI98,Norm_Stats!$F$22),Norm_Stats!$G$22)-Norm_Stats!$F$22)/(Norm_Stats!$G$22-Norm_Stats!$F$22)))))="",0,0.3)+IF((IF(OR(City_Inputs!$AJ98="",Norm_Stats!$F$23="",Norm_Stats!$G$23="",Norm_Stats!$G$23=Norm_Stats!$F$23),"",MAX(0,MIN(100,100*(MIN(MAX(City_Inputs!$AJ98,Norm_Stats!$F$23),Norm_Stats!$G$23)-Norm_Stats!$F$23)/(Norm_Stats!$G$23-Norm_Stats!$F$23)))))="",0,0.2))=0,"",(IF((IF(OR(City_Inputs!$AF98="",Norm_Stats!$F$21="",Norm_Stats!$G$21="",Norm_Stats!$G$21=Norm_Stats!$F$21),"",MAX(0,MIN(100,100*(MIN(MAX(City_Inputs!$AF98,Norm_Stats!$F$21),Norm_Stats!$G$21)-Norm_Stats!$F$21)/(Norm_Stats!$G$21-Norm_Stats!$F$21)))))="",0,(IF(OR(City_Inputs!$AF98="",Norm_Stats!$F$21="",Norm_Stats!$G$21="",Norm_Stats!$G$21=Norm_Stats!$F$21),"",MAX(0,MIN(100,100*(MIN(MAX(City_Inputs!$AF98,Norm_Stats!$F$21),Norm_Stats!$G$21)-Norm_Stats!$F$21)/(Norm_Stats!$G$21-Norm_Stats!$F$21)))))*0.5)+IF((IF(OR(City_Inputs!$AI98="",Norm_Stats!$F$22="",Norm_Stats!$G$22="",Norm_Stats!$G$22=Norm_Stats!$F$22),"",MAX(0,MIN(100,100*(MIN(MAX(City_Inputs!$AI98,Norm_Stats!$F$22),Norm_Stats!$G$22)-Norm_Stats!$F$22)/(Norm_Stats!$G$22-Norm_Stats!$F$22)))))="",0,(IF(OR(City_Inputs!$AI98="",Norm_Stats!$F$22="",Norm_Stats!$G$22="",Norm_Stats!$G$22=Norm_Stats!$F$22),"",MAX(0,MIN(100,100*(MIN(MAX(City_Inputs!$AI98,Norm_Stats!$F$22),Norm_Stats!$G$22)-Norm_Stats!$F$22)/(Norm_Stats!$G$22-Norm_Stats!$F$22)))))*0.3)+IF((IF(OR(City_Inputs!$AJ98="",Norm_Stats!$F$23="",Norm_Stats!$G$23="",Norm_Stats!$G$23=Norm_Stats!$F$23),"",MAX(0,MIN(100,100*(MIN(MAX(City_Inputs!$AJ98,Norm_Stats!$F$23),Norm_Stats!$G$23)-Norm_Stats!$F$23)/(Norm_Stats!$G$23-Norm_Stats!$F$23)))))="",0,(IF(OR(City_Inputs!$AJ98="",Norm_Stats!$F$23="",Norm_Stats!$G$23="",Norm_Stats!$G$23=Norm_Stats!$F$23),"",MAX(0,MIN(100,100*(MIN(MAX(City_Inputs!$AJ98,Norm_Stats!$F$23),Norm_Stats!$G$23)-Norm_Stats!$F$23)/(Norm_Stats!$G$23-Norm_Stats!$F$23)))))*0.2))/(IF((IF(OR(City_Inputs!$AF98="",Norm_Stats!$F$21="",Norm_Stats!$G$21="",Norm_Stats!$G$21=Norm_Stats!$F$21),"",MAX(0,MIN(100,100*(MIN(MAX(City_Inputs!$AF98,Norm_Stats!$F$21),Norm_Stats!$G$21)-Norm_Stats!$F$21)/(Norm_Stats!$G$21-Norm_Stats!$F$21)))))="",0,0.5)+IF((IF(OR(City_Inputs!$AI98="",Norm_Stats!$F$22="",Norm_Stats!$G$22="",Norm_Stats!$G$22=Norm_Stats!$F$22),"",MAX(0,MIN(100,100*(MIN(MAX(City_Inputs!$AI98,Norm_Stats!$F$22),Norm_Stats!$G$22)-Norm_Stats!$F$22)/(Norm_Stats!$G$22-Norm_Stats!$F$22)))))="",0,0.3)+IF((IF(OR(City_Inputs!$AJ98="",Norm_Stats!$F$23="",Norm_Stats!$G$23="",Norm_Stats!$G$23=Norm_Stats!$F$23),"",MAX(0,MIN(100,100*(MIN(MAX(City_Inputs!$AJ98,Norm_Stats!$F$23),Norm_Stats!$G$23)-Norm_Stats!$F$23)/(Norm_Stats!$G$23-Norm_Stats!$F$23)))))="",0,0.2)))</f>
        <v/>
      </c>
      <c r="AZ98" s="14">
        <f>IF((IF((IF(OR(City_Inputs!$AF98="",Norm_Stats!$F$21="",Norm_Stats!$G$21="",Norm_Stats!$G$21=Norm_Stats!$F$21),"",MAX(0,MIN(100,100*(MIN(MAX(City_Inputs!$AF98,Norm_Stats!$F$21),Norm_Stats!$G$21)-Norm_Stats!$F$21)/(Norm_Stats!$G$21-Norm_Stats!$F$21)))))="",0,0.5)+IF((IF(OR(City_Inputs!$AI98="",Norm_Stats!$F$22="",Norm_Stats!$G$22="",Norm_Stats!$G$22=Norm_Stats!$F$22),"",MAX(0,MIN(100,100*(MIN(MAX(City_Inputs!$AI98,Norm_Stats!$F$22),Norm_Stats!$G$22)-Norm_Stats!$F$22)/(Norm_Stats!$G$22-Norm_Stats!$F$22)))))="",0,0.3)+IF((IF(OR(City_Inputs!$AJ98="",Norm_Stats!$F$23="",Norm_Stats!$G$23="",Norm_Stats!$G$23=Norm_Stats!$F$23),"",MAX(0,MIN(100,100*(MIN(MAX(City_Inputs!$AJ98,Norm_Stats!$F$23),Norm_Stats!$G$23)-Norm_Stats!$F$23)/(Norm_Stats!$G$23-Norm_Stats!$F$23)))))="",0,0.2))=0,"",(IF((IF(OR(City_Inputs!$AF98="",Norm_Stats!$F$21="",Norm_Stats!$G$21="",Norm_Stats!$G$21=Norm_Stats!$F$21),"",MAX(0,MIN(100,100*(MIN(MAX(City_Inputs!$AF98,Norm_Stats!$F$21),Norm_Stats!$G$21)-Norm_Stats!$F$21)/(Norm_Stats!$G$21-Norm_Stats!$F$21)))))="",0,0.5)+IF((IF(OR(City_Inputs!$AI98="",Norm_Stats!$F$22="",Norm_Stats!$G$22="",Norm_Stats!$G$22=Norm_Stats!$F$22),"",MAX(0,MIN(100,100*(MIN(MAX(City_Inputs!$AI98,Norm_Stats!$F$22),Norm_Stats!$G$22)-Norm_Stats!$F$22)/(Norm_Stats!$G$22-Norm_Stats!$F$22)))))="",0,0.3)+IF((IF(OR(City_Inputs!$AJ98="",Norm_Stats!$F$23="",Norm_Stats!$G$23="",Norm_Stats!$G$23=Norm_Stats!$F$23),"",MAX(0,MIN(100,100*(MIN(MAX(City_Inputs!$AJ98,Norm_Stats!$F$23),Norm_Stats!$G$23)-Norm_Stats!$F$23)/(Norm_Stats!$G$23-Norm_Stats!$F$23)))))="",0,0.2)))</f>
        <v/>
      </c>
      <c r="BA98" s="11">
        <f>IF(OR(City_Inputs!$AG98="",Norm_Stats!$F$24="",Norm_Stats!$G$24="",Norm_Stats!$G$24=Norm_Stats!$F$24),"",MAX(0,MIN(100,100*(Norm_Stats!$G$24-MIN(MAX(City_Inputs!$AG98,Norm_Stats!$F$24),Norm_Stats!$G$24))/(Norm_Stats!$G$24-Norm_Stats!$F$24))))</f>
        <v/>
      </c>
      <c r="BB98" s="14">
        <f>IF(BA98="","",1)</f>
        <v/>
      </c>
      <c r="BC98" s="15">
        <f>IF((IF(AU98="",0,6)+IF(AW98="",0,5)+IF(AY98="",0,5)+IF(BA98="",0,4))=0,"",(IF(AU98="",0,AU98*6)+IF(AW98="",0,AW98*5)+IF(AY98="",0,AY98*5)+IF(BA98="",0,BA98*4))/(IF(AU98="",0,6)+IF(AW98="",0,5)+IF(AY98="",0,5)+IF(BA98="",0,4)))</f>
        <v/>
      </c>
      <c r="BD98" s="14">
        <f>IF((IF(AV98="",0,6)+IF(AX98="",0,5)+IF(AZ98="",0,5)+IF(BB98="",0,4))=0,"",(IF(AV98="",0,AV98*6)+IF(AX98="",0,AX98*5)+IF(AZ98="",0,AZ98*5)+IF(BB98="",0,BB98*4))/20)</f>
        <v/>
      </c>
      <c r="BE98" s="14">
        <f>IF(AND(R98="",AD98="",AL98="",AT98="",BD98=""),"",((R98*25)+(AD98*22)+(AL98*18)+(AT98*15)+(BD98*20))/100)</f>
        <v/>
      </c>
      <c r="BF98" s="11">
        <f>IF(BE98="","",IF(BE98&gt;=0.75,"A",IF(BE98&gt;=0.5,"B",IF(BE98&gt;=0.35,"C","Watchlist"))))</f>
        <v/>
      </c>
      <c r="BG98" s="11">
        <f>IF(OR(BE98="",BE98&lt;0.5,R98="",R98&lt;0.35,AD98="",AD98&lt;0.35,AL98="",AL98&lt;0.35,AT98="",AT98&lt;0.35,BD98="",BD98&lt;0.35),"Watchlist","Ranked")</f>
        <v/>
      </c>
      <c r="BH98" s="15">
        <f>IF(AND(Q98="",AC98="",AK98="",AS98="",BC98=""),"",(IF(Q98="",0,Q98*25)+IF(AC98="",0,AC98*22)+IF(AK98="",0,AK98*18)+IF(AS98="",0,AS98*15)+IF(BC98="",0,BC98*20))/(IF(Q98="",0,25)+IF(AC98="",0,22)+IF(AK98="",0,18)+IF(AS98="",0,15)+IF(BC98="",0,20)))</f>
        <v/>
      </c>
      <c r="BI98" s="11">
        <f>IF(BG98="Ranked",1+COUNTIFS($BG$2:$BG$103,"Ranked",$BH$2:$BH$103,"&gt;"&amp;BH98),"")</f>
        <v/>
      </c>
      <c r="BJ98" s="11">
        <f>City_Inputs!$AH98</f>
        <v/>
      </c>
    </row>
    <row r="99">
      <c r="A99" t="inlineStr">
        <is>
          <t>au-perth</t>
        </is>
      </c>
      <c r="B99" t="inlineStr">
        <is>
          <t>Perth</t>
        </is>
      </c>
      <c r="C99" t="inlineStr">
        <is>
          <t>Australia</t>
        </is>
      </c>
      <c r="D99" t="inlineStr">
        <is>
          <t>Oceania</t>
        </is>
      </c>
      <c r="E99" t="inlineStr">
        <is>
          <t>locked</t>
        </is>
      </c>
      <c r="F99" t="inlineStr">
        <is>
          <t>secondary</t>
        </is>
      </c>
      <c r="G99" s="11">
        <f>IF(OR(City_Inputs!$M99="",Norm_Stats!$F$2="",Norm_Stats!$G$2="",Norm_Stats!$G$2=Norm_Stats!$F$2),"",MAX(0,MIN(100,100*(MIN(MAX(City_Inputs!$M99,Norm_Stats!$F$2),Norm_Stats!$G$2)-Norm_Stats!$F$2)/(Norm_Stats!$G$2-Norm_Stats!$F$2))))</f>
        <v/>
      </c>
      <c r="H99" s="14">
        <f>IF(G99="","",1)</f>
        <v/>
      </c>
      <c r="I99" s="11">
        <f>IF(OR(City_Inputs!$N99="",Norm_Stats!$F$3="",Norm_Stats!$G$3="",Norm_Stats!$G$3=Norm_Stats!$F$3),"",MAX(0,MIN(100,100*(Norm_Stats!$G$3-MIN(MAX(City_Inputs!$N99,Norm_Stats!$F$3),Norm_Stats!$G$3))/(Norm_Stats!$G$3-Norm_Stats!$F$3))))</f>
        <v/>
      </c>
      <c r="J99" s="14">
        <f>IF(I99="","",1)</f>
        <v/>
      </c>
      <c r="K99" s="11">
        <f>IF(OR(City_Inputs!$P99="",Norm_Stats!$F$4="",Norm_Stats!$G$4="",Norm_Stats!$G$4=Norm_Stats!$F$4),"",MAX(0,MIN(100,100*(Norm_Stats!$G$4-MIN(MAX(City_Inputs!$P99,Norm_Stats!$F$4),Norm_Stats!$G$4))/(Norm_Stats!$G$4-Norm_Stats!$F$4))))</f>
        <v/>
      </c>
      <c r="L99" s="14">
        <f>IF(K99="","",1)</f>
        <v/>
      </c>
      <c r="M99" s="11">
        <f>IF(OR(City_Inputs!$Q99="",Norm_Stats!$F$5="",Norm_Stats!$G$5="",Norm_Stats!$G$5=Norm_Stats!$F$5),"",MAX(0,MIN(100,100*(Norm_Stats!$G$5-MIN(MAX(City_Inputs!$Q99,Norm_Stats!$F$5),Norm_Stats!$G$5))/(Norm_Stats!$G$5-Norm_Stats!$F$5))))</f>
        <v/>
      </c>
      <c r="N99" s="14">
        <f>IF(M99="","",1)</f>
        <v/>
      </c>
      <c r="O99" s="11">
        <f>IF(OR(City_Inputs!$R99="",Norm_Stats!$F$6="",Norm_Stats!$G$6="",Norm_Stats!$G$6=Norm_Stats!$F$6),"",MAX(0,MIN(100,100*(Norm_Stats!$G$6-MIN(MAX(City_Inputs!$R99,Norm_Stats!$F$6),Norm_Stats!$G$6))/(Norm_Stats!$G$6-Norm_Stats!$F$6))))</f>
        <v/>
      </c>
      <c r="P99" s="14">
        <f>IF(O99="","",1)</f>
        <v/>
      </c>
      <c r="Q99" s="15">
        <f>IF((IF(G99="",0,9)+IF(I99="",0,5)+IF(K99="",0,4)+IF(M99="",0,4)+IF(O99="",0,3))=0,"",(IF(G99="",0,G99*9)+IF(I99="",0,I99*5)+IF(K99="",0,K99*4)+IF(M99="",0,M99*4)+IF(O99="",0,O99*3))/(IF(G99="",0,9)+IF(I99="",0,5)+IF(K99="",0,4)+IF(M99="",0,4)+IF(O99="",0,3)))</f>
        <v/>
      </c>
      <c r="R99" s="14">
        <f>IF((IF(H99="",0,9)+IF(J99="",0,5)+IF(L99="",0,4)+IF(N99="",0,4)+IF(P99="",0,3))=0,"",(IF(H99="",0,H99*9)+IF(J99="",0,J99*5)+IF(L99="",0,L99*4)+IF(N99="",0,N99*4)+IF(P99="",0,P99*3))/25)</f>
        <v/>
      </c>
      <c r="S99" s="11">
        <f>IF(OR(City_Inputs!$S99="",Norm_Stats!$F$7="",Norm_Stats!$G$7="",Norm_Stats!$G$7=Norm_Stats!$F$7),"",MAX(0,MIN(100,100*(Norm_Stats!$G$7-MIN(MAX(City_Inputs!$S99,Norm_Stats!$F$7),Norm_Stats!$G$7))/(Norm_Stats!$G$7-Norm_Stats!$F$7))))</f>
        <v/>
      </c>
      <c r="T99" s="14">
        <f>IF(S99="","",1)</f>
        <v/>
      </c>
      <c r="U99" s="11">
        <f>IF(OR(City_Inputs!$T99="",Norm_Stats!$F$8="",Norm_Stats!$G$8="",Norm_Stats!$G$8=Norm_Stats!$F$8),"",MAX(0,MIN(100,100*(MIN(MAX(City_Inputs!$T99,Norm_Stats!$F$8),Norm_Stats!$G$8)-Norm_Stats!$F$8)/(Norm_Stats!$G$8-Norm_Stats!$F$8))))</f>
        <v/>
      </c>
      <c r="V99" s="14">
        <f>IF(U99="","",1)</f>
        <v/>
      </c>
      <c r="W99" s="11">
        <f>IF(OR(City_Inputs!$U99="",Norm_Stats!$F$9="",Norm_Stats!$G$9="",Norm_Stats!$G$9=Norm_Stats!$F$9),"",MAX(0,MIN(100,100*(Norm_Stats!$G$9-MIN(MAX(City_Inputs!$U99,Norm_Stats!$F$9),Norm_Stats!$G$9))/(Norm_Stats!$G$9-Norm_Stats!$F$9))))</f>
        <v/>
      </c>
      <c r="X99" s="14">
        <f>IF(W99="","",1)</f>
        <v/>
      </c>
      <c r="Y99" s="11">
        <f>IF(OR(City_Inputs!$V99="",Norm_Stats!$F$10="",Norm_Stats!$G$10="",Norm_Stats!$G$10=Norm_Stats!$F$10),"",MAX(0,MIN(100,100*(MIN(MAX(City_Inputs!$V99,Norm_Stats!$F$10),Norm_Stats!$G$10)-Norm_Stats!$F$10)/(Norm_Stats!$G$10-Norm_Stats!$F$10))))</f>
        <v/>
      </c>
      <c r="Z99" s="14">
        <f>IF(Y99="","",1)</f>
        <v/>
      </c>
      <c r="AA99" s="11">
        <f>IF(OR(City_Inputs!$W99="",Norm_Stats!$F$11="",Norm_Stats!$G$11="",Norm_Stats!$G$11=Norm_Stats!$F$11),"",MAX(0,MIN(100,100*(MIN(MAX(City_Inputs!$W99,Norm_Stats!$F$11),Norm_Stats!$G$11)-Norm_Stats!$F$11)/(Norm_Stats!$G$11-Norm_Stats!$F$11))))</f>
        <v/>
      </c>
      <c r="AB99" s="14">
        <f>IF(AA99="","",1)</f>
        <v/>
      </c>
      <c r="AC99" s="15">
        <f>IF((IF(S99="",0,5)+IF(U99="",0,5)+IF(W99="",0,4)+IF(Y99="",0,4)+IF(AA99="",0,4))=0,"",(IF(S99="",0,S99*5)+IF(U99="",0,U99*5)+IF(W99="",0,W99*4)+IF(Y99="",0,Y99*4)+IF(AA99="",0,AA99*4))/(IF(S99="",0,5)+IF(U99="",0,5)+IF(W99="",0,4)+IF(Y99="",0,4)+IF(AA99="",0,4)))</f>
        <v/>
      </c>
      <c r="AD99" s="14">
        <f>IF((IF(T99="",0,5)+IF(V99="",0,5)+IF(X99="",0,4)+IF(Z99="",0,4)+IF(AB99="",0,4))=0,"",(IF(T99="",0,T99*5)+IF(V99="",0,V99*5)+IF(X99="",0,X99*4)+IF(Z99="",0,Z99*4)+IF(AB99="",0,AB99*4))/22)</f>
        <v/>
      </c>
      <c r="AE99" s="11">
        <f>IF(OR(City_Inputs!$X99="",Norm_Stats!$F$12="",Norm_Stats!$G$12="",Norm_Stats!$G$12=Norm_Stats!$F$12),"",MAX(0,MIN(100,100*(MIN(MAX(City_Inputs!$X99,Norm_Stats!$F$12),Norm_Stats!$G$12)-Norm_Stats!$F$12)/(Norm_Stats!$G$12-Norm_Stats!$F$12))))</f>
        <v/>
      </c>
      <c r="AF99" s="14">
        <f>IF(AE99="","",1)</f>
        <v/>
      </c>
      <c r="AG99" s="11">
        <f>IF(OR(City_Inputs!$Y99="",Norm_Stats!$F$13="",Norm_Stats!$G$13="",Norm_Stats!$G$13=Norm_Stats!$F$13),"",MAX(0,MIN(100,100*(MIN(MAX(City_Inputs!$Y99,Norm_Stats!$F$13),Norm_Stats!$G$13)-Norm_Stats!$F$13)/(Norm_Stats!$G$13-Norm_Stats!$F$13))))</f>
        <v/>
      </c>
      <c r="AH99" s="14">
        <f>IF(AG99="","",1)</f>
        <v/>
      </c>
      <c r="AI99" s="11">
        <f>IF((IF((IF(OR(City_Inputs!$Z99="",Norm_Stats!$F$14="",Norm_Stats!$G$14="",Norm_Stats!$G$14=Norm_Stats!$F$14),"",MAX(0,MIN(100,100*(MIN(MAX(City_Inputs!$Z99,Norm_Stats!$F$14),Norm_Stats!$G$14)-Norm_Stats!$F$14)/(Norm_Stats!$G$14-Norm_Stats!$F$14)))))="",0,0.7)+IF((IF(OR(City_Inputs!$AK99="",Norm_Stats!$F$15="",Norm_Stats!$G$15="",Norm_Stats!$G$15=Norm_Stats!$F$15),"",MAX(0,MIN(100,100*(Norm_Stats!$G$15-MIN(MAX(City_Inputs!$AK99,Norm_Stats!$F$15),Norm_Stats!$G$15))/(Norm_Stats!$G$15-Norm_Stats!$F$15)))))="",0,0.3))=0,"",(IF((IF(OR(City_Inputs!$Z99="",Norm_Stats!$F$14="",Norm_Stats!$G$14="",Norm_Stats!$G$14=Norm_Stats!$F$14),"",MAX(0,MIN(100,100*(MIN(MAX(City_Inputs!$Z99,Norm_Stats!$F$14),Norm_Stats!$G$14)-Norm_Stats!$F$14)/(Norm_Stats!$G$14-Norm_Stats!$F$14)))))="",0,(IF(OR(City_Inputs!$Z99="",Norm_Stats!$F$14="",Norm_Stats!$G$14="",Norm_Stats!$G$14=Norm_Stats!$F$14),"",MAX(0,MIN(100,100*(MIN(MAX(City_Inputs!$Z99,Norm_Stats!$F$14),Norm_Stats!$G$14)-Norm_Stats!$F$14)/(Norm_Stats!$G$14-Norm_Stats!$F$14)))))*0.7)+IF((IF(OR(City_Inputs!$AK99="",Norm_Stats!$F$15="",Norm_Stats!$G$15="",Norm_Stats!$G$15=Norm_Stats!$F$15),"",MAX(0,MIN(100,100*(Norm_Stats!$G$15-MIN(MAX(City_Inputs!$AK99,Norm_Stats!$F$15),Norm_Stats!$G$15))/(Norm_Stats!$G$15-Norm_Stats!$F$15)))))="",0,(IF(OR(City_Inputs!$AK99="",Norm_Stats!$F$15="",Norm_Stats!$G$15="",Norm_Stats!$G$15=Norm_Stats!$F$15),"",MAX(0,MIN(100,100*(Norm_Stats!$G$15-MIN(MAX(City_Inputs!$AK99,Norm_Stats!$F$15),Norm_Stats!$G$15))/(Norm_Stats!$G$15-Norm_Stats!$F$15)))))*0.3))/(IF((IF(OR(City_Inputs!$Z99="",Norm_Stats!$F$14="",Norm_Stats!$G$14="",Norm_Stats!$G$14=Norm_Stats!$F$14),"",MAX(0,MIN(100,100*(MIN(MAX(City_Inputs!$Z99,Norm_Stats!$F$14),Norm_Stats!$G$14)-Norm_Stats!$F$14)/(Norm_Stats!$G$14-Norm_Stats!$F$14)))))="",0,0.7)+IF((IF(OR(City_Inputs!$AK99="",Norm_Stats!$F$15="",Norm_Stats!$G$15="",Norm_Stats!$G$15=Norm_Stats!$F$15),"",MAX(0,MIN(100,100*(Norm_Stats!$G$15-MIN(MAX(City_Inputs!$AK99,Norm_Stats!$F$15),Norm_Stats!$G$15))/(Norm_Stats!$G$15-Norm_Stats!$F$15)))))="",0,0.3)))</f>
        <v/>
      </c>
      <c r="AJ99" s="14">
        <f>IF((IF((IF(OR(City_Inputs!$Z99="",Norm_Stats!$F$14="",Norm_Stats!$G$14="",Norm_Stats!$G$14=Norm_Stats!$F$14),"",MAX(0,MIN(100,100*(MIN(MAX(City_Inputs!$Z99,Norm_Stats!$F$14),Norm_Stats!$G$14)-Norm_Stats!$F$14)/(Norm_Stats!$G$14-Norm_Stats!$F$14)))))="",0,0.7)+IF((IF(OR(City_Inputs!$AK99="",Norm_Stats!$F$15="",Norm_Stats!$G$15="",Norm_Stats!$G$15=Norm_Stats!$F$15),"",MAX(0,MIN(100,100*(Norm_Stats!$G$15-MIN(MAX(City_Inputs!$AK99,Norm_Stats!$F$15),Norm_Stats!$G$15))/(Norm_Stats!$G$15-Norm_Stats!$F$15)))))="",0,0.3))=0,"",(IF((IF(OR(City_Inputs!$Z99="",Norm_Stats!$F$14="",Norm_Stats!$G$14="",Norm_Stats!$G$14=Norm_Stats!$F$14),"",MAX(0,MIN(100,100*(MIN(MAX(City_Inputs!$Z99,Norm_Stats!$F$14),Norm_Stats!$G$14)-Norm_Stats!$F$14)/(Norm_Stats!$G$14-Norm_Stats!$F$14)))))="",0,0.7)+IF((IF(OR(City_Inputs!$AK99="",Norm_Stats!$F$15="",Norm_Stats!$G$15="",Norm_Stats!$G$15=Norm_Stats!$F$15),"",MAX(0,MIN(100,100*(Norm_Stats!$G$15-MIN(MAX(City_Inputs!$AK99,Norm_Stats!$F$15),Norm_Stats!$G$15))/(Norm_Stats!$G$15-Norm_Stats!$F$15)))))="",0,0.3)))</f>
        <v/>
      </c>
      <c r="AK99" s="15">
        <f>IF((IF(AE99="",0,8)+IF(AG99="",0,6)+IF(AI99="",0,4))=0,"",(IF(AE99="",0,AE99*8)+IF(AG99="",0,AG99*6)+IF(AI99="",0,AI99*4))/(IF(AE99="",0,8)+IF(AG99="",0,6)+IF(AI99="",0,4)))</f>
        <v/>
      </c>
      <c r="AL99" s="14">
        <f>IF((IF(AF99="",0,8)+IF(AH99="",0,6)+IF(AJ99="",0,4))=0,"",(IF(AF99="",0,AF99*8)+IF(AH99="",0,AH99*6)+IF(AJ99="",0,AJ99*4))/18)</f>
        <v/>
      </c>
      <c r="AM99" s="11">
        <f>IF(OR(City_Inputs!$AA99="",Norm_Stats!$F$16="",Norm_Stats!$G$16="",Norm_Stats!$G$16=Norm_Stats!$F$16),"",MAX(0,MIN(100,100*(MIN(MAX(City_Inputs!$AA99,Norm_Stats!$F$16),Norm_Stats!$G$16)-Norm_Stats!$F$16)/(Norm_Stats!$G$16-Norm_Stats!$F$16))))</f>
        <v/>
      </c>
      <c r="AN99" s="14">
        <f>IF(AM99="","",1)</f>
        <v/>
      </c>
      <c r="AO99" s="11">
        <f>IF(OR(City_Inputs!$AB99="",Norm_Stats!$F$17="",Norm_Stats!$G$17="",Norm_Stats!$G$17=Norm_Stats!$F$17),"",MAX(0,MIN(100,100*(MIN(MAX(City_Inputs!$AB99,Norm_Stats!$F$17),Norm_Stats!$G$17)-Norm_Stats!$F$17)/(Norm_Stats!$G$17-Norm_Stats!$F$17))))</f>
        <v/>
      </c>
      <c r="AP99" s="14">
        <f>IF(AO99="","",1)</f>
        <v/>
      </c>
      <c r="AQ99" s="11">
        <f>IF(OR(City_Inputs!$AC99="",Norm_Stats!$F$18="",Norm_Stats!$G$18="",Norm_Stats!$G$18=Norm_Stats!$F$18),"",MAX(0,MIN(100,100*(MIN(MAX(City_Inputs!$AC99,Norm_Stats!$F$18),Norm_Stats!$G$18)-Norm_Stats!$F$18)/(Norm_Stats!$G$18-Norm_Stats!$F$18))))</f>
        <v/>
      </c>
      <c r="AR99" s="14">
        <f>IF(AQ99="","",1)</f>
        <v/>
      </c>
      <c r="AS99" s="15">
        <f>IF((IF(AM99="",0,5)+IF(AO99="",0,5)+IF(AQ99="",0,5))=0,"",(IF(AM99="",0,AM99*5)+IF(AO99="",0,AO99*5)+IF(AQ99="",0,AQ99*5))/(IF(AM99="",0,5)+IF(AO99="",0,5)+IF(AQ99="",0,5)))</f>
        <v/>
      </c>
      <c r="AT99" s="14">
        <f>IF((IF(AN99="",0,5)+IF(AP99="",0,5)+IF(AR99="",0,5))=0,"",(IF(AN99="",0,AN99*5)+IF(AP99="",0,AP99*5)+IF(AR99="",0,AR99*5))/15)</f>
        <v/>
      </c>
      <c r="AU99" s="11">
        <f>IF(OR(City_Inputs!$AD99="",Norm_Stats!$F$19="",Norm_Stats!$G$19="",Norm_Stats!$G$19=Norm_Stats!$F$19),"",MAX(0,MIN(100,100*(MIN(MAX(City_Inputs!$AD99,Norm_Stats!$F$19),Norm_Stats!$G$19)-Norm_Stats!$F$19)/(Norm_Stats!$G$19-Norm_Stats!$F$19))))</f>
        <v/>
      </c>
      <c r="AV99" s="14">
        <f>IF(AU99="","",1)</f>
        <v/>
      </c>
      <c r="AW99" s="11">
        <f>IF(OR(City_Inputs!$AE99="",Norm_Stats!$F$20="",Norm_Stats!$G$20="",Norm_Stats!$G$20=Norm_Stats!$F$20),"",MAX(0,MIN(100,100*(MIN(MAX(City_Inputs!$AE99,Norm_Stats!$F$20),Norm_Stats!$G$20)-Norm_Stats!$F$20)/(Norm_Stats!$G$20-Norm_Stats!$F$20))))</f>
        <v/>
      </c>
      <c r="AX99" s="14">
        <f>IF(AW99="","",1)</f>
        <v/>
      </c>
      <c r="AY99" s="11">
        <f>IF((IF((IF(OR(City_Inputs!$AF99="",Norm_Stats!$F$21="",Norm_Stats!$G$21="",Norm_Stats!$G$21=Norm_Stats!$F$21),"",MAX(0,MIN(100,100*(MIN(MAX(City_Inputs!$AF99,Norm_Stats!$F$21),Norm_Stats!$G$21)-Norm_Stats!$F$21)/(Norm_Stats!$G$21-Norm_Stats!$F$21)))))="",0,0.5)+IF((IF(OR(City_Inputs!$AI99="",Norm_Stats!$F$22="",Norm_Stats!$G$22="",Norm_Stats!$G$22=Norm_Stats!$F$22),"",MAX(0,MIN(100,100*(MIN(MAX(City_Inputs!$AI99,Norm_Stats!$F$22),Norm_Stats!$G$22)-Norm_Stats!$F$22)/(Norm_Stats!$G$22-Norm_Stats!$F$22)))))="",0,0.3)+IF((IF(OR(City_Inputs!$AJ99="",Norm_Stats!$F$23="",Norm_Stats!$G$23="",Norm_Stats!$G$23=Norm_Stats!$F$23),"",MAX(0,MIN(100,100*(MIN(MAX(City_Inputs!$AJ99,Norm_Stats!$F$23),Norm_Stats!$G$23)-Norm_Stats!$F$23)/(Norm_Stats!$G$23-Norm_Stats!$F$23)))))="",0,0.2))=0,"",(IF((IF(OR(City_Inputs!$AF99="",Norm_Stats!$F$21="",Norm_Stats!$G$21="",Norm_Stats!$G$21=Norm_Stats!$F$21),"",MAX(0,MIN(100,100*(MIN(MAX(City_Inputs!$AF99,Norm_Stats!$F$21),Norm_Stats!$G$21)-Norm_Stats!$F$21)/(Norm_Stats!$G$21-Norm_Stats!$F$21)))))="",0,(IF(OR(City_Inputs!$AF99="",Norm_Stats!$F$21="",Norm_Stats!$G$21="",Norm_Stats!$G$21=Norm_Stats!$F$21),"",MAX(0,MIN(100,100*(MIN(MAX(City_Inputs!$AF99,Norm_Stats!$F$21),Norm_Stats!$G$21)-Norm_Stats!$F$21)/(Norm_Stats!$G$21-Norm_Stats!$F$21)))))*0.5)+IF((IF(OR(City_Inputs!$AI99="",Norm_Stats!$F$22="",Norm_Stats!$G$22="",Norm_Stats!$G$22=Norm_Stats!$F$22),"",MAX(0,MIN(100,100*(MIN(MAX(City_Inputs!$AI99,Norm_Stats!$F$22),Norm_Stats!$G$22)-Norm_Stats!$F$22)/(Norm_Stats!$G$22-Norm_Stats!$F$22)))))="",0,(IF(OR(City_Inputs!$AI99="",Norm_Stats!$F$22="",Norm_Stats!$G$22="",Norm_Stats!$G$22=Norm_Stats!$F$22),"",MAX(0,MIN(100,100*(MIN(MAX(City_Inputs!$AI99,Norm_Stats!$F$22),Norm_Stats!$G$22)-Norm_Stats!$F$22)/(Norm_Stats!$G$22-Norm_Stats!$F$22)))))*0.3)+IF((IF(OR(City_Inputs!$AJ99="",Norm_Stats!$F$23="",Norm_Stats!$G$23="",Norm_Stats!$G$23=Norm_Stats!$F$23),"",MAX(0,MIN(100,100*(MIN(MAX(City_Inputs!$AJ99,Norm_Stats!$F$23),Norm_Stats!$G$23)-Norm_Stats!$F$23)/(Norm_Stats!$G$23-Norm_Stats!$F$23)))))="",0,(IF(OR(City_Inputs!$AJ99="",Norm_Stats!$F$23="",Norm_Stats!$G$23="",Norm_Stats!$G$23=Norm_Stats!$F$23),"",MAX(0,MIN(100,100*(MIN(MAX(City_Inputs!$AJ99,Norm_Stats!$F$23),Norm_Stats!$G$23)-Norm_Stats!$F$23)/(Norm_Stats!$G$23-Norm_Stats!$F$23)))))*0.2))/(IF((IF(OR(City_Inputs!$AF99="",Norm_Stats!$F$21="",Norm_Stats!$G$21="",Norm_Stats!$G$21=Norm_Stats!$F$21),"",MAX(0,MIN(100,100*(MIN(MAX(City_Inputs!$AF99,Norm_Stats!$F$21),Norm_Stats!$G$21)-Norm_Stats!$F$21)/(Norm_Stats!$G$21-Norm_Stats!$F$21)))))="",0,0.5)+IF((IF(OR(City_Inputs!$AI99="",Norm_Stats!$F$22="",Norm_Stats!$G$22="",Norm_Stats!$G$22=Norm_Stats!$F$22),"",MAX(0,MIN(100,100*(MIN(MAX(City_Inputs!$AI99,Norm_Stats!$F$22),Norm_Stats!$G$22)-Norm_Stats!$F$22)/(Norm_Stats!$G$22-Norm_Stats!$F$22)))))="",0,0.3)+IF((IF(OR(City_Inputs!$AJ99="",Norm_Stats!$F$23="",Norm_Stats!$G$23="",Norm_Stats!$G$23=Norm_Stats!$F$23),"",MAX(0,MIN(100,100*(MIN(MAX(City_Inputs!$AJ99,Norm_Stats!$F$23),Norm_Stats!$G$23)-Norm_Stats!$F$23)/(Norm_Stats!$G$23-Norm_Stats!$F$23)))))="",0,0.2)))</f>
        <v/>
      </c>
      <c r="AZ99" s="14">
        <f>IF((IF((IF(OR(City_Inputs!$AF99="",Norm_Stats!$F$21="",Norm_Stats!$G$21="",Norm_Stats!$G$21=Norm_Stats!$F$21),"",MAX(0,MIN(100,100*(MIN(MAX(City_Inputs!$AF99,Norm_Stats!$F$21),Norm_Stats!$G$21)-Norm_Stats!$F$21)/(Norm_Stats!$G$21-Norm_Stats!$F$21)))))="",0,0.5)+IF((IF(OR(City_Inputs!$AI99="",Norm_Stats!$F$22="",Norm_Stats!$G$22="",Norm_Stats!$G$22=Norm_Stats!$F$22),"",MAX(0,MIN(100,100*(MIN(MAX(City_Inputs!$AI99,Norm_Stats!$F$22),Norm_Stats!$G$22)-Norm_Stats!$F$22)/(Norm_Stats!$G$22-Norm_Stats!$F$22)))))="",0,0.3)+IF((IF(OR(City_Inputs!$AJ99="",Norm_Stats!$F$23="",Norm_Stats!$G$23="",Norm_Stats!$G$23=Norm_Stats!$F$23),"",MAX(0,MIN(100,100*(MIN(MAX(City_Inputs!$AJ99,Norm_Stats!$F$23),Norm_Stats!$G$23)-Norm_Stats!$F$23)/(Norm_Stats!$G$23-Norm_Stats!$F$23)))))="",0,0.2))=0,"",(IF((IF(OR(City_Inputs!$AF99="",Norm_Stats!$F$21="",Norm_Stats!$G$21="",Norm_Stats!$G$21=Norm_Stats!$F$21),"",MAX(0,MIN(100,100*(MIN(MAX(City_Inputs!$AF99,Norm_Stats!$F$21),Norm_Stats!$G$21)-Norm_Stats!$F$21)/(Norm_Stats!$G$21-Norm_Stats!$F$21)))))="",0,0.5)+IF((IF(OR(City_Inputs!$AI99="",Norm_Stats!$F$22="",Norm_Stats!$G$22="",Norm_Stats!$G$22=Norm_Stats!$F$22),"",MAX(0,MIN(100,100*(MIN(MAX(City_Inputs!$AI99,Norm_Stats!$F$22),Norm_Stats!$G$22)-Norm_Stats!$F$22)/(Norm_Stats!$G$22-Norm_Stats!$F$22)))))="",0,0.3)+IF((IF(OR(City_Inputs!$AJ99="",Norm_Stats!$F$23="",Norm_Stats!$G$23="",Norm_Stats!$G$23=Norm_Stats!$F$23),"",MAX(0,MIN(100,100*(MIN(MAX(City_Inputs!$AJ99,Norm_Stats!$F$23),Norm_Stats!$G$23)-Norm_Stats!$F$23)/(Norm_Stats!$G$23-Norm_Stats!$F$23)))))="",0,0.2)))</f>
        <v/>
      </c>
      <c r="BA99" s="11">
        <f>IF(OR(City_Inputs!$AG99="",Norm_Stats!$F$24="",Norm_Stats!$G$24="",Norm_Stats!$G$24=Norm_Stats!$F$24),"",MAX(0,MIN(100,100*(Norm_Stats!$G$24-MIN(MAX(City_Inputs!$AG99,Norm_Stats!$F$24),Norm_Stats!$G$24))/(Norm_Stats!$G$24-Norm_Stats!$F$24))))</f>
        <v/>
      </c>
      <c r="BB99" s="14">
        <f>IF(BA99="","",1)</f>
        <v/>
      </c>
      <c r="BC99" s="15">
        <f>IF((IF(AU99="",0,6)+IF(AW99="",0,5)+IF(AY99="",0,5)+IF(BA99="",0,4))=0,"",(IF(AU99="",0,AU99*6)+IF(AW99="",0,AW99*5)+IF(AY99="",0,AY99*5)+IF(BA99="",0,BA99*4))/(IF(AU99="",0,6)+IF(AW99="",0,5)+IF(AY99="",0,5)+IF(BA99="",0,4)))</f>
        <v/>
      </c>
      <c r="BD99" s="14">
        <f>IF((IF(AV99="",0,6)+IF(AX99="",0,5)+IF(AZ99="",0,5)+IF(BB99="",0,4))=0,"",(IF(AV99="",0,AV99*6)+IF(AX99="",0,AX99*5)+IF(AZ99="",0,AZ99*5)+IF(BB99="",0,BB99*4))/20)</f>
        <v/>
      </c>
      <c r="BE99" s="14">
        <f>IF(AND(R99="",AD99="",AL99="",AT99="",BD99=""),"",((R99*25)+(AD99*22)+(AL99*18)+(AT99*15)+(BD99*20))/100)</f>
        <v/>
      </c>
      <c r="BF99" s="11">
        <f>IF(BE99="","",IF(BE99&gt;=0.75,"A",IF(BE99&gt;=0.5,"B",IF(BE99&gt;=0.35,"C","Watchlist"))))</f>
        <v/>
      </c>
      <c r="BG99" s="11">
        <f>IF(OR(BE99="",BE99&lt;0.5,R99="",R99&lt;0.35,AD99="",AD99&lt;0.35,AL99="",AL99&lt;0.35,AT99="",AT99&lt;0.35,BD99="",BD99&lt;0.35),"Watchlist","Ranked")</f>
        <v/>
      </c>
      <c r="BH99" s="15">
        <f>IF(AND(Q99="",AC99="",AK99="",AS99="",BC99=""),"",(IF(Q99="",0,Q99*25)+IF(AC99="",0,AC99*22)+IF(AK99="",0,AK99*18)+IF(AS99="",0,AS99*15)+IF(BC99="",0,BC99*20))/(IF(Q99="",0,25)+IF(AC99="",0,22)+IF(AK99="",0,18)+IF(AS99="",0,15)+IF(BC99="",0,20)))</f>
        <v/>
      </c>
      <c r="BI99" s="11">
        <f>IF(BG99="Ranked",1+COUNTIFS($BG$2:$BG$103,"Ranked",$BH$2:$BH$103,"&gt;"&amp;BH99),"")</f>
        <v/>
      </c>
      <c r="BJ99" s="11">
        <f>City_Inputs!$AH99</f>
        <v/>
      </c>
    </row>
    <row r="100">
      <c r="A100" t="inlineStr">
        <is>
          <t>au-adelaide</t>
        </is>
      </c>
      <c r="B100" t="inlineStr">
        <is>
          <t>Adelaide</t>
        </is>
      </c>
      <c r="C100" t="inlineStr">
        <is>
          <t>Australia</t>
        </is>
      </c>
      <c r="D100" t="inlineStr">
        <is>
          <t>Oceania</t>
        </is>
      </c>
      <c r="E100" t="inlineStr">
        <is>
          <t>locked</t>
        </is>
      </c>
      <c r="F100" t="inlineStr">
        <is>
          <t>secondary</t>
        </is>
      </c>
      <c r="G100" s="11">
        <f>IF(OR(City_Inputs!$M100="",Norm_Stats!$F$2="",Norm_Stats!$G$2="",Norm_Stats!$G$2=Norm_Stats!$F$2),"",MAX(0,MIN(100,100*(MIN(MAX(City_Inputs!$M100,Norm_Stats!$F$2),Norm_Stats!$G$2)-Norm_Stats!$F$2)/(Norm_Stats!$G$2-Norm_Stats!$F$2))))</f>
        <v/>
      </c>
      <c r="H100" s="14">
        <f>IF(G100="","",1)</f>
        <v/>
      </c>
      <c r="I100" s="11">
        <f>IF(OR(City_Inputs!$N100="",Norm_Stats!$F$3="",Norm_Stats!$G$3="",Norm_Stats!$G$3=Norm_Stats!$F$3),"",MAX(0,MIN(100,100*(Norm_Stats!$G$3-MIN(MAX(City_Inputs!$N100,Norm_Stats!$F$3),Norm_Stats!$G$3))/(Norm_Stats!$G$3-Norm_Stats!$F$3))))</f>
        <v/>
      </c>
      <c r="J100" s="14">
        <f>IF(I100="","",1)</f>
        <v/>
      </c>
      <c r="K100" s="11">
        <f>IF(OR(City_Inputs!$P100="",Norm_Stats!$F$4="",Norm_Stats!$G$4="",Norm_Stats!$G$4=Norm_Stats!$F$4),"",MAX(0,MIN(100,100*(Norm_Stats!$G$4-MIN(MAX(City_Inputs!$P100,Norm_Stats!$F$4),Norm_Stats!$G$4))/(Norm_Stats!$G$4-Norm_Stats!$F$4))))</f>
        <v/>
      </c>
      <c r="L100" s="14">
        <f>IF(K100="","",1)</f>
        <v/>
      </c>
      <c r="M100" s="11">
        <f>IF(OR(City_Inputs!$Q100="",Norm_Stats!$F$5="",Norm_Stats!$G$5="",Norm_Stats!$G$5=Norm_Stats!$F$5),"",MAX(0,MIN(100,100*(Norm_Stats!$G$5-MIN(MAX(City_Inputs!$Q100,Norm_Stats!$F$5),Norm_Stats!$G$5))/(Norm_Stats!$G$5-Norm_Stats!$F$5))))</f>
        <v/>
      </c>
      <c r="N100" s="14">
        <f>IF(M100="","",1)</f>
        <v/>
      </c>
      <c r="O100" s="11">
        <f>IF(OR(City_Inputs!$R100="",Norm_Stats!$F$6="",Norm_Stats!$G$6="",Norm_Stats!$G$6=Norm_Stats!$F$6),"",MAX(0,MIN(100,100*(Norm_Stats!$G$6-MIN(MAX(City_Inputs!$R100,Norm_Stats!$F$6),Norm_Stats!$G$6))/(Norm_Stats!$G$6-Norm_Stats!$F$6))))</f>
        <v/>
      </c>
      <c r="P100" s="14">
        <f>IF(O100="","",1)</f>
        <v/>
      </c>
      <c r="Q100" s="15">
        <f>IF((IF(G100="",0,9)+IF(I100="",0,5)+IF(K100="",0,4)+IF(M100="",0,4)+IF(O100="",0,3))=0,"",(IF(G100="",0,G100*9)+IF(I100="",0,I100*5)+IF(K100="",0,K100*4)+IF(M100="",0,M100*4)+IF(O100="",0,O100*3))/(IF(G100="",0,9)+IF(I100="",0,5)+IF(K100="",0,4)+IF(M100="",0,4)+IF(O100="",0,3)))</f>
        <v/>
      </c>
      <c r="R100" s="14">
        <f>IF((IF(H100="",0,9)+IF(J100="",0,5)+IF(L100="",0,4)+IF(N100="",0,4)+IF(P100="",0,3))=0,"",(IF(H100="",0,H100*9)+IF(J100="",0,J100*5)+IF(L100="",0,L100*4)+IF(N100="",0,N100*4)+IF(P100="",0,P100*3))/25)</f>
        <v/>
      </c>
      <c r="S100" s="11">
        <f>IF(OR(City_Inputs!$S100="",Norm_Stats!$F$7="",Norm_Stats!$G$7="",Norm_Stats!$G$7=Norm_Stats!$F$7),"",MAX(0,MIN(100,100*(Norm_Stats!$G$7-MIN(MAX(City_Inputs!$S100,Norm_Stats!$F$7),Norm_Stats!$G$7))/(Norm_Stats!$G$7-Norm_Stats!$F$7))))</f>
        <v/>
      </c>
      <c r="T100" s="14">
        <f>IF(S100="","",1)</f>
        <v/>
      </c>
      <c r="U100" s="11">
        <f>IF(OR(City_Inputs!$T100="",Norm_Stats!$F$8="",Norm_Stats!$G$8="",Norm_Stats!$G$8=Norm_Stats!$F$8),"",MAX(0,MIN(100,100*(MIN(MAX(City_Inputs!$T100,Norm_Stats!$F$8),Norm_Stats!$G$8)-Norm_Stats!$F$8)/(Norm_Stats!$G$8-Norm_Stats!$F$8))))</f>
        <v/>
      </c>
      <c r="V100" s="14">
        <f>IF(U100="","",1)</f>
        <v/>
      </c>
      <c r="W100" s="11">
        <f>IF(OR(City_Inputs!$U100="",Norm_Stats!$F$9="",Norm_Stats!$G$9="",Norm_Stats!$G$9=Norm_Stats!$F$9),"",MAX(0,MIN(100,100*(Norm_Stats!$G$9-MIN(MAX(City_Inputs!$U100,Norm_Stats!$F$9),Norm_Stats!$G$9))/(Norm_Stats!$G$9-Norm_Stats!$F$9))))</f>
        <v/>
      </c>
      <c r="X100" s="14">
        <f>IF(W100="","",1)</f>
        <v/>
      </c>
      <c r="Y100" s="11">
        <f>IF(OR(City_Inputs!$V100="",Norm_Stats!$F$10="",Norm_Stats!$G$10="",Norm_Stats!$G$10=Norm_Stats!$F$10),"",MAX(0,MIN(100,100*(MIN(MAX(City_Inputs!$V100,Norm_Stats!$F$10),Norm_Stats!$G$10)-Norm_Stats!$F$10)/(Norm_Stats!$G$10-Norm_Stats!$F$10))))</f>
        <v/>
      </c>
      <c r="Z100" s="14">
        <f>IF(Y100="","",1)</f>
        <v/>
      </c>
      <c r="AA100" s="11">
        <f>IF(OR(City_Inputs!$W100="",Norm_Stats!$F$11="",Norm_Stats!$G$11="",Norm_Stats!$G$11=Norm_Stats!$F$11),"",MAX(0,MIN(100,100*(MIN(MAX(City_Inputs!$W100,Norm_Stats!$F$11),Norm_Stats!$G$11)-Norm_Stats!$F$11)/(Norm_Stats!$G$11-Norm_Stats!$F$11))))</f>
        <v/>
      </c>
      <c r="AB100" s="14">
        <f>IF(AA100="","",1)</f>
        <v/>
      </c>
      <c r="AC100" s="15">
        <f>IF((IF(S100="",0,5)+IF(U100="",0,5)+IF(W100="",0,4)+IF(Y100="",0,4)+IF(AA100="",0,4))=0,"",(IF(S100="",0,S100*5)+IF(U100="",0,U100*5)+IF(W100="",0,W100*4)+IF(Y100="",0,Y100*4)+IF(AA100="",0,AA100*4))/(IF(S100="",0,5)+IF(U100="",0,5)+IF(W100="",0,4)+IF(Y100="",0,4)+IF(AA100="",0,4)))</f>
        <v/>
      </c>
      <c r="AD100" s="14">
        <f>IF((IF(T100="",0,5)+IF(V100="",0,5)+IF(X100="",0,4)+IF(Z100="",0,4)+IF(AB100="",0,4))=0,"",(IF(T100="",0,T100*5)+IF(V100="",0,V100*5)+IF(X100="",0,X100*4)+IF(Z100="",0,Z100*4)+IF(AB100="",0,AB100*4))/22)</f>
        <v/>
      </c>
      <c r="AE100" s="11">
        <f>IF(OR(City_Inputs!$X100="",Norm_Stats!$F$12="",Norm_Stats!$G$12="",Norm_Stats!$G$12=Norm_Stats!$F$12),"",MAX(0,MIN(100,100*(MIN(MAX(City_Inputs!$X100,Norm_Stats!$F$12),Norm_Stats!$G$12)-Norm_Stats!$F$12)/(Norm_Stats!$G$12-Norm_Stats!$F$12))))</f>
        <v/>
      </c>
      <c r="AF100" s="14">
        <f>IF(AE100="","",1)</f>
        <v/>
      </c>
      <c r="AG100" s="11">
        <f>IF(OR(City_Inputs!$Y100="",Norm_Stats!$F$13="",Norm_Stats!$G$13="",Norm_Stats!$G$13=Norm_Stats!$F$13),"",MAX(0,MIN(100,100*(MIN(MAX(City_Inputs!$Y100,Norm_Stats!$F$13),Norm_Stats!$G$13)-Norm_Stats!$F$13)/(Norm_Stats!$G$13-Norm_Stats!$F$13))))</f>
        <v/>
      </c>
      <c r="AH100" s="14">
        <f>IF(AG100="","",1)</f>
        <v/>
      </c>
      <c r="AI100" s="11">
        <f>IF((IF((IF(OR(City_Inputs!$Z100="",Norm_Stats!$F$14="",Norm_Stats!$G$14="",Norm_Stats!$G$14=Norm_Stats!$F$14),"",MAX(0,MIN(100,100*(MIN(MAX(City_Inputs!$Z100,Norm_Stats!$F$14),Norm_Stats!$G$14)-Norm_Stats!$F$14)/(Norm_Stats!$G$14-Norm_Stats!$F$14)))))="",0,0.7)+IF((IF(OR(City_Inputs!$AK100="",Norm_Stats!$F$15="",Norm_Stats!$G$15="",Norm_Stats!$G$15=Norm_Stats!$F$15),"",MAX(0,MIN(100,100*(Norm_Stats!$G$15-MIN(MAX(City_Inputs!$AK100,Norm_Stats!$F$15),Norm_Stats!$G$15))/(Norm_Stats!$G$15-Norm_Stats!$F$15)))))="",0,0.3))=0,"",(IF((IF(OR(City_Inputs!$Z100="",Norm_Stats!$F$14="",Norm_Stats!$G$14="",Norm_Stats!$G$14=Norm_Stats!$F$14),"",MAX(0,MIN(100,100*(MIN(MAX(City_Inputs!$Z100,Norm_Stats!$F$14),Norm_Stats!$G$14)-Norm_Stats!$F$14)/(Norm_Stats!$G$14-Norm_Stats!$F$14)))))="",0,(IF(OR(City_Inputs!$Z100="",Norm_Stats!$F$14="",Norm_Stats!$G$14="",Norm_Stats!$G$14=Norm_Stats!$F$14),"",MAX(0,MIN(100,100*(MIN(MAX(City_Inputs!$Z100,Norm_Stats!$F$14),Norm_Stats!$G$14)-Norm_Stats!$F$14)/(Norm_Stats!$G$14-Norm_Stats!$F$14)))))*0.7)+IF((IF(OR(City_Inputs!$AK100="",Norm_Stats!$F$15="",Norm_Stats!$G$15="",Norm_Stats!$G$15=Norm_Stats!$F$15),"",MAX(0,MIN(100,100*(Norm_Stats!$G$15-MIN(MAX(City_Inputs!$AK100,Norm_Stats!$F$15),Norm_Stats!$G$15))/(Norm_Stats!$G$15-Norm_Stats!$F$15)))))="",0,(IF(OR(City_Inputs!$AK100="",Norm_Stats!$F$15="",Norm_Stats!$G$15="",Norm_Stats!$G$15=Norm_Stats!$F$15),"",MAX(0,MIN(100,100*(Norm_Stats!$G$15-MIN(MAX(City_Inputs!$AK100,Norm_Stats!$F$15),Norm_Stats!$G$15))/(Norm_Stats!$G$15-Norm_Stats!$F$15)))))*0.3))/(IF((IF(OR(City_Inputs!$Z100="",Norm_Stats!$F$14="",Norm_Stats!$G$14="",Norm_Stats!$G$14=Norm_Stats!$F$14),"",MAX(0,MIN(100,100*(MIN(MAX(City_Inputs!$Z100,Norm_Stats!$F$14),Norm_Stats!$G$14)-Norm_Stats!$F$14)/(Norm_Stats!$G$14-Norm_Stats!$F$14)))))="",0,0.7)+IF((IF(OR(City_Inputs!$AK100="",Norm_Stats!$F$15="",Norm_Stats!$G$15="",Norm_Stats!$G$15=Norm_Stats!$F$15),"",MAX(0,MIN(100,100*(Norm_Stats!$G$15-MIN(MAX(City_Inputs!$AK100,Norm_Stats!$F$15),Norm_Stats!$G$15))/(Norm_Stats!$G$15-Norm_Stats!$F$15)))))="",0,0.3)))</f>
        <v/>
      </c>
      <c r="AJ100" s="14">
        <f>IF((IF((IF(OR(City_Inputs!$Z100="",Norm_Stats!$F$14="",Norm_Stats!$G$14="",Norm_Stats!$G$14=Norm_Stats!$F$14),"",MAX(0,MIN(100,100*(MIN(MAX(City_Inputs!$Z100,Norm_Stats!$F$14),Norm_Stats!$G$14)-Norm_Stats!$F$14)/(Norm_Stats!$G$14-Norm_Stats!$F$14)))))="",0,0.7)+IF((IF(OR(City_Inputs!$AK100="",Norm_Stats!$F$15="",Norm_Stats!$G$15="",Norm_Stats!$G$15=Norm_Stats!$F$15),"",MAX(0,MIN(100,100*(Norm_Stats!$G$15-MIN(MAX(City_Inputs!$AK100,Norm_Stats!$F$15),Norm_Stats!$G$15))/(Norm_Stats!$G$15-Norm_Stats!$F$15)))))="",0,0.3))=0,"",(IF((IF(OR(City_Inputs!$Z100="",Norm_Stats!$F$14="",Norm_Stats!$G$14="",Norm_Stats!$G$14=Norm_Stats!$F$14),"",MAX(0,MIN(100,100*(MIN(MAX(City_Inputs!$Z100,Norm_Stats!$F$14),Norm_Stats!$G$14)-Norm_Stats!$F$14)/(Norm_Stats!$G$14-Norm_Stats!$F$14)))))="",0,0.7)+IF((IF(OR(City_Inputs!$AK100="",Norm_Stats!$F$15="",Norm_Stats!$G$15="",Norm_Stats!$G$15=Norm_Stats!$F$15),"",MAX(0,MIN(100,100*(Norm_Stats!$G$15-MIN(MAX(City_Inputs!$AK100,Norm_Stats!$F$15),Norm_Stats!$G$15))/(Norm_Stats!$G$15-Norm_Stats!$F$15)))))="",0,0.3)))</f>
        <v/>
      </c>
      <c r="AK100" s="15">
        <f>IF((IF(AE100="",0,8)+IF(AG100="",0,6)+IF(AI100="",0,4))=0,"",(IF(AE100="",0,AE100*8)+IF(AG100="",0,AG100*6)+IF(AI100="",0,AI100*4))/(IF(AE100="",0,8)+IF(AG100="",0,6)+IF(AI100="",0,4)))</f>
        <v/>
      </c>
      <c r="AL100" s="14">
        <f>IF((IF(AF100="",0,8)+IF(AH100="",0,6)+IF(AJ100="",0,4))=0,"",(IF(AF100="",0,AF100*8)+IF(AH100="",0,AH100*6)+IF(AJ100="",0,AJ100*4))/18)</f>
        <v/>
      </c>
      <c r="AM100" s="11">
        <f>IF(OR(City_Inputs!$AA100="",Norm_Stats!$F$16="",Norm_Stats!$G$16="",Norm_Stats!$G$16=Norm_Stats!$F$16),"",MAX(0,MIN(100,100*(MIN(MAX(City_Inputs!$AA100,Norm_Stats!$F$16),Norm_Stats!$G$16)-Norm_Stats!$F$16)/(Norm_Stats!$G$16-Norm_Stats!$F$16))))</f>
        <v/>
      </c>
      <c r="AN100" s="14">
        <f>IF(AM100="","",1)</f>
        <v/>
      </c>
      <c r="AO100" s="11">
        <f>IF(OR(City_Inputs!$AB100="",Norm_Stats!$F$17="",Norm_Stats!$G$17="",Norm_Stats!$G$17=Norm_Stats!$F$17),"",MAX(0,MIN(100,100*(MIN(MAX(City_Inputs!$AB100,Norm_Stats!$F$17),Norm_Stats!$G$17)-Norm_Stats!$F$17)/(Norm_Stats!$G$17-Norm_Stats!$F$17))))</f>
        <v/>
      </c>
      <c r="AP100" s="14">
        <f>IF(AO100="","",1)</f>
        <v/>
      </c>
      <c r="AQ100" s="11">
        <f>IF(OR(City_Inputs!$AC100="",Norm_Stats!$F$18="",Norm_Stats!$G$18="",Norm_Stats!$G$18=Norm_Stats!$F$18),"",MAX(0,MIN(100,100*(MIN(MAX(City_Inputs!$AC100,Norm_Stats!$F$18),Norm_Stats!$G$18)-Norm_Stats!$F$18)/(Norm_Stats!$G$18-Norm_Stats!$F$18))))</f>
        <v/>
      </c>
      <c r="AR100" s="14">
        <f>IF(AQ100="","",1)</f>
        <v/>
      </c>
      <c r="AS100" s="15">
        <f>IF((IF(AM100="",0,5)+IF(AO100="",0,5)+IF(AQ100="",0,5))=0,"",(IF(AM100="",0,AM100*5)+IF(AO100="",0,AO100*5)+IF(AQ100="",0,AQ100*5))/(IF(AM100="",0,5)+IF(AO100="",0,5)+IF(AQ100="",0,5)))</f>
        <v/>
      </c>
      <c r="AT100" s="14">
        <f>IF((IF(AN100="",0,5)+IF(AP100="",0,5)+IF(AR100="",0,5))=0,"",(IF(AN100="",0,AN100*5)+IF(AP100="",0,AP100*5)+IF(AR100="",0,AR100*5))/15)</f>
        <v/>
      </c>
      <c r="AU100" s="11">
        <f>IF(OR(City_Inputs!$AD100="",Norm_Stats!$F$19="",Norm_Stats!$G$19="",Norm_Stats!$G$19=Norm_Stats!$F$19),"",MAX(0,MIN(100,100*(MIN(MAX(City_Inputs!$AD100,Norm_Stats!$F$19),Norm_Stats!$G$19)-Norm_Stats!$F$19)/(Norm_Stats!$G$19-Norm_Stats!$F$19))))</f>
        <v/>
      </c>
      <c r="AV100" s="14">
        <f>IF(AU100="","",1)</f>
        <v/>
      </c>
      <c r="AW100" s="11">
        <f>IF(OR(City_Inputs!$AE100="",Norm_Stats!$F$20="",Norm_Stats!$G$20="",Norm_Stats!$G$20=Norm_Stats!$F$20),"",MAX(0,MIN(100,100*(MIN(MAX(City_Inputs!$AE100,Norm_Stats!$F$20),Norm_Stats!$G$20)-Norm_Stats!$F$20)/(Norm_Stats!$G$20-Norm_Stats!$F$20))))</f>
        <v/>
      </c>
      <c r="AX100" s="14">
        <f>IF(AW100="","",1)</f>
        <v/>
      </c>
      <c r="AY100" s="11">
        <f>IF((IF((IF(OR(City_Inputs!$AF100="",Norm_Stats!$F$21="",Norm_Stats!$G$21="",Norm_Stats!$G$21=Norm_Stats!$F$21),"",MAX(0,MIN(100,100*(MIN(MAX(City_Inputs!$AF100,Norm_Stats!$F$21),Norm_Stats!$G$21)-Norm_Stats!$F$21)/(Norm_Stats!$G$21-Norm_Stats!$F$21)))))="",0,0.5)+IF((IF(OR(City_Inputs!$AI100="",Norm_Stats!$F$22="",Norm_Stats!$G$22="",Norm_Stats!$G$22=Norm_Stats!$F$22),"",MAX(0,MIN(100,100*(MIN(MAX(City_Inputs!$AI100,Norm_Stats!$F$22),Norm_Stats!$G$22)-Norm_Stats!$F$22)/(Norm_Stats!$G$22-Norm_Stats!$F$22)))))="",0,0.3)+IF((IF(OR(City_Inputs!$AJ100="",Norm_Stats!$F$23="",Norm_Stats!$G$23="",Norm_Stats!$G$23=Norm_Stats!$F$23),"",MAX(0,MIN(100,100*(MIN(MAX(City_Inputs!$AJ100,Norm_Stats!$F$23),Norm_Stats!$G$23)-Norm_Stats!$F$23)/(Norm_Stats!$G$23-Norm_Stats!$F$23)))))="",0,0.2))=0,"",(IF((IF(OR(City_Inputs!$AF100="",Norm_Stats!$F$21="",Norm_Stats!$G$21="",Norm_Stats!$G$21=Norm_Stats!$F$21),"",MAX(0,MIN(100,100*(MIN(MAX(City_Inputs!$AF100,Norm_Stats!$F$21),Norm_Stats!$G$21)-Norm_Stats!$F$21)/(Norm_Stats!$G$21-Norm_Stats!$F$21)))))="",0,(IF(OR(City_Inputs!$AF100="",Norm_Stats!$F$21="",Norm_Stats!$G$21="",Norm_Stats!$G$21=Norm_Stats!$F$21),"",MAX(0,MIN(100,100*(MIN(MAX(City_Inputs!$AF100,Norm_Stats!$F$21),Norm_Stats!$G$21)-Norm_Stats!$F$21)/(Norm_Stats!$G$21-Norm_Stats!$F$21)))))*0.5)+IF((IF(OR(City_Inputs!$AI100="",Norm_Stats!$F$22="",Norm_Stats!$G$22="",Norm_Stats!$G$22=Norm_Stats!$F$22),"",MAX(0,MIN(100,100*(MIN(MAX(City_Inputs!$AI100,Norm_Stats!$F$22),Norm_Stats!$G$22)-Norm_Stats!$F$22)/(Norm_Stats!$G$22-Norm_Stats!$F$22)))))="",0,(IF(OR(City_Inputs!$AI100="",Norm_Stats!$F$22="",Norm_Stats!$G$22="",Norm_Stats!$G$22=Norm_Stats!$F$22),"",MAX(0,MIN(100,100*(MIN(MAX(City_Inputs!$AI100,Norm_Stats!$F$22),Norm_Stats!$G$22)-Norm_Stats!$F$22)/(Norm_Stats!$G$22-Norm_Stats!$F$22)))))*0.3)+IF((IF(OR(City_Inputs!$AJ100="",Norm_Stats!$F$23="",Norm_Stats!$G$23="",Norm_Stats!$G$23=Norm_Stats!$F$23),"",MAX(0,MIN(100,100*(MIN(MAX(City_Inputs!$AJ100,Norm_Stats!$F$23),Norm_Stats!$G$23)-Norm_Stats!$F$23)/(Norm_Stats!$G$23-Norm_Stats!$F$23)))))="",0,(IF(OR(City_Inputs!$AJ100="",Norm_Stats!$F$23="",Norm_Stats!$G$23="",Norm_Stats!$G$23=Norm_Stats!$F$23),"",MAX(0,MIN(100,100*(MIN(MAX(City_Inputs!$AJ100,Norm_Stats!$F$23),Norm_Stats!$G$23)-Norm_Stats!$F$23)/(Norm_Stats!$G$23-Norm_Stats!$F$23)))))*0.2))/(IF((IF(OR(City_Inputs!$AF100="",Norm_Stats!$F$21="",Norm_Stats!$G$21="",Norm_Stats!$G$21=Norm_Stats!$F$21),"",MAX(0,MIN(100,100*(MIN(MAX(City_Inputs!$AF100,Norm_Stats!$F$21),Norm_Stats!$G$21)-Norm_Stats!$F$21)/(Norm_Stats!$G$21-Norm_Stats!$F$21)))))="",0,0.5)+IF((IF(OR(City_Inputs!$AI100="",Norm_Stats!$F$22="",Norm_Stats!$G$22="",Norm_Stats!$G$22=Norm_Stats!$F$22),"",MAX(0,MIN(100,100*(MIN(MAX(City_Inputs!$AI100,Norm_Stats!$F$22),Norm_Stats!$G$22)-Norm_Stats!$F$22)/(Norm_Stats!$G$22-Norm_Stats!$F$22)))))="",0,0.3)+IF((IF(OR(City_Inputs!$AJ100="",Norm_Stats!$F$23="",Norm_Stats!$G$23="",Norm_Stats!$G$23=Norm_Stats!$F$23),"",MAX(0,MIN(100,100*(MIN(MAX(City_Inputs!$AJ100,Norm_Stats!$F$23),Norm_Stats!$G$23)-Norm_Stats!$F$23)/(Norm_Stats!$G$23-Norm_Stats!$F$23)))))="",0,0.2)))</f>
        <v/>
      </c>
      <c r="AZ100" s="14">
        <f>IF((IF((IF(OR(City_Inputs!$AF100="",Norm_Stats!$F$21="",Norm_Stats!$G$21="",Norm_Stats!$G$21=Norm_Stats!$F$21),"",MAX(0,MIN(100,100*(MIN(MAX(City_Inputs!$AF100,Norm_Stats!$F$21),Norm_Stats!$G$21)-Norm_Stats!$F$21)/(Norm_Stats!$G$21-Norm_Stats!$F$21)))))="",0,0.5)+IF((IF(OR(City_Inputs!$AI100="",Norm_Stats!$F$22="",Norm_Stats!$G$22="",Norm_Stats!$G$22=Norm_Stats!$F$22),"",MAX(0,MIN(100,100*(MIN(MAX(City_Inputs!$AI100,Norm_Stats!$F$22),Norm_Stats!$G$22)-Norm_Stats!$F$22)/(Norm_Stats!$G$22-Norm_Stats!$F$22)))))="",0,0.3)+IF((IF(OR(City_Inputs!$AJ100="",Norm_Stats!$F$23="",Norm_Stats!$G$23="",Norm_Stats!$G$23=Norm_Stats!$F$23),"",MAX(0,MIN(100,100*(MIN(MAX(City_Inputs!$AJ100,Norm_Stats!$F$23),Norm_Stats!$G$23)-Norm_Stats!$F$23)/(Norm_Stats!$G$23-Norm_Stats!$F$23)))))="",0,0.2))=0,"",(IF((IF(OR(City_Inputs!$AF100="",Norm_Stats!$F$21="",Norm_Stats!$G$21="",Norm_Stats!$G$21=Norm_Stats!$F$21),"",MAX(0,MIN(100,100*(MIN(MAX(City_Inputs!$AF100,Norm_Stats!$F$21),Norm_Stats!$G$21)-Norm_Stats!$F$21)/(Norm_Stats!$G$21-Norm_Stats!$F$21)))))="",0,0.5)+IF((IF(OR(City_Inputs!$AI100="",Norm_Stats!$F$22="",Norm_Stats!$G$22="",Norm_Stats!$G$22=Norm_Stats!$F$22),"",MAX(0,MIN(100,100*(MIN(MAX(City_Inputs!$AI100,Norm_Stats!$F$22),Norm_Stats!$G$22)-Norm_Stats!$F$22)/(Norm_Stats!$G$22-Norm_Stats!$F$22)))))="",0,0.3)+IF((IF(OR(City_Inputs!$AJ100="",Norm_Stats!$F$23="",Norm_Stats!$G$23="",Norm_Stats!$G$23=Norm_Stats!$F$23),"",MAX(0,MIN(100,100*(MIN(MAX(City_Inputs!$AJ100,Norm_Stats!$F$23),Norm_Stats!$G$23)-Norm_Stats!$F$23)/(Norm_Stats!$G$23-Norm_Stats!$F$23)))))="",0,0.2)))</f>
        <v/>
      </c>
      <c r="BA100" s="11">
        <f>IF(OR(City_Inputs!$AG100="",Norm_Stats!$F$24="",Norm_Stats!$G$24="",Norm_Stats!$G$24=Norm_Stats!$F$24),"",MAX(0,MIN(100,100*(Norm_Stats!$G$24-MIN(MAX(City_Inputs!$AG100,Norm_Stats!$F$24),Norm_Stats!$G$24))/(Norm_Stats!$G$24-Norm_Stats!$F$24))))</f>
        <v/>
      </c>
      <c r="BB100" s="14">
        <f>IF(BA100="","",1)</f>
        <v/>
      </c>
      <c r="BC100" s="15">
        <f>IF((IF(AU100="",0,6)+IF(AW100="",0,5)+IF(AY100="",0,5)+IF(BA100="",0,4))=0,"",(IF(AU100="",0,AU100*6)+IF(AW100="",0,AW100*5)+IF(AY100="",0,AY100*5)+IF(BA100="",0,BA100*4))/(IF(AU100="",0,6)+IF(AW100="",0,5)+IF(AY100="",0,5)+IF(BA100="",0,4)))</f>
        <v/>
      </c>
      <c r="BD100" s="14">
        <f>IF((IF(AV100="",0,6)+IF(AX100="",0,5)+IF(AZ100="",0,5)+IF(BB100="",0,4))=0,"",(IF(AV100="",0,AV100*6)+IF(AX100="",0,AX100*5)+IF(AZ100="",0,AZ100*5)+IF(BB100="",0,BB100*4))/20)</f>
        <v/>
      </c>
      <c r="BE100" s="14">
        <f>IF(AND(R100="",AD100="",AL100="",AT100="",BD100=""),"",((R100*25)+(AD100*22)+(AL100*18)+(AT100*15)+(BD100*20))/100)</f>
        <v/>
      </c>
      <c r="BF100" s="11">
        <f>IF(BE100="","",IF(BE100&gt;=0.75,"A",IF(BE100&gt;=0.5,"B",IF(BE100&gt;=0.35,"C","Watchlist"))))</f>
        <v/>
      </c>
      <c r="BG100" s="11">
        <f>IF(OR(BE100="",BE100&lt;0.5,R100="",R100&lt;0.35,AD100="",AD100&lt;0.35,AL100="",AL100&lt;0.35,AT100="",AT100&lt;0.35,BD100="",BD100&lt;0.35),"Watchlist","Ranked")</f>
        <v/>
      </c>
      <c r="BH100" s="15">
        <f>IF(AND(Q100="",AC100="",AK100="",AS100="",BC100=""),"",(IF(Q100="",0,Q100*25)+IF(AC100="",0,AC100*22)+IF(AK100="",0,AK100*18)+IF(AS100="",0,AS100*15)+IF(BC100="",0,BC100*20))/(IF(Q100="",0,25)+IF(AC100="",0,22)+IF(AK100="",0,18)+IF(AS100="",0,15)+IF(BC100="",0,20)))</f>
        <v/>
      </c>
      <c r="BI100" s="11">
        <f>IF(BG100="Ranked",1+COUNTIFS($BG$2:$BG$103,"Ranked",$BH$2:$BH$103,"&gt;"&amp;BH100),"")</f>
        <v/>
      </c>
      <c r="BJ100" s="11">
        <f>City_Inputs!$AH100</f>
        <v/>
      </c>
    </row>
    <row r="101">
      <c r="A101" t="inlineStr">
        <is>
          <t>au-hobart</t>
        </is>
      </c>
      <c r="B101" t="inlineStr">
        <is>
          <t>Hobart</t>
        </is>
      </c>
      <c r="C101" t="inlineStr">
        <is>
          <t>Australia</t>
        </is>
      </c>
      <c r="D101" t="inlineStr">
        <is>
          <t>Oceania</t>
        </is>
      </c>
      <c r="E101" t="inlineStr">
        <is>
          <t>locked</t>
        </is>
      </c>
      <c r="F101" t="inlineStr">
        <is>
          <t>secondary</t>
        </is>
      </c>
      <c r="G101" s="11">
        <f>IF(OR(City_Inputs!$M101="",Norm_Stats!$F$2="",Norm_Stats!$G$2="",Norm_Stats!$G$2=Norm_Stats!$F$2),"",MAX(0,MIN(100,100*(MIN(MAX(City_Inputs!$M101,Norm_Stats!$F$2),Norm_Stats!$G$2)-Norm_Stats!$F$2)/(Norm_Stats!$G$2-Norm_Stats!$F$2))))</f>
        <v/>
      </c>
      <c r="H101" s="14">
        <f>IF(G101="","",1)</f>
        <v/>
      </c>
      <c r="I101" s="11">
        <f>IF(OR(City_Inputs!$N101="",Norm_Stats!$F$3="",Norm_Stats!$G$3="",Norm_Stats!$G$3=Norm_Stats!$F$3),"",MAX(0,MIN(100,100*(Norm_Stats!$G$3-MIN(MAX(City_Inputs!$N101,Norm_Stats!$F$3),Norm_Stats!$G$3))/(Norm_Stats!$G$3-Norm_Stats!$F$3))))</f>
        <v/>
      </c>
      <c r="J101" s="14">
        <f>IF(I101="","",1)</f>
        <v/>
      </c>
      <c r="K101" s="11">
        <f>IF(OR(City_Inputs!$P101="",Norm_Stats!$F$4="",Norm_Stats!$G$4="",Norm_Stats!$G$4=Norm_Stats!$F$4),"",MAX(0,MIN(100,100*(Norm_Stats!$G$4-MIN(MAX(City_Inputs!$P101,Norm_Stats!$F$4),Norm_Stats!$G$4))/(Norm_Stats!$G$4-Norm_Stats!$F$4))))</f>
        <v/>
      </c>
      <c r="L101" s="14">
        <f>IF(K101="","",1)</f>
        <v/>
      </c>
      <c r="M101" s="11">
        <f>IF(OR(City_Inputs!$Q101="",Norm_Stats!$F$5="",Norm_Stats!$G$5="",Norm_Stats!$G$5=Norm_Stats!$F$5),"",MAX(0,MIN(100,100*(Norm_Stats!$G$5-MIN(MAX(City_Inputs!$Q101,Norm_Stats!$F$5),Norm_Stats!$G$5))/(Norm_Stats!$G$5-Norm_Stats!$F$5))))</f>
        <v/>
      </c>
      <c r="N101" s="14">
        <f>IF(M101="","",1)</f>
        <v/>
      </c>
      <c r="O101" s="11">
        <f>IF(OR(City_Inputs!$R101="",Norm_Stats!$F$6="",Norm_Stats!$G$6="",Norm_Stats!$G$6=Norm_Stats!$F$6),"",MAX(0,MIN(100,100*(Norm_Stats!$G$6-MIN(MAX(City_Inputs!$R101,Norm_Stats!$F$6),Norm_Stats!$G$6))/(Norm_Stats!$G$6-Norm_Stats!$F$6))))</f>
        <v/>
      </c>
      <c r="P101" s="14">
        <f>IF(O101="","",1)</f>
        <v/>
      </c>
      <c r="Q101" s="15">
        <f>IF((IF(G101="",0,9)+IF(I101="",0,5)+IF(K101="",0,4)+IF(M101="",0,4)+IF(O101="",0,3))=0,"",(IF(G101="",0,G101*9)+IF(I101="",0,I101*5)+IF(K101="",0,K101*4)+IF(M101="",0,M101*4)+IF(O101="",0,O101*3))/(IF(G101="",0,9)+IF(I101="",0,5)+IF(K101="",0,4)+IF(M101="",0,4)+IF(O101="",0,3)))</f>
        <v/>
      </c>
      <c r="R101" s="14">
        <f>IF((IF(H101="",0,9)+IF(J101="",0,5)+IF(L101="",0,4)+IF(N101="",0,4)+IF(P101="",0,3))=0,"",(IF(H101="",0,H101*9)+IF(J101="",0,J101*5)+IF(L101="",0,L101*4)+IF(N101="",0,N101*4)+IF(P101="",0,P101*3))/25)</f>
        <v/>
      </c>
      <c r="S101" s="11">
        <f>IF(OR(City_Inputs!$S101="",Norm_Stats!$F$7="",Norm_Stats!$G$7="",Norm_Stats!$G$7=Norm_Stats!$F$7),"",MAX(0,MIN(100,100*(Norm_Stats!$G$7-MIN(MAX(City_Inputs!$S101,Norm_Stats!$F$7),Norm_Stats!$G$7))/(Norm_Stats!$G$7-Norm_Stats!$F$7))))</f>
        <v/>
      </c>
      <c r="T101" s="14">
        <f>IF(S101="","",1)</f>
        <v/>
      </c>
      <c r="U101" s="11">
        <f>IF(OR(City_Inputs!$T101="",Norm_Stats!$F$8="",Norm_Stats!$G$8="",Norm_Stats!$G$8=Norm_Stats!$F$8),"",MAX(0,MIN(100,100*(MIN(MAX(City_Inputs!$T101,Norm_Stats!$F$8),Norm_Stats!$G$8)-Norm_Stats!$F$8)/(Norm_Stats!$G$8-Norm_Stats!$F$8))))</f>
        <v/>
      </c>
      <c r="V101" s="14">
        <f>IF(U101="","",1)</f>
        <v/>
      </c>
      <c r="W101" s="11">
        <f>IF(OR(City_Inputs!$U101="",Norm_Stats!$F$9="",Norm_Stats!$G$9="",Norm_Stats!$G$9=Norm_Stats!$F$9),"",MAX(0,MIN(100,100*(Norm_Stats!$G$9-MIN(MAX(City_Inputs!$U101,Norm_Stats!$F$9),Norm_Stats!$G$9))/(Norm_Stats!$G$9-Norm_Stats!$F$9))))</f>
        <v/>
      </c>
      <c r="X101" s="14">
        <f>IF(W101="","",1)</f>
        <v/>
      </c>
      <c r="Y101" s="11">
        <f>IF(OR(City_Inputs!$V101="",Norm_Stats!$F$10="",Norm_Stats!$G$10="",Norm_Stats!$G$10=Norm_Stats!$F$10),"",MAX(0,MIN(100,100*(MIN(MAX(City_Inputs!$V101,Norm_Stats!$F$10),Norm_Stats!$G$10)-Norm_Stats!$F$10)/(Norm_Stats!$G$10-Norm_Stats!$F$10))))</f>
        <v/>
      </c>
      <c r="Z101" s="14">
        <f>IF(Y101="","",1)</f>
        <v/>
      </c>
      <c r="AA101" s="11">
        <f>IF(OR(City_Inputs!$W101="",Norm_Stats!$F$11="",Norm_Stats!$G$11="",Norm_Stats!$G$11=Norm_Stats!$F$11),"",MAX(0,MIN(100,100*(MIN(MAX(City_Inputs!$W101,Norm_Stats!$F$11),Norm_Stats!$G$11)-Norm_Stats!$F$11)/(Norm_Stats!$G$11-Norm_Stats!$F$11))))</f>
        <v/>
      </c>
      <c r="AB101" s="14">
        <f>IF(AA101="","",1)</f>
        <v/>
      </c>
      <c r="AC101" s="15">
        <f>IF((IF(S101="",0,5)+IF(U101="",0,5)+IF(W101="",0,4)+IF(Y101="",0,4)+IF(AA101="",0,4))=0,"",(IF(S101="",0,S101*5)+IF(U101="",0,U101*5)+IF(W101="",0,W101*4)+IF(Y101="",0,Y101*4)+IF(AA101="",0,AA101*4))/(IF(S101="",0,5)+IF(U101="",0,5)+IF(W101="",0,4)+IF(Y101="",0,4)+IF(AA101="",0,4)))</f>
        <v/>
      </c>
      <c r="AD101" s="14">
        <f>IF((IF(T101="",0,5)+IF(V101="",0,5)+IF(X101="",0,4)+IF(Z101="",0,4)+IF(AB101="",0,4))=0,"",(IF(T101="",0,T101*5)+IF(V101="",0,V101*5)+IF(X101="",0,X101*4)+IF(Z101="",0,Z101*4)+IF(AB101="",0,AB101*4))/22)</f>
        <v/>
      </c>
      <c r="AE101" s="11">
        <f>IF(OR(City_Inputs!$X101="",Norm_Stats!$F$12="",Norm_Stats!$G$12="",Norm_Stats!$G$12=Norm_Stats!$F$12),"",MAX(0,MIN(100,100*(MIN(MAX(City_Inputs!$X101,Norm_Stats!$F$12),Norm_Stats!$G$12)-Norm_Stats!$F$12)/(Norm_Stats!$G$12-Norm_Stats!$F$12))))</f>
        <v/>
      </c>
      <c r="AF101" s="14">
        <f>IF(AE101="","",1)</f>
        <v/>
      </c>
      <c r="AG101" s="11">
        <f>IF(OR(City_Inputs!$Y101="",Norm_Stats!$F$13="",Norm_Stats!$G$13="",Norm_Stats!$G$13=Norm_Stats!$F$13),"",MAX(0,MIN(100,100*(MIN(MAX(City_Inputs!$Y101,Norm_Stats!$F$13),Norm_Stats!$G$13)-Norm_Stats!$F$13)/(Norm_Stats!$G$13-Norm_Stats!$F$13))))</f>
        <v/>
      </c>
      <c r="AH101" s="14">
        <f>IF(AG101="","",1)</f>
        <v/>
      </c>
      <c r="AI101" s="11">
        <f>IF((IF((IF(OR(City_Inputs!$Z101="",Norm_Stats!$F$14="",Norm_Stats!$G$14="",Norm_Stats!$G$14=Norm_Stats!$F$14),"",MAX(0,MIN(100,100*(MIN(MAX(City_Inputs!$Z101,Norm_Stats!$F$14),Norm_Stats!$G$14)-Norm_Stats!$F$14)/(Norm_Stats!$G$14-Norm_Stats!$F$14)))))="",0,0.7)+IF((IF(OR(City_Inputs!$AK101="",Norm_Stats!$F$15="",Norm_Stats!$G$15="",Norm_Stats!$G$15=Norm_Stats!$F$15),"",MAX(0,MIN(100,100*(Norm_Stats!$G$15-MIN(MAX(City_Inputs!$AK101,Norm_Stats!$F$15),Norm_Stats!$G$15))/(Norm_Stats!$G$15-Norm_Stats!$F$15)))))="",0,0.3))=0,"",(IF((IF(OR(City_Inputs!$Z101="",Norm_Stats!$F$14="",Norm_Stats!$G$14="",Norm_Stats!$G$14=Norm_Stats!$F$14),"",MAX(0,MIN(100,100*(MIN(MAX(City_Inputs!$Z101,Norm_Stats!$F$14),Norm_Stats!$G$14)-Norm_Stats!$F$14)/(Norm_Stats!$G$14-Norm_Stats!$F$14)))))="",0,(IF(OR(City_Inputs!$Z101="",Norm_Stats!$F$14="",Norm_Stats!$G$14="",Norm_Stats!$G$14=Norm_Stats!$F$14),"",MAX(0,MIN(100,100*(MIN(MAX(City_Inputs!$Z101,Norm_Stats!$F$14),Norm_Stats!$G$14)-Norm_Stats!$F$14)/(Norm_Stats!$G$14-Norm_Stats!$F$14)))))*0.7)+IF((IF(OR(City_Inputs!$AK101="",Norm_Stats!$F$15="",Norm_Stats!$G$15="",Norm_Stats!$G$15=Norm_Stats!$F$15),"",MAX(0,MIN(100,100*(Norm_Stats!$G$15-MIN(MAX(City_Inputs!$AK101,Norm_Stats!$F$15),Norm_Stats!$G$15))/(Norm_Stats!$G$15-Norm_Stats!$F$15)))))="",0,(IF(OR(City_Inputs!$AK101="",Norm_Stats!$F$15="",Norm_Stats!$G$15="",Norm_Stats!$G$15=Norm_Stats!$F$15),"",MAX(0,MIN(100,100*(Norm_Stats!$G$15-MIN(MAX(City_Inputs!$AK101,Norm_Stats!$F$15),Norm_Stats!$G$15))/(Norm_Stats!$G$15-Norm_Stats!$F$15)))))*0.3))/(IF((IF(OR(City_Inputs!$Z101="",Norm_Stats!$F$14="",Norm_Stats!$G$14="",Norm_Stats!$G$14=Norm_Stats!$F$14),"",MAX(0,MIN(100,100*(MIN(MAX(City_Inputs!$Z101,Norm_Stats!$F$14),Norm_Stats!$G$14)-Norm_Stats!$F$14)/(Norm_Stats!$G$14-Norm_Stats!$F$14)))))="",0,0.7)+IF((IF(OR(City_Inputs!$AK101="",Norm_Stats!$F$15="",Norm_Stats!$G$15="",Norm_Stats!$G$15=Norm_Stats!$F$15),"",MAX(0,MIN(100,100*(Norm_Stats!$G$15-MIN(MAX(City_Inputs!$AK101,Norm_Stats!$F$15),Norm_Stats!$G$15))/(Norm_Stats!$G$15-Norm_Stats!$F$15)))))="",0,0.3)))</f>
        <v/>
      </c>
      <c r="AJ101" s="14">
        <f>IF((IF((IF(OR(City_Inputs!$Z101="",Norm_Stats!$F$14="",Norm_Stats!$G$14="",Norm_Stats!$G$14=Norm_Stats!$F$14),"",MAX(0,MIN(100,100*(MIN(MAX(City_Inputs!$Z101,Norm_Stats!$F$14),Norm_Stats!$G$14)-Norm_Stats!$F$14)/(Norm_Stats!$G$14-Norm_Stats!$F$14)))))="",0,0.7)+IF((IF(OR(City_Inputs!$AK101="",Norm_Stats!$F$15="",Norm_Stats!$G$15="",Norm_Stats!$G$15=Norm_Stats!$F$15),"",MAX(0,MIN(100,100*(Norm_Stats!$G$15-MIN(MAX(City_Inputs!$AK101,Norm_Stats!$F$15),Norm_Stats!$G$15))/(Norm_Stats!$G$15-Norm_Stats!$F$15)))))="",0,0.3))=0,"",(IF((IF(OR(City_Inputs!$Z101="",Norm_Stats!$F$14="",Norm_Stats!$G$14="",Norm_Stats!$G$14=Norm_Stats!$F$14),"",MAX(0,MIN(100,100*(MIN(MAX(City_Inputs!$Z101,Norm_Stats!$F$14),Norm_Stats!$G$14)-Norm_Stats!$F$14)/(Norm_Stats!$G$14-Norm_Stats!$F$14)))))="",0,0.7)+IF((IF(OR(City_Inputs!$AK101="",Norm_Stats!$F$15="",Norm_Stats!$G$15="",Norm_Stats!$G$15=Norm_Stats!$F$15),"",MAX(0,MIN(100,100*(Norm_Stats!$G$15-MIN(MAX(City_Inputs!$AK101,Norm_Stats!$F$15),Norm_Stats!$G$15))/(Norm_Stats!$G$15-Norm_Stats!$F$15)))))="",0,0.3)))</f>
        <v/>
      </c>
      <c r="AK101" s="15">
        <f>IF((IF(AE101="",0,8)+IF(AG101="",0,6)+IF(AI101="",0,4))=0,"",(IF(AE101="",0,AE101*8)+IF(AG101="",0,AG101*6)+IF(AI101="",0,AI101*4))/(IF(AE101="",0,8)+IF(AG101="",0,6)+IF(AI101="",0,4)))</f>
        <v/>
      </c>
      <c r="AL101" s="14">
        <f>IF((IF(AF101="",0,8)+IF(AH101="",0,6)+IF(AJ101="",0,4))=0,"",(IF(AF101="",0,AF101*8)+IF(AH101="",0,AH101*6)+IF(AJ101="",0,AJ101*4))/18)</f>
        <v/>
      </c>
      <c r="AM101" s="11">
        <f>IF(OR(City_Inputs!$AA101="",Norm_Stats!$F$16="",Norm_Stats!$G$16="",Norm_Stats!$G$16=Norm_Stats!$F$16),"",MAX(0,MIN(100,100*(MIN(MAX(City_Inputs!$AA101,Norm_Stats!$F$16),Norm_Stats!$G$16)-Norm_Stats!$F$16)/(Norm_Stats!$G$16-Norm_Stats!$F$16))))</f>
        <v/>
      </c>
      <c r="AN101" s="14">
        <f>IF(AM101="","",1)</f>
        <v/>
      </c>
      <c r="AO101" s="11">
        <f>IF(OR(City_Inputs!$AB101="",Norm_Stats!$F$17="",Norm_Stats!$G$17="",Norm_Stats!$G$17=Norm_Stats!$F$17),"",MAX(0,MIN(100,100*(MIN(MAX(City_Inputs!$AB101,Norm_Stats!$F$17),Norm_Stats!$G$17)-Norm_Stats!$F$17)/(Norm_Stats!$G$17-Norm_Stats!$F$17))))</f>
        <v/>
      </c>
      <c r="AP101" s="14">
        <f>IF(AO101="","",1)</f>
        <v/>
      </c>
      <c r="AQ101" s="11">
        <f>IF(OR(City_Inputs!$AC101="",Norm_Stats!$F$18="",Norm_Stats!$G$18="",Norm_Stats!$G$18=Norm_Stats!$F$18),"",MAX(0,MIN(100,100*(MIN(MAX(City_Inputs!$AC101,Norm_Stats!$F$18),Norm_Stats!$G$18)-Norm_Stats!$F$18)/(Norm_Stats!$G$18-Norm_Stats!$F$18))))</f>
        <v/>
      </c>
      <c r="AR101" s="14">
        <f>IF(AQ101="","",1)</f>
        <v/>
      </c>
      <c r="AS101" s="15">
        <f>IF((IF(AM101="",0,5)+IF(AO101="",0,5)+IF(AQ101="",0,5))=0,"",(IF(AM101="",0,AM101*5)+IF(AO101="",0,AO101*5)+IF(AQ101="",0,AQ101*5))/(IF(AM101="",0,5)+IF(AO101="",0,5)+IF(AQ101="",0,5)))</f>
        <v/>
      </c>
      <c r="AT101" s="14">
        <f>IF((IF(AN101="",0,5)+IF(AP101="",0,5)+IF(AR101="",0,5))=0,"",(IF(AN101="",0,AN101*5)+IF(AP101="",0,AP101*5)+IF(AR101="",0,AR101*5))/15)</f>
        <v/>
      </c>
      <c r="AU101" s="11">
        <f>IF(OR(City_Inputs!$AD101="",Norm_Stats!$F$19="",Norm_Stats!$G$19="",Norm_Stats!$G$19=Norm_Stats!$F$19),"",MAX(0,MIN(100,100*(MIN(MAX(City_Inputs!$AD101,Norm_Stats!$F$19),Norm_Stats!$G$19)-Norm_Stats!$F$19)/(Norm_Stats!$G$19-Norm_Stats!$F$19))))</f>
        <v/>
      </c>
      <c r="AV101" s="14">
        <f>IF(AU101="","",1)</f>
        <v/>
      </c>
      <c r="AW101" s="11">
        <f>IF(OR(City_Inputs!$AE101="",Norm_Stats!$F$20="",Norm_Stats!$G$20="",Norm_Stats!$G$20=Norm_Stats!$F$20),"",MAX(0,MIN(100,100*(MIN(MAX(City_Inputs!$AE101,Norm_Stats!$F$20),Norm_Stats!$G$20)-Norm_Stats!$F$20)/(Norm_Stats!$G$20-Norm_Stats!$F$20))))</f>
        <v/>
      </c>
      <c r="AX101" s="14">
        <f>IF(AW101="","",1)</f>
        <v/>
      </c>
      <c r="AY101" s="11">
        <f>IF((IF((IF(OR(City_Inputs!$AF101="",Norm_Stats!$F$21="",Norm_Stats!$G$21="",Norm_Stats!$G$21=Norm_Stats!$F$21),"",MAX(0,MIN(100,100*(MIN(MAX(City_Inputs!$AF101,Norm_Stats!$F$21),Norm_Stats!$G$21)-Norm_Stats!$F$21)/(Norm_Stats!$G$21-Norm_Stats!$F$21)))))="",0,0.5)+IF((IF(OR(City_Inputs!$AI101="",Norm_Stats!$F$22="",Norm_Stats!$G$22="",Norm_Stats!$G$22=Norm_Stats!$F$22),"",MAX(0,MIN(100,100*(MIN(MAX(City_Inputs!$AI101,Norm_Stats!$F$22),Norm_Stats!$G$22)-Norm_Stats!$F$22)/(Norm_Stats!$G$22-Norm_Stats!$F$22)))))="",0,0.3)+IF((IF(OR(City_Inputs!$AJ101="",Norm_Stats!$F$23="",Norm_Stats!$G$23="",Norm_Stats!$G$23=Norm_Stats!$F$23),"",MAX(0,MIN(100,100*(MIN(MAX(City_Inputs!$AJ101,Norm_Stats!$F$23),Norm_Stats!$G$23)-Norm_Stats!$F$23)/(Norm_Stats!$G$23-Norm_Stats!$F$23)))))="",0,0.2))=0,"",(IF((IF(OR(City_Inputs!$AF101="",Norm_Stats!$F$21="",Norm_Stats!$G$21="",Norm_Stats!$G$21=Norm_Stats!$F$21),"",MAX(0,MIN(100,100*(MIN(MAX(City_Inputs!$AF101,Norm_Stats!$F$21),Norm_Stats!$G$21)-Norm_Stats!$F$21)/(Norm_Stats!$G$21-Norm_Stats!$F$21)))))="",0,(IF(OR(City_Inputs!$AF101="",Norm_Stats!$F$21="",Norm_Stats!$G$21="",Norm_Stats!$G$21=Norm_Stats!$F$21),"",MAX(0,MIN(100,100*(MIN(MAX(City_Inputs!$AF101,Norm_Stats!$F$21),Norm_Stats!$G$21)-Norm_Stats!$F$21)/(Norm_Stats!$G$21-Norm_Stats!$F$21)))))*0.5)+IF((IF(OR(City_Inputs!$AI101="",Norm_Stats!$F$22="",Norm_Stats!$G$22="",Norm_Stats!$G$22=Norm_Stats!$F$22),"",MAX(0,MIN(100,100*(MIN(MAX(City_Inputs!$AI101,Norm_Stats!$F$22),Norm_Stats!$G$22)-Norm_Stats!$F$22)/(Norm_Stats!$G$22-Norm_Stats!$F$22)))))="",0,(IF(OR(City_Inputs!$AI101="",Norm_Stats!$F$22="",Norm_Stats!$G$22="",Norm_Stats!$G$22=Norm_Stats!$F$22),"",MAX(0,MIN(100,100*(MIN(MAX(City_Inputs!$AI101,Norm_Stats!$F$22),Norm_Stats!$G$22)-Norm_Stats!$F$22)/(Norm_Stats!$G$22-Norm_Stats!$F$22)))))*0.3)+IF((IF(OR(City_Inputs!$AJ101="",Norm_Stats!$F$23="",Norm_Stats!$G$23="",Norm_Stats!$G$23=Norm_Stats!$F$23),"",MAX(0,MIN(100,100*(MIN(MAX(City_Inputs!$AJ101,Norm_Stats!$F$23),Norm_Stats!$G$23)-Norm_Stats!$F$23)/(Norm_Stats!$G$23-Norm_Stats!$F$23)))))="",0,(IF(OR(City_Inputs!$AJ101="",Norm_Stats!$F$23="",Norm_Stats!$G$23="",Norm_Stats!$G$23=Norm_Stats!$F$23),"",MAX(0,MIN(100,100*(MIN(MAX(City_Inputs!$AJ101,Norm_Stats!$F$23),Norm_Stats!$G$23)-Norm_Stats!$F$23)/(Norm_Stats!$G$23-Norm_Stats!$F$23)))))*0.2))/(IF((IF(OR(City_Inputs!$AF101="",Norm_Stats!$F$21="",Norm_Stats!$G$21="",Norm_Stats!$G$21=Norm_Stats!$F$21),"",MAX(0,MIN(100,100*(MIN(MAX(City_Inputs!$AF101,Norm_Stats!$F$21),Norm_Stats!$G$21)-Norm_Stats!$F$21)/(Norm_Stats!$G$21-Norm_Stats!$F$21)))))="",0,0.5)+IF((IF(OR(City_Inputs!$AI101="",Norm_Stats!$F$22="",Norm_Stats!$G$22="",Norm_Stats!$G$22=Norm_Stats!$F$22),"",MAX(0,MIN(100,100*(MIN(MAX(City_Inputs!$AI101,Norm_Stats!$F$22),Norm_Stats!$G$22)-Norm_Stats!$F$22)/(Norm_Stats!$G$22-Norm_Stats!$F$22)))))="",0,0.3)+IF((IF(OR(City_Inputs!$AJ101="",Norm_Stats!$F$23="",Norm_Stats!$G$23="",Norm_Stats!$G$23=Norm_Stats!$F$23),"",MAX(0,MIN(100,100*(MIN(MAX(City_Inputs!$AJ101,Norm_Stats!$F$23),Norm_Stats!$G$23)-Norm_Stats!$F$23)/(Norm_Stats!$G$23-Norm_Stats!$F$23)))))="",0,0.2)))</f>
        <v/>
      </c>
      <c r="AZ101" s="14">
        <f>IF((IF((IF(OR(City_Inputs!$AF101="",Norm_Stats!$F$21="",Norm_Stats!$G$21="",Norm_Stats!$G$21=Norm_Stats!$F$21),"",MAX(0,MIN(100,100*(MIN(MAX(City_Inputs!$AF101,Norm_Stats!$F$21),Norm_Stats!$G$21)-Norm_Stats!$F$21)/(Norm_Stats!$G$21-Norm_Stats!$F$21)))))="",0,0.5)+IF((IF(OR(City_Inputs!$AI101="",Norm_Stats!$F$22="",Norm_Stats!$G$22="",Norm_Stats!$G$22=Norm_Stats!$F$22),"",MAX(0,MIN(100,100*(MIN(MAX(City_Inputs!$AI101,Norm_Stats!$F$22),Norm_Stats!$G$22)-Norm_Stats!$F$22)/(Norm_Stats!$G$22-Norm_Stats!$F$22)))))="",0,0.3)+IF((IF(OR(City_Inputs!$AJ101="",Norm_Stats!$F$23="",Norm_Stats!$G$23="",Norm_Stats!$G$23=Norm_Stats!$F$23),"",MAX(0,MIN(100,100*(MIN(MAX(City_Inputs!$AJ101,Norm_Stats!$F$23),Norm_Stats!$G$23)-Norm_Stats!$F$23)/(Norm_Stats!$G$23-Norm_Stats!$F$23)))))="",0,0.2))=0,"",(IF((IF(OR(City_Inputs!$AF101="",Norm_Stats!$F$21="",Norm_Stats!$G$21="",Norm_Stats!$G$21=Norm_Stats!$F$21),"",MAX(0,MIN(100,100*(MIN(MAX(City_Inputs!$AF101,Norm_Stats!$F$21),Norm_Stats!$G$21)-Norm_Stats!$F$21)/(Norm_Stats!$G$21-Norm_Stats!$F$21)))))="",0,0.5)+IF((IF(OR(City_Inputs!$AI101="",Norm_Stats!$F$22="",Norm_Stats!$G$22="",Norm_Stats!$G$22=Norm_Stats!$F$22),"",MAX(0,MIN(100,100*(MIN(MAX(City_Inputs!$AI101,Norm_Stats!$F$22),Norm_Stats!$G$22)-Norm_Stats!$F$22)/(Norm_Stats!$G$22-Norm_Stats!$F$22)))))="",0,0.3)+IF((IF(OR(City_Inputs!$AJ101="",Norm_Stats!$F$23="",Norm_Stats!$G$23="",Norm_Stats!$G$23=Norm_Stats!$F$23),"",MAX(0,MIN(100,100*(MIN(MAX(City_Inputs!$AJ101,Norm_Stats!$F$23),Norm_Stats!$G$23)-Norm_Stats!$F$23)/(Norm_Stats!$G$23-Norm_Stats!$F$23)))))="",0,0.2)))</f>
        <v/>
      </c>
      <c r="BA101" s="11">
        <f>IF(OR(City_Inputs!$AG101="",Norm_Stats!$F$24="",Norm_Stats!$G$24="",Norm_Stats!$G$24=Norm_Stats!$F$24),"",MAX(0,MIN(100,100*(Norm_Stats!$G$24-MIN(MAX(City_Inputs!$AG101,Norm_Stats!$F$24),Norm_Stats!$G$24))/(Norm_Stats!$G$24-Norm_Stats!$F$24))))</f>
        <v/>
      </c>
      <c r="BB101" s="14">
        <f>IF(BA101="","",1)</f>
        <v/>
      </c>
      <c r="BC101" s="15">
        <f>IF((IF(AU101="",0,6)+IF(AW101="",0,5)+IF(AY101="",0,5)+IF(BA101="",0,4))=0,"",(IF(AU101="",0,AU101*6)+IF(AW101="",0,AW101*5)+IF(AY101="",0,AY101*5)+IF(BA101="",0,BA101*4))/(IF(AU101="",0,6)+IF(AW101="",0,5)+IF(AY101="",0,5)+IF(BA101="",0,4)))</f>
        <v/>
      </c>
      <c r="BD101" s="14">
        <f>IF((IF(AV101="",0,6)+IF(AX101="",0,5)+IF(AZ101="",0,5)+IF(BB101="",0,4))=0,"",(IF(AV101="",0,AV101*6)+IF(AX101="",0,AX101*5)+IF(AZ101="",0,AZ101*5)+IF(BB101="",0,BB101*4))/20)</f>
        <v/>
      </c>
      <c r="BE101" s="14">
        <f>IF(AND(R101="",AD101="",AL101="",AT101="",BD101=""),"",((R101*25)+(AD101*22)+(AL101*18)+(AT101*15)+(BD101*20))/100)</f>
        <v/>
      </c>
      <c r="BF101" s="11">
        <f>IF(BE101="","",IF(BE101&gt;=0.75,"A",IF(BE101&gt;=0.5,"B",IF(BE101&gt;=0.35,"C","Watchlist"))))</f>
        <v/>
      </c>
      <c r="BG101" s="11">
        <f>IF(OR(BE101="",BE101&lt;0.5,R101="",R101&lt;0.35,AD101="",AD101&lt;0.35,AL101="",AL101&lt;0.35,AT101="",AT101&lt;0.35,BD101="",BD101&lt;0.35),"Watchlist","Ranked")</f>
        <v/>
      </c>
      <c r="BH101" s="15">
        <f>IF(AND(Q101="",AC101="",AK101="",AS101="",BC101=""),"",(IF(Q101="",0,Q101*25)+IF(AC101="",0,AC101*22)+IF(AK101="",0,AK101*18)+IF(AS101="",0,AS101*15)+IF(BC101="",0,BC101*20))/(IF(Q101="",0,25)+IF(AC101="",0,22)+IF(AK101="",0,18)+IF(AS101="",0,15)+IF(BC101="",0,20)))</f>
        <v/>
      </c>
      <c r="BI101" s="11">
        <f>IF(BG101="Ranked",1+COUNTIFS($BG$2:$BG$103,"Ranked",$BH$2:$BH$103,"&gt;"&amp;BH101),"")</f>
        <v/>
      </c>
      <c r="BJ101" s="11">
        <f>City_Inputs!$AH101</f>
        <v/>
      </c>
    </row>
    <row r="102">
      <c r="A102" t="inlineStr">
        <is>
          <t>nz-christchurch</t>
        </is>
      </c>
      <c r="B102" t="inlineStr">
        <is>
          <t>Christchurch</t>
        </is>
      </c>
      <c r="C102" t="inlineStr">
        <is>
          <t>New Zealand</t>
        </is>
      </c>
      <c r="D102" t="inlineStr">
        <is>
          <t>Oceania</t>
        </is>
      </c>
      <c r="E102" t="inlineStr">
        <is>
          <t>provisional</t>
        </is>
      </c>
      <c r="F102" t="inlineStr">
        <is>
          <t>secondary</t>
        </is>
      </c>
      <c r="G102" s="11">
        <f>IF(OR(City_Inputs!$M102="",Norm_Stats!$F$2="",Norm_Stats!$G$2="",Norm_Stats!$G$2=Norm_Stats!$F$2),"",MAX(0,MIN(100,100*(MIN(MAX(City_Inputs!$M102,Norm_Stats!$F$2),Norm_Stats!$G$2)-Norm_Stats!$F$2)/(Norm_Stats!$G$2-Norm_Stats!$F$2))))</f>
        <v/>
      </c>
      <c r="H102" s="14">
        <f>IF(G102="","",1)</f>
        <v/>
      </c>
      <c r="I102" s="11">
        <f>IF(OR(City_Inputs!$N102="",Norm_Stats!$F$3="",Norm_Stats!$G$3="",Norm_Stats!$G$3=Norm_Stats!$F$3),"",MAX(0,MIN(100,100*(Norm_Stats!$G$3-MIN(MAX(City_Inputs!$N102,Norm_Stats!$F$3),Norm_Stats!$G$3))/(Norm_Stats!$G$3-Norm_Stats!$F$3))))</f>
        <v/>
      </c>
      <c r="J102" s="14">
        <f>IF(I102="","",1)</f>
        <v/>
      </c>
      <c r="K102" s="11">
        <f>IF(OR(City_Inputs!$P102="",Norm_Stats!$F$4="",Norm_Stats!$G$4="",Norm_Stats!$G$4=Norm_Stats!$F$4),"",MAX(0,MIN(100,100*(Norm_Stats!$G$4-MIN(MAX(City_Inputs!$P102,Norm_Stats!$F$4),Norm_Stats!$G$4))/(Norm_Stats!$G$4-Norm_Stats!$F$4))))</f>
        <v/>
      </c>
      <c r="L102" s="14">
        <f>IF(K102="","",1)</f>
        <v/>
      </c>
      <c r="M102" s="11">
        <f>IF(OR(City_Inputs!$Q102="",Norm_Stats!$F$5="",Norm_Stats!$G$5="",Norm_Stats!$G$5=Norm_Stats!$F$5),"",MAX(0,MIN(100,100*(Norm_Stats!$G$5-MIN(MAX(City_Inputs!$Q102,Norm_Stats!$F$5),Norm_Stats!$G$5))/(Norm_Stats!$G$5-Norm_Stats!$F$5))))</f>
        <v/>
      </c>
      <c r="N102" s="14">
        <f>IF(M102="","",1)</f>
        <v/>
      </c>
      <c r="O102" s="11">
        <f>IF(OR(City_Inputs!$R102="",Norm_Stats!$F$6="",Norm_Stats!$G$6="",Norm_Stats!$G$6=Norm_Stats!$F$6),"",MAX(0,MIN(100,100*(Norm_Stats!$G$6-MIN(MAX(City_Inputs!$R102,Norm_Stats!$F$6),Norm_Stats!$G$6))/(Norm_Stats!$G$6-Norm_Stats!$F$6))))</f>
        <v/>
      </c>
      <c r="P102" s="14">
        <f>IF(O102="","",1)</f>
        <v/>
      </c>
      <c r="Q102" s="15">
        <f>IF((IF(G102="",0,9)+IF(I102="",0,5)+IF(K102="",0,4)+IF(M102="",0,4)+IF(O102="",0,3))=0,"",(IF(G102="",0,G102*9)+IF(I102="",0,I102*5)+IF(K102="",0,K102*4)+IF(M102="",0,M102*4)+IF(O102="",0,O102*3))/(IF(G102="",0,9)+IF(I102="",0,5)+IF(K102="",0,4)+IF(M102="",0,4)+IF(O102="",0,3)))</f>
        <v/>
      </c>
      <c r="R102" s="14">
        <f>IF((IF(H102="",0,9)+IF(J102="",0,5)+IF(L102="",0,4)+IF(N102="",0,4)+IF(P102="",0,3))=0,"",(IF(H102="",0,H102*9)+IF(J102="",0,J102*5)+IF(L102="",0,L102*4)+IF(N102="",0,N102*4)+IF(P102="",0,P102*3))/25)</f>
        <v/>
      </c>
      <c r="S102" s="11">
        <f>IF(OR(City_Inputs!$S102="",Norm_Stats!$F$7="",Norm_Stats!$G$7="",Norm_Stats!$G$7=Norm_Stats!$F$7),"",MAX(0,MIN(100,100*(Norm_Stats!$G$7-MIN(MAX(City_Inputs!$S102,Norm_Stats!$F$7),Norm_Stats!$G$7))/(Norm_Stats!$G$7-Norm_Stats!$F$7))))</f>
        <v/>
      </c>
      <c r="T102" s="14">
        <f>IF(S102="","",1)</f>
        <v/>
      </c>
      <c r="U102" s="11">
        <f>IF(OR(City_Inputs!$T102="",Norm_Stats!$F$8="",Norm_Stats!$G$8="",Norm_Stats!$G$8=Norm_Stats!$F$8),"",MAX(0,MIN(100,100*(MIN(MAX(City_Inputs!$T102,Norm_Stats!$F$8),Norm_Stats!$G$8)-Norm_Stats!$F$8)/(Norm_Stats!$G$8-Norm_Stats!$F$8))))</f>
        <v/>
      </c>
      <c r="V102" s="14">
        <f>IF(U102="","",1)</f>
        <v/>
      </c>
      <c r="W102" s="11">
        <f>IF(OR(City_Inputs!$U102="",Norm_Stats!$F$9="",Norm_Stats!$G$9="",Norm_Stats!$G$9=Norm_Stats!$F$9),"",MAX(0,MIN(100,100*(Norm_Stats!$G$9-MIN(MAX(City_Inputs!$U102,Norm_Stats!$F$9),Norm_Stats!$G$9))/(Norm_Stats!$G$9-Norm_Stats!$F$9))))</f>
        <v/>
      </c>
      <c r="X102" s="14">
        <f>IF(W102="","",1)</f>
        <v/>
      </c>
      <c r="Y102" s="11">
        <f>IF(OR(City_Inputs!$V102="",Norm_Stats!$F$10="",Norm_Stats!$G$10="",Norm_Stats!$G$10=Norm_Stats!$F$10),"",MAX(0,MIN(100,100*(MIN(MAX(City_Inputs!$V102,Norm_Stats!$F$10),Norm_Stats!$G$10)-Norm_Stats!$F$10)/(Norm_Stats!$G$10-Norm_Stats!$F$10))))</f>
        <v/>
      </c>
      <c r="Z102" s="14">
        <f>IF(Y102="","",1)</f>
        <v/>
      </c>
      <c r="AA102" s="11">
        <f>IF(OR(City_Inputs!$W102="",Norm_Stats!$F$11="",Norm_Stats!$G$11="",Norm_Stats!$G$11=Norm_Stats!$F$11),"",MAX(0,MIN(100,100*(MIN(MAX(City_Inputs!$W102,Norm_Stats!$F$11),Norm_Stats!$G$11)-Norm_Stats!$F$11)/(Norm_Stats!$G$11-Norm_Stats!$F$11))))</f>
        <v/>
      </c>
      <c r="AB102" s="14">
        <f>IF(AA102="","",1)</f>
        <v/>
      </c>
      <c r="AC102" s="15">
        <f>IF((IF(S102="",0,5)+IF(U102="",0,5)+IF(W102="",0,4)+IF(Y102="",0,4)+IF(AA102="",0,4))=0,"",(IF(S102="",0,S102*5)+IF(U102="",0,U102*5)+IF(W102="",0,W102*4)+IF(Y102="",0,Y102*4)+IF(AA102="",0,AA102*4))/(IF(S102="",0,5)+IF(U102="",0,5)+IF(W102="",0,4)+IF(Y102="",0,4)+IF(AA102="",0,4)))</f>
        <v/>
      </c>
      <c r="AD102" s="14">
        <f>IF((IF(T102="",0,5)+IF(V102="",0,5)+IF(X102="",0,4)+IF(Z102="",0,4)+IF(AB102="",0,4))=0,"",(IF(T102="",0,T102*5)+IF(V102="",0,V102*5)+IF(X102="",0,X102*4)+IF(Z102="",0,Z102*4)+IF(AB102="",0,AB102*4))/22)</f>
        <v/>
      </c>
      <c r="AE102" s="11">
        <f>IF(OR(City_Inputs!$X102="",Norm_Stats!$F$12="",Norm_Stats!$G$12="",Norm_Stats!$G$12=Norm_Stats!$F$12),"",MAX(0,MIN(100,100*(MIN(MAX(City_Inputs!$X102,Norm_Stats!$F$12),Norm_Stats!$G$12)-Norm_Stats!$F$12)/(Norm_Stats!$G$12-Norm_Stats!$F$12))))</f>
        <v/>
      </c>
      <c r="AF102" s="14">
        <f>IF(AE102="","",1)</f>
        <v/>
      </c>
      <c r="AG102" s="11">
        <f>IF(OR(City_Inputs!$Y102="",Norm_Stats!$F$13="",Norm_Stats!$G$13="",Norm_Stats!$G$13=Norm_Stats!$F$13),"",MAX(0,MIN(100,100*(MIN(MAX(City_Inputs!$Y102,Norm_Stats!$F$13),Norm_Stats!$G$13)-Norm_Stats!$F$13)/(Norm_Stats!$G$13-Norm_Stats!$F$13))))</f>
        <v/>
      </c>
      <c r="AH102" s="14">
        <f>IF(AG102="","",1)</f>
        <v/>
      </c>
      <c r="AI102" s="11">
        <f>IF((IF((IF(OR(City_Inputs!$Z102="",Norm_Stats!$F$14="",Norm_Stats!$G$14="",Norm_Stats!$G$14=Norm_Stats!$F$14),"",MAX(0,MIN(100,100*(MIN(MAX(City_Inputs!$Z102,Norm_Stats!$F$14),Norm_Stats!$G$14)-Norm_Stats!$F$14)/(Norm_Stats!$G$14-Norm_Stats!$F$14)))))="",0,0.7)+IF((IF(OR(City_Inputs!$AK102="",Norm_Stats!$F$15="",Norm_Stats!$G$15="",Norm_Stats!$G$15=Norm_Stats!$F$15),"",MAX(0,MIN(100,100*(Norm_Stats!$G$15-MIN(MAX(City_Inputs!$AK102,Norm_Stats!$F$15),Norm_Stats!$G$15))/(Norm_Stats!$G$15-Norm_Stats!$F$15)))))="",0,0.3))=0,"",(IF((IF(OR(City_Inputs!$Z102="",Norm_Stats!$F$14="",Norm_Stats!$G$14="",Norm_Stats!$G$14=Norm_Stats!$F$14),"",MAX(0,MIN(100,100*(MIN(MAX(City_Inputs!$Z102,Norm_Stats!$F$14),Norm_Stats!$G$14)-Norm_Stats!$F$14)/(Norm_Stats!$G$14-Norm_Stats!$F$14)))))="",0,(IF(OR(City_Inputs!$Z102="",Norm_Stats!$F$14="",Norm_Stats!$G$14="",Norm_Stats!$G$14=Norm_Stats!$F$14),"",MAX(0,MIN(100,100*(MIN(MAX(City_Inputs!$Z102,Norm_Stats!$F$14),Norm_Stats!$G$14)-Norm_Stats!$F$14)/(Norm_Stats!$G$14-Norm_Stats!$F$14)))))*0.7)+IF((IF(OR(City_Inputs!$AK102="",Norm_Stats!$F$15="",Norm_Stats!$G$15="",Norm_Stats!$G$15=Norm_Stats!$F$15),"",MAX(0,MIN(100,100*(Norm_Stats!$G$15-MIN(MAX(City_Inputs!$AK102,Norm_Stats!$F$15),Norm_Stats!$G$15))/(Norm_Stats!$G$15-Norm_Stats!$F$15)))))="",0,(IF(OR(City_Inputs!$AK102="",Norm_Stats!$F$15="",Norm_Stats!$G$15="",Norm_Stats!$G$15=Norm_Stats!$F$15),"",MAX(0,MIN(100,100*(Norm_Stats!$G$15-MIN(MAX(City_Inputs!$AK102,Norm_Stats!$F$15),Norm_Stats!$G$15))/(Norm_Stats!$G$15-Norm_Stats!$F$15)))))*0.3))/(IF((IF(OR(City_Inputs!$Z102="",Norm_Stats!$F$14="",Norm_Stats!$G$14="",Norm_Stats!$G$14=Norm_Stats!$F$14),"",MAX(0,MIN(100,100*(MIN(MAX(City_Inputs!$Z102,Norm_Stats!$F$14),Norm_Stats!$G$14)-Norm_Stats!$F$14)/(Norm_Stats!$G$14-Norm_Stats!$F$14)))))="",0,0.7)+IF((IF(OR(City_Inputs!$AK102="",Norm_Stats!$F$15="",Norm_Stats!$G$15="",Norm_Stats!$G$15=Norm_Stats!$F$15),"",MAX(0,MIN(100,100*(Norm_Stats!$G$15-MIN(MAX(City_Inputs!$AK102,Norm_Stats!$F$15),Norm_Stats!$G$15))/(Norm_Stats!$G$15-Norm_Stats!$F$15)))))="",0,0.3)))</f>
        <v/>
      </c>
      <c r="AJ102" s="14">
        <f>IF((IF((IF(OR(City_Inputs!$Z102="",Norm_Stats!$F$14="",Norm_Stats!$G$14="",Norm_Stats!$G$14=Norm_Stats!$F$14),"",MAX(0,MIN(100,100*(MIN(MAX(City_Inputs!$Z102,Norm_Stats!$F$14),Norm_Stats!$G$14)-Norm_Stats!$F$14)/(Norm_Stats!$G$14-Norm_Stats!$F$14)))))="",0,0.7)+IF((IF(OR(City_Inputs!$AK102="",Norm_Stats!$F$15="",Norm_Stats!$G$15="",Norm_Stats!$G$15=Norm_Stats!$F$15),"",MAX(0,MIN(100,100*(Norm_Stats!$G$15-MIN(MAX(City_Inputs!$AK102,Norm_Stats!$F$15),Norm_Stats!$G$15))/(Norm_Stats!$G$15-Norm_Stats!$F$15)))))="",0,0.3))=0,"",(IF((IF(OR(City_Inputs!$Z102="",Norm_Stats!$F$14="",Norm_Stats!$G$14="",Norm_Stats!$G$14=Norm_Stats!$F$14),"",MAX(0,MIN(100,100*(MIN(MAX(City_Inputs!$Z102,Norm_Stats!$F$14),Norm_Stats!$G$14)-Norm_Stats!$F$14)/(Norm_Stats!$G$14-Norm_Stats!$F$14)))))="",0,0.7)+IF((IF(OR(City_Inputs!$AK102="",Norm_Stats!$F$15="",Norm_Stats!$G$15="",Norm_Stats!$G$15=Norm_Stats!$F$15),"",MAX(0,MIN(100,100*(Norm_Stats!$G$15-MIN(MAX(City_Inputs!$AK102,Norm_Stats!$F$15),Norm_Stats!$G$15))/(Norm_Stats!$G$15-Norm_Stats!$F$15)))))="",0,0.3)))</f>
        <v/>
      </c>
      <c r="AK102" s="15">
        <f>IF((IF(AE102="",0,8)+IF(AG102="",0,6)+IF(AI102="",0,4))=0,"",(IF(AE102="",0,AE102*8)+IF(AG102="",0,AG102*6)+IF(AI102="",0,AI102*4))/(IF(AE102="",0,8)+IF(AG102="",0,6)+IF(AI102="",0,4)))</f>
        <v/>
      </c>
      <c r="AL102" s="14">
        <f>IF((IF(AF102="",0,8)+IF(AH102="",0,6)+IF(AJ102="",0,4))=0,"",(IF(AF102="",0,AF102*8)+IF(AH102="",0,AH102*6)+IF(AJ102="",0,AJ102*4))/18)</f>
        <v/>
      </c>
      <c r="AM102" s="11">
        <f>IF(OR(City_Inputs!$AA102="",Norm_Stats!$F$16="",Norm_Stats!$G$16="",Norm_Stats!$G$16=Norm_Stats!$F$16),"",MAX(0,MIN(100,100*(MIN(MAX(City_Inputs!$AA102,Norm_Stats!$F$16),Norm_Stats!$G$16)-Norm_Stats!$F$16)/(Norm_Stats!$G$16-Norm_Stats!$F$16))))</f>
        <v/>
      </c>
      <c r="AN102" s="14">
        <f>IF(AM102="","",1)</f>
        <v/>
      </c>
      <c r="AO102" s="11">
        <f>IF(OR(City_Inputs!$AB102="",Norm_Stats!$F$17="",Norm_Stats!$G$17="",Norm_Stats!$G$17=Norm_Stats!$F$17),"",MAX(0,MIN(100,100*(MIN(MAX(City_Inputs!$AB102,Norm_Stats!$F$17),Norm_Stats!$G$17)-Norm_Stats!$F$17)/(Norm_Stats!$G$17-Norm_Stats!$F$17))))</f>
        <v/>
      </c>
      <c r="AP102" s="14">
        <f>IF(AO102="","",1)</f>
        <v/>
      </c>
      <c r="AQ102" s="11">
        <f>IF(OR(City_Inputs!$AC102="",Norm_Stats!$F$18="",Norm_Stats!$G$18="",Norm_Stats!$G$18=Norm_Stats!$F$18),"",MAX(0,MIN(100,100*(MIN(MAX(City_Inputs!$AC102,Norm_Stats!$F$18),Norm_Stats!$G$18)-Norm_Stats!$F$18)/(Norm_Stats!$G$18-Norm_Stats!$F$18))))</f>
        <v/>
      </c>
      <c r="AR102" s="14">
        <f>IF(AQ102="","",1)</f>
        <v/>
      </c>
      <c r="AS102" s="15">
        <f>IF((IF(AM102="",0,5)+IF(AO102="",0,5)+IF(AQ102="",0,5))=0,"",(IF(AM102="",0,AM102*5)+IF(AO102="",0,AO102*5)+IF(AQ102="",0,AQ102*5))/(IF(AM102="",0,5)+IF(AO102="",0,5)+IF(AQ102="",0,5)))</f>
        <v/>
      </c>
      <c r="AT102" s="14">
        <f>IF((IF(AN102="",0,5)+IF(AP102="",0,5)+IF(AR102="",0,5))=0,"",(IF(AN102="",0,AN102*5)+IF(AP102="",0,AP102*5)+IF(AR102="",0,AR102*5))/15)</f>
        <v/>
      </c>
      <c r="AU102" s="11">
        <f>IF(OR(City_Inputs!$AD102="",Norm_Stats!$F$19="",Norm_Stats!$G$19="",Norm_Stats!$G$19=Norm_Stats!$F$19),"",MAX(0,MIN(100,100*(MIN(MAX(City_Inputs!$AD102,Norm_Stats!$F$19),Norm_Stats!$G$19)-Norm_Stats!$F$19)/(Norm_Stats!$G$19-Norm_Stats!$F$19))))</f>
        <v/>
      </c>
      <c r="AV102" s="14">
        <f>IF(AU102="","",1)</f>
        <v/>
      </c>
      <c r="AW102" s="11">
        <f>IF(OR(City_Inputs!$AE102="",Norm_Stats!$F$20="",Norm_Stats!$G$20="",Norm_Stats!$G$20=Norm_Stats!$F$20),"",MAX(0,MIN(100,100*(MIN(MAX(City_Inputs!$AE102,Norm_Stats!$F$20),Norm_Stats!$G$20)-Norm_Stats!$F$20)/(Norm_Stats!$G$20-Norm_Stats!$F$20))))</f>
        <v/>
      </c>
      <c r="AX102" s="14">
        <f>IF(AW102="","",1)</f>
        <v/>
      </c>
      <c r="AY102" s="11">
        <f>IF((IF((IF(OR(City_Inputs!$AF102="",Norm_Stats!$F$21="",Norm_Stats!$G$21="",Norm_Stats!$G$21=Norm_Stats!$F$21),"",MAX(0,MIN(100,100*(MIN(MAX(City_Inputs!$AF102,Norm_Stats!$F$21),Norm_Stats!$G$21)-Norm_Stats!$F$21)/(Norm_Stats!$G$21-Norm_Stats!$F$21)))))="",0,0.5)+IF((IF(OR(City_Inputs!$AI102="",Norm_Stats!$F$22="",Norm_Stats!$G$22="",Norm_Stats!$G$22=Norm_Stats!$F$22),"",MAX(0,MIN(100,100*(MIN(MAX(City_Inputs!$AI102,Norm_Stats!$F$22),Norm_Stats!$G$22)-Norm_Stats!$F$22)/(Norm_Stats!$G$22-Norm_Stats!$F$22)))))="",0,0.3)+IF((IF(OR(City_Inputs!$AJ102="",Norm_Stats!$F$23="",Norm_Stats!$G$23="",Norm_Stats!$G$23=Norm_Stats!$F$23),"",MAX(0,MIN(100,100*(MIN(MAX(City_Inputs!$AJ102,Norm_Stats!$F$23),Norm_Stats!$G$23)-Norm_Stats!$F$23)/(Norm_Stats!$G$23-Norm_Stats!$F$23)))))="",0,0.2))=0,"",(IF((IF(OR(City_Inputs!$AF102="",Norm_Stats!$F$21="",Norm_Stats!$G$21="",Norm_Stats!$G$21=Norm_Stats!$F$21),"",MAX(0,MIN(100,100*(MIN(MAX(City_Inputs!$AF102,Norm_Stats!$F$21),Norm_Stats!$G$21)-Norm_Stats!$F$21)/(Norm_Stats!$G$21-Norm_Stats!$F$21)))))="",0,(IF(OR(City_Inputs!$AF102="",Norm_Stats!$F$21="",Norm_Stats!$G$21="",Norm_Stats!$G$21=Norm_Stats!$F$21),"",MAX(0,MIN(100,100*(MIN(MAX(City_Inputs!$AF102,Norm_Stats!$F$21),Norm_Stats!$G$21)-Norm_Stats!$F$21)/(Norm_Stats!$G$21-Norm_Stats!$F$21)))))*0.5)+IF((IF(OR(City_Inputs!$AI102="",Norm_Stats!$F$22="",Norm_Stats!$G$22="",Norm_Stats!$G$22=Norm_Stats!$F$22),"",MAX(0,MIN(100,100*(MIN(MAX(City_Inputs!$AI102,Norm_Stats!$F$22),Norm_Stats!$G$22)-Norm_Stats!$F$22)/(Norm_Stats!$G$22-Norm_Stats!$F$22)))))="",0,(IF(OR(City_Inputs!$AI102="",Norm_Stats!$F$22="",Norm_Stats!$G$22="",Norm_Stats!$G$22=Norm_Stats!$F$22),"",MAX(0,MIN(100,100*(MIN(MAX(City_Inputs!$AI102,Norm_Stats!$F$22),Norm_Stats!$G$22)-Norm_Stats!$F$22)/(Norm_Stats!$G$22-Norm_Stats!$F$22)))))*0.3)+IF((IF(OR(City_Inputs!$AJ102="",Norm_Stats!$F$23="",Norm_Stats!$G$23="",Norm_Stats!$G$23=Norm_Stats!$F$23),"",MAX(0,MIN(100,100*(MIN(MAX(City_Inputs!$AJ102,Norm_Stats!$F$23),Norm_Stats!$G$23)-Norm_Stats!$F$23)/(Norm_Stats!$G$23-Norm_Stats!$F$23)))))="",0,(IF(OR(City_Inputs!$AJ102="",Norm_Stats!$F$23="",Norm_Stats!$G$23="",Norm_Stats!$G$23=Norm_Stats!$F$23),"",MAX(0,MIN(100,100*(MIN(MAX(City_Inputs!$AJ102,Norm_Stats!$F$23),Norm_Stats!$G$23)-Norm_Stats!$F$23)/(Norm_Stats!$G$23-Norm_Stats!$F$23)))))*0.2))/(IF((IF(OR(City_Inputs!$AF102="",Norm_Stats!$F$21="",Norm_Stats!$G$21="",Norm_Stats!$G$21=Norm_Stats!$F$21),"",MAX(0,MIN(100,100*(MIN(MAX(City_Inputs!$AF102,Norm_Stats!$F$21),Norm_Stats!$G$21)-Norm_Stats!$F$21)/(Norm_Stats!$G$21-Norm_Stats!$F$21)))))="",0,0.5)+IF((IF(OR(City_Inputs!$AI102="",Norm_Stats!$F$22="",Norm_Stats!$G$22="",Norm_Stats!$G$22=Norm_Stats!$F$22),"",MAX(0,MIN(100,100*(MIN(MAX(City_Inputs!$AI102,Norm_Stats!$F$22),Norm_Stats!$G$22)-Norm_Stats!$F$22)/(Norm_Stats!$G$22-Norm_Stats!$F$22)))))="",0,0.3)+IF((IF(OR(City_Inputs!$AJ102="",Norm_Stats!$F$23="",Norm_Stats!$G$23="",Norm_Stats!$G$23=Norm_Stats!$F$23),"",MAX(0,MIN(100,100*(MIN(MAX(City_Inputs!$AJ102,Norm_Stats!$F$23),Norm_Stats!$G$23)-Norm_Stats!$F$23)/(Norm_Stats!$G$23-Norm_Stats!$F$23)))))="",0,0.2)))</f>
        <v/>
      </c>
      <c r="AZ102" s="14">
        <f>IF((IF((IF(OR(City_Inputs!$AF102="",Norm_Stats!$F$21="",Norm_Stats!$G$21="",Norm_Stats!$G$21=Norm_Stats!$F$21),"",MAX(0,MIN(100,100*(MIN(MAX(City_Inputs!$AF102,Norm_Stats!$F$21),Norm_Stats!$G$21)-Norm_Stats!$F$21)/(Norm_Stats!$G$21-Norm_Stats!$F$21)))))="",0,0.5)+IF((IF(OR(City_Inputs!$AI102="",Norm_Stats!$F$22="",Norm_Stats!$G$22="",Norm_Stats!$G$22=Norm_Stats!$F$22),"",MAX(0,MIN(100,100*(MIN(MAX(City_Inputs!$AI102,Norm_Stats!$F$22),Norm_Stats!$G$22)-Norm_Stats!$F$22)/(Norm_Stats!$G$22-Norm_Stats!$F$22)))))="",0,0.3)+IF((IF(OR(City_Inputs!$AJ102="",Norm_Stats!$F$23="",Norm_Stats!$G$23="",Norm_Stats!$G$23=Norm_Stats!$F$23),"",MAX(0,MIN(100,100*(MIN(MAX(City_Inputs!$AJ102,Norm_Stats!$F$23),Norm_Stats!$G$23)-Norm_Stats!$F$23)/(Norm_Stats!$G$23-Norm_Stats!$F$23)))))="",0,0.2))=0,"",(IF((IF(OR(City_Inputs!$AF102="",Norm_Stats!$F$21="",Norm_Stats!$G$21="",Norm_Stats!$G$21=Norm_Stats!$F$21),"",MAX(0,MIN(100,100*(MIN(MAX(City_Inputs!$AF102,Norm_Stats!$F$21),Norm_Stats!$G$21)-Norm_Stats!$F$21)/(Norm_Stats!$G$21-Norm_Stats!$F$21)))))="",0,0.5)+IF((IF(OR(City_Inputs!$AI102="",Norm_Stats!$F$22="",Norm_Stats!$G$22="",Norm_Stats!$G$22=Norm_Stats!$F$22),"",MAX(0,MIN(100,100*(MIN(MAX(City_Inputs!$AI102,Norm_Stats!$F$22),Norm_Stats!$G$22)-Norm_Stats!$F$22)/(Norm_Stats!$G$22-Norm_Stats!$F$22)))))="",0,0.3)+IF((IF(OR(City_Inputs!$AJ102="",Norm_Stats!$F$23="",Norm_Stats!$G$23="",Norm_Stats!$G$23=Norm_Stats!$F$23),"",MAX(0,MIN(100,100*(MIN(MAX(City_Inputs!$AJ102,Norm_Stats!$F$23),Norm_Stats!$G$23)-Norm_Stats!$F$23)/(Norm_Stats!$G$23-Norm_Stats!$F$23)))))="",0,0.2)))</f>
        <v/>
      </c>
      <c r="BA102" s="11">
        <f>IF(OR(City_Inputs!$AG102="",Norm_Stats!$F$24="",Norm_Stats!$G$24="",Norm_Stats!$G$24=Norm_Stats!$F$24),"",MAX(0,MIN(100,100*(Norm_Stats!$G$24-MIN(MAX(City_Inputs!$AG102,Norm_Stats!$F$24),Norm_Stats!$G$24))/(Norm_Stats!$G$24-Norm_Stats!$F$24))))</f>
        <v/>
      </c>
      <c r="BB102" s="14">
        <f>IF(BA102="","",1)</f>
        <v/>
      </c>
      <c r="BC102" s="15">
        <f>IF((IF(AU102="",0,6)+IF(AW102="",0,5)+IF(AY102="",0,5)+IF(BA102="",0,4))=0,"",(IF(AU102="",0,AU102*6)+IF(AW102="",0,AW102*5)+IF(AY102="",0,AY102*5)+IF(BA102="",0,BA102*4))/(IF(AU102="",0,6)+IF(AW102="",0,5)+IF(AY102="",0,5)+IF(BA102="",0,4)))</f>
        <v/>
      </c>
      <c r="BD102" s="14">
        <f>IF((IF(AV102="",0,6)+IF(AX102="",0,5)+IF(AZ102="",0,5)+IF(BB102="",0,4))=0,"",(IF(AV102="",0,AV102*6)+IF(AX102="",0,AX102*5)+IF(AZ102="",0,AZ102*5)+IF(BB102="",0,BB102*4))/20)</f>
        <v/>
      </c>
      <c r="BE102" s="14">
        <f>IF(AND(R102="",AD102="",AL102="",AT102="",BD102=""),"",((R102*25)+(AD102*22)+(AL102*18)+(AT102*15)+(BD102*20))/100)</f>
        <v/>
      </c>
      <c r="BF102" s="11">
        <f>IF(BE102="","",IF(BE102&gt;=0.75,"A",IF(BE102&gt;=0.5,"B",IF(BE102&gt;=0.35,"C","Watchlist"))))</f>
        <v/>
      </c>
      <c r="BG102" s="11">
        <f>IF(OR(BE102="",BE102&lt;0.5,R102="",R102&lt;0.35,AD102="",AD102&lt;0.35,AL102="",AL102&lt;0.35,AT102="",AT102&lt;0.35,BD102="",BD102&lt;0.35),"Watchlist","Ranked")</f>
        <v/>
      </c>
      <c r="BH102" s="15">
        <f>IF(AND(Q102="",AC102="",AK102="",AS102="",BC102=""),"",(IF(Q102="",0,Q102*25)+IF(AC102="",0,AC102*22)+IF(AK102="",0,AK102*18)+IF(AS102="",0,AS102*15)+IF(BC102="",0,BC102*20))/(IF(Q102="",0,25)+IF(AC102="",0,22)+IF(AK102="",0,18)+IF(AS102="",0,15)+IF(BC102="",0,20)))</f>
        <v/>
      </c>
      <c r="BI102" s="11">
        <f>IF(BG102="Ranked",1+COUNTIFS($BG$2:$BG$103,"Ranked",$BH$2:$BH$103,"&gt;"&amp;BH102),"")</f>
        <v/>
      </c>
      <c r="BJ102" s="11">
        <f>City_Inputs!$AH102</f>
        <v/>
      </c>
    </row>
    <row r="103">
      <c r="A103" t="inlineStr">
        <is>
          <t>fj-suva</t>
        </is>
      </c>
      <c r="B103" t="inlineStr">
        <is>
          <t>Suva</t>
        </is>
      </c>
      <c r="C103" t="inlineStr">
        <is>
          <t>Fiji</t>
        </is>
      </c>
      <c r="D103" t="inlineStr">
        <is>
          <t>Oceania</t>
        </is>
      </c>
      <c r="E103" t="inlineStr">
        <is>
          <t>locked</t>
        </is>
      </c>
      <c r="F103" t="inlineStr">
        <is>
          <t>secondary</t>
        </is>
      </c>
      <c r="G103" s="11">
        <f>IF(OR(City_Inputs!$M103="",Norm_Stats!$F$2="",Norm_Stats!$G$2="",Norm_Stats!$G$2=Norm_Stats!$F$2),"",MAX(0,MIN(100,100*(MIN(MAX(City_Inputs!$M103,Norm_Stats!$F$2),Norm_Stats!$G$2)-Norm_Stats!$F$2)/(Norm_Stats!$G$2-Norm_Stats!$F$2))))</f>
        <v/>
      </c>
      <c r="H103" s="14">
        <f>IF(G103="","",1)</f>
        <v/>
      </c>
      <c r="I103" s="11">
        <f>IF(OR(City_Inputs!$N103="",Norm_Stats!$F$3="",Norm_Stats!$G$3="",Norm_Stats!$G$3=Norm_Stats!$F$3),"",MAX(0,MIN(100,100*(Norm_Stats!$G$3-MIN(MAX(City_Inputs!$N103,Norm_Stats!$F$3),Norm_Stats!$G$3))/(Norm_Stats!$G$3-Norm_Stats!$F$3))))</f>
        <v/>
      </c>
      <c r="J103" s="14">
        <f>IF(I103="","",1)</f>
        <v/>
      </c>
      <c r="K103" s="11">
        <f>IF(OR(City_Inputs!$P103="",Norm_Stats!$F$4="",Norm_Stats!$G$4="",Norm_Stats!$G$4=Norm_Stats!$F$4),"",MAX(0,MIN(100,100*(Norm_Stats!$G$4-MIN(MAX(City_Inputs!$P103,Norm_Stats!$F$4),Norm_Stats!$G$4))/(Norm_Stats!$G$4-Norm_Stats!$F$4))))</f>
        <v/>
      </c>
      <c r="L103" s="14">
        <f>IF(K103="","",1)</f>
        <v/>
      </c>
      <c r="M103" s="11">
        <f>IF(OR(City_Inputs!$Q103="",Norm_Stats!$F$5="",Norm_Stats!$G$5="",Norm_Stats!$G$5=Norm_Stats!$F$5),"",MAX(0,MIN(100,100*(Norm_Stats!$G$5-MIN(MAX(City_Inputs!$Q103,Norm_Stats!$F$5),Norm_Stats!$G$5))/(Norm_Stats!$G$5-Norm_Stats!$F$5))))</f>
        <v/>
      </c>
      <c r="N103" s="14">
        <f>IF(M103="","",1)</f>
        <v/>
      </c>
      <c r="O103" s="11">
        <f>IF(OR(City_Inputs!$R103="",Norm_Stats!$F$6="",Norm_Stats!$G$6="",Norm_Stats!$G$6=Norm_Stats!$F$6),"",MAX(0,MIN(100,100*(Norm_Stats!$G$6-MIN(MAX(City_Inputs!$R103,Norm_Stats!$F$6),Norm_Stats!$G$6))/(Norm_Stats!$G$6-Norm_Stats!$F$6))))</f>
        <v/>
      </c>
      <c r="P103" s="14">
        <f>IF(O103="","",1)</f>
        <v/>
      </c>
      <c r="Q103" s="15">
        <f>IF((IF(G103="",0,9)+IF(I103="",0,5)+IF(K103="",0,4)+IF(M103="",0,4)+IF(O103="",0,3))=0,"",(IF(G103="",0,G103*9)+IF(I103="",0,I103*5)+IF(K103="",0,K103*4)+IF(M103="",0,M103*4)+IF(O103="",0,O103*3))/(IF(G103="",0,9)+IF(I103="",0,5)+IF(K103="",0,4)+IF(M103="",0,4)+IF(O103="",0,3)))</f>
        <v/>
      </c>
      <c r="R103" s="14">
        <f>IF((IF(H103="",0,9)+IF(J103="",0,5)+IF(L103="",0,4)+IF(N103="",0,4)+IF(P103="",0,3))=0,"",(IF(H103="",0,H103*9)+IF(J103="",0,J103*5)+IF(L103="",0,L103*4)+IF(N103="",0,N103*4)+IF(P103="",0,P103*3))/25)</f>
        <v/>
      </c>
      <c r="S103" s="11">
        <f>IF(OR(City_Inputs!$S103="",Norm_Stats!$F$7="",Norm_Stats!$G$7="",Norm_Stats!$G$7=Norm_Stats!$F$7),"",MAX(0,MIN(100,100*(Norm_Stats!$G$7-MIN(MAX(City_Inputs!$S103,Norm_Stats!$F$7),Norm_Stats!$G$7))/(Norm_Stats!$G$7-Norm_Stats!$F$7))))</f>
        <v/>
      </c>
      <c r="T103" s="14">
        <f>IF(S103="","",1)</f>
        <v/>
      </c>
      <c r="U103" s="11">
        <f>IF(OR(City_Inputs!$T103="",Norm_Stats!$F$8="",Norm_Stats!$G$8="",Norm_Stats!$G$8=Norm_Stats!$F$8),"",MAX(0,MIN(100,100*(MIN(MAX(City_Inputs!$T103,Norm_Stats!$F$8),Norm_Stats!$G$8)-Norm_Stats!$F$8)/(Norm_Stats!$G$8-Norm_Stats!$F$8))))</f>
        <v/>
      </c>
      <c r="V103" s="14">
        <f>IF(U103="","",1)</f>
        <v/>
      </c>
      <c r="W103" s="11">
        <f>IF(OR(City_Inputs!$U103="",Norm_Stats!$F$9="",Norm_Stats!$G$9="",Norm_Stats!$G$9=Norm_Stats!$F$9),"",MAX(0,MIN(100,100*(Norm_Stats!$G$9-MIN(MAX(City_Inputs!$U103,Norm_Stats!$F$9),Norm_Stats!$G$9))/(Norm_Stats!$G$9-Norm_Stats!$F$9))))</f>
        <v/>
      </c>
      <c r="X103" s="14">
        <f>IF(W103="","",1)</f>
        <v/>
      </c>
      <c r="Y103" s="11">
        <f>IF(OR(City_Inputs!$V103="",Norm_Stats!$F$10="",Norm_Stats!$G$10="",Norm_Stats!$G$10=Norm_Stats!$F$10),"",MAX(0,MIN(100,100*(MIN(MAX(City_Inputs!$V103,Norm_Stats!$F$10),Norm_Stats!$G$10)-Norm_Stats!$F$10)/(Norm_Stats!$G$10-Norm_Stats!$F$10))))</f>
        <v/>
      </c>
      <c r="Z103" s="14">
        <f>IF(Y103="","",1)</f>
        <v/>
      </c>
      <c r="AA103" s="11">
        <f>IF(OR(City_Inputs!$W103="",Norm_Stats!$F$11="",Norm_Stats!$G$11="",Norm_Stats!$G$11=Norm_Stats!$F$11),"",MAX(0,MIN(100,100*(MIN(MAX(City_Inputs!$W103,Norm_Stats!$F$11),Norm_Stats!$G$11)-Norm_Stats!$F$11)/(Norm_Stats!$G$11-Norm_Stats!$F$11))))</f>
        <v/>
      </c>
      <c r="AB103" s="14">
        <f>IF(AA103="","",1)</f>
        <v/>
      </c>
      <c r="AC103" s="15">
        <f>IF((IF(S103="",0,5)+IF(U103="",0,5)+IF(W103="",0,4)+IF(Y103="",0,4)+IF(AA103="",0,4))=0,"",(IF(S103="",0,S103*5)+IF(U103="",0,U103*5)+IF(W103="",0,W103*4)+IF(Y103="",0,Y103*4)+IF(AA103="",0,AA103*4))/(IF(S103="",0,5)+IF(U103="",0,5)+IF(W103="",0,4)+IF(Y103="",0,4)+IF(AA103="",0,4)))</f>
        <v/>
      </c>
      <c r="AD103" s="14">
        <f>IF((IF(T103="",0,5)+IF(V103="",0,5)+IF(X103="",0,4)+IF(Z103="",0,4)+IF(AB103="",0,4))=0,"",(IF(T103="",0,T103*5)+IF(V103="",0,V103*5)+IF(X103="",0,X103*4)+IF(Z103="",0,Z103*4)+IF(AB103="",0,AB103*4))/22)</f>
        <v/>
      </c>
      <c r="AE103" s="11">
        <f>IF(OR(City_Inputs!$X103="",Norm_Stats!$F$12="",Norm_Stats!$G$12="",Norm_Stats!$G$12=Norm_Stats!$F$12),"",MAX(0,MIN(100,100*(MIN(MAX(City_Inputs!$X103,Norm_Stats!$F$12),Norm_Stats!$G$12)-Norm_Stats!$F$12)/(Norm_Stats!$G$12-Norm_Stats!$F$12))))</f>
        <v/>
      </c>
      <c r="AF103" s="14">
        <f>IF(AE103="","",1)</f>
        <v/>
      </c>
      <c r="AG103" s="11">
        <f>IF(OR(City_Inputs!$Y103="",Norm_Stats!$F$13="",Norm_Stats!$G$13="",Norm_Stats!$G$13=Norm_Stats!$F$13),"",MAX(0,MIN(100,100*(MIN(MAX(City_Inputs!$Y103,Norm_Stats!$F$13),Norm_Stats!$G$13)-Norm_Stats!$F$13)/(Norm_Stats!$G$13-Norm_Stats!$F$13))))</f>
        <v/>
      </c>
      <c r="AH103" s="14">
        <f>IF(AG103="","",1)</f>
        <v/>
      </c>
      <c r="AI103" s="11">
        <f>IF((IF((IF(OR(City_Inputs!$Z103="",Norm_Stats!$F$14="",Norm_Stats!$G$14="",Norm_Stats!$G$14=Norm_Stats!$F$14),"",MAX(0,MIN(100,100*(MIN(MAX(City_Inputs!$Z103,Norm_Stats!$F$14),Norm_Stats!$G$14)-Norm_Stats!$F$14)/(Norm_Stats!$G$14-Norm_Stats!$F$14)))))="",0,0.7)+IF((IF(OR(City_Inputs!$AK103="",Norm_Stats!$F$15="",Norm_Stats!$G$15="",Norm_Stats!$G$15=Norm_Stats!$F$15),"",MAX(0,MIN(100,100*(Norm_Stats!$G$15-MIN(MAX(City_Inputs!$AK103,Norm_Stats!$F$15),Norm_Stats!$G$15))/(Norm_Stats!$G$15-Norm_Stats!$F$15)))))="",0,0.3))=0,"",(IF((IF(OR(City_Inputs!$Z103="",Norm_Stats!$F$14="",Norm_Stats!$G$14="",Norm_Stats!$G$14=Norm_Stats!$F$14),"",MAX(0,MIN(100,100*(MIN(MAX(City_Inputs!$Z103,Norm_Stats!$F$14),Norm_Stats!$G$14)-Norm_Stats!$F$14)/(Norm_Stats!$G$14-Norm_Stats!$F$14)))))="",0,(IF(OR(City_Inputs!$Z103="",Norm_Stats!$F$14="",Norm_Stats!$G$14="",Norm_Stats!$G$14=Norm_Stats!$F$14),"",MAX(0,MIN(100,100*(MIN(MAX(City_Inputs!$Z103,Norm_Stats!$F$14),Norm_Stats!$G$14)-Norm_Stats!$F$14)/(Norm_Stats!$G$14-Norm_Stats!$F$14)))))*0.7)+IF((IF(OR(City_Inputs!$AK103="",Norm_Stats!$F$15="",Norm_Stats!$G$15="",Norm_Stats!$G$15=Norm_Stats!$F$15),"",MAX(0,MIN(100,100*(Norm_Stats!$G$15-MIN(MAX(City_Inputs!$AK103,Norm_Stats!$F$15),Norm_Stats!$G$15))/(Norm_Stats!$G$15-Norm_Stats!$F$15)))))="",0,(IF(OR(City_Inputs!$AK103="",Norm_Stats!$F$15="",Norm_Stats!$G$15="",Norm_Stats!$G$15=Norm_Stats!$F$15),"",MAX(0,MIN(100,100*(Norm_Stats!$G$15-MIN(MAX(City_Inputs!$AK103,Norm_Stats!$F$15),Norm_Stats!$G$15))/(Norm_Stats!$G$15-Norm_Stats!$F$15)))))*0.3))/(IF((IF(OR(City_Inputs!$Z103="",Norm_Stats!$F$14="",Norm_Stats!$G$14="",Norm_Stats!$G$14=Norm_Stats!$F$14),"",MAX(0,MIN(100,100*(MIN(MAX(City_Inputs!$Z103,Norm_Stats!$F$14),Norm_Stats!$G$14)-Norm_Stats!$F$14)/(Norm_Stats!$G$14-Norm_Stats!$F$14)))))="",0,0.7)+IF((IF(OR(City_Inputs!$AK103="",Norm_Stats!$F$15="",Norm_Stats!$G$15="",Norm_Stats!$G$15=Norm_Stats!$F$15),"",MAX(0,MIN(100,100*(Norm_Stats!$G$15-MIN(MAX(City_Inputs!$AK103,Norm_Stats!$F$15),Norm_Stats!$G$15))/(Norm_Stats!$G$15-Norm_Stats!$F$15)))))="",0,0.3)))</f>
        <v/>
      </c>
      <c r="AJ103" s="14">
        <f>IF((IF((IF(OR(City_Inputs!$Z103="",Norm_Stats!$F$14="",Norm_Stats!$G$14="",Norm_Stats!$G$14=Norm_Stats!$F$14),"",MAX(0,MIN(100,100*(MIN(MAX(City_Inputs!$Z103,Norm_Stats!$F$14),Norm_Stats!$G$14)-Norm_Stats!$F$14)/(Norm_Stats!$G$14-Norm_Stats!$F$14)))))="",0,0.7)+IF((IF(OR(City_Inputs!$AK103="",Norm_Stats!$F$15="",Norm_Stats!$G$15="",Norm_Stats!$G$15=Norm_Stats!$F$15),"",MAX(0,MIN(100,100*(Norm_Stats!$G$15-MIN(MAX(City_Inputs!$AK103,Norm_Stats!$F$15),Norm_Stats!$G$15))/(Norm_Stats!$G$15-Norm_Stats!$F$15)))))="",0,0.3))=0,"",(IF((IF(OR(City_Inputs!$Z103="",Norm_Stats!$F$14="",Norm_Stats!$G$14="",Norm_Stats!$G$14=Norm_Stats!$F$14),"",MAX(0,MIN(100,100*(MIN(MAX(City_Inputs!$Z103,Norm_Stats!$F$14),Norm_Stats!$G$14)-Norm_Stats!$F$14)/(Norm_Stats!$G$14-Norm_Stats!$F$14)))))="",0,0.7)+IF((IF(OR(City_Inputs!$AK103="",Norm_Stats!$F$15="",Norm_Stats!$G$15="",Norm_Stats!$G$15=Norm_Stats!$F$15),"",MAX(0,MIN(100,100*(Norm_Stats!$G$15-MIN(MAX(City_Inputs!$AK103,Norm_Stats!$F$15),Norm_Stats!$G$15))/(Norm_Stats!$G$15-Norm_Stats!$F$15)))))="",0,0.3)))</f>
        <v/>
      </c>
      <c r="AK103" s="15">
        <f>IF((IF(AE103="",0,8)+IF(AG103="",0,6)+IF(AI103="",0,4))=0,"",(IF(AE103="",0,AE103*8)+IF(AG103="",0,AG103*6)+IF(AI103="",0,AI103*4))/(IF(AE103="",0,8)+IF(AG103="",0,6)+IF(AI103="",0,4)))</f>
        <v/>
      </c>
      <c r="AL103" s="14">
        <f>IF((IF(AF103="",0,8)+IF(AH103="",0,6)+IF(AJ103="",0,4))=0,"",(IF(AF103="",0,AF103*8)+IF(AH103="",0,AH103*6)+IF(AJ103="",0,AJ103*4))/18)</f>
        <v/>
      </c>
      <c r="AM103" s="11">
        <f>IF(OR(City_Inputs!$AA103="",Norm_Stats!$F$16="",Norm_Stats!$G$16="",Norm_Stats!$G$16=Norm_Stats!$F$16),"",MAX(0,MIN(100,100*(MIN(MAX(City_Inputs!$AA103,Norm_Stats!$F$16),Norm_Stats!$G$16)-Norm_Stats!$F$16)/(Norm_Stats!$G$16-Norm_Stats!$F$16))))</f>
        <v/>
      </c>
      <c r="AN103" s="14">
        <f>IF(AM103="","",1)</f>
        <v/>
      </c>
      <c r="AO103" s="11">
        <f>IF(OR(City_Inputs!$AB103="",Norm_Stats!$F$17="",Norm_Stats!$G$17="",Norm_Stats!$G$17=Norm_Stats!$F$17),"",MAX(0,MIN(100,100*(MIN(MAX(City_Inputs!$AB103,Norm_Stats!$F$17),Norm_Stats!$G$17)-Norm_Stats!$F$17)/(Norm_Stats!$G$17-Norm_Stats!$F$17))))</f>
        <v/>
      </c>
      <c r="AP103" s="14">
        <f>IF(AO103="","",1)</f>
        <v/>
      </c>
      <c r="AQ103" s="11">
        <f>IF(OR(City_Inputs!$AC103="",Norm_Stats!$F$18="",Norm_Stats!$G$18="",Norm_Stats!$G$18=Norm_Stats!$F$18),"",MAX(0,MIN(100,100*(MIN(MAX(City_Inputs!$AC103,Norm_Stats!$F$18),Norm_Stats!$G$18)-Norm_Stats!$F$18)/(Norm_Stats!$G$18-Norm_Stats!$F$18))))</f>
        <v/>
      </c>
      <c r="AR103" s="14">
        <f>IF(AQ103="","",1)</f>
        <v/>
      </c>
      <c r="AS103" s="15">
        <f>IF((IF(AM103="",0,5)+IF(AO103="",0,5)+IF(AQ103="",0,5))=0,"",(IF(AM103="",0,AM103*5)+IF(AO103="",0,AO103*5)+IF(AQ103="",0,AQ103*5))/(IF(AM103="",0,5)+IF(AO103="",0,5)+IF(AQ103="",0,5)))</f>
        <v/>
      </c>
      <c r="AT103" s="14">
        <f>IF((IF(AN103="",0,5)+IF(AP103="",0,5)+IF(AR103="",0,5))=0,"",(IF(AN103="",0,AN103*5)+IF(AP103="",0,AP103*5)+IF(AR103="",0,AR103*5))/15)</f>
        <v/>
      </c>
      <c r="AU103" s="11">
        <f>IF(OR(City_Inputs!$AD103="",Norm_Stats!$F$19="",Norm_Stats!$G$19="",Norm_Stats!$G$19=Norm_Stats!$F$19),"",MAX(0,MIN(100,100*(MIN(MAX(City_Inputs!$AD103,Norm_Stats!$F$19),Norm_Stats!$G$19)-Norm_Stats!$F$19)/(Norm_Stats!$G$19-Norm_Stats!$F$19))))</f>
        <v/>
      </c>
      <c r="AV103" s="14">
        <f>IF(AU103="","",1)</f>
        <v/>
      </c>
      <c r="AW103" s="11">
        <f>IF(OR(City_Inputs!$AE103="",Norm_Stats!$F$20="",Norm_Stats!$G$20="",Norm_Stats!$G$20=Norm_Stats!$F$20),"",MAX(0,MIN(100,100*(MIN(MAX(City_Inputs!$AE103,Norm_Stats!$F$20),Norm_Stats!$G$20)-Norm_Stats!$F$20)/(Norm_Stats!$G$20-Norm_Stats!$F$20))))</f>
        <v/>
      </c>
      <c r="AX103" s="14">
        <f>IF(AW103="","",1)</f>
        <v/>
      </c>
      <c r="AY103" s="11">
        <f>IF((IF((IF(OR(City_Inputs!$AF103="",Norm_Stats!$F$21="",Norm_Stats!$G$21="",Norm_Stats!$G$21=Norm_Stats!$F$21),"",MAX(0,MIN(100,100*(MIN(MAX(City_Inputs!$AF103,Norm_Stats!$F$21),Norm_Stats!$G$21)-Norm_Stats!$F$21)/(Norm_Stats!$G$21-Norm_Stats!$F$21)))))="",0,0.5)+IF((IF(OR(City_Inputs!$AI103="",Norm_Stats!$F$22="",Norm_Stats!$G$22="",Norm_Stats!$G$22=Norm_Stats!$F$22),"",MAX(0,MIN(100,100*(MIN(MAX(City_Inputs!$AI103,Norm_Stats!$F$22),Norm_Stats!$G$22)-Norm_Stats!$F$22)/(Norm_Stats!$G$22-Norm_Stats!$F$22)))))="",0,0.3)+IF((IF(OR(City_Inputs!$AJ103="",Norm_Stats!$F$23="",Norm_Stats!$G$23="",Norm_Stats!$G$23=Norm_Stats!$F$23),"",MAX(0,MIN(100,100*(MIN(MAX(City_Inputs!$AJ103,Norm_Stats!$F$23),Norm_Stats!$G$23)-Norm_Stats!$F$23)/(Norm_Stats!$G$23-Norm_Stats!$F$23)))))="",0,0.2))=0,"",(IF((IF(OR(City_Inputs!$AF103="",Norm_Stats!$F$21="",Norm_Stats!$G$21="",Norm_Stats!$G$21=Norm_Stats!$F$21),"",MAX(0,MIN(100,100*(MIN(MAX(City_Inputs!$AF103,Norm_Stats!$F$21),Norm_Stats!$G$21)-Norm_Stats!$F$21)/(Norm_Stats!$G$21-Norm_Stats!$F$21)))))="",0,(IF(OR(City_Inputs!$AF103="",Norm_Stats!$F$21="",Norm_Stats!$G$21="",Norm_Stats!$G$21=Norm_Stats!$F$21),"",MAX(0,MIN(100,100*(MIN(MAX(City_Inputs!$AF103,Norm_Stats!$F$21),Norm_Stats!$G$21)-Norm_Stats!$F$21)/(Norm_Stats!$G$21-Norm_Stats!$F$21)))))*0.5)+IF((IF(OR(City_Inputs!$AI103="",Norm_Stats!$F$22="",Norm_Stats!$G$22="",Norm_Stats!$G$22=Norm_Stats!$F$22),"",MAX(0,MIN(100,100*(MIN(MAX(City_Inputs!$AI103,Norm_Stats!$F$22),Norm_Stats!$G$22)-Norm_Stats!$F$22)/(Norm_Stats!$G$22-Norm_Stats!$F$22)))))="",0,(IF(OR(City_Inputs!$AI103="",Norm_Stats!$F$22="",Norm_Stats!$G$22="",Norm_Stats!$G$22=Norm_Stats!$F$22),"",MAX(0,MIN(100,100*(MIN(MAX(City_Inputs!$AI103,Norm_Stats!$F$22),Norm_Stats!$G$22)-Norm_Stats!$F$22)/(Norm_Stats!$G$22-Norm_Stats!$F$22)))))*0.3)+IF((IF(OR(City_Inputs!$AJ103="",Norm_Stats!$F$23="",Norm_Stats!$G$23="",Norm_Stats!$G$23=Norm_Stats!$F$23),"",MAX(0,MIN(100,100*(MIN(MAX(City_Inputs!$AJ103,Norm_Stats!$F$23),Norm_Stats!$G$23)-Norm_Stats!$F$23)/(Norm_Stats!$G$23-Norm_Stats!$F$23)))))="",0,(IF(OR(City_Inputs!$AJ103="",Norm_Stats!$F$23="",Norm_Stats!$G$23="",Norm_Stats!$G$23=Norm_Stats!$F$23),"",MAX(0,MIN(100,100*(MIN(MAX(City_Inputs!$AJ103,Norm_Stats!$F$23),Norm_Stats!$G$23)-Norm_Stats!$F$23)/(Norm_Stats!$G$23-Norm_Stats!$F$23)))))*0.2))/(IF((IF(OR(City_Inputs!$AF103="",Norm_Stats!$F$21="",Norm_Stats!$G$21="",Norm_Stats!$G$21=Norm_Stats!$F$21),"",MAX(0,MIN(100,100*(MIN(MAX(City_Inputs!$AF103,Norm_Stats!$F$21),Norm_Stats!$G$21)-Norm_Stats!$F$21)/(Norm_Stats!$G$21-Norm_Stats!$F$21)))))="",0,0.5)+IF((IF(OR(City_Inputs!$AI103="",Norm_Stats!$F$22="",Norm_Stats!$G$22="",Norm_Stats!$G$22=Norm_Stats!$F$22),"",MAX(0,MIN(100,100*(MIN(MAX(City_Inputs!$AI103,Norm_Stats!$F$22),Norm_Stats!$G$22)-Norm_Stats!$F$22)/(Norm_Stats!$G$22-Norm_Stats!$F$22)))))="",0,0.3)+IF((IF(OR(City_Inputs!$AJ103="",Norm_Stats!$F$23="",Norm_Stats!$G$23="",Norm_Stats!$G$23=Norm_Stats!$F$23),"",MAX(0,MIN(100,100*(MIN(MAX(City_Inputs!$AJ103,Norm_Stats!$F$23),Norm_Stats!$G$23)-Norm_Stats!$F$23)/(Norm_Stats!$G$23-Norm_Stats!$F$23)))))="",0,0.2)))</f>
        <v/>
      </c>
      <c r="AZ103" s="14">
        <f>IF((IF((IF(OR(City_Inputs!$AF103="",Norm_Stats!$F$21="",Norm_Stats!$G$21="",Norm_Stats!$G$21=Norm_Stats!$F$21),"",MAX(0,MIN(100,100*(MIN(MAX(City_Inputs!$AF103,Norm_Stats!$F$21),Norm_Stats!$G$21)-Norm_Stats!$F$21)/(Norm_Stats!$G$21-Norm_Stats!$F$21)))))="",0,0.5)+IF((IF(OR(City_Inputs!$AI103="",Norm_Stats!$F$22="",Norm_Stats!$G$22="",Norm_Stats!$G$22=Norm_Stats!$F$22),"",MAX(0,MIN(100,100*(MIN(MAX(City_Inputs!$AI103,Norm_Stats!$F$22),Norm_Stats!$G$22)-Norm_Stats!$F$22)/(Norm_Stats!$G$22-Norm_Stats!$F$22)))))="",0,0.3)+IF((IF(OR(City_Inputs!$AJ103="",Norm_Stats!$F$23="",Norm_Stats!$G$23="",Norm_Stats!$G$23=Norm_Stats!$F$23),"",MAX(0,MIN(100,100*(MIN(MAX(City_Inputs!$AJ103,Norm_Stats!$F$23),Norm_Stats!$G$23)-Norm_Stats!$F$23)/(Norm_Stats!$G$23-Norm_Stats!$F$23)))))="",0,0.2))=0,"",(IF((IF(OR(City_Inputs!$AF103="",Norm_Stats!$F$21="",Norm_Stats!$G$21="",Norm_Stats!$G$21=Norm_Stats!$F$21),"",MAX(0,MIN(100,100*(MIN(MAX(City_Inputs!$AF103,Norm_Stats!$F$21),Norm_Stats!$G$21)-Norm_Stats!$F$21)/(Norm_Stats!$G$21-Norm_Stats!$F$21)))))="",0,0.5)+IF((IF(OR(City_Inputs!$AI103="",Norm_Stats!$F$22="",Norm_Stats!$G$22="",Norm_Stats!$G$22=Norm_Stats!$F$22),"",MAX(0,MIN(100,100*(MIN(MAX(City_Inputs!$AI103,Norm_Stats!$F$22),Norm_Stats!$G$22)-Norm_Stats!$F$22)/(Norm_Stats!$G$22-Norm_Stats!$F$22)))))="",0,0.3)+IF((IF(OR(City_Inputs!$AJ103="",Norm_Stats!$F$23="",Norm_Stats!$G$23="",Norm_Stats!$G$23=Norm_Stats!$F$23),"",MAX(0,MIN(100,100*(MIN(MAX(City_Inputs!$AJ103,Norm_Stats!$F$23),Norm_Stats!$G$23)-Norm_Stats!$F$23)/(Norm_Stats!$G$23-Norm_Stats!$F$23)))))="",0,0.2)))</f>
        <v/>
      </c>
      <c r="BA103" s="11">
        <f>IF(OR(City_Inputs!$AG103="",Norm_Stats!$F$24="",Norm_Stats!$G$24="",Norm_Stats!$G$24=Norm_Stats!$F$24),"",MAX(0,MIN(100,100*(Norm_Stats!$G$24-MIN(MAX(City_Inputs!$AG103,Norm_Stats!$F$24),Norm_Stats!$G$24))/(Norm_Stats!$G$24-Norm_Stats!$F$24))))</f>
        <v/>
      </c>
      <c r="BB103" s="14">
        <f>IF(BA103="","",1)</f>
        <v/>
      </c>
      <c r="BC103" s="15">
        <f>IF((IF(AU103="",0,6)+IF(AW103="",0,5)+IF(AY103="",0,5)+IF(BA103="",0,4))=0,"",(IF(AU103="",0,AU103*6)+IF(AW103="",0,AW103*5)+IF(AY103="",0,AY103*5)+IF(BA103="",0,BA103*4))/(IF(AU103="",0,6)+IF(AW103="",0,5)+IF(AY103="",0,5)+IF(BA103="",0,4)))</f>
        <v/>
      </c>
      <c r="BD103" s="14">
        <f>IF((IF(AV103="",0,6)+IF(AX103="",0,5)+IF(AZ103="",0,5)+IF(BB103="",0,4))=0,"",(IF(AV103="",0,AV103*6)+IF(AX103="",0,AX103*5)+IF(AZ103="",0,AZ103*5)+IF(BB103="",0,BB103*4))/20)</f>
        <v/>
      </c>
      <c r="BE103" s="14">
        <f>IF(AND(R103="",AD103="",AL103="",AT103="",BD103=""),"",((R103*25)+(AD103*22)+(AL103*18)+(AT103*15)+(BD103*20))/100)</f>
        <v/>
      </c>
      <c r="BF103" s="11">
        <f>IF(BE103="","",IF(BE103&gt;=0.75,"A",IF(BE103&gt;=0.5,"B",IF(BE103&gt;=0.35,"C","Watchlist"))))</f>
        <v/>
      </c>
      <c r="BG103" s="11">
        <f>IF(OR(BE103="",BE103&lt;0.5,R103="",R103&lt;0.35,AD103="",AD103&lt;0.35,AL103="",AL103&lt;0.35,AT103="",AT103&lt;0.35,BD103="",BD103&lt;0.35),"Watchlist","Ranked")</f>
        <v/>
      </c>
      <c r="BH103" s="15">
        <f>IF(AND(Q103="",AC103="",AK103="",AS103="",BC103=""),"",(IF(Q103="",0,Q103*25)+IF(AC103="",0,AC103*22)+IF(AK103="",0,AK103*18)+IF(AS103="",0,AS103*15)+IF(BC103="",0,BC103*20))/(IF(Q103="",0,25)+IF(AC103="",0,22)+IF(AK103="",0,18)+IF(AS103="",0,15)+IF(BC103="",0,20)))</f>
        <v/>
      </c>
      <c r="BI103" s="11">
        <f>IF(BG103="Ranked",1+COUNTIFS($BG$2:$BG$103,"Ranked",$BH$2:$BH$103,"&gt;"&amp;BH103),"")</f>
        <v/>
      </c>
      <c r="BJ103" s="11">
        <f>City_Inputs!$AH103</f>
        <v/>
      </c>
    </row>
  </sheetData>
  <autoFilter ref="A1:BJ1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56"/>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16" t="inlineStr">
        <is>
          <t>Ranked Cities</t>
        </is>
      </c>
    </row>
    <row r="2">
      <c r="A2" s="6" t="inlineStr">
        <is>
          <t>leaderboard_scope</t>
        </is>
      </c>
      <c r="B2" s="6" t="inlineStr">
        <is>
          <t>target_rank</t>
        </is>
      </c>
      <c r="C2" s="6" t="inlineStr">
        <is>
          <t>rank</t>
        </is>
      </c>
      <c r="D2" s="6" t="inlineStr">
        <is>
          <t>display_name</t>
        </is>
      </c>
      <c r="E2" s="6" t="inlineStr">
        <is>
          <t>country</t>
        </is>
      </c>
      <c r="F2" s="6" t="inlineStr">
        <is>
          <t>cohort</t>
        </is>
      </c>
      <c r="G2" s="6" t="inlineStr">
        <is>
          <t>manifest_status</t>
        </is>
      </c>
      <c r="H2" s="6" t="inlineStr">
        <is>
          <t>coverage_grade</t>
        </is>
      </c>
      <c r="I2" s="6" t="inlineStr">
        <is>
          <t>slic_score</t>
        </is>
      </c>
      <c r="J2" s="6" t="inlineStr">
        <is>
          <t>pressure_pillar_score</t>
        </is>
      </c>
      <c r="K2" s="6" t="inlineStr">
        <is>
          <t>viability_pillar_score</t>
        </is>
      </c>
      <c r="L2" s="6" t="inlineStr">
        <is>
          <t>capability_pillar_score</t>
        </is>
      </c>
      <c r="M2" s="6" t="inlineStr">
        <is>
          <t>community_pillar_score</t>
        </is>
      </c>
      <c r="N2" s="6" t="inlineStr">
        <is>
          <t>creative_pillar_score</t>
        </is>
      </c>
    </row>
    <row r="3">
      <c r="A3" t="inlineStr">
        <is>
          <t>Ranked</t>
        </is>
      </c>
      <c r="B3" t="n">
        <v>1</v>
      </c>
      <c r="C3">
        <f>IFERROR(INDEX(Scores!$BI$2:$BI$103,MATCH($B3,Scores!$BI$2:$BI$103,0)),"")</f>
        <v/>
      </c>
      <c r="D3">
        <f>IFERROR(INDEX(Scores!$B$2:$B$103,MATCH($B3,Scores!$BI$2:$BI$103,0)),"")</f>
        <v/>
      </c>
      <c r="E3">
        <f>IFERROR(INDEX(Scores!$C$2:$C$103,MATCH($B3,Scores!$BI$2:$BI$103,0)),"")</f>
        <v/>
      </c>
      <c r="F3">
        <f>IFERROR(INDEX(Scores!$D$2:$D$103,MATCH($B3,Scores!$BI$2:$BI$103,0)),"")</f>
        <v/>
      </c>
      <c r="G3">
        <f>IFERROR(INDEX(Scores!$E$2:$E$103,MATCH($B3,Scores!$BI$2:$BI$103,0)),"")</f>
        <v/>
      </c>
      <c r="H3">
        <f>IFERROR(INDEX(Scores!$BF$2:$BF$103,MATCH($B3,Scores!$BI$2:$BI$103,0)),"")</f>
        <v/>
      </c>
      <c r="I3">
        <f>IFERROR(INDEX(Scores!$BH$2:$BH$103,MATCH($B3,Scores!$BI$2:$BI$103,0)),"")</f>
        <v/>
      </c>
      <c r="J3">
        <f>IFERROR(INDEX(Scores!$Q$2:$Q$103,MATCH($B3,Scores!$BI$2:$BI$103,0)),"")</f>
        <v/>
      </c>
      <c r="K3">
        <f>IFERROR(INDEX(Scores!$AC$2:$AC$103,MATCH($B3,Scores!$BI$2:$BI$103,0)),"")</f>
        <v/>
      </c>
      <c r="L3">
        <f>IFERROR(INDEX(Scores!$AK$2:$AK$103,MATCH($B3,Scores!$BI$2:$BI$103,0)),"")</f>
        <v/>
      </c>
      <c r="M3">
        <f>IFERROR(INDEX(Scores!$AS$2:$AS$103,MATCH($B3,Scores!$BI$2:$BI$103,0)),"")</f>
        <v/>
      </c>
      <c r="N3">
        <f>IFERROR(INDEX(Scores!$BC$2:$BC$103,MATCH($B3,Scores!$BI$2:$BI$103,0)),"")</f>
        <v/>
      </c>
    </row>
    <row r="4">
      <c r="A4" t="inlineStr">
        <is>
          <t>Ranked</t>
        </is>
      </c>
      <c r="B4" t="n">
        <v>2</v>
      </c>
      <c r="C4">
        <f>IFERROR(INDEX(Scores!$BI$2:$BI$103,MATCH($B4,Scores!$BI$2:$BI$103,0)),"")</f>
        <v/>
      </c>
      <c r="D4">
        <f>IFERROR(INDEX(Scores!$B$2:$B$103,MATCH($B4,Scores!$BI$2:$BI$103,0)),"")</f>
        <v/>
      </c>
      <c r="E4">
        <f>IFERROR(INDEX(Scores!$C$2:$C$103,MATCH($B4,Scores!$BI$2:$BI$103,0)),"")</f>
        <v/>
      </c>
      <c r="F4">
        <f>IFERROR(INDEX(Scores!$D$2:$D$103,MATCH($B4,Scores!$BI$2:$BI$103,0)),"")</f>
        <v/>
      </c>
      <c r="G4">
        <f>IFERROR(INDEX(Scores!$E$2:$E$103,MATCH($B4,Scores!$BI$2:$BI$103,0)),"")</f>
        <v/>
      </c>
      <c r="H4">
        <f>IFERROR(INDEX(Scores!$BF$2:$BF$103,MATCH($B4,Scores!$BI$2:$BI$103,0)),"")</f>
        <v/>
      </c>
      <c r="I4">
        <f>IFERROR(INDEX(Scores!$BH$2:$BH$103,MATCH($B4,Scores!$BI$2:$BI$103,0)),"")</f>
        <v/>
      </c>
      <c r="J4">
        <f>IFERROR(INDEX(Scores!$Q$2:$Q$103,MATCH($B4,Scores!$BI$2:$BI$103,0)),"")</f>
        <v/>
      </c>
      <c r="K4">
        <f>IFERROR(INDEX(Scores!$AC$2:$AC$103,MATCH($B4,Scores!$BI$2:$BI$103,0)),"")</f>
        <v/>
      </c>
      <c r="L4">
        <f>IFERROR(INDEX(Scores!$AK$2:$AK$103,MATCH($B4,Scores!$BI$2:$BI$103,0)),"")</f>
        <v/>
      </c>
      <c r="M4">
        <f>IFERROR(INDEX(Scores!$AS$2:$AS$103,MATCH($B4,Scores!$BI$2:$BI$103,0)),"")</f>
        <v/>
      </c>
      <c r="N4">
        <f>IFERROR(INDEX(Scores!$BC$2:$BC$103,MATCH($B4,Scores!$BI$2:$BI$103,0)),"")</f>
        <v/>
      </c>
    </row>
    <row r="5">
      <c r="A5" t="inlineStr">
        <is>
          <t>Ranked</t>
        </is>
      </c>
      <c r="B5" t="n">
        <v>3</v>
      </c>
      <c r="C5">
        <f>IFERROR(INDEX(Scores!$BI$2:$BI$103,MATCH($B5,Scores!$BI$2:$BI$103,0)),"")</f>
        <v/>
      </c>
      <c r="D5">
        <f>IFERROR(INDEX(Scores!$B$2:$B$103,MATCH($B5,Scores!$BI$2:$BI$103,0)),"")</f>
        <v/>
      </c>
      <c r="E5">
        <f>IFERROR(INDEX(Scores!$C$2:$C$103,MATCH($B5,Scores!$BI$2:$BI$103,0)),"")</f>
        <v/>
      </c>
      <c r="F5">
        <f>IFERROR(INDEX(Scores!$D$2:$D$103,MATCH($B5,Scores!$BI$2:$BI$103,0)),"")</f>
        <v/>
      </c>
      <c r="G5">
        <f>IFERROR(INDEX(Scores!$E$2:$E$103,MATCH($B5,Scores!$BI$2:$BI$103,0)),"")</f>
        <v/>
      </c>
      <c r="H5">
        <f>IFERROR(INDEX(Scores!$BF$2:$BF$103,MATCH($B5,Scores!$BI$2:$BI$103,0)),"")</f>
        <v/>
      </c>
      <c r="I5">
        <f>IFERROR(INDEX(Scores!$BH$2:$BH$103,MATCH($B5,Scores!$BI$2:$BI$103,0)),"")</f>
        <v/>
      </c>
      <c r="J5">
        <f>IFERROR(INDEX(Scores!$Q$2:$Q$103,MATCH($B5,Scores!$BI$2:$BI$103,0)),"")</f>
        <v/>
      </c>
      <c r="K5">
        <f>IFERROR(INDEX(Scores!$AC$2:$AC$103,MATCH($B5,Scores!$BI$2:$BI$103,0)),"")</f>
        <v/>
      </c>
      <c r="L5">
        <f>IFERROR(INDEX(Scores!$AK$2:$AK$103,MATCH($B5,Scores!$BI$2:$BI$103,0)),"")</f>
        <v/>
      </c>
      <c r="M5">
        <f>IFERROR(INDEX(Scores!$AS$2:$AS$103,MATCH($B5,Scores!$BI$2:$BI$103,0)),"")</f>
        <v/>
      </c>
      <c r="N5">
        <f>IFERROR(INDEX(Scores!$BC$2:$BC$103,MATCH($B5,Scores!$BI$2:$BI$103,0)),"")</f>
        <v/>
      </c>
    </row>
    <row r="6">
      <c r="A6" t="inlineStr">
        <is>
          <t>Ranked</t>
        </is>
      </c>
      <c r="B6" t="n">
        <v>4</v>
      </c>
      <c r="C6">
        <f>IFERROR(INDEX(Scores!$BI$2:$BI$103,MATCH($B6,Scores!$BI$2:$BI$103,0)),"")</f>
        <v/>
      </c>
      <c r="D6">
        <f>IFERROR(INDEX(Scores!$B$2:$B$103,MATCH($B6,Scores!$BI$2:$BI$103,0)),"")</f>
        <v/>
      </c>
      <c r="E6">
        <f>IFERROR(INDEX(Scores!$C$2:$C$103,MATCH($B6,Scores!$BI$2:$BI$103,0)),"")</f>
        <v/>
      </c>
      <c r="F6">
        <f>IFERROR(INDEX(Scores!$D$2:$D$103,MATCH($B6,Scores!$BI$2:$BI$103,0)),"")</f>
        <v/>
      </c>
      <c r="G6">
        <f>IFERROR(INDEX(Scores!$E$2:$E$103,MATCH($B6,Scores!$BI$2:$BI$103,0)),"")</f>
        <v/>
      </c>
      <c r="H6">
        <f>IFERROR(INDEX(Scores!$BF$2:$BF$103,MATCH($B6,Scores!$BI$2:$BI$103,0)),"")</f>
        <v/>
      </c>
      <c r="I6">
        <f>IFERROR(INDEX(Scores!$BH$2:$BH$103,MATCH($B6,Scores!$BI$2:$BI$103,0)),"")</f>
        <v/>
      </c>
      <c r="J6">
        <f>IFERROR(INDEX(Scores!$Q$2:$Q$103,MATCH($B6,Scores!$BI$2:$BI$103,0)),"")</f>
        <v/>
      </c>
      <c r="K6">
        <f>IFERROR(INDEX(Scores!$AC$2:$AC$103,MATCH($B6,Scores!$BI$2:$BI$103,0)),"")</f>
        <v/>
      </c>
      <c r="L6">
        <f>IFERROR(INDEX(Scores!$AK$2:$AK$103,MATCH($B6,Scores!$BI$2:$BI$103,0)),"")</f>
        <v/>
      </c>
      <c r="M6">
        <f>IFERROR(INDEX(Scores!$AS$2:$AS$103,MATCH($B6,Scores!$BI$2:$BI$103,0)),"")</f>
        <v/>
      </c>
      <c r="N6">
        <f>IFERROR(INDEX(Scores!$BC$2:$BC$103,MATCH($B6,Scores!$BI$2:$BI$103,0)),"")</f>
        <v/>
      </c>
    </row>
    <row r="7">
      <c r="A7" t="inlineStr">
        <is>
          <t>Ranked</t>
        </is>
      </c>
      <c r="B7" t="n">
        <v>5</v>
      </c>
      <c r="C7">
        <f>IFERROR(INDEX(Scores!$BI$2:$BI$103,MATCH($B7,Scores!$BI$2:$BI$103,0)),"")</f>
        <v/>
      </c>
      <c r="D7">
        <f>IFERROR(INDEX(Scores!$B$2:$B$103,MATCH($B7,Scores!$BI$2:$BI$103,0)),"")</f>
        <v/>
      </c>
      <c r="E7">
        <f>IFERROR(INDEX(Scores!$C$2:$C$103,MATCH($B7,Scores!$BI$2:$BI$103,0)),"")</f>
        <v/>
      </c>
      <c r="F7">
        <f>IFERROR(INDEX(Scores!$D$2:$D$103,MATCH($B7,Scores!$BI$2:$BI$103,0)),"")</f>
        <v/>
      </c>
      <c r="G7">
        <f>IFERROR(INDEX(Scores!$E$2:$E$103,MATCH($B7,Scores!$BI$2:$BI$103,0)),"")</f>
        <v/>
      </c>
      <c r="H7">
        <f>IFERROR(INDEX(Scores!$BF$2:$BF$103,MATCH($B7,Scores!$BI$2:$BI$103,0)),"")</f>
        <v/>
      </c>
      <c r="I7">
        <f>IFERROR(INDEX(Scores!$BH$2:$BH$103,MATCH($B7,Scores!$BI$2:$BI$103,0)),"")</f>
        <v/>
      </c>
      <c r="J7">
        <f>IFERROR(INDEX(Scores!$Q$2:$Q$103,MATCH($B7,Scores!$BI$2:$BI$103,0)),"")</f>
        <v/>
      </c>
      <c r="K7">
        <f>IFERROR(INDEX(Scores!$AC$2:$AC$103,MATCH($B7,Scores!$BI$2:$BI$103,0)),"")</f>
        <v/>
      </c>
      <c r="L7">
        <f>IFERROR(INDEX(Scores!$AK$2:$AK$103,MATCH($B7,Scores!$BI$2:$BI$103,0)),"")</f>
        <v/>
      </c>
      <c r="M7">
        <f>IFERROR(INDEX(Scores!$AS$2:$AS$103,MATCH($B7,Scores!$BI$2:$BI$103,0)),"")</f>
        <v/>
      </c>
      <c r="N7">
        <f>IFERROR(INDEX(Scores!$BC$2:$BC$103,MATCH($B7,Scores!$BI$2:$BI$103,0)),"")</f>
        <v/>
      </c>
    </row>
    <row r="8">
      <c r="A8" t="inlineStr">
        <is>
          <t>Ranked</t>
        </is>
      </c>
      <c r="B8" t="n">
        <v>6</v>
      </c>
      <c r="C8">
        <f>IFERROR(INDEX(Scores!$BI$2:$BI$103,MATCH($B8,Scores!$BI$2:$BI$103,0)),"")</f>
        <v/>
      </c>
      <c r="D8">
        <f>IFERROR(INDEX(Scores!$B$2:$B$103,MATCH($B8,Scores!$BI$2:$BI$103,0)),"")</f>
        <v/>
      </c>
      <c r="E8">
        <f>IFERROR(INDEX(Scores!$C$2:$C$103,MATCH($B8,Scores!$BI$2:$BI$103,0)),"")</f>
        <v/>
      </c>
      <c r="F8">
        <f>IFERROR(INDEX(Scores!$D$2:$D$103,MATCH($B8,Scores!$BI$2:$BI$103,0)),"")</f>
        <v/>
      </c>
      <c r="G8">
        <f>IFERROR(INDEX(Scores!$E$2:$E$103,MATCH($B8,Scores!$BI$2:$BI$103,0)),"")</f>
        <v/>
      </c>
      <c r="H8">
        <f>IFERROR(INDEX(Scores!$BF$2:$BF$103,MATCH($B8,Scores!$BI$2:$BI$103,0)),"")</f>
        <v/>
      </c>
      <c r="I8">
        <f>IFERROR(INDEX(Scores!$BH$2:$BH$103,MATCH($B8,Scores!$BI$2:$BI$103,0)),"")</f>
        <v/>
      </c>
      <c r="J8">
        <f>IFERROR(INDEX(Scores!$Q$2:$Q$103,MATCH($B8,Scores!$BI$2:$BI$103,0)),"")</f>
        <v/>
      </c>
      <c r="K8">
        <f>IFERROR(INDEX(Scores!$AC$2:$AC$103,MATCH($B8,Scores!$BI$2:$BI$103,0)),"")</f>
        <v/>
      </c>
      <c r="L8">
        <f>IFERROR(INDEX(Scores!$AK$2:$AK$103,MATCH($B8,Scores!$BI$2:$BI$103,0)),"")</f>
        <v/>
      </c>
      <c r="M8">
        <f>IFERROR(INDEX(Scores!$AS$2:$AS$103,MATCH($B8,Scores!$BI$2:$BI$103,0)),"")</f>
        <v/>
      </c>
      <c r="N8">
        <f>IFERROR(INDEX(Scores!$BC$2:$BC$103,MATCH($B8,Scores!$BI$2:$BI$103,0)),"")</f>
        <v/>
      </c>
    </row>
    <row r="9">
      <c r="A9" t="inlineStr">
        <is>
          <t>Ranked</t>
        </is>
      </c>
      <c r="B9" t="n">
        <v>7</v>
      </c>
      <c r="C9">
        <f>IFERROR(INDEX(Scores!$BI$2:$BI$103,MATCH($B9,Scores!$BI$2:$BI$103,0)),"")</f>
        <v/>
      </c>
      <c r="D9">
        <f>IFERROR(INDEX(Scores!$B$2:$B$103,MATCH($B9,Scores!$BI$2:$BI$103,0)),"")</f>
        <v/>
      </c>
      <c r="E9">
        <f>IFERROR(INDEX(Scores!$C$2:$C$103,MATCH($B9,Scores!$BI$2:$BI$103,0)),"")</f>
        <v/>
      </c>
      <c r="F9">
        <f>IFERROR(INDEX(Scores!$D$2:$D$103,MATCH($B9,Scores!$BI$2:$BI$103,0)),"")</f>
        <v/>
      </c>
      <c r="G9">
        <f>IFERROR(INDEX(Scores!$E$2:$E$103,MATCH($B9,Scores!$BI$2:$BI$103,0)),"")</f>
        <v/>
      </c>
      <c r="H9">
        <f>IFERROR(INDEX(Scores!$BF$2:$BF$103,MATCH($B9,Scores!$BI$2:$BI$103,0)),"")</f>
        <v/>
      </c>
      <c r="I9">
        <f>IFERROR(INDEX(Scores!$BH$2:$BH$103,MATCH($B9,Scores!$BI$2:$BI$103,0)),"")</f>
        <v/>
      </c>
      <c r="J9">
        <f>IFERROR(INDEX(Scores!$Q$2:$Q$103,MATCH($B9,Scores!$BI$2:$BI$103,0)),"")</f>
        <v/>
      </c>
      <c r="K9">
        <f>IFERROR(INDEX(Scores!$AC$2:$AC$103,MATCH($B9,Scores!$BI$2:$BI$103,0)),"")</f>
        <v/>
      </c>
      <c r="L9">
        <f>IFERROR(INDEX(Scores!$AK$2:$AK$103,MATCH($B9,Scores!$BI$2:$BI$103,0)),"")</f>
        <v/>
      </c>
      <c r="M9">
        <f>IFERROR(INDEX(Scores!$AS$2:$AS$103,MATCH($B9,Scores!$BI$2:$BI$103,0)),"")</f>
        <v/>
      </c>
      <c r="N9">
        <f>IFERROR(INDEX(Scores!$BC$2:$BC$103,MATCH($B9,Scores!$BI$2:$BI$103,0)),"")</f>
        <v/>
      </c>
    </row>
    <row r="10">
      <c r="A10" t="inlineStr">
        <is>
          <t>Ranked</t>
        </is>
      </c>
      <c r="B10" t="n">
        <v>8</v>
      </c>
      <c r="C10">
        <f>IFERROR(INDEX(Scores!$BI$2:$BI$103,MATCH($B10,Scores!$BI$2:$BI$103,0)),"")</f>
        <v/>
      </c>
      <c r="D10">
        <f>IFERROR(INDEX(Scores!$B$2:$B$103,MATCH($B10,Scores!$BI$2:$BI$103,0)),"")</f>
        <v/>
      </c>
      <c r="E10">
        <f>IFERROR(INDEX(Scores!$C$2:$C$103,MATCH($B10,Scores!$BI$2:$BI$103,0)),"")</f>
        <v/>
      </c>
      <c r="F10">
        <f>IFERROR(INDEX(Scores!$D$2:$D$103,MATCH($B10,Scores!$BI$2:$BI$103,0)),"")</f>
        <v/>
      </c>
      <c r="G10">
        <f>IFERROR(INDEX(Scores!$E$2:$E$103,MATCH($B10,Scores!$BI$2:$BI$103,0)),"")</f>
        <v/>
      </c>
      <c r="H10">
        <f>IFERROR(INDEX(Scores!$BF$2:$BF$103,MATCH($B10,Scores!$BI$2:$BI$103,0)),"")</f>
        <v/>
      </c>
      <c r="I10">
        <f>IFERROR(INDEX(Scores!$BH$2:$BH$103,MATCH($B10,Scores!$BI$2:$BI$103,0)),"")</f>
        <v/>
      </c>
      <c r="J10">
        <f>IFERROR(INDEX(Scores!$Q$2:$Q$103,MATCH($B10,Scores!$BI$2:$BI$103,0)),"")</f>
        <v/>
      </c>
      <c r="K10">
        <f>IFERROR(INDEX(Scores!$AC$2:$AC$103,MATCH($B10,Scores!$BI$2:$BI$103,0)),"")</f>
        <v/>
      </c>
      <c r="L10">
        <f>IFERROR(INDEX(Scores!$AK$2:$AK$103,MATCH($B10,Scores!$BI$2:$BI$103,0)),"")</f>
        <v/>
      </c>
      <c r="M10">
        <f>IFERROR(INDEX(Scores!$AS$2:$AS$103,MATCH($B10,Scores!$BI$2:$BI$103,0)),"")</f>
        <v/>
      </c>
      <c r="N10">
        <f>IFERROR(INDEX(Scores!$BC$2:$BC$103,MATCH($B10,Scores!$BI$2:$BI$103,0)),"")</f>
        <v/>
      </c>
    </row>
    <row r="11">
      <c r="A11" t="inlineStr">
        <is>
          <t>Ranked</t>
        </is>
      </c>
      <c r="B11" t="n">
        <v>9</v>
      </c>
      <c r="C11">
        <f>IFERROR(INDEX(Scores!$BI$2:$BI$103,MATCH($B11,Scores!$BI$2:$BI$103,0)),"")</f>
        <v/>
      </c>
      <c r="D11">
        <f>IFERROR(INDEX(Scores!$B$2:$B$103,MATCH($B11,Scores!$BI$2:$BI$103,0)),"")</f>
        <v/>
      </c>
      <c r="E11">
        <f>IFERROR(INDEX(Scores!$C$2:$C$103,MATCH($B11,Scores!$BI$2:$BI$103,0)),"")</f>
        <v/>
      </c>
      <c r="F11">
        <f>IFERROR(INDEX(Scores!$D$2:$D$103,MATCH($B11,Scores!$BI$2:$BI$103,0)),"")</f>
        <v/>
      </c>
      <c r="G11">
        <f>IFERROR(INDEX(Scores!$E$2:$E$103,MATCH($B11,Scores!$BI$2:$BI$103,0)),"")</f>
        <v/>
      </c>
      <c r="H11">
        <f>IFERROR(INDEX(Scores!$BF$2:$BF$103,MATCH($B11,Scores!$BI$2:$BI$103,0)),"")</f>
        <v/>
      </c>
      <c r="I11">
        <f>IFERROR(INDEX(Scores!$BH$2:$BH$103,MATCH($B11,Scores!$BI$2:$BI$103,0)),"")</f>
        <v/>
      </c>
      <c r="J11">
        <f>IFERROR(INDEX(Scores!$Q$2:$Q$103,MATCH($B11,Scores!$BI$2:$BI$103,0)),"")</f>
        <v/>
      </c>
      <c r="K11">
        <f>IFERROR(INDEX(Scores!$AC$2:$AC$103,MATCH($B11,Scores!$BI$2:$BI$103,0)),"")</f>
        <v/>
      </c>
      <c r="L11">
        <f>IFERROR(INDEX(Scores!$AK$2:$AK$103,MATCH($B11,Scores!$BI$2:$BI$103,0)),"")</f>
        <v/>
      </c>
      <c r="M11">
        <f>IFERROR(INDEX(Scores!$AS$2:$AS$103,MATCH($B11,Scores!$BI$2:$BI$103,0)),"")</f>
        <v/>
      </c>
      <c r="N11">
        <f>IFERROR(INDEX(Scores!$BC$2:$BC$103,MATCH($B11,Scores!$BI$2:$BI$103,0)),"")</f>
        <v/>
      </c>
    </row>
    <row r="12">
      <c r="A12" t="inlineStr">
        <is>
          <t>Ranked</t>
        </is>
      </c>
      <c r="B12" t="n">
        <v>10</v>
      </c>
      <c r="C12">
        <f>IFERROR(INDEX(Scores!$BI$2:$BI$103,MATCH($B12,Scores!$BI$2:$BI$103,0)),"")</f>
        <v/>
      </c>
      <c r="D12">
        <f>IFERROR(INDEX(Scores!$B$2:$B$103,MATCH($B12,Scores!$BI$2:$BI$103,0)),"")</f>
        <v/>
      </c>
      <c r="E12">
        <f>IFERROR(INDEX(Scores!$C$2:$C$103,MATCH($B12,Scores!$BI$2:$BI$103,0)),"")</f>
        <v/>
      </c>
      <c r="F12">
        <f>IFERROR(INDEX(Scores!$D$2:$D$103,MATCH($B12,Scores!$BI$2:$BI$103,0)),"")</f>
        <v/>
      </c>
      <c r="G12">
        <f>IFERROR(INDEX(Scores!$E$2:$E$103,MATCH($B12,Scores!$BI$2:$BI$103,0)),"")</f>
        <v/>
      </c>
      <c r="H12">
        <f>IFERROR(INDEX(Scores!$BF$2:$BF$103,MATCH($B12,Scores!$BI$2:$BI$103,0)),"")</f>
        <v/>
      </c>
      <c r="I12">
        <f>IFERROR(INDEX(Scores!$BH$2:$BH$103,MATCH($B12,Scores!$BI$2:$BI$103,0)),"")</f>
        <v/>
      </c>
      <c r="J12">
        <f>IFERROR(INDEX(Scores!$Q$2:$Q$103,MATCH($B12,Scores!$BI$2:$BI$103,0)),"")</f>
        <v/>
      </c>
      <c r="K12">
        <f>IFERROR(INDEX(Scores!$AC$2:$AC$103,MATCH($B12,Scores!$BI$2:$BI$103,0)),"")</f>
        <v/>
      </c>
      <c r="L12">
        <f>IFERROR(INDEX(Scores!$AK$2:$AK$103,MATCH($B12,Scores!$BI$2:$BI$103,0)),"")</f>
        <v/>
      </c>
      <c r="M12">
        <f>IFERROR(INDEX(Scores!$AS$2:$AS$103,MATCH($B12,Scores!$BI$2:$BI$103,0)),"")</f>
        <v/>
      </c>
      <c r="N12">
        <f>IFERROR(INDEX(Scores!$BC$2:$BC$103,MATCH($B12,Scores!$BI$2:$BI$103,0)),"")</f>
        <v/>
      </c>
    </row>
    <row r="13">
      <c r="A13" t="inlineStr">
        <is>
          <t>Ranked</t>
        </is>
      </c>
      <c r="B13" t="n">
        <v>11</v>
      </c>
      <c r="C13">
        <f>IFERROR(INDEX(Scores!$BI$2:$BI$103,MATCH($B13,Scores!$BI$2:$BI$103,0)),"")</f>
        <v/>
      </c>
      <c r="D13">
        <f>IFERROR(INDEX(Scores!$B$2:$B$103,MATCH($B13,Scores!$BI$2:$BI$103,0)),"")</f>
        <v/>
      </c>
      <c r="E13">
        <f>IFERROR(INDEX(Scores!$C$2:$C$103,MATCH($B13,Scores!$BI$2:$BI$103,0)),"")</f>
        <v/>
      </c>
      <c r="F13">
        <f>IFERROR(INDEX(Scores!$D$2:$D$103,MATCH($B13,Scores!$BI$2:$BI$103,0)),"")</f>
        <v/>
      </c>
      <c r="G13">
        <f>IFERROR(INDEX(Scores!$E$2:$E$103,MATCH($B13,Scores!$BI$2:$BI$103,0)),"")</f>
        <v/>
      </c>
      <c r="H13">
        <f>IFERROR(INDEX(Scores!$BF$2:$BF$103,MATCH($B13,Scores!$BI$2:$BI$103,0)),"")</f>
        <v/>
      </c>
      <c r="I13">
        <f>IFERROR(INDEX(Scores!$BH$2:$BH$103,MATCH($B13,Scores!$BI$2:$BI$103,0)),"")</f>
        <v/>
      </c>
      <c r="J13">
        <f>IFERROR(INDEX(Scores!$Q$2:$Q$103,MATCH($B13,Scores!$BI$2:$BI$103,0)),"")</f>
        <v/>
      </c>
      <c r="K13">
        <f>IFERROR(INDEX(Scores!$AC$2:$AC$103,MATCH($B13,Scores!$BI$2:$BI$103,0)),"")</f>
        <v/>
      </c>
      <c r="L13">
        <f>IFERROR(INDEX(Scores!$AK$2:$AK$103,MATCH($B13,Scores!$BI$2:$BI$103,0)),"")</f>
        <v/>
      </c>
      <c r="M13">
        <f>IFERROR(INDEX(Scores!$AS$2:$AS$103,MATCH($B13,Scores!$BI$2:$BI$103,0)),"")</f>
        <v/>
      </c>
      <c r="N13">
        <f>IFERROR(INDEX(Scores!$BC$2:$BC$103,MATCH($B13,Scores!$BI$2:$BI$103,0)),"")</f>
        <v/>
      </c>
    </row>
    <row r="14">
      <c r="A14" t="inlineStr">
        <is>
          <t>Ranked</t>
        </is>
      </c>
      <c r="B14" t="n">
        <v>12</v>
      </c>
      <c r="C14">
        <f>IFERROR(INDEX(Scores!$BI$2:$BI$103,MATCH($B14,Scores!$BI$2:$BI$103,0)),"")</f>
        <v/>
      </c>
      <c r="D14">
        <f>IFERROR(INDEX(Scores!$B$2:$B$103,MATCH($B14,Scores!$BI$2:$BI$103,0)),"")</f>
        <v/>
      </c>
      <c r="E14">
        <f>IFERROR(INDEX(Scores!$C$2:$C$103,MATCH($B14,Scores!$BI$2:$BI$103,0)),"")</f>
        <v/>
      </c>
      <c r="F14">
        <f>IFERROR(INDEX(Scores!$D$2:$D$103,MATCH($B14,Scores!$BI$2:$BI$103,0)),"")</f>
        <v/>
      </c>
      <c r="G14">
        <f>IFERROR(INDEX(Scores!$E$2:$E$103,MATCH($B14,Scores!$BI$2:$BI$103,0)),"")</f>
        <v/>
      </c>
      <c r="H14">
        <f>IFERROR(INDEX(Scores!$BF$2:$BF$103,MATCH($B14,Scores!$BI$2:$BI$103,0)),"")</f>
        <v/>
      </c>
      <c r="I14">
        <f>IFERROR(INDEX(Scores!$BH$2:$BH$103,MATCH($B14,Scores!$BI$2:$BI$103,0)),"")</f>
        <v/>
      </c>
      <c r="J14">
        <f>IFERROR(INDEX(Scores!$Q$2:$Q$103,MATCH($B14,Scores!$BI$2:$BI$103,0)),"")</f>
        <v/>
      </c>
      <c r="K14">
        <f>IFERROR(INDEX(Scores!$AC$2:$AC$103,MATCH($B14,Scores!$BI$2:$BI$103,0)),"")</f>
        <v/>
      </c>
      <c r="L14">
        <f>IFERROR(INDEX(Scores!$AK$2:$AK$103,MATCH($B14,Scores!$BI$2:$BI$103,0)),"")</f>
        <v/>
      </c>
      <c r="M14">
        <f>IFERROR(INDEX(Scores!$AS$2:$AS$103,MATCH($B14,Scores!$BI$2:$BI$103,0)),"")</f>
        <v/>
      </c>
      <c r="N14">
        <f>IFERROR(INDEX(Scores!$BC$2:$BC$103,MATCH($B14,Scores!$BI$2:$BI$103,0)),"")</f>
        <v/>
      </c>
    </row>
    <row r="15">
      <c r="A15" t="inlineStr">
        <is>
          <t>Ranked</t>
        </is>
      </c>
      <c r="B15" t="n">
        <v>13</v>
      </c>
      <c r="C15">
        <f>IFERROR(INDEX(Scores!$BI$2:$BI$103,MATCH($B15,Scores!$BI$2:$BI$103,0)),"")</f>
        <v/>
      </c>
      <c r="D15">
        <f>IFERROR(INDEX(Scores!$B$2:$B$103,MATCH($B15,Scores!$BI$2:$BI$103,0)),"")</f>
        <v/>
      </c>
      <c r="E15">
        <f>IFERROR(INDEX(Scores!$C$2:$C$103,MATCH($B15,Scores!$BI$2:$BI$103,0)),"")</f>
        <v/>
      </c>
      <c r="F15">
        <f>IFERROR(INDEX(Scores!$D$2:$D$103,MATCH($B15,Scores!$BI$2:$BI$103,0)),"")</f>
        <v/>
      </c>
      <c r="G15">
        <f>IFERROR(INDEX(Scores!$E$2:$E$103,MATCH($B15,Scores!$BI$2:$BI$103,0)),"")</f>
        <v/>
      </c>
      <c r="H15">
        <f>IFERROR(INDEX(Scores!$BF$2:$BF$103,MATCH($B15,Scores!$BI$2:$BI$103,0)),"")</f>
        <v/>
      </c>
      <c r="I15">
        <f>IFERROR(INDEX(Scores!$BH$2:$BH$103,MATCH($B15,Scores!$BI$2:$BI$103,0)),"")</f>
        <v/>
      </c>
      <c r="J15">
        <f>IFERROR(INDEX(Scores!$Q$2:$Q$103,MATCH($B15,Scores!$BI$2:$BI$103,0)),"")</f>
        <v/>
      </c>
      <c r="K15">
        <f>IFERROR(INDEX(Scores!$AC$2:$AC$103,MATCH($B15,Scores!$BI$2:$BI$103,0)),"")</f>
        <v/>
      </c>
      <c r="L15">
        <f>IFERROR(INDEX(Scores!$AK$2:$AK$103,MATCH($B15,Scores!$BI$2:$BI$103,0)),"")</f>
        <v/>
      </c>
      <c r="M15">
        <f>IFERROR(INDEX(Scores!$AS$2:$AS$103,MATCH($B15,Scores!$BI$2:$BI$103,0)),"")</f>
        <v/>
      </c>
      <c r="N15">
        <f>IFERROR(INDEX(Scores!$BC$2:$BC$103,MATCH($B15,Scores!$BI$2:$BI$103,0)),"")</f>
        <v/>
      </c>
    </row>
    <row r="16">
      <c r="A16" t="inlineStr">
        <is>
          <t>Ranked</t>
        </is>
      </c>
      <c r="B16" t="n">
        <v>14</v>
      </c>
      <c r="C16">
        <f>IFERROR(INDEX(Scores!$BI$2:$BI$103,MATCH($B16,Scores!$BI$2:$BI$103,0)),"")</f>
        <v/>
      </c>
      <c r="D16">
        <f>IFERROR(INDEX(Scores!$B$2:$B$103,MATCH($B16,Scores!$BI$2:$BI$103,0)),"")</f>
        <v/>
      </c>
      <c r="E16">
        <f>IFERROR(INDEX(Scores!$C$2:$C$103,MATCH($B16,Scores!$BI$2:$BI$103,0)),"")</f>
        <v/>
      </c>
      <c r="F16">
        <f>IFERROR(INDEX(Scores!$D$2:$D$103,MATCH($B16,Scores!$BI$2:$BI$103,0)),"")</f>
        <v/>
      </c>
      <c r="G16">
        <f>IFERROR(INDEX(Scores!$E$2:$E$103,MATCH($B16,Scores!$BI$2:$BI$103,0)),"")</f>
        <v/>
      </c>
      <c r="H16">
        <f>IFERROR(INDEX(Scores!$BF$2:$BF$103,MATCH($B16,Scores!$BI$2:$BI$103,0)),"")</f>
        <v/>
      </c>
      <c r="I16">
        <f>IFERROR(INDEX(Scores!$BH$2:$BH$103,MATCH($B16,Scores!$BI$2:$BI$103,0)),"")</f>
        <v/>
      </c>
      <c r="J16">
        <f>IFERROR(INDEX(Scores!$Q$2:$Q$103,MATCH($B16,Scores!$BI$2:$BI$103,0)),"")</f>
        <v/>
      </c>
      <c r="K16">
        <f>IFERROR(INDEX(Scores!$AC$2:$AC$103,MATCH($B16,Scores!$BI$2:$BI$103,0)),"")</f>
        <v/>
      </c>
      <c r="L16">
        <f>IFERROR(INDEX(Scores!$AK$2:$AK$103,MATCH($B16,Scores!$BI$2:$BI$103,0)),"")</f>
        <v/>
      </c>
      <c r="M16">
        <f>IFERROR(INDEX(Scores!$AS$2:$AS$103,MATCH($B16,Scores!$BI$2:$BI$103,0)),"")</f>
        <v/>
      </c>
      <c r="N16">
        <f>IFERROR(INDEX(Scores!$BC$2:$BC$103,MATCH($B16,Scores!$BI$2:$BI$103,0)),"")</f>
        <v/>
      </c>
    </row>
    <row r="17">
      <c r="A17" t="inlineStr">
        <is>
          <t>Ranked</t>
        </is>
      </c>
      <c r="B17" t="n">
        <v>15</v>
      </c>
      <c r="C17">
        <f>IFERROR(INDEX(Scores!$BI$2:$BI$103,MATCH($B17,Scores!$BI$2:$BI$103,0)),"")</f>
        <v/>
      </c>
      <c r="D17">
        <f>IFERROR(INDEX(Scores!$B$2:$B$103,MATCH($B17,Scores!$BI$2:$BI$103,0)),"")</f>
        <v/>
      </c>
      <c r="E17">
        <f>IFERROR(INDEX(Scores!$C$2:$C$103,MATCH($B17,Scores!$BI$2:$BI$103,0)),"")</f>
        <v/>
      </c>
      <c r="F17">
        <f>IFERROR(INDEX(Scores!$D$2:$D$103,MATCH($B17,Scores!$BI$2:$BI$103,0)),"")</f>
        <v/>
      </c>
      <c r="G17">
        <f>IFERROR(INDEX(Scores!$E$2:$E$103,MATCH($B17,Scores!$BI$2:$BI$103,0)),"")</f>
        <v/>
      </c>
      <c r="H17">
        <f>IFERROR(INDEX(Scores!$BF$2:$BF$103,MATCH($B17,Scores!$BI$2:$BI$103,0)),"")</f>
        <v/>
      </c>
      <c r="I17">
        <f>IFERROR(INDEX(Scores!$BH$2:$BH$103,MATCH($B17,Scores!$BI$2:$BI$103,0)),"")</f>
        <v/>
      </c>
      <c r="J17">
        <f>IFERROR(INDEX(Scores!$Q$2:$Q$103,MATCH($B17,Scores!$BI$2:$BI$103,0)),"")</f>
        <v/>
      </c>
      <c r="K17">
        <f>IFERROR(INDEX(Scores!$AC$2:$AC$103,MATCH($B17,Scores!$BI$2:$BI$103,0)),"")</f>
        <v/>
      </c>
      <c r="L17">
        <f>IFERROR(INDEX(Scores!$AK$2:$AK$103,MATCH($B17,Scores!$BI$2:$BI$103,0)),"")</f>
        <v/>
      </c>
      <c r="M17">
        <f>IFERROR(INDEX(Scores!$AS$2:$AS$103,MATCH($B17,Scores!$BI$2:$BI$103,0)),"")</f>
        <v/>
      </c>
      <c r="N17">
        <f>IFERROR(INDEX(Scores!$BC$2:$BC$103,MATCH($B17,Scores!$BI$2:$BI$103,0)),"")</f>
        <v/>
      </c>
    </row>
    <row r="18">
      <c r="A18" t="inlineStr">
        <is>
          <t>Ranked</t>
        </is>
      </c>
      <c r="B18" t="n">
        <v>16</v>
      </c>
      <c r="C18">
        <f>IFERROR(INDEX(Scores!$BI$2:$BI$103,MATCH($B18,Scores!$BI$2:$BI$103,0)),"")</f>
        <v/>
      </c>
      <c r="D18">
        <f>IFERROR(INDEX(Scores!$B$2:$B$103,MATCH($B18,Scores!$BI$2:$BI$103,0)),"")</f>
        <v/>
      </c>
      <c r="E18">
        <f>IFERROR(INDEX(Scores!$C$2:$C$103,MATCH($B18,Scores!$BI$2:$BI$103,0)),"")</f>
        <v/>
      </c>
      <c r="F18">
        <f>IFERROR(INDEX(Scores!$D$2:$D$103,MATCH($B18,Scores!$BI$2:$BI$103,0)),"")</f>
        <v/>
      </c>
      <c r="G18">
        <f>IFERROR(INDEX(Scores!$E$2:$E$103,MATCH($B18,Scores!$BI$2:$BI$103,0)),"")</f>
        <v/>
      </c>
      <c r="H18">
        <f>IFERROR(INDEX(Scores!$BF$2:$BF$103,MATCH($B18,Scores!$BI$2:$BI$103,0)),"")</f>
        <v/>
      </c>
      <c r="I18">
        <f>IFERROR(INDEX(Scores!$BH$2:$BH$103,MATCH($B18,Scores!$BI$2:$BI$103,0)),"")</f>
        <v/>
      </c>
      <c r="J18">
        <f>IFERROR(INDEX(Scores!$Q$2:$Q$103,MATCH($B18,Scores!$BI$2:$BI$103,0)),"")</f>
        <v/>
      </c>
      <c r="K18">
        <f>IFERROR(INDEX(Scores!$AC$2:$AC$103,MATCH($B18,Scores!$BI$2:$BI$103,0)),"")</f>
        <v/>
      </c>
      <c r="L18">
        <f>IFERROR(INDEX(Scores!$AK$2:$AK$103,MATCH($B18,Scores!$BI$2:$BI$103,0)),"")</f>
        <v/>
      </c>
      <c r="M18">
        <f>IFERROR(INDEX(Scores!$AS$2:$AS$103,MATCH($B18,Scores!$BI$2:$BI$103,0)),"")</f>
        <v/>
      </c>
      <c r="N18">
        <f>IFERROR(INDEX(Scores!$BC$2:$BC$103,MATCH($B18,Scores!$BI$2:$BI$103,0)),"")</f>
        <v/>
      </c>
    </row>
    <row r="19">
      <c r="A19" t="inlineStr">
        <is>
          <t>Ranked</t>
        </is>
      </c>
      <c r="B19" t="n">
        <v>17</v>
      </c>
      <c r="C19">
        <f>IFERROR(INDEX(Scores!$BI$2:$BI$103,MATCH($B19,Scores!$BI$2:$BI$103,0)),"")</f>
        <v/>
      </c>
      <c r="D19">
        <f>IFERROR(INDEX(Scores!$B$2:$B$103,MATCH($B19,Scores!$BI$2:$BI$103,0)),"")</f>
        <v/>
      </c>
      <c r="E19">
        <f>IFERROR(INDEX(Scores!$C$2:$C$103,MATCH($B19,Scores!$BI$2:$BI$103,0)),"")</f>
        <v/>
      </c>
      <c r="F19">
        <f>IFERROR(INDEX(Scores!$D$2:$D$103,MATCH($B19,Scores!$BI$2:$BI$103,0)),"")</f>
        <v/>
      </c>
      <c r="G19">
        <f>IFERROR(INDEX(Scores!$E$2:$E$103,MATCH($B19,Scores!$BI$2:$BI$103,0)),"")</f>
        <v/>
      </c>
      <c r="H19">
        <f>IFERROR(INDEX(Scores!$BF$2:$BF$103,MATCH($B19,Scores!$BI$2:$BI$103,0)),"")</f>
        <v/>
      </c>
      <c r="I19">
        <f>IFERROR(INDEX(Scores!$BH$2:$BH$103,MATCH($B19,Scores!$BI$2:$BI$103,0)),"")</f>
        <v/>
      </c>
      <c r="J19">
        <f>IFERROR(INDEX(Scores!$Q$2:$Q$103,MATCH($B19,Scores!$BI$2:$BI$103,0)),"")</f>
        <v/>
      </c>
      <c r="K19">
        <f>IFERROR(INDEX(Scores!$AC$2:$AC$103,MATCH($B19,Scores!$BI$2:$BI$103,0)),"")</f>
        <v/>
      </c>
      <c r="L19">
        <f>IFERROR(INDEX(Scores!$AK$2:$AK$103,MATCH($B19,Scores!$BI$2:$BI$103,0)),"")</f>
        <v/>
      </c>
      <c r="M19">
        <f>IFERROR(INDEX(Scores!$AS$2:$AS$103,MATCH($B19,Scores!$BI$2:$BI$103,0)),"")</f>
        <v/>
      </c>
      <c r="N19">
        <f>IFERROR(INDEX(Scores!$BC$2:$BC$103,MATCH($B19,Scores!$BI$2:$BI$103,0)),"")</f>
        <v/>
      </c>
    </row>
    <row r="20">
      <c r="A20" t="inlineStr">
        <is>
          <t>Ranked</t>
        </is>
      </c>
      <c r="B20" t="n">
        <v>18</v>
      </c>
      <c r="C20">
        <f>IFERROR(INDEX(Scores!$BI$2:$BI$103,MATCH($B20,Scores!$BI$2:$BI$103,0)),"")</f>
        <v/>
      </c>
      <c r="D20">
        <f>IFERROR(INDEX(Scores!$B$2:$B$103,MATCH($B20,Scores!$BI$2:$BI$103,0)),"")</f>
        <v/>
      </c>
      <c r="E20">
        <f>IFERROR(INDEX(Scores!$C$2:$C$103,MATCH($B20,Scores!$BI$2:$BI$103,0)),"")</f>
        <v/>
      </c>
      <c r="F20">
        <f>IFERROR(INDEX(Scores!$D$2:$D$103,MATCH($B20,Scores!$BI$2:$BI$103,0)),"")</f>
        <v/>
      </c>
      <c r="G20">
        <f>IFERROR(INDEX(Scores!$E$2:$E$103,MATCH($B20,Scores!$BI$2:$BI$103,0)),"")</f>
        <v/>
      </c>
      <c r="H20">
        <f>IFERROR(INDEX(Scores!$BF$2:$BF$103,MATCH($B20,Scores!$BI$2:$BI$103,0)),"")</f>
        <v/>
      </c>
      <c r="I20">
        <f>IFERROR(INDEX(Scores!$BH$2:$BH$103,MATCH($B20,Scores!$BI$2:$BI$103,0)),"")</f>
        <v/>
      </c>
      <c r="J20">
        <f>IFERROR(INDEX(Scores!$Q$2:$Q$103,MATCH($B20,Scores!$BI$2:$BI$103,0)),"")</f>
        <v/>
      </c>
      <c r="K20">
        <f>IFERROR(INDEX(Scores!$AC$2:$AC$103,MATCH($B20,Scores!$BI$2:$BI$103,0)),"")</f>
        <v/>
      </c>
      <c r="L20">
        <f>IFERROR(INDEX(Scores!$AK$2:$AK$103,MATCH($B20,Scores!$BI$2:$BI$103,0)),"")</f>
        <v/>
      </c>
      <c r="M20">
        <f>IFERROR(INDEX(Scores!$AS$2:$AS$103,MATCH($B20,Scores!$BI$2:$BI$103,0)),"")</f>
        <v/>
      </c>
      <c r="N20">
        <f>IFERROR(INDEX(Scores!$BC$2:$BC$103,MATCH($B20,Scores!$BI$2:$BI$103,0)),"")</f>
        <v/>
      </c>
    </row>
    <row r="21">
      <c r="A21" t="inlineStr">
        <is>
          <t>Ranked</t>
        </is>
      </c>
      <c r="B21" t="n">
        <v>19</v>
      </c>
      <c r="C21">
        <f>IFERROR(INDEX(Scores!$BI$2:$BI$103,MATCH($B21,Scores!$BI$2:$BI$103,0)),"")</f>
        <v/>
      </c>
      <c r="D21">
        <f>IFERROR(INDEX(Scores!$B$2:$B$103,MATCH($B21,Scores!$BI$2:$BI$103,0)),"")</f>
        <v/>
      </c>
      <c r="E21">
        <f>IFERROR(INDEX(Scores!$C$2:$C$103,MATCH($B21,Scores!$BI$2:$BI$103,0)),"")</f>
        <v/>
      </c>
      <c r="F21">
        <f>IFERROR(INDEX(Scores!$D$2:$D$103,MATCH($B21,Scores!$BI$2:$BI$103,0)),"")</f>
        <v/>
      </c>
      <c r="G21">
        <f>IFERROR(INDEX(Scores!$E$2:$E$103,MATCH($B21,Scores!$BI$2:$BI$103,0)),"")</f>
        <v/>
      </c>
      <c r="H21">
        <f>IFERROR(INDEX(Scores!$BF$2:$BF$103,MATCH($B21,Scores!$BI$2:$BI$103,0)),"")</f>
        <v/>
      </c>
      <c r="I21">
        <f>IFERROR(INDEX(Scores!$BH$2:$BH$103,MATCH($B21,Scores!$BI$2:$BI$103,0)),"")</f>
        <v/>
      </c>
      <c r="J21">
        <f>IFERROR(INDEX(Scores!$Q$2:$Q$103,MATCH($B21,Scores!$BI$2:$BI$103,0)),"")</f>
        <v/>
      </c>
      <c r="K21">
        <f>IFERROR(INDEX(Scores!$AC$2:$AC$103,MATCH($B21,Scores!$BI$2:$BI$103,0)),"")</f>
        <v/>
      </c>
      <c r="L21">
        <f>IFERROR(INDEX(Scores!$AK$2:$AK$103,MATCH($B21,Scores!$BI$2:$BI$103,0)),"")</f>
        <v/>
      </c>
      <c r="M21">
        <f>IFERROR(INDEX(Scores!$AS$2:$AS$103,MATCH($B21,Scores!$BI$2:$BI$103,0)),"")</f>
        <v/>
      </c>
      <c r="N21">
        <f>IFERROR(INDEX(Scores!$BC$2:$BC$103,MATCH($B21,Scores!$BI$2:$BI$103,0)),"")</f>
        <v/>
      </c>
    </row>
    <row r="22">
      <c r="A22" t="inlineStr">
        <is>
          <t>Ranked</t>
        </is>
      </c>
      <c r="B22" t="n">
        <v>20</v>
      </c>
      <c r="C22">
        <f>IFERROR(INDEX(Scores!$BI$2:$BI$103,MATCH($B22,Scores!$BI$2:$BI$103,0)),"")</f>
        <v/>
      </c>
      <c r="D22">
        <f>IFERROR(INDEX(Scores!$B$2:$B$103,MATCH($B22,Scores!$BI$2:$BI$103,0)),"")</f>
        <v/>
      </c>
      <c r="E22">
        <f>IFERROR(INDEX(Scores!$C$2:$C$103,MATCH($B22,Scores!$BI$2:$BI$103,0)),"")</f>
        <v/>
      </c>
      <c r="F22">
        <f>IFERROR(INDEX(Scores!$D$2:$D$103,MATCH($B22,Scores!$BI$2:$BI$103,0)),"")</f>
        <v/>
      </c>
      <c r="G22">
        <f>IFERROR(INDEX(Scores!$E$2:$E$103,MATCH($B22,Scores!$BI$2:$BI$103,0)),"")</f>
        <v/>
      </c>
      <c r="H22">
        <f>IFERROR(INDEX(Scores!$BF$2:$BF$103,MATCH($B22,Scores!$BI$2:$BI$103,0)),"")</f>
        <v/>
      </c>
      <c r="I22">
        <f>IFERROR(INDEX(Scores!$BH$2:$BH$103,MATCH($B22,Scores!$BI$2:$BI$103,0)),"")</f>
        <v/>
      </c>
      <c r="J22">
        <f>IFERROR(INDEX(Scores!$Q$2:$Q$103,MATCH($B22,Scores!$BI$2:$BI$103,0)),"")</f>
        <v/>
      </c>
      <c r="K22">
        <f>IFERROR(INDEX(Scores!$AC$2:$AC$103,MATCH($B22,Scores!$BI$2:$BI$103,0)),"")</f>
        <v/>
      </c>
      <c r="L22">
        <f>IFERROR(INDEX(Scores!$AK$2:$AK$103,MATCH($B22,Scores!$BI$2:$BI$103,0)),"")</f>
        <v/>
      </c>
      <c r="M22">
        <f>IFERROR(INDEX(Scores!$AS$2:$AS$103,MATCH($B22,Scores!$BI$2:$BI$103,0)),"")</f>
        <v/>
      </c>
      <c r="N22">
        <f>IFERROR(INDEX(Scores!$BC$2:$BC$103,MATCH($B22,Scores!$BI$2:$BI$103,0)),"")</f>
        <v/>
      </c>
    </row>
    <row r="23">
      <c r="A23" t="inlineStr">
        <is>
          <t>Ranked</t>
        </is>
      </c>
      <c r="B23" t="n">
        <v>21</v>
      </c>
      <c r="C23">
        <f>IFERROR(INDEX(Scores!$BI$2:$BI$103,MATCH($B23,Scores!$BI$2:$BI$103,0)),"")</f>
        <v/>
      </c>
      <c r="D23">
        <f>IFERROR(INDEX(Scores!$B$2:$B$103,MATCH($B23,Scores!$BI$2:$BI$103,0)),"")</f>
        <v/>
      </c>
      <c r="E23">
        <f>IFERROR(INDEX(Scores!$C$2:$C$103,MATCH($B23,Scores!$BI$2:$BI$103,0)),"")</f>
        <v/>
      </c>
      <c r="F23">
        <f>IFERROR(INDEX(Scores!$D$2:$D$103,MATCH($B23,Scores!$BI$2:$BI$103,0)),"")</f>
        <v/>
      </c>
      <c r="G23">
        <f>IFERROR(INDEX(Scores!$E$2:$E$103,MATCH($B23,Scores!$BI$2:$BI$103,0)),"")</f>
        <v/>
      </c>
      <c r="H23">
        <f>IFERROR(INDEX(Scores!$BF$2:$BF$103,MATCH($B23,Scores!$BI$2:$BI$103,0)),"")</f>
        <v/>
      </c>
      <c r="I23">
        <f>IFERROR(INDEX(Scores!$BH$2:$BH$103,MATCH($B23,Scores!$BI$2:$BI$103,0)),"")</f>
        <v/>
      </c>
      <c r="J23">
        <f>IFERROR(INDEX(Scores!$Q$2:$Q$103,MATCH($B23,Scores!$BI$2:$BI$103,0)),"")</f>
        <v/>
      </c>
      <c r="K23">
        <f>IFERROR(INDEX(Scores!$AC$2:$AC$103,MATCH($B23,Scores!$BI$2:$BI$103,0)),"")</f>
        <v/>
      </c>
      <c r="L23">
        <f>IFERROR(INDEX(Scores!$AK$2:$AK$103,MATCH($B23,Scores!$BI$2:$BI$103,0)),"")</f>
        <v/>
      </c>
      <c r="M23">
        <f>IFERROR(INDEX(Scores!$AS$2:$AS$103,MATCH($B23,Scores!$BI$2:$BI$103,0)),"")</f>
        <v/>
      </c>
      <c r="N23">
        <f>IFERROR(INDEX(Scores!$BC$2:$BC$103,MATCH($B23,Scores!$BI$2:$BI$103,0)),"")</f>
        <v/>
      </c>
    </row>
    <row r="24">
      <c r="A24" t="inlineStr">
        <is>
          <t>Ranked</t>
        </is>
      </c>
      <c r="B24" t="n">
        <v>22</v>
      </c>
      <c r="C24">
        <f>IFERROR(INDEX(Scores!$BI$2:$BI$103,MATCH($B24,Scores!$BI$2:$BI$103,0)),"")</f>
        <v/>
      </c>
      <c r="D24">
        <f>IFERROR(INDEX(Scores!$B$2:$B$103,MATCH($B24,Scores!$BI$2:$BI$103,0)),"")</f>
        <v/>
      </c>
      <c r="E24">
        <f>IFERROR(INDEX(Scores!$C$2:$C$103,MATCH($B24,Scores!$BI$2:$BI$103,0)),"")</f>
        <v/>
      </c>
      <c r="F24">
        <f>IFERROR(INDEX(Scores!$D$2:$D$103,MATCH($B24,Scores!$BI$2:$BI$103,0)),"")</f>
        <v/>
      </c>
      <c r="G24">
        <f>IFERROR(INDEX(Scores!$E$2:$E$103,MATCH($B24,Scores!$BI$2:$BI$103,0)),"")</f>
        <v/>
      </c>
      <c r="H24">
        <f>IFERROR(INDEX(Scores!$BF$2:$BF$103,MATCH($B24,Scores!$BI$2:$BI$103,0)),"")</f>
        <v/>
      </c>
      <c r="I24">
        <f>IFERROR(INDEX(Scores!$BH$2:$BH$103,MATCH($B24,Scores!$BI$2:$BI$103,0)),"")</f>
        <v/>
      </c>
      <c r="J24">
        <f>IFERROR(INDEX(Scores!$Q$2:$Q$103,MATCH($B24,Scores!$BI$2:$BI$103,0)),"")</f>
        <v/>
      </c>
      <c r="K24">
        <f>IFERROR(INDEX(Scores!$AC$2:$AC$103,MATCH($B24,Scores!$BI$2:$BI$103,0)),"")</f>
        <v/>
      </c>
      <c r="L24">
        <f>IFERROR(INDEX(Scores!$AK$2:$AK$103,MATCH($B24,Scores!$BI$2:$BI$103,0)),"")</f>
        <v/>
      </c>
      <c r="M24">
        <f>IFERROR(INDEX(Scores!$AS$2:$AS$103,MATCH($B24,Scores!$BI$2:$BI$103,0)),"")</f>
        <v/>
      </c>
      <c r="N24">
        <f>IFERROR(INDEX(Scores!$BC$2:$BC$103,MATCH($B24,Scores!$BI$2:$BI$103,0)),"")</f>
        <v/>
      </c>
    </row>
    <row r="25">
      <c r="A25" t="inlineStr">
        <is>
          <t>Ranked</t>
        </is>
      </c>
      <c r="B25" t="n">
        <v>23</v>
      </c>
      <c r="C25">
        <f>IFERROR(INDEX(Scores!$BI$2:$BI$103,MATCH($B25,Scores!$BI$2:$BI$103,0)),"")</f>
        <v/>
      </c>
      <c r="D25">
        <f>IFERROR(INDEX(Scores!$B$2:$B$103,MATCH($B25,Scores!$BI$2:$BI$103,0)),"")</f>
        <v/>
      </c>
      <c r="E25">
        <f>IFERROR(INDEX(Scores!$C$2:$C$103,MATCH($B25,Scores!$BI$2:$BI$103,0)),"")</f>
        <v/>
      </c>
      <c r="F25">
        <f>IFERROR(INDEX(Scores!$D$2:$D$103,MATCH($B25,Scores!$BI$2:$BI$103,0)),"")</f>
        <v/>
      </c>
      <c r="G25">
        <f>IFERROR(INDEX(Scores!$E$2:$E$103,MATCH($B25,Scores!$BI$2:$BI$103,0)),"")</f>
        <v/>
      </c>
      <c r="H25">
        <f>IFERROR(INDEX(Scores!$BF$2:$BF$103,MATCH($B25,Scores!$BI$2:$BI$103,0)),"")</f>
        <v/>
      </c>
      <c r="I25">
        <f>IFERROR(INDEX(Scores!$BH$2:$BH$103,MATCH($B25,Scores!$BI$2:$BI$103,0)),"")</f>
        <v/>
      </c>
      <c r="J25">
        <f>IFERROR(INDEX(Scores!$Q$2:$Q$103,MATCH($B25,Scores!$BI$2:$BI$103,0)),"")</f>
        <v/>
      </c>
      <c r="K25">
        <f>IFERROR(INDEX(Scores!$AC$2:$AC$103,MATCH($B25,Scores!$BI$2:$BI$103,0)),"")</f>
        <v/>
      </c>
      <c r="L25">
        <f>IFERROR(INDEX(Scores!$AK$2:$AK$103,MATCH($B25,Scores!$BI$2:$BI$103,0)),"")</f>
        <v/>
      </c>
      <c r="M25">
        <f>IFERROR(INDEX(Scores!$AS$2:$AS$103,MATCH($B25,Scores!$BI$2:$BI$103,0)),"")</f>
        <v/>
      </c>
      <c r="N25">
        <f>IFERROR(INDEX(Scores!$BC$2:$BC$103,MATCH($B25,Scores!$BI$2:$BI$103,0)),"")</f>
        <v/>
      </c>
    </row>
    <row r="26">
      <c r="A26" t="inlineStr">
        <is>
          <t>Ranked</t>
        </is>
      </c>
      <c r="B26" t="n">
        <v>24</v>
      </c>
      <c r="C26">
        <f>IFERROR(INDEX(Scores!$BI$2:$BI$103,MATCH($B26,Scores!$BI$2:$BI$103,0)),"")</f>
        <v/>
      </c>
      <c r="D26">
        <f>IFERROR(INDEX(Scores!$B$2:$B$103,MATCH($B26,Scores!$BI$2:$BI$103,0)),"")</f>
        <v/>
      </c>
      <c r="E26">
        <f>IFERROR(INDEX(Scores!$C$2:$C$103,MATCH($B26,Scores!$BI$2:$BI$103,0)),"")</f>
        <v/>
      </c>
      <c r="F26">
        <f>IFERROR(INDEX(Scores!$D$2:$D$103,MATCH($B26,Scores!$BI$2:$BI$103,0)),"")</f>
        <v/>
      </c>
      <c r="G26">
        <f>IFERROR(INDEX(Scores!$E$2:$E$103,MATCH($B26,Scores!$BI$2:$BI$103,0)),"")</f>
        <v/>
      </c>
      <c r="H26">
        <f>IFERROR(INDEX(Scores!$BF$2:$BF$103,MATCH($B26,Scores!$BI$2:$BI$103,0)),"")</f>
        <v/>
      </c>
      <c r="I26">
        <f>IFERROR(INDEX(Scores!$BH$2:$BH$103,MATCH($B26,Scores!$BI$2:$BI$103,0)),"")</f>
        <v/>
      </c>
      <c r="J26">
        <f>IFERROR(INDEX(Scores!$Q$2:$Q$103,MATCH($B26,Scores!$BI$2:$BI$103,0)),"")</f>
        <v/>
      </c>
      <c r="K26">
        <f>IFERROR(INDEX(Scores!$AC$2:$AC$103,MATCH($B26,Scores!$BI$2:$BI$103,0)),"")</f>
        <v/>
      </c>
      <c r="L26">
        <f>IFERROR(INDEX(Scores!$AK$2:$AK$103,MATCH($B26,Scores!$BI$2:$BI$103,0)),"")</f>
        <v/>
      </c>
      <c r="M26">
        <f>IFERROR(INDEX(Scores!$AS$2:$AS$103,MATCH($B26,Scores!$BI$2:$BI$103,0)),"")</f>
        <v/>
      </c>
      <c r="N26">
        <f>IFERROR(INDEX(Scores!$BC$2:$BC$103,MATCH($B26,Scores!$BI$2:$BI$103,0)),"")</f>
        <v/>
      </c>
    </row>
    <row r="27">
      <c r="A27" t="inlineStr">
        <is>
          <t>Ranked</t>
        </is>
      </c>
      <c r="B27" t="n">
        <v>25</v>
      </c>
      <c r="C27">
        <f>IFERROR(INDEX(Scores!$BI$2:$BI$103,MATCH($B27,Scores!$BI$2:$BI$103,0)),"")</f>
        <v/>
      </c>
      <c r="D27">
        <f>IFERROR(INDEX(Scores!$B$2:$B$103,MATCH($B27,Scores!$BI$2:$BI$103,0)),"")</f>
        <v/>
      </c>
      <c r="E27">
        <f>IFERROR(INDEX(Scores!$C$2:$C$103,MATCH($B27,Scores!$BI$2:$BI$103,0)),"")</f>
        <v/>
      </c>
      <c r="F27">
        <f>IFERROR(INDEX(Scores!$D$2:$D$103,MATCH($B27,Scores!$BI$2:$BI$103,0)),"")</f>
        <v/>
      </c>
      <c r="G27">
        <f>IFERROR(INDEX(Scores!$E$2:$E$103,MATCH($B27,Scores!$BI$2:$BI$103,0)),"")</f>
        <v/>
      </c>
      <c r="H27">
        <f>IFERROR(INDEX(Scores!$BF$2:$BF$103,MATCH($B27,Scores!$BI$2:$BI$103,0)),"")</f>
        <v/>
      </c>
      <c r="I27">
        <f>IFERROR(INDEX(Scores!$BH$2:$BH$103,MATCH($B27,Scores!$BI$2:$BI$103,0)),"")</f>
        <v/>
      </c>
      <c r="J27">
        <f>IFERROR(INDEX(Scores!$Q$2:$Q$103,MATCH($B27,Scores!$BI$2:$BI$103,0)),"")</f>
        <v/>
      </c>
      <c r="K27">
        <f>IFERROR(INDEX(Scores!$AC$2:$AC$103,MATCH($B27,Scores!$BI$2:$BI$103,0)),"")</f>
        <v/>
      </c>
      <c r="L27">
        <f>IFERROR(INDEX(Scores!$AK$2:$AK$103,MATCH($B27,Scores!$BI$2:$BI$103,0)),"")</f>
        <v/>
      </c>
      <c r="M27">
        <f>IFERROR(INDEX(Scores!$AS$2:$AS$103,MATCH($B27,Scores!$BI$2:$BI$103,0)),"")</f>
        <v/>
      </c>
      <c r="N27">
        <f>IFERROR(INDEX(Scores!$BC$2:$BC$103,MATCH($B27,Scores!$BI$2:$BI$103,0)),"")</f>
        <v/>
      </c>
    </row>
    <row r="28">
      <c r="A28" t="inlineStr">
        <is>
          <t>Ranked</t>
        </is>
      </c>
      <c r="B28" t="n">
        <v>26</v>
      </c>
      <c r="C28">
        <f>IFERROR(INDEX(Scores!$BI$2:$BI$103,MATCH($B28,Scores!$BI$2:$BI$103,0)),"")</f>
        <v/>
      </c>
      <c r="D28">
        <f>IFERROR(INDEX(Scores!$B$2:$B$103,MATCH($B28,Scores!$BI$2:$BI$103,0)),"")</f>
        <v/>
      </c>
      <c r="E28">
        <f>IFERROR(INDEX(Scores!$C$2:$C$103,MATCH($B28,Scores!$BI$2:$BI$103,0)),"")</f>
        <v/>
      </c>
      <c r="F28">
        <f>IFERROR(INDEX(Scores!$D$2:$D$103,MATCH($B28,Scores!$BI$2:$BI$103,0)),"")</f>
        <v/>
      </c>
      <c r="G28">
        <f>IFERROR(INDEX(Scores!$E$2:$E$103,MATCH($B28,Scores!$BI$2:$BI$103,0)),"")</f>
        <v/>
      </c>
      <c r="H28">
        <f>IFERROR(INDEX(Scores!$BF$2:$BF$103,MATCH($B28,Scores!$BI$2:$BI$103,0)),"")</f>
        <v/>
      </c>
      <c r="I28">
        <f>IFERROR(INDEX(Scores!$BH$2:$BH$103,MATCH($B28,Scores!$BI$2:$BI$103,0)),"")</f>
        <v/>
      </c>
      <c r="J28">
        <f>IFERROR(INDEX(Scores!$Q$2:$Q$103,MATCH($B28,Scores!$BI$2:$BI$103,0)),"")</f>
        <v/>
      </c>
      <c r="K28">
        <f>IFERROR(INDEX(Scores!$AC$2:$AC$103,MATCH($B28,Scores!$BI$2:$BI$103,0)),"")</f>
        <v/>
      </c>
      <c r="L28">
        <f>IFERROR(INDEX(Scores!$AK$2:$AK$103,MATCH($B28,Scores!$BI$2:$BI$103,0)),"")</f>
        <v/>
      </c>
      <c r="M28">
        <f>IFERROR(INDEX(Scores!$AS$2:$AS$103,MATCH($B28,Scores!$BI$2:$BI$103,0)),"")</f>
        <v/>
      </c>
      <c r="N28">
        <f>IFERROR(INDEX(Scores!$BC$2:$BC$103,MATCH($B28,Scores!$BI$2:$BI$103,0)),"")</f>
        <v/>
      </c>
    </row>
    <row r="29">
      <c r="A29" t="inlineStr">
        <is>
          <t>Ranked</t>
        </is>
      </c>
      <c r="B29" t="n">
        <v>27</v>
      </c>
      <c r="C29">
        <f>IFERROR(INDEX(Scores!$BI$2:$BI$103,MATCH($B29,Scores!$BI$2:$BI$103,0)),"")</f>
        <v/>
      </c>
      <c r="D29">
        <f>IFERROR(INDEX(Scores!$B$2:$B$103,MATCH($B29,Scores!$BI$2:$BI$103,0)),"")</f>
        <v/>
      </c>
      <c r="E29">
        <f>IFERROR(INDEX(Scores!$C$2:$C$103,MATCH($B29,Scores!$BI$2:$BI$103,0)),"")</f>
        <v/>
      </c>
      <c r="F29">
        <f>IFERROR(INDEX(Scores!$D$2:$D$103,MATCH($B29,Scores!$BI$2:$BI$103,0)),"")</f>
        <v/>
      </c>
      <c r="G29">
        <f>IFERROR(INDEX(Scores!$E$2:$E$103,MATCH($B29,Scores!$BI$2:$BI$103,0)),"")</f>
        <v/>
      </c>
      <c r="H29">
        <f>IFERROR(INDEX(Scores!$BF$2:$BF$103,MATCH($B29,Scores!$BI$2:$BI$103,0)),"")</f>
        <v/>
      </c>
      <c r="I29">
        <f>IFERROR(INDEX(Scores!$BH$2:$BH$103,MATCH($B29,Scores!$BI$2:$BI$103,0)),"")</f>
        <v/>
      </c>
      <c r="J29">
        <f>IFERROR(INDEX(Scores!$Q$2:$Q$103,MATCH($B29,Scores!$BI$2:$BI$103,0)),"")</f>
        <v/>
      </c>
      <c r="K29">
        <f>IFERROR(INDEX(Scores!$AC$2:$AC$103,MATCH($B29,Scores!$BI$2:$BI$103,0)),"")</f>
        <v/>
      </c>
      <c r="L29">
        <f>IFERROR(INDEX(Scores!$AK$2:$AK$103,MATCH($B29,Scores!$BI$2:$BI$103,0)),"")</f>
        <v/>
      </c>
      <c r="M29">
        <f>IFERROR(INDEX(Scores!$AS$2:$AS$103,MATCH($B29,Scores!$BI$2:$BI$103,0)),"")</f>
        <v/>
      </c>
      <c r="N29">
        <f>IFERROR(INDEX(Scores!$BC$2:$BC$103,MATCH($B29,Scores!$BI$2:$BI$103,0)),"")</f>
        <v/>
      </c>
    </row>
    <row r="30">
      <c r="A30" t="inlineStr">
        <is>
          <t>Ranked</t>
        </is>
      </c>
      <c r="B30" t="n">
        <v>28</v>
      </c>
      <c r="C30">
        <f>IFERROR(INDEX(Scores!$BI$2:$BI$103,MATCH($B30,Scores!$BI$2:$BI$103,0)),"")</f>
        <v/>
      </c>
      <c r="D30">
        <f>IFERROR(INDEX(Scores!$B$2:$B$103,MATCH($B30,Scores!$BI$2:$BI$103,0)),"")</f>
        <v/>
      </c>
      <c r="E30">
        <f>IFERROR(INDEX(Scores!$C$2:$C$103,MATCH($B30,Scores!$BI$2:$BI$103,0)),"")</f>
        <v/>
      </c>
      <c r="F30">
        <f>IFERROR(INDEX(Scores!$D$2:$D$103,MATCH($B30,Scores!$BI$2:$BI$103,0)),"")</f>
        <v/>
      </c>
      <c r="G30">
        <f>IFERROR(INDEX(Scores!$E$2:$E$103,MATCH($B30,Scores!$BI$2:$BI$103,0)),"")</f>
        <v/>
      </c>
      <c r="H30">
        <f>IFERROR(INDEX(Scores!$BF$2:$BF$103,MATCH($B30,Scores!$BI$2:$BI$103,0)),"")</f>
        <v/>
      </c>
      <c r="I30">
        <f>IFERROR(INDEX(Scores!$BH$2:$BH$103,MATCH($B30,Scores!$BI$2:$BI$103,0)),"")</f>
        <v/>
      </c>
      <c r="J30">
        <f>IFERROR(INDEX(Scores!$Q$2:$Q$103,MATCH($B30,Scores!$BI$2:$BI$103,0)),"")</f>
        <v/>
      </c>
      <c r="K30">
        <f>IFERROR(INDEX(Scores!$AC$2:$AC$103,MATCH($B30,Scores!$BI$2:$BI$103,0)),"")</f>
        <v/>
      </c>
      <c r="L30">
        <f>IFERROR(INDEX(Scores!$AK$2:$AK$103,MATCH($B30,Scores!$BI$2:$BI$103,0)),"")</f>
        <v/>
      </c>
      <c r="M30">
        <f>IFERROR(INDEX(Scores!$AS$2:$AS$103,MATCH($B30,Scores!$BI$2:$BI$103,0)),"")</f>
        <v/>
      </c>
      <c r="N30">
        <f>IFERROR(INDEX(Scores!$BC$2:$BC$103,MATCH($B30,Scores!$BI$2:$BI$103,0)),"")</f>
        <v/>
      </c>
    </row>
    <row r="31">
      <c r="A31" t="inlineStr">
        <is>
          <t>Ranked</t>
        </is>
      </c>
      <c r="B31" t="n">
        <v>29</v>
      </c>
      <c r="C31">
        <f>IFERROR(INDEX(Scores!$BI$2:$BI$103,MATCH($B31,Scores!$BI$2:$BI$103,0)),"")</f>
        <v/>
      </c>
      <c r="D31">
        <f>IFERROR(INDEX(Scores!$B$2:$B$103,MATCH($B31,Scores!$BI$2:$BI$103,0)),"")</f>
        <v/>
      </c>
      <c r="E31">
        <f>IFERROR(INDEX(Scores!$C$2:$C$103,MATCH($B31,Scores!$BI$2:$BI$103,0)),"")</f>
        <v/>
      </c>
      <c r="F31">
        <f>IFERROR(INDEX(Scores!$D$2:$D$103,MATCH($B31,Scores!$BI$2:$BI$103,0)),"")</f>
        <v/>
      </c>
      <c r="G31">
        <f>IFERROR(INDEX(Scores!$E$2:$E$103,MATCH($B31,Scores!$BI$2:$BI$103,0)),"")</f>
        <v/>
      </c>
      <c r="H31">
        <f>IFERROR(INDEX(Scores!$BF$2:$BF$103,MATCH($B31,Scores!$BI$2:$BI$103,0)),"")</f>
        <v/>
      </c>
      <c r="I31">
        <f>IFERROR(INDEX(Scores!$BH$2:$BH$103,MATCH($B31,Scores!$BI$2:$BI$103,0)),"")</f>
        <v/>
      </c>
      <c r="J31">
        <f>IFERROR(INDEX(Scores!$Q$2:$Q$103,MATCH($B31,Scores!$BI$2:$BI$103,0)),"")</f>
        <v/>
      </c>
      <c r="K31">
        <f>IFERROR(INDEX(Scores!$AC$2:$AC$103,MATCH($B31,Scores!$BI$2:$BI$103,0)),"")</f>
        <v/>
      </c>
      <c r="L31">
        <f>IFERROR(INDEX(Scores!$AK$2:$AK$103,MATCH($B31,Scores!$BI$2:$BI$103,0)),"")</f>
        <v/>
      </c>
      <c r="M31">
        <f>IFERROR(INDEX(Scores!$AS$2:$AS$103,MATCH($B31,Scores!$BI$2:$BI$103,0)),"")</f>
        <v/>
      </c>
      <c r="N31">
        <f>IFERROR(INDEX(Scores!$BC$2:$BC$103,MATCH($B31,Scores!$BI$2:$BI$103,0)),"")</f>
        <v/>
      </c>
    </row>
    <row r="32">
      <c r="A32" t="inlineStr">
        <is>
          <t>Ranked</t>
        </is>
      </c>
      <c r="B32" t="n">
        <v>30</v>
      </c>
      <c r="C32">
        <f>IFERROR(INDEX(Scores!$BI$2:$BI$103,MATCH($B32,Scores!$BI$2:$BI$103,0)),"")</f>
        <v/>
      </c>
      <c r="D32">
        <f>IFERROR(INDEX(Scores!$B$2:$B$103,MATCH($B32,Scores!$BI$2:$BI$103,0)),"")</f>
        <v/>
      </c>
      <c r="E32">
        <f>IFERROR(INDEX(Scores!$C$2:$C$103,MATCH($B32,Scores!$BI$2:$BI$103,0)),"")</f>
        <v/>
      </c>
      <c r="F32">
        <f>IFERROR(INDEX(Scores!$D$2:$D$103,MATCH($B32,Scores!$BI$2:$BI$103,0)),"")</f>
        <v/>
      </c>
      <c r="G32">
        <f>IFERROR(INDEX(Scores!$E$2:$E$103,MATCH($B32,Scores!$BI$2:$BI$103,0)),"")</f>
        <v/>
      </c>
      <c r="H32">
        <f>IFERROR(INDEX(Scores!$BF$2:$BF$103,MATCH($B32,Scores!$BI$2:$BI$103,0)),"")</f>
        <v/>
      </c>
      <c r="I32">
        <f>IFERROR(INDEX(Scores!$BH$2:$BH$103,MATCH($B32,Scores!$BI$2:$BI$103,0)),"")</f>
        <v/>
      </c>
      <c r="J32">
        <f>IFERROR(INDEX(Scores!$Q$2:$Q$103,MATCH($B32,Scores!$BI$2:$BI$103,0)),"")</f>
        <v/>
      </c>
      <c r="K32">
        <f>IFERROR(INDEX(Scores!$AC$2:$AC$103,MATCH($B32,Scores!$BI$2:$BI$103,0)),"")</f>
        <v/>
      </c>
      <c r="L32">
        <f>IFERROR(INDEX(Scores!$AK$2:$AK$103,MATCH($B32,Scores!$BI$2:$BI$103,0)),"")</f>
        <v/>
      </c>
      <c r="M32">
        <f>IFERROR(INDEX(Scores!$AS$2:$AS$103,MATCH($B32,Scores!$BI$2:$BI$103,0)),"")</f>
        <v/>
      </c>
      <c r="N32">
        <f>IFERROR(INDEX(Scores!$BC$2:$BC$103,MATCH($B32,Scores!$BI$2:$BI$103,0)),"")</f>
        <v/>
      </c>
    </row>
    <row r="33">
      <c r="A33" t="inlineStr">
        <is>
          <t>Ranked</t>
        </is>
      </c>
      <c r="B33" t="n">
        <v>31</v>
      </c>
      <c r="C33">
        <f>IFERROR(INDEX(Scores!$BI$2:$BI$103,MATCH($B33,Scores!$BI$2:$BI$103,0)),"")</f>
        <v/>
      </c>
      <c r="D33">
        <f>IFERROR(INDEX(Scores!$B$2:$B$103,MATCH($B33,Scores!$BI$2:$BI$103,0)),"")</f>
        <v/>
      </c>
      <c r="E33">
        <f>IFERROR(INDEX(Scores!$C$2:$C$103,MATCH($B33,Scores!$BI$2:$BI$103,0)),"")</f>
        <v/>
      </c>
      <c r="F33">
        <f>IFERROR(INDEX(Scores!$D$2:$D$103,MATCH($B33,Scores!$BI$2:$BI$103,0)),"")</f>
        <v/>
      </c>
      <c r="G33">
        <f>IFERROR(INDEX(Scores!$E$2:$E$103,MATCH($B33,Scores!$BI$2:$BI$103,0)),"")</f>
        <v/>
      </c>
      <c r="H33">
        <f>IFERROR(INDEX(Scores!$BF$2:$BF$103,MATCH($B33,Scores!$BI$2:$BI$103,0)),"")</f>
        <v/>
      </c>
      <c r="I33">
        <f>IFERROR(INDEX(Scores!$BH$2:$BH$103,MATCH($B33,Scores!$BI$2:$BI$103,0)),"")</f>
        <v/>
      </c>
      <c r="J33">
        <f>IFERROR(INDEX(Scores!$Q$2:$Q$103,MATCH($B33,Scores!$BI$2:$BI$103,0)),"")</f>
        <v/>
      </c>
      <c r="K33">
        <f>IFERROR(INDEX(Scores!$AC$2:$AC$103,MATCH($B33,Scores!$BI$2:$BI$103,0)),"")</f>
        <v/>
      </c>
      <c r="L33">
        <f>IFERROR(INDEX(Scores!$AK$2:$AK$103,MATCH($B33,Scores!$BI$2:$BI$103,0)),"")</f>
        <v/>
      </c>
      <c r="M33">
        <f>IFERROR(INDEX(Scores!$AS$2:$AS$103,MATCH($B33,Scores!$BI$2:$BI$103,0)),"")</f>
        <v/>
      </c>
      <c r="N33">
        <f>IFERROR(INDEX(Scores!$BC$2:$BC$103,MATCH($B33,Scores!$BI$2:$BI$103,0)),"")</f>
        <v/>
      </c>
    </row>
    <row r="34">
      <c r="A34" t="inlineStr">
        <is>
          <t>Ranked</t>
        </is>
      </c>
      <c r="B34" t="n">
        <v>32</v>
      </c>
      <c r="C34">
        <f>IFERROR(INDEX(Scores!$BI$2:$BI$103,MATCH($B34,Scores!$BI$2:$BI$103,0)),"")</f>
        <v/>
      </c>
      <c r="D34">
        <f>IFERROR(INDEX(Scores!$B$2:$B$103,MATCH($B34,Scores!$BI$2:$BI$103,0)),"")</f>
        <v/>
      </c>
      <c r="E34">
        <f>IFERROR(INDEX(Scores!$C$2:$C$103,MATCH($B34,Scores!$BI$2:$BI$103,0)),"")</f>
        <v/>
      </c>
      <c r="F34">
        <f>IFERROR(INDEX(Scores!$D$2:$D$103,MATCH($B34,Scores!$BI$2:$BI$103,0)),"")</f>
        <v/>
      </c>
      <c r="G34">
        <f>IFERROR(INDEX(Scores!$E$2:$E$103,MATCH($B34,Scores!$BI$2:$BI$103,0)),"")</f>
        <v/>
      </c>
      <c r="H34">
        <f>IFERROR(INDEX(Scores!$BF$2:$BF$103,MATCH($B34,Scores!$BI$2:$BI$103,0)),"")</f>
        <v/>
      </c>
      <c r="I34">
        <f>IFERROR(INDEX(Scores!$BH$2:$BH$103,MATCH($B34,Scores!$BI$2:$BI$103,0)),"")</f>
        <v/>
      </c>
      <c r="J34">
        <f>IFERROR(INDEX(Scores!$Q$2:$Q$103,MATCH($B34,Scores!$BI$2:$BI$103,0)),"")</f>
        <v/>
      </c>
      <c r="K34">
        <f>IFERROR(INDEX(Scores!$AC$2:$AC$103,MATCH($B34,Scores!$BI$2:$BI$103,0)),"")</f>
        <v/>
      </c>
      <c r="L34">
        <f>IFERROR(INDEX(Scores!$AK$2:$AK$103,MATCH($B34,Scores!$BI$2:$BI$103,0)),"")</f>
        <v/>
      </c>
      <c r="M34">
        <f>IFERROR(INDEX(Scores!$AS$2:$AS$103,MATCH($B34,Scores!$BI$2:$BI$103,0)),"")</f>
        <v/>
      </c>
      <c r="N34">
        <f>IFERROR(INDEX(Scores!$BC$2:$BC$103,MATCH($B34,Scores!$BI$2:$BI$103,0)),"")</f>
        <v/>
      </c>
    </row>
    <row r="35">
      <c r="A35" t="inlineStr">
        <is>
          <t>Ranked</t>
        </is>
      </c>
      <c r="B35" t="n">
        <v>33</v>
      </c>
      <c r="C35">
        <f>IFERROR(INDEX(Scores!$BI$2:$BI$103,MATCH($B35,Scores!$BI$2:$BI$103,0)),"")</f>
        <v/>
      </c>
      <c r="D35">
        <f>IFERROR(INDEX(Scores!$B$2:$B$103,MATCH($B35,Scores!$BI$2:$BI$103,0)),"")</f>
        <v/>
      </c>
      <c r="E35">
        <f>IFERROR(INDEX(Scores!$C$2:$C$103,MATCH($B35,Scores!$BI$2:$BI$103,0)),"")</f>
        <v/>
      </c>
      <c r="F35">
        <f>IFERROR(INDEX(Scores!$D$2:$D$103,MATCH($B35,Scores!$BI$2:$BI$103,0)),"")</f>
        <v/>
      </c>
      <c r="G35">
        <f>IFERROR(INDEX(Scores!$E$2:$E$103,MATCH($B35,Scores!$BI$2:$BI$103,0)),"")</f>
        <v/>
      </c>
      <c r="H35">
        <f>IFERROR(INDEX(Scores!$BF$2:$BF$103,MATCH($B35,Scores!$BI$2:$BI$103,0)),"")</f>
        <v/>
      </c>
      <c r="I35">
        <f>IFERROR(INDEX(Scores!$BH$2:$BH$103,MATCH($B35,Scores!$BI$2:$BI$103,0)),"")</f>
        <v/>
      </c>
      <c r="J35">
        <f>IFERROR(INDEX(Scores!$Q$2:$Q$103,MATCH($B35,Scores!$BI$2:$BI$103,0)),"")</f>
        <v/>
      </c>
      <c r="K35">
        <f>IFERROR(INDEX(Scores!$AC$2:$AC$103,MATCH($B35,Scores!$BI$2:$BI$103,0)),"")</f>
        <v/>
      </c>
      <c r="L35">
        <f>IFERROR(INDEX(Scores!$AK$2:$AK$103,MATCH($B35,Scores!$BI$2:$BI$103,0)),"")</f>
        <v/>
      </c>
      <c r="M35">
        <f>IFERROR(INDEX(Scores!$AS$2:$AS$103,MATCH($B35,Scores!$BI$2:$BI$103,0)),"")</f>
        <v/>
      </c>
      <c r="N35">
        <f>IFERROR(INDEX(Scores!$BC$2:$BC$103,MATCH($B35,Scores!$BI$2:$BI$103,0)),"")</f>
        <v/>
      </c>
    </row>
    <row r="36">
      <c r="A36" t="inlineStr">
        <is>
          <t>Ranked</t>
        </is>
      </c>
      <c r="B36" t="n">
        <v>34</v>
      </c>
      <c r="C36">
        <f>IFERROR(INDEX(Scores!$BI$2:$BI$103,MATCH($B36,Scores!$BI$2:$BI$103,0)),"")</f>
        <v/>
      </c>
      <c r="D36">
        <f>IFERROR(INDEX(Scores!$B$2:$B$103,MATCH($B36,Scores!$BI$2:$BI$103,0)),"")</f>
        <v/>
      </c>
      <c r="E36">
        <f>IFERROR(INDEX(Scores!$C$2:$C$103,MATCH($B36,Scores!$BI$2:$BI$103,0)),"")</f>
        <v/>
      </c>
      <c r="F36">
        <f>IFERROR(INDEX(Scores!$D$2:$D$103,MATCH($B36,Scores!$BI$2:$BI$103,0)),"")</f>
        <v/>
      </c>
      <c r="G36">
        <f>IFERROR(INDEX(Scores!$E$2:$E$103,MATCH($B36,Scores!$BI$2:$BI$103,0)),"")</f>
        <v/>
      </c>
      <c r="H36">
        <f>IFERROR(INDEX(Scores!$BF$2:$BF$103,MATCH($B36,Scores!$BI$2:$BI$103,0)),"")</f>
        <v/>
      </c>
      <c r="I36">
        <f>IFERROR(INDEX(Scores!$BH$2:$BH$103,MATCH($B36,Scores!$BI$2:$BI$103,0)),"")</f>
        <v/>
      </c>
      <c r="J36">
        <f>IFERROR(INDEX(Scores!$Q$2:$Q$103,MATCH($B36,Scores!$BI$2:$BI$103,0)),"")</f>
        <v/>
      </c>
      <c r="K36">
        <f>IFERROR(INDEX(Scores!$AC$2:$AC$103,MATCH($B36,Scores!$BI$2:$BI$103,0)),"")</f>
        <v/>
      </c>
      <c r="L36">
        <f>IFERROR(INDEX(Scores!$AK$2:$AK$103,MATCH($B36,Scores!$BI$2:$BI$103,0)),"")</f>
        <v/>
      </c>
      <c r="M36">
        <f>IFERROR(INDEX(Scores!$AS$2:$AS$103,MATCH($B36,Scores!$BI$2:$BI$103,0)),"")</f>
        <v/>
      </c>
      <c r="N36">
        <f>IFERROR(INDEX(Scores!$BC$2:$BC$103,MATCH($B36,Scores!$BI$2:$BI$103,0)),"")</f>
        <v/>
      </c>
    </row>
    <row r="37">
      <c r="A37" t="inlineStr">
        <is>
          <t>Ranked</t>
        </is>
      </c>
      <c r="B37" t="n">
        <v>35</v>
      </c>
      <c r="C37">
        <f>IFERROR(INDEX(Scores!$BI$2:$BI$103,MATCH($B37,Scores!$BI$2:$BI$103,0)),"")</f>
        <v/>
      </c>
      <c r="D37">
        <f>IFERROR(INDEX(Scores!$B$2:$B$103,MATCH($B37,Scores!$BI$2:$BI$103,0)),"")</f>
        <v/>
      </c>
      <c r="E37">
        <f>IFERROR(INDEX(Scores!$C$2:$C$103,MATCH($B37,Scores!$BI$2:$BI$103,0)),"")</f>
        <v/>
      </c>
      <c r="F37">
        <f>IFERROR(INDEX(Scores!$D$2:$D$103,MATCH($B37,Scores!$BI$2:$BI$103,0)),"")</f>
        <v/>
      </c>
      <c r="G37">
        <f>IFERROR(INDEX(Scores!$E$2:$E$103,MATCH($B37,Scores!$BI$2:$BI$103,0)),"")</f>
        <v/>
      </c>
      <c r="H37">
        <f>IFERROR(INDEX(Scores!$BF$2:$BF$103,MATCH($B37,Scores!$BI$2:$BI$103,0)),"")</f>
        <v/>
      </c>
      <c r="I37">
        <f>IFERROR(INDEX(Scores!$BH$2:$BH$103,MATCH($B37,Scores!$BI$2:$BI$103,0)),"")</f>
        <v/>
      </c>
      <c r="J37">
        <f>IFERROR(INDEX(Scores!$Q$2:$Q$103,MATCH($B37,Scores!$BI$2:$BI$103,0)),"")</f>
        <v/>
      </c>
      <c r="K37">
        <f>IFERROR(INDEX(Scores!$AC$2:$AC$103,MATCH($B37,Scores!$BI$2:$BI$103,0)),"")</f>
        <v/>
      </c>
      <c r="L37">
        <f>IFERROR(INDEX(Scores!$AK$2:$AK$103,MATCH($B37,Scores!$BI$2:$BI$103,0)),"")</f>
        <v/>
      </c>
      <c r="M37">
        <f>IFERROR(INDEX(Scores!$AS$2:$AS$103,MATCH($B37,Scores!$BI$2:$BI$103,0)),"")</f>
        <v/>
      </c>
      <c r="N37">
        <f>IFERROR(INDEX(Scores!$BC$2:$BC$103,MATCH($B37,Scores!$BI$2:$BI$103,0)),"")</f>
        <v/>
      </c>
    </row>
    <row r="38">
      <c r="A38" t="inlineStr">
        <is>
          <t>Ranked</t>
        </is>
      </c>
      <c r="B38" t="n">
        <v>36</v>
      </c>
      <c r="C38">
        <f>IFERROR(INDEX(Scores!$BI$2:$BI$103,MATCH($B38,Scores!$BI$2:$BI$103,0)),"")</f>
        <v/>
      </c>
      <c r="D38">
        <f>IFERROR(INDEX(Scores!$B$2:$B$103,MATCH($B38,Scores!$BI$2:$BI$103,0)),"")</f>
        <v/>
      </c>
      <c r="E38">
        <f>IFERROR(INDEX(Scores!$C$2:$C$103,MATCH($B38,Scores!$BI$2:$BI$103,0)),"")</f>
        <v/>
      </c>
      <c r="F38">
        <f>IFERROR(INDEX(Scores!$D$2:$D$103,MATCH($B38,Scores!$BI$2:$BI$103,0)),"")</f>
        <v/>
      </c>
      <c r="G38">
        <f>IFERROR(INDEX(Scores!$E$2:$E$103,MATCH($B38,Scores!$BI$2:$BI$103,0)),"")</f>
        <v/>
      </c>
      <c r="H38">
        <f>IFERROR(INDEX(Scores!$BF$2:$BF$103,MATCH($B38,Scores!$BI$2:$BI$103,0)),"")</f>
        <v/>
      </c>
      <c r="I38">
        <f>IFERROR(INDEX(Scores!$BH$2:$BH$103,MATCH($B38,Scores!$BI$2:$BI$103,0)),"")</f>
        <v/>
      </c>
      <c r="J38">
        <f>IFERROR(INDEX(Scores!$Q$2:$Q$103,MATCH($B38,Scores!$BI$2:$BI$103,0)),"")</f>
        <v/>
      </c>
      <c r="K38">
        <f>IFERROR(INDEX(Scores!$AC$2:$AC$103,MATCH($B38,Scores!$BI$2:$BI$103,0)),"")</f>
        <v/>
      </c>
      <c r="L38">
        <f>IFERROR(INDEX(Scores!$AK$2:$AK$103,MATCH($B38,Scores!$BI$2:$BI$103,0)),"")</f>
        <v/>
      </c>
      <c r="M38">
        <f>IFERROR(INDEX(Scores!$AS$2:$AS$103,MATCH($B38,Scores!$BI$2:$BI$103,0)),"")</f>
        <v/>
      </c>
      <c r="N38">
        <f>IFERROR(INDEX(Scores!$BC$2:$BC$103,MATCH($B38,Scores!$BI$2:$BI$103,0)),"")</f>
        <v/>
      </c>
    </row>
    <row r="39">
      <c r="A39" t="inlineStr">
        <is>
          <t>Ranked</t>
        </is>
      </c>
      <c r="B39" t="n">
        <v>37</v>
      </c>
      <c r="C39">
        <f>IFERROR(INDEX(Scores!$BI$2:$BI$103,MATCH($B39,Scores!$BI$2:$BI$103,0)),"")</f>
        <v/>
      </c>
      <c r="D39">
        <f>IFERROR(INDEX(Scores!$B$2:$B$103,MATCH($B39,Scores!$BI$2:$BI$103,0)),"")</f>
        <v/>
      </c>
      <c r="E39">
        <f>IFERROR(INDEX(Scores!$C$2:$C$103,MATCH($B39,Scores!$BI$2:$BI$103,0)),"")</f>
        <v/>
      </c>
      <c r="F39">
        <f>IFERROR(INDEX(Scores!$D$2:$D$103,MATCH($B39,Scores!$BI$2:$BI$103,0)),"")</f>
        <v/>
      </c>
      <c r="G39">
        <f>IFERROR(INDEX(Scores!$E$2:$E$103,MATCH($B39,Scores!$BI$2:$BI$103,0)),"")</f>
        <v/>
      </c>
      <c r="H39">
        <f>IFERROR(INDEX(Scores!$BF$2:$BF$103,MATCH($B39,Scores!$BI$2:$BI$103,0)),"")</f>
        <v/>
      </c>
      <c r="I39">
        <f>IFERROR(INDEX(Scores!$BH$2:$BH$103,MATCH($B39,Scores!$BI$2:$BI$103,0)),"")</f>
        <v/>
      </c>
      <c r="J39">
        <f>IFERROR(INDEX(Scores!$Q$2:$Q$103,MATCH($B39,Scores!$BI$2:$BI$103,0)),"")</f>
        <v/>
      </c>
      <c r="K39">
        <f>IFERROR(INDEX(Scores!$AC$2:$AC$103,MATCH($B39,Scores!$BI$2:$BI$103,0)),"")</f>
        <v/>
      </c>
      <c r="L39">
        <f>IFERROR(INDEX(Scores!$AK$2:$AK$103,MATCH($B39,Scores!$BI$2:$BI$103,0)),"")</f>
        <v/>
      </c>
      <c r="M39">
        <f>IFERROR(INDEX(Scores!$AS$2:$AS$103,MATCH($B39,Scores!$BI$2:$BI$103,0)),"")</f>
        <v/>
      </c>
      <c r="N39">
        <f>IFERROR(INDEX(Scores!$BC$2:$BC$103,MATCH($B39,Scores!$BI$2:$BI$103,0)),"")</f>
        <v/>
      </c>
    </row>
    <row r="40">
      <c r="A40" t="inlineStr">
        <is>
          <t>Ranked</t>
        </is>
      </c>
      <c r="B40" t="n">
        <v>38</v>
      </c>
      <c r="C40">
        <f>IFERROR(INDEX(Scores!$BI$2:$BI$103,MATCH($B40,Scores!$BI$2:$BI$103,0)),"")</f>
        <v/>
      </c>
      <c r="D40">
        <f>IFERROR(INDEX(Scores!$B$2:$B$103,MATCH($B40,Scores!$BI$2:$BI$103,0)),"")</f>
        <v/>
      </c>
      <c r="E40">
        <f>IFERROR(INDEX(Scores!$C$2:$C$103,MATCH($B40,Scores!$BI$2:$BI$103,0)),"")</f>
        <v/>
      </c>
      <c r="F40">
        <f>IFERROR(INDEX(Scores!$D$2:$D$103,MATCH($B40,Scores!$BI$2:$BI$103,0)),"")</f>
        <v/>
      </c>
      <c r="G40">
        <f>IFERROR(INDEX(Scores!$E$2:$E$103,MATCH($B40,Scores!$BI$2:$BI$103,0)),"")</f>
        <v/>
      </c>
      <c r="H40">
        <f>IFERROR(INDEX(Scores!$BF$2:$BF$103,MATCH($B40,Scores!$BI$2:$BI$103,0)),"")</f>
        <v/>
      </c>
      <c r="I40">
        <f>IFERROR(INDEX(Scores!$BH$2:$BH$103,MATCH($B40,Scores!$BI$2:$BI$103,0)),"")</f>
        <v/>
      </c>
      <c r="J40">
        <f>IFERROR(INDEX(Scores!$Q$2:$Q$103,MATCH($B40,Scores!$BI$2:$BI$103,0)),"")</f>
        <v/>
      </c>
      <c r="K40">
        <f>IFERROR(INDEX(Scores!$AC$2:$AC$103,MATCH($B40,Scores!$BI$2:$BI$103,0)),"")</f>
        <v/>
      </c>
      <c r="L40">
        <f>IFERROR(INDEX(Scores!$AK$2:$AK$103,MATCH($B40,Scores!$BI$2:$BI$103,0)),"")</f>
        <v/>
      </c>
      <c r="M40">
        <f>IFERROR(INDEX(Scores!$AS$2:$AS$103,MATCH($B40,Scores!$BI$2:$BI$103,0)),"")</f>
        <v/>
      </c>
      <c r="N40">
        <f>IFERROR(INDEX(Scores!$BC$2:$BC$103,MATCH($B40,Scores!$BI$2:$BI$103,0)),"")</f>
        <v/>
      </c>
    </row>
    <row r="41">
      <c r="A41" t="inlineStr">
        <is>
          <t>Ranked</t>
        </is>
      </c>
      <c r="B41" t="n">
        <v>39</v>
      </c>
      <c r="C41">
        <f>IFERROR(INDEX(Scores!$BI$2:$BI$103,MATCH($B41,Scores!$BI$2:$BI$103,0)),"")</f>
        <v/>
      </c>
      <c r="D41">
        <f>IFERROR(INDEX(Scores!$B$2:$B$103,MATCH($B41,Scores!$BI$2:$BI$103,0)),"")</f>
        <v/>
      </c>
      <c r="E41">
        <f>IFERROR(INDEX(Scores!$C$2:$C$103,MATCH($B41,Scores!$BI$2:$BI$103,0)),"")</f>
        <v/>
      </c>
      <c r="F41">
        <f>IFERROR(INDEX(Scores!$D$2:$D$103,MATCH($B41,Scores!$BI$2:$BI$103,0)),"")</f>
        <v/>
      </c>
      <c r="G41">
        <f>IFERROR(INDEX(Scores!$E$2:$E$103,MATCH($B41,Scores!$BI$2:$BI$103,0)),"")</f>
        <v/>
      </c>
      <c r="H41">
        <f>IFERROR(INDEX(Scores!$BF$2:$BF$103,MATCH($B41,Scores!$BI$2:$BI$103,0)),"")</f>
        <v/>
      </c>
      <c r="I41">
        <f>IFERROR(INDEX(Scores!$BH$2:$BH$103,MATCH($B41,Scores!$BI$2:$BI$103,0)),"")</f>
        <v/>
      </c>
      <c r="J41">
        <f>IFERROR(INDEX(Scores!$Q$2:$Q$103,MATCH($B41,Scores!$BI$2:$BI$103,0)),"")</f>
        <v/>
      </c>
      <c r="K41">
        <f>IFERROR(INDEX(Scores!$AC$2:$AC$103,MATCH($B41,Scores!$BI$2:$BI$103,0)),"")</f>
        <v/>
      </c>
      <c r="L41">
        <f>IFERROR(INDEX(Scores!$AK$2:$AK$103,MATCH($B41,Scores!$BI$2:$BI$103,0)),"")</f>
        <v/>
      </c>
      <c r="M41">
        <f>IFERROR(INDEX(Scores!$AS$2:$AS$103,MATCH($B41,Scores!$BI$2:$BI$103,0)),"")</f>
        <v/>
      </c>
      <c r="N41">
        <f>IFERROR(INDEX(Scores!$BC$2:$BC$103,MATCH($B41,Scores!$BI$2:$BI$103,0)),"")</f>
        <v/>
      </c>
    </row>
    <row r="42">
      <c r="A42" t="inlineStr">
        <is>
          <t>Ranked</t>
        </is>
      </c>
      <c r="B42" t="n">
        <v>40</v>
      </c>
      <c r="C42">
        <f>IFERROR(INDEX(Scores!$BI$2:$BI$103,MATCH($B42,Scores!$BI$2:$BI$103,0)),"")</f>
        <v/>
      </c>
      <c r="D42">
        <f>IFERROR(INDEX(Scores!$B$2:$B$103,MATCH($B42,Scores!$BI$2:$BI$103,0)),"")</f>
        <v/>
      </c>
      <c r="E42">
        <f>IFERROR(INDEX(Scores!$C$2:$C$103,MATCH($B42,Scores!$BI$2:$BI$103,0)),"")</f>
        <v/>
      </c>
      <c r="F42">
        <f>IFERROR(INDEX(Scores!$D$2:$D$103,MATCH($B42,Scores!$BI$2:$BI$103,0)),"")</f>
        <v/>
      </c>
      <c r="G42">
        <f>IFERROR(INDEX(Scores!$E$2:$E$103,MATCH($B42,Scores!$BI$2:$BI$103,0)),"")</f>
        <v/>
      </c>
      <c r="H42">
        <f>IFERROR(INDEX(Scores!$BF$2:$BF$103,MATCH($B42,Scores!$BI$2:$BI$103,0)),"")</f>
        <v/>
      </c>
      <c r="I42">
        <f>IFERROR(INDEX(Scores!$BH$2:$BH$103,MATCH($B42,Scores!$BI$2:$BI$103,0)),"")</f>
        <v/>
      </c>
      <c r="J42">
        <f>IFERROR(INDEX(Scores!$Q$2:$Q$103,MATCH($B42,Scores!$BI$2:$BI$103,0)),"")</f>
        <v/>
      </c>
      <c r="K42">
        <f>IFERROR(INDEX(Scores!$AC$2:$AC$103,MATCH($B42,Scores!$BI$2:$BI$103,0)),"")</f>
        <v/>
      </c>
      <c r="L42">
        <f>IFERROR(INDEX(Scores!$AK$2:$AK$103,MATCH($B42,Scores!$BI$2:$BI$103,0)),"")</f>
        <v/>
      </c>
      <c r="M42">
        <f>IFERROR(INDEX(Scores!$AS$2:$AS$103,MATCH($B42,Scores!$BI$2:$BI$103,0)),"")</f>
        <v/>
      </c>
      <c r="N42">
        <f>IFERROR(INDEX(Scores!$BC$2:$BC$103,MATCH($B42,Scores!$BI$2:$BI$103,0)),"")</f>
        <v/>
      </c>
    </row>
    <row r="43">
      <c r="A43" t="inlineStr">
        <is>
          <t>Ranked</t>
        </is>
      </c>
      <c r="B43" t="n">
        <v>41</v>
      </c>
      <c r="C43">
        <f>IFERROR(INDEX(Scores!$BI$2:$BI$103,MATCH($B43,Scores!$BI$2:$BI$103,0)),"")</f>
        <v/>
      </c>
      <c r="D43">
        <f>IFERROR(INDEX(Scores!$B$2:$B$103,MATCH($B43,Scores!$BI$2:$BI$103,0)),"")</f>
        <v/>
      </c>
      <c r="E43">
        <f>IFERROR(INDEX(Scores!$C$2:$C$103,MATCH($B43,Scores!$BI$2:$BI$103,0)),"")</f>
        <v/>
      </c>
      <c r="F43">
        <f>IFERROR(INDEX(Scores!$D$2:$D$103,MATCH($B43,Scores!$BI$2:$BI$103,0)),"")</f>
        <v/>
      </c>
      <c r="G43">
        <f>IFERROR(INDEX(Scores!$E$2:$E$103,MATCH($B43,Scores!$BI$2:$BI$103,0)),"")</f>
        <v/>
      </c>
      <c r="H43">
        <f>IFERROR(INDEX(Scores!$BF$2:$BF$103,MATCH($B43,Scores!$BI$2:$BI$103,0)),"")</f>
        <v/>
      </c>
      <c r="I43">
        <f>IFERROR(INDEX(Scores!$BH$2:$BH$103,MATCH($B43,Scores!$BI$2:$BI$103,0)),"")</f>
        <v/>
      </c>
      <c r="J43">
        <f>IFERROR(INDEX(Scores!$Q$2:$Q$103,MATCH($B43,Scores!$BI$2:$BI$103,0)),"")</f>
        <v/>
      </c>
      <c r="K43">
        <f>IFERROR(INDEX(Scores!$AC$2:$AC$103,MATCH($B43,Scores!$BI$2:$BI$103,0)),"")</f>
        <v/>
      </c>
      <c r="L43">
        <f>IFERROR(INDEX(Scores!$AK$2:$AK$103,MATCH($B43,Scores!$BI$2:$BI$103,0)),"")</f>
        <v/>
      </c>
      <c r="M43">
        <f>IFERROR(INDEX(Scores!$AS$2:$AS$103,MATCH($B43,Scores!$BI$2:$BI$103,0)),"")</f>
        <v/>
      </c>
      <c r="N43">
        <f>IFERROR(INDEX(Scores!$BC$2:$BC$103,MATCH($B43,Scores!$BI$2:$BI$103,0)),"")</f>
        <v/>
      </c>
    </row>
    <row r="44">
      <c r="A44" t="inlineStr">
        <is>
          <t>Ranked</t>
        </is>
      </c>
      <c r="B44" t="n">
        <v>42</v>
      </c>
      <c r="C44">
        <f>IFERROR(INDEX(Scores!$BI$2:$BI$103,MATCH($B44,Scores!$BI$2:$BI$103,0)),"")</f>
        <v/>
      </c>
      <c r="D44">
        <f>IFERROR(INDEX(Scores!$B$2:$B$103,MATCH($B44,Scores!$BI$2:$BI$103,0)),"")</f>
        <v/>
      </c>
      <c r="E44">
        <f>IFERROR(INDEX(Scores!$C$2:$C$103,MATCH($B44,Scores!$BI$2:$BI$103,0)),"")</f>
        <v/>
      </c>
      <c r="F44">
        <f>IFERROR(INDEX(Scores!$D$2:$D$103,MATCH($B44,Scores!$BI$2:$BI$103,0)),"")</f>
        <v/>
      </c>
      <c r="G44">
        <f>IFERROR(INDEX(Scores!$E$2:$E$103,MATCH($B44,Scores!$BI$2:$BI$103,0)),"")</f>
        <v/>
      </c>
      <c r="H44">
        <f>IFERROR(INDEX(Scores!$BF$2:$BF$103,MATCH($B44,Scores!$BI$2:$BI$103,0)),"")</f>
        <v/>
      </c>
      <c r="I44">
        <f>IFERROR(INDEX(Scores!$BH$2:$BH$103,MATCH($B44,Scores!$BI$2:$BI$103,0)),"")</f>
        <v/>
      </c>
      <c r="J44">
        <f>IFERROR(INDEX(Scores!$Q$2:$Q$103,MATCH($B44,Scores!$BI$2:$BI$103,0)),"")</f>
        <v/>
      </c>
      <c r="K44">
        <f>IFERROR(INDEX(Scores!$AC$2:$AC$103,MATCH($B44,Scores!$BI$2:$BI$103,0)),"")</f>
        <v/>
      </c>
      <c r="L44">
        <f>IFERROR(INDEX(Scores!$AK$2:$AK$103,MATCH($B44,Scores!$BI$2:$BI$103,0)),"")</f>
        <v/>
      </c>
      <c r="M44">
        <f>IFERROR(INDEX(Scores!$AS$2:$AS$103,MATCH($B44,Scores!$BI$2:$BI$103,0)),"")</f>
        <v/>
      </c>
      <c r="N44">
        <f>IFERROR(INDEX(Scores!$BC$2:$BC$103,MATCH($B44,Scores!$BI$2:$BI$103,0)),"")</f>
        <v/>
      </c>
    </row>
    <row r="45">
      <c r="A45" t="inlineStr">
        <is>
          <t>Ranked</t>
        </is>
      </c>
      <c r="B45" t="n">
        <v>43</v>
      </c>
      <c r="C45">
        <f>IFERROR(INDEX(Scores!$BI$2:$BI$103,MATCH($B45,Scores!$BI$2:$BI$103,0)),"")</f>
        <v/>
      </c>
      <c r="D45">
        <f>IFERROR(INDEX(Scores!$B$2:$B$103,MATCH($B45,Scores!$BI$2:$BI$103,0)),"")</f>
        <v/>
      </c>
      <c r="E45">
        <f>IFERROR(INDEX(Scores!$C$2:$C$103,MATCH($B45,Scores!$BI$2:$BI$103,0)),"")</f>
        <v/>
      </c>
      <c r="F45">
        <f>IFERROR(INDEX(Scores!$D$2:$D$103,MATCH($B45,Scores!$BI$2:$BI$103,0)),"")</f>
        <v/>
      </c>
      <c r="G45">
        <f>IFERROR(INDEX(Scores!$E$2:$E$103,MATCH($B45,Scores!$BI$2:$BI$103,0)),"")</f>
        <v/>
      </c>
      <c r="H45">
        <f>IFERROR(INDEX(Scores!$BF$2:$BF$103,MATCH($B45,Scores!$BI$2:$BI$103,0)),"")</f>
        <v/>
      </c>
      <c r="I45">
        <f>IFERROR(INDEX(Scores!$BH$2:$BH$103,MATCH($B45,Scores!$BI$2:$BI$103,0)),"")</f>
        <v/>
      </c>
      <c r="J45">
        <f>IFERROR(INDEX(Scores!$Q$2:$Q$103,MATCH($B45,Scores!$BI$2:$BI$103,0)),"")</f>
        <v/>
      </c>
      <c r="K45">
        <f>IFERROR(INDEX(Scores!$AC$2:$AC$103,MATCH($B45,Scores!$BI$2:$BI$103,0)),"")</f>
        <v/>
      </c>
      <c r="L45">
        <f>IFERROR(INDEX(Scores!$AK$2:$AK$103,MATCH($B45,Scores!$BI$2:$BI$103,0)),"")</f>
        <v/>
      </c>
      <c r="M45">
        <f>IFERROR(INDEX(Scores!$AS$2:$AS$103,MATCH($B45,Scores!$BI$2:$BI$103,0)),"")</f>
        <v/>
      </c>
      <c r="N45">
        <f>IFERROR(INDEX(Scores!$BC$2:$BC$103,MATCH($B45,Scores!$BI$2:$BI$103,0)),"")</f>
        <v/>
      </c>
    </row>
    <row r="46">
      <c r="A46" t="inlineStr">
        <is>
          <t>Ranked</t>
        </is>
      </c>
      <c r="B46" t="n">
        <v>44</v>
      </c>
      <c r="C46">
        <f>IFERROR(INDEX(Scores!$BI$2:$BI$103,MATCH($B46,Scores!$BI$2:$BI$103,0)),"")</f>
        <v/>
      </c>
      <c r="D46">
        <f>IFERROR(INDEX(Scores!$B$2:$B$103,MATCH($B46,Scores!$BI$2:$BI$103,0)),"")</f>
        <v/>
      </c>
      <c r="E46">
        <f>IFERROR(INDEX(Scores!$C$2:$C$103,MATCH($B46,Scores!$BI$2:$BI$103,0)),"")</f>
        <v/>
      </c>
      <c r="F46">
        <f>IFERROR(INDEX(Scores!$D$2:$D$103,MATCH($B46,Scores!$BI$2:$BI$103,0)),"")</f>
        <v/>
      </c>
      <c r="G46">
        <f>IFERROR(INDEX(Scores!$E$2:$E$103,MATCH($B46,Scores!$BI$2:$BI$103,0)),"")</f>
        <v/>
      </c>
      <c r="H46">
        <f>IFERROR(INDEX(Scores!$BF$2:$BF$103,MATCH($B46,Scores!$BI$2:$BI$103,0)),"")</f>
        <v/>
      </c>
      <c r="I46">
        <f>IFERROR(INDEX(Scores!$BH$2:$BH$103,MATCH($B46,Scores!$BI$2:$BI$103,0)),"")</f>
        <v/>
      </c>
      <c r="J46">
        <f>IFERROR(INDEX(Scores!$Q$2:$Q$103,MATCH($B46,Scores!$BI$2:$BI$103,0)),"")</f>
        <v/>
      </c>
      <c r="K46">
        <f>IFERROR(INDEX(Scores!$AC$2:$AC$103,MATCH($B46,Scores!$BI$2:$BI$103,0)),"")</f>
        <v/>
      </c>
      <c r="L46">
        <f>IFERROR(INDEX(Scores!$AK$2:$AK$103,MATCH($B46,Scores!$BI$2:$BI$103,0)),"")</f>
        <v/>
      </c>
      <c r="M46">
        <f>IFERROR(INDEX(Scores!$AS$2:$AS$103,MATCH($B46,Scores!$BI$2:$BI$103,0)),"")</f>
        <v/>
      </c>
      <c r="N46">
        <f>IFERROR(INDEX(Scores!$BC$2:$BC$103,MATCH($B46,Scores!$BI$2:$BI$103,0)),"")</f>
        <v/>
      </c>
    </row>
    <row r="47">
      <c r="A47" t="inlineStr">
        <is>
          <t>Ranked</t>
        </is>
      </c>
      <c r="B47" t="n">
        <v>45</v>
      </c>
      <c r="C47">
        <f>IFERROR(INDEX(Scores!$BI$2:$BI$103,MATCH($B47,Scores!$BI$2:$BI$103,0)),"")</f>
        <v/>
      </c>
      <c r="D47">
        <f>IFERROR(INDEX(Scores!$B$2:$B$103,MATCH($B47,Scores!$BI$2:$BI$103,0)),"")</f>
        <v/>
      </c>
      <c r="E47">
        <f>IFERROR(INDEX(Scores!$C$2:$C$103,MATCH($B47,Scores!$BI$2:$BI$103,0)),"")</f>
        <v/>
      </c>
      <c r="F47">
        <f>IFERROR(INDEX(Scores!$D$2:$D$103,MATCH($B47,Scores!$BI$2:$BI$103,0)),"")</f>
        <v/>
      </c>
      <c r="G47">
        <f>IFERROR(INDEX(Scores!$E$2:$E$103,MATCH($B47,Scores!$BI$2:$BI$103,0)),"")</f>
        <v/>
      </c>
      <c r="H47">
        <f>IFERROR(INDEX(Scores!$BF$2:$BF$103,MATCH($B47,Scores!$BI$2:$BI$103,0)),"")</f>
        <v/>
      </c>
      <c r="I47">
        <f>IFERROR(INDEX(Scores!$BH$2:$BH$103,MATCH($B47,Scores!$BI$2:$BI$103,0)),"")</f>
        <v/>
      </c>
      <c r="J47">
        <f>IFERROR(INDEX(Scores!$Q$2:$Q$103,MATCH($B47,Scores!$BI$2:$BI$103,0)),"")</f>
        <v/>
      </c>
      <c r="K47">
        <f>IFERROR(INDEX(Scores!$AC$2:$AC$103,MATCH($B47,Scores!$BI$2:$BI$103,0)),"")</f>
        <v/>
      </c>
      <c r="L47">
        <f>IFERROR(INDEX(Scores!$AK$2:$AK$103,MATCH($B47,Scores!$BI$2:$BI$103,0)),"")</f>
        <v/>
      </c>
      <c r="M47">
        <f>IFERROR(INDEX(Scores!$AS$2:$AS$103,MATCH($B47,Scores!$BI$2:$BI$103,0)),"")</f>
        <v/>
      </c>
      <c r="N47">
        <f>IFERROR(INDEX(Scores!$BC$2:$BC$103,MATCH($B47,Scores!$BI$2:$BI$103,0)),"")</f>
        <v/>
      </c>
    </row>
    <row r="48">
      <c r="A48" t="inlineStr">
        <is>
          <t>Ranked</t>
        </is>
      </c>
      <c r="B48" t="n">
        <v>46</v>
      </c>
      <c r="C48">
        <f>IFERROR(INDEX(Scores!$BI$2:$BI$103,MATCH($B48,Scores!$BI$2:$BI$103,0)),"")</f>
        <v/>
      </c>
      <c r="D48">
        <f>IFERROR(INDEX(Scores!$B$2:$B$103,MATCH($B48,Scores!$BI$2:$BI$103,0)),"")</f>
        <v/>
      </c>
      <c r="E48">
        <f>IFERROR(INDEX(Scores!$C$2:$C$103,MATCH($B48,Scores!$BI$2:$BI$103,0)),"")</f>
        <v/>
      </c>
      <c r="F48">
        <f>IFERROR(INDEX(Scores!$D$2:$D$103,MATCH($B48,Scores!$BI$2:$BI$103,0)),"")</f>
        <v/>
      </c>
      <c r="G48">
        <f>IFERROR(INDEX(Scores!$E$2:$E$103,MATCH($B48,Scores!$BI$2:$BI$103,0)),"")</f>
        <v/>
      </c>
      <c r="H48">
        <f>IFERROR(INDEX(Scores!$BF$2:$BF$103,MATCH($B48,Scores!$BI$2:$BI$103,0)),"")</f>
        <v/>
      </c>
      <c r="I48">
        <f>IFERROR(INDEX(Scores!$BH$2:$BH$103,MATCH($B48,Scores!$BI$2:$BI$103,0)),"")</f>
        <v/>
      </c>
      <c r="J48">
        <f>IFERROR(INDEX(Scores!$Q$2:$Q$103,MATCH($B48,Scores!$BI$2:$BI$103,0)),"")</f>
        <v/>
      </c>
      <c r="K48">
        <f>IFERROR(INDEX(Scores!$AC$2:$AC$103,MATCH($B48,Scores!$BI$2:$BI$103,0)),"")</f>
        <v/>
      </c>
      <c r="L48">
        <f>IFERROR(INDEX(Scores!$AK$2:$AK$103,MATCH($B48,Scores!$BI$2:$BI$103,0)),"")</f>
        <v/>
      </c>
      <c r="M48">
        <f>IFERROR(INDEX(Scores!$AS$2:$AS$103,MATCH($B48,Scores!$BI$2:$BI$103,0)),"")</f>
        <v/>
      </c>
      <c r="N48">
        <f>IFERROR(INDEX(Scores!$BC$2:$BC$103,MATCH($B48,Scores!$BI$2:$BI$103,0)),"")</f>
        <v/>
      </c>
    </row>
    <row r="49">
      <c r="A49" t="inlineStr">
        <is>
          <t>Ranked</t>
        </is>
      </c>
      <c r="B49" t="n">
        <v>47</v>
      </c>
      <c r="C49">
        <f>IFERROR(INDEX(Scores!$BI$2:$BI$103,MATCH($B49,Scores!$BI$2:$BI$103,0)),"")</f>
        <v/>
      </c>
      <c r="D49">
        <f>IFERROR(INDEX(Scores!$B$2:$B$103,MATCH($B49,Scores!$BI$2:$BI$103,0)),"")</f>
        <v/>
      </c>
      <c r="E49">
        <f>IFERROR(INDEX(Scores!$C$2:$C$103,MATCH($B49,Scores!$BI$2:$BI$103,0)),"")</f>
        <v/>
      </c>
      <c r="F49">
        <f>IFERROR(INDEX(Scores!$D$2:$D$103,MATCH($B49,Scores!$BI$2:$BI$103,0)),"")</f>
        <v/>
      </c>
      <c r="G49">
        <f>IFERROR(INDEX(Scores!$E$2:$E$103,MATCH($B49,Scores!$BI$2:$BI$103,0)),"")</f>
        <v/>
      </c>
      <c r="H49">
        <f>IFERROR(INDEX(Scores!$BF$2:$BF$103,MATCH($B49,Scores!$BI$2:$BI$103,0)),"")</f>
        <v/>
      </c>
      <c r="I49">
        <f>IFERROR(INDEX(Scores!$BH$2:$BH$103,MATCH($B49,Scores!$BI$2:$BI$103,0)),"")</f>
        <v/>
      </c>
      <c r="J49">
        <f>IFERROR(INDEX(Scores!$Q$2:$Q$103,MATCH($B49,Scores!$BI$2:$BI$103,0)),"")</f>
        <v/>
      </c>
      <c r="K49">
        <f>IFERROR(INDEX(Scores!$AC$2:$AC$103,MATCH($B49,Scores!$BI$2:$BI$103,0)),"")</f>
        <v/>
      </c>
      <c r="L49">
        <f>IFERROR(INDEX(Scores!$AK$2:$AK$103,MATCH($B49,Scores!$BI$2:$BI$103,0)),"")</f>
        <v/>
      </c>
      <c r="M49">
        <f>IFERROR(INDEX(Scores!$AS$2:$AS$103,MATCH($B49,Scores!$BI$2:$BI$103,0)),"")</f>
        <v/>
      </c>
      <c r="N49">
        <f>IFERROR(INDEX(Scores!$BC$2:$BC$103,MATCH($B49,Scores!$BI$2:$BI$103,0)),"")</f>
        <v/>
      </c>
    </row>
    <row r="50">
      <c r="A50" t="inlineStr">
        <is>
          <t>Ranked</t>
        </is>
      </c>
      <c r="B50" t="n">
        <v>48</v>
      </c>
      <c r="C50">
        <f>IFERROR(INDEX(Scores!$BI$2:$BI$103,MATCH($B50,Scores!$BI$2:$BI$103,0)),"")</f>
        <v/>
      </c>
      <c r="D50">
        <f>IFERROR(INDEX(Scores!$B$2:$B$103,MATCH($B50,Scores!$BI$2:$BI$103,0)),"")</f>
        <v/>
      </c>
      <c r="E50">
        <f>IFERROR(INDEX(Scores!$C$2:$C$103,MATCH($B50,Scores!$BI$2:$BI$103,0)),"")</f>
        <v/>
      </c>
      <c r="F50">
        <f>IFERROR(INDEX(Scores!$D$2:$D$103,MATCH($B50,Scores!$BI$2:$BI$103,0)),"")</f>
        <v/>
      </c>
      <c r="G50">
        <f>IFERROR(INDEX(Scores!$E$2:$E$103,MATCH($B50,Scores!$BI$2:$BI$103,0)),"")</f>
        <v/>
      </c>
      <c r="H50">
        <f>IFERROR(INDEX(Scores!$BF$2:$BF$103,MATCH($B50,Scores!$BI$2:$BI$103,0)),"")</f>
        <v/>
      </c>
      <c r="I50">
        <f>IFERROR(INDEX(Scores!$BH$2:$BH$103,MATCH($B50,Scores!$BI$2:$BI$103,0)),"")</f>
        <v/>
      </c>
      <c r="J50">
        <f>IFERROR(INDEX(Scores!$Q$2:$Q$103,MATCH($B50,Scores!$BI$2:$BI$103,0)),"")</f>
        <v/>
      </c>
      <c r="K50">
        <f>IFERROR(INDEX(Scores!$AC$2:$AC$103,MATCH($B50,Scores!$BI$2:$BI$103,0)),"")</f>
        <v/>
      </c>
      <c r="L50">
        <f>IFERROR(INDEX(Scores!$AK$2:$AK$103,MATCH($B50,Scores!$BI$2:$BI$103,0)),"")</f>
        <v/>
      </c>
      <c r="M50">
        <f>IFERROR(INDEX(Scores!$AS$2:$AS$103,MATCH($B50,Scores!$BI$2:$BI$103,0)),"")</f>
        <v/>
      </c>
      <c r="N50">
        <f>IFERROR(INDEX(Scores!$BC$2:$BC$103,MATCH($B50,Scores!$BI$2:$BI$103,0)),"")</f>
        <v/>
      </c>
    </row>
    <row r="51">
      <c r="A51" t="inlineStr">
        <is>
          <t>Ranked</t>
        </is>
      </c>
      <c r="B51" t="n">
        <v>49</v>
      </c>
      <c r="C51">
        <f>IFERROR(INDEX(Scores!$BI$2:$BI$103,MATCH($B51,Scores!$BI$2:$BI$103,0)),"")</f>
        <v/>
      </c>
      <c r="D51">
        <f>IFERROR(INDEX(Scores!$B$2:$B$103,MATCH($B51,Scores!$BI$2:$BI$103,0)),"")</f>
        <v/>
      </c>
      <c r="E51">
        <f>IFERROR(INDEX(Scores!$C$2:$C$103,MATCH($B51,Scores!$BI$2:$BI$103,0)),"")</f>
        <v/>
      </c>
      <c r="F51">
        <f>IFERROR(INDEX(Scores!$D$2:$D$103,MATCH($B51,Scores!$BI$2:$BI$103,0)),"")</f>
        <v/>
      </c>
      <c r="G51">
        <f>IFERROR(INDEX(Scores!$E$2:$E$103,MATCH($B51,Scores!$BI$2:$BI$103,0)),"")</f>
        <v/>
      </c>
      <c r="H51">
        <f>IFERROR(INDEX(Scores!$BF$2:$BF$103,MATCH($B51,Scores!$BI$2:$BI$103,0)),"")</f>
        <v/>
      </c>
      <c r="I51">
        <f>IFERROR(INDEX(Scores!$BH$2:$BH$103,MATCH($B51,Scores!$BI$2:$BI$103,0)),"")</f>
        <v/>
      </c>
      <c r="J51">
        <f>IFERROR(INDEX(Scores!$Q$2:$Q$103,MATCH($B51,Scores!$BI$2:$BI$103,0)),"")</f>
        <v/>
      </c>
      <c r="K51">
        <f>IFERROR(INDEX(Scores!$AC$2:$AC$103,MATCH($B51,Scores!$BI$2:$BI$103,0)),"")</f>
        <v/>
      </c>
      <c r="L51">
        <f>IFERROR(INDEX(Scores!$AK$2:$AK$103,MATCH($B51,Scores!$BI$2:$BI$103,0)),"")</f>
        <v/>
      </c>
      <c r="M51">
        <f>IFERROR(INDEX(Scores!$AS$2:$AS$103,MATCH($B51,Scores!$BI$2:$BI$103,0)),"")</f>
        <v/>
      </c>
      <c r="N51">
        <f>IFERROR(INDEX(Scores!$BC$2:$BC$103,MATCH($B51,Scores!$BI$2:$BI$103,0)),"")</f>
        <v/>
      </c>
    </row>
    <row r="52">
      <c r="A52" t="inlineStr">
        <is>
          <t>Ranked</t>
        </is>
      </c>
      <c r="B52" t="n">
        <v>50</v>
      </c>
      <c r="C52">
        <f>IFERROR(INDEX(Scores!$BI$2:$BI$103,MATCH($B52,Scores!$BI$2:$BI$103,0)),"")</f>
        <v/>
      </c>
      <c r="D52">
        <f>IFERROR(INDEX(Scores!$B$2:$B$103,MATCH($B52,Scores!$BI$2:$BI$103,0)),"")</f>
        <v/>
      </c>
      <c r="E52">
        <f>IFERROR(INDEX(Scores!$C$2:$C$103,MATCH($B52,Scores!$BI$2:$BI$103,0)),"")</f>
        <v/>
      </c>
      <c r="F52">
        <f>IFERROR(INDEX(Scores!$D$2:$D$103,MATCH($B52,Scores!$BI$2:$BI$103,0)),"")</f>
        <v/>
      </c>
      <c r="G52">
        <f>IFERROR(INDEX(Scores!$E$2:$E$103,MATCH($B52,Scores!$BI$2:$BI$103,0)),"")</f>
        <v/>
      </c>
      <c r="H52">
        <f>IFERROR(INDEX(Scores!$BF$2:$BF$103,MATCH($B52,Scores!$BI$2:$BI$103,0)),"")</f>
        <v/>
      </c>
      <c r="I52">
        <f>IFERROR(INDEX(Scores!$BH$2:$BH$103,MATCH($B52,Scores!$BI$2:$BI$103,0)),"")</f>
        <v/>
      </c>
      <c r="J52">
        <f>IFERROR(INDEX(Scores!$Q$2:$Q$103,MATCH($B52,Scores!$BI$2:$BI$103,0)),"")</f>
        <v/>
      </c>
      <c r="K52">
        <f>IFERROR(INDEX(Scores!$AC$2:$AC$103,MATCH($B52,Scores!$BI$2:$BI$103,0)),"")</f>
        <v/>
      </c>
      <c r="L52">
        <f>IFERROR(INDEX(Scores!$AK$2:$AK$103,MATCH($B52,Scores!$BI$2:$BI$103,0)),"")</f>
        <v/>
      </c>
      <c r="M52">
        <f>IFERROR(INDEX(Scores!$AS$2:$AS$103,MATCH($B52,Scores!$BI$2:$BI$103,0)),"")</f>
        <v/>
      </c>
      <c r="N52">
        <f>IFERROR(INDEX(Scores!$BC$2:$BC$103,MATCH($B52,Scores!$BI$2:$BI$103,0)),"")</f>
        <v/>
      </c>
    </row>
    <row r="53">
      <c r="A53" t="inlineStr">
        <is>
          <t>Ranked</t>
        </is>
      </c>
      <c r="B53" t="n">
        <v>51</v>
      </c>
      <c r="C53">
        <f>IFERROR(INDEX(Scores!$BI$2:$BI$103,MATCH($B53,Scores!$BI$2:$BI$103,0)),"")</f>
        <v/>
      </c>
      <c r="D53">
        <f>IFERROR(INDEX(Scores!$B$2:$B$103,MATCH($B53,Scores!$BI$2:$BI$103,0)),"")</f>
        <v/>
      </c>
      <c r="E53">
        <f>IFERROR(INDEX(Scores!$C$2:$C$103,MATCH($B53,Scores!$BI$2:$BI$103,0)),"")</f>
        <v/>
      </c>
      <c r="F53">
        <f>IFERROR(INDEX(Scores!$D$2:$D$103,MATCH($B53,Scores!$BI$2:$BI$103,0)),"")</f>
        <v/>
      </c>
      <c r="G53">
        <f>IFERROR(INDEX(Scores!$E$2:$E$103,MATCH($B53,Scores!$BI$2:$BI$103,0)),"")</f>
        <v/>
      </c>
      <c r="H53">
        <f>IFERROR(INDEX(Scores!$BF$2:$BF$103,MATCH($B53,Scores!$BI$2:$BI$103,0)),"")</f>
        <v/>
      </c>
      <c r="I53">
        <f>IFERROR(INDEX(Scores!$BH$2:$BH$103,MATCH($B53,Scores!$BI$2:$BI$103,0)),"")</f>
        <v/>
      </c>
      <c r="J53">
        <f>IFERROR(INDEX(Scores!$Q$2:$Q$103,MATCH($B53,Scores!$BI$2:$BI$103,0)),"")</f>
        <v/>
      </c>
      <c r="K53">
        <f>IFERROR(INDEX(Scores!$AC$2:$AC$103,MATCH($B53,Scores!$BI$2:$BI$103,0)),"")</f>
        <v/>
      </c>
      <c r="L53">
        <f>IFERROR(INDEX(Scores!$AK$2:$AK$103,MATCH($B53,Scores!$BI$2:$BI$103,0)),"")</f>
        <v/>
      </c>
      <c r="M53">
        <f>IFERROR(INDEX(Scores!$AS$2:$AS$103,MATCH($B53,Scores!$BI$2:$BI$103,0)),"")</f>
        <v/>
      </c>
      <c r="N53">
        <f>IFERROR(INDEX(Scores!$BC$2:$BC$103,MATCH($B53,Scores!$BI$2:$BI$103,0)),"")</f>
        <v/>
      </c>
    </row>
    <row r="54">
      <c r="A54" t="inlineStr">
        <is>
          <t>Ranked</t>
        </is>
      </c>
      <c r="B54" t="n">
        <v>52</v>
      </c>
      <c r="C54">
        <f>IFERROR(INDEX(Scores!$BI$2:$BI$103,MATCH($B54,Scores!$BI$2:$BI$103,0)),"")</f>
        <v/>
      </c>
      <c r="D54">
        <f>IFERROR(INDEX(Scores!$B$2:$B$103,MATCH($B54,Scores!$BI$2:$BI$103,0)),"")</f>
        <v/>
      </c>
      <c r="E54">
        <f>IFERROR(INDEX(Scores!$C$2:$C$103,MATCH($B54,Scores!$BI$2:$BI$103,0)),"")</f>
        <v/>
      </c>
      <c r="F54">
        <f>IFERROR(INDEX(Scores!$D$2:$D$103,MATCH($B54,Scores!$BI$2:$BI$103,0)),"")</f>
        <v/>
      </c>
      <c r="G54">
        <f>IFERROR(INDEX(Scores!$E$2:$E$103,MATCH($B54,Scores!$BI$2:$BI$103,0)),"")</f>
        <v/>
      </c>
      <c r="H54">
        <f>IFERROR(INDEX(Scores!$BF$2:$BF$103,MATCH($B54,Scores!$BI$2:$BI$103,0)),"")</f>
        <v/>
      </c>
      <c r="I54">
        <f>IFERROR(INDEX(Scores!$BH$2:$BH$103,MATCH($B54,Scores!$BI$2:$BI$103,0)),"")</f>
        <v/>
      </c>
      <c r="J54">
        <f>IFERROR(INDEX(Scores!$Q$2:$Q$103,MATCH($B54,Scores!$BI$2:$BI$103,0)),"")</f>
        <v/>
      </c>
      <c r="K54">
        <f>IFERROR(INDEX(Scores!$AC$2:$AC$103,MATCH($B54,Scores!$BI$2:$BI$103,0)),"")</f>
        <v/>
      </c>
      <c r="L54">
        <f>IFERROR(INDEX(Scores!$AK$2:$AK$103,MATCH($B54,Scores!$BI$2:$BI$103,0)),"")</f>
        <v/>
      </c>
      <c r="M54">
        <f>IFERROR(INDEX(Scores!$AS$2:$AS$103,MATCH($B54,Scores!$BI$2:$BI$103,0)),"")</f>
        <v/>
      </c>
      <c r="N54">
        <f>IFERROR(INDEX(Scores!$BC$2:$BC$103,MATCH($B54,Scores!$BI$2:$BI$103,0)),"")</f>
        <v/>
      </c>
    </row>
    <row r="55">
      <c r="A55" t="inlineStr">
        <is>
          <t>Ranked</t>
        </is>
      </c>
      <c r="B55" t="n">
        <v>53</v>
      </c>
      <c r="C55">
        <f>IFERROR(INDEX(Scores!$BI$2:$BI$103,MATCH($B55,Scores!$BI$2:$BI$103,0)),"")</f>
        <v/>
      </c>
      <c r="D55">
        <f>IFERROR(INDEX(Scores!$B$2:$B$103,MATCH($B55,Scores!$BI$2:$BI$103,0)),"")</f>
        <v/>
      </c>
      <c r="E55">
        <f>IFERROR(INDEX(Scores!$C$2:$C$103,MATCH($B55,Scores!$BI$2:$BI$103,0)),"")</f>
        <v/>
      </c>
      <c r="F55">
        <f>IFERROR(INDEX(Scores!$D$2:$D$103,MATCH($B55,Scores!$BI$2:$BI$103,0)),"")</f>
        <v/>
      </c>
      <c r="G55">
        <f>IFERROR(INDEX(Scores!$E$2:$E$103,MATCH($B55,Scores!$BI$2:$BI$103,0)),"")</f>
        <v/>
      </c>
      <c r="H55">
        <f>IFERROR(INDEX(Scores!$BF$2:$BF$103,MATCH($B55,Scores!$BI$2:$BI$103,0)),"")</f>
        <v/>
      </c>
      <c r="I55">
        <f>IFERROR(INDEX(Scores!$BH$2:$BH$103,MATCH($B55,Scores!$BI$2:$BI$103,0)),"")</f>
        <v/>
      </c>
      <c r="J55">
        <f>IFERROR(INDEX(Scores!$Q$2:$Q$103,MATCH($B55,Scores!$BI$2:$BI$103,0)),"")</f>
        <v/>
      </c>
      <c r="K55">
        <f>IFERROR(INDEX(Scores!$AC$2:$AC$103,MATCH($B55,Scores!$BI$2:$BI$103,0)),"")</f>
        <v/>
      </c>
      <c r="L55">
        <f>IFERROR(INDEX(Scores!$AK$2:$AK$103,MATCH($B55,Scores!$BI$2:$BI$103,0)),"")</f>
        <v/>
      </c>
      <c r="M55">
        <f>IFERROR(INDEX(Scores!$AS$2:$AS$103,MATCH($B55,Scores!$BI$2:$BI$103,0)),"")</f>
        <v/>
      </c>
      <c r="N55">
        <f>IFERROR(INDEX(Scores!$BC$2:$BC$103,MATCH($B55,Scores!$BI$2:$BI$103,0)),"")</f>
        <v/>
      </c>
    </row>
    <row r="56">
      <c r="A56" t="inlineStr">
        <is>
          <t>Ranked</t>
        </is>
      </c>
      <c r="B56" t="n">
        <v>54</v>
      </c>
      <c r="C56">
        <f>IFERROR(INDEX(Scores!$BI$2:$BI$103,MATCH($B56,Scores!$BI$2:$BI$103,0)),"")</f>
        <v/>
      </c>
      <c r="D56">
        <f>IFERROR(INDEX(Scores!$B$2:$B$103,MATCH($B56,Scores!$BI$2:$BI$103,0)),"")</f>
        <v/>
      </c>
      <c r="E56">
        <f>IFERROR(INDEX(Scores!$C$2:$C$103,MATCH($B56,Scores!$BI$2:$BI$103,0)),"")</f>
        <v/>
      </c>
      <c r="F56">
        <f>IFERROR(INDEX(Scores!$D$2:$D$103,MATCH($B56,Scores!$BI$2:$BI$103,0)),"")</f>
        <v/>
      </c>
      <c r="G56">
        <f>IFERROR(INDEX(Scores!$E$2:$E$103,MATCH($B56,Scores!$BI$2:$BI$103,0)),"")</f>
        <v/>
      </c>
      <c r="H56">
        <f>IFERROR(INDEX(Scores!$BF$2:$BF$103,MATCH($B56,Scores!$BI$2:$BI$103,0)),"")</f>
        <v/>
      </c>
      <c r="I56">
        <f>IFERROR(INDEX(Scores!$BH$2:$BH$103,MATCH($B56,Scores!$BI$2:$BI$103,0)),"")</f>
        <v/>
      </c>
      <c r="J56">
        <f>IFERROR(INDEX(Scores!$Q$2:$Q$103,MATCH($B56,Scores!$BI$2:$BI$103,0)),"")</f>
        <v/>
      </c>
      <c r="K56">
        <f>IFERROR(INDEX(Scores!$AC$2:$AC$103,MATCH($B56,Scores!$BI$2:$BI$103,0)),"")</f>
        <v/>
      </c>
      <c r="L56">
        <f>IFERROR(INDEX(Scores!$AK$2:$AK$103,MATCH($B56,Scores!$BI$2:$BI$103,0)),"")</f>
        <v/>
      </c>
      <c r="M56">
        <f>IFERROR(INDEX(Scores!$AS$2:$AS$103,MATCH($B56,Scores!$BI$2:$BI$103,0)),"")</f>
        <v/>
      </c>
      <c r="N56">
        <f>IFERROR(INDEX(Scores!$BC$2:$BC$103,MATCH($B56,Scores!$BI$2:$BI$103,0)),"")</f>
        <v/>
      </c>
    </row>
    <row r="57">
      <c r="A57" t="inlineStr">
        <is>
          <t>Ranked</t>
        </is>
      </c>
      <c r="B57" t="n">
        <v>55</v>
      </c>
      <c r="C57">
        <f>IFERROR(INDEX(Scores!$BI$2:$BI$103,MATCH($B57,Scores!$BI$2:$BI$103,0)),"")</f>
        <v/>
      </c>
      <c r="D57">
        <f>IFERROR(INDEX(Scores!$B$2:$B$103,MATCH($B57,Scores!$BI$2:$BI$103,0)),"")</f>
        <v/>
      </c>
      <c r="E57">
        <f>IFERROR(INDEX(Scores!$C$2:$C$103,MATCH($B57,Scores!$BI$2:$BI$103,0)),"")</f>
        <v/>
      </c>
      <c r="F57">
        <f>IFERROR(INDEX(Scores!$D$2:$D$103,MATCH($B57,Scores!$BI$2:$BI$103,0)),"")</f>
        <v/>
      </c>
      <c r="G57">
        <f>IFERROR(INDEX(Scores!$E$2:$E$103,MATCH($B57,Scores!$BI$2:$BI$103,0)),"")</f>
        <v/>
      </c>
      <c r="H57">
        <f>IFERROR(INDEX(Scores!$BF$2:$BF$103,MATCH($B57,Scores!$BI$2:$BI$103,0)),"")</f>
        <v/>
      </c>
      <c r="I57">
        <f>IFERROR(INDEX(Scores!$BH$2:$BH$103,MATCH($B57,Scores!$BI$2:$BI$103,0)),"")</f>
        <v/>
      </c>
      <c r="J57">
        <f>IFERROR(INDEX(Scores!$Q$2:$Q$103,MATCH($B57,Scores!$BI$2:$BI$103,0)),"")</f>
        <v/>
      </c>
      <c r="K57">
        <f>IFERROR(INDEX(Scores!$AC$2:$AC$103,MATCH($B57,Scores!$BI$2:$BI$103,0)),"")</f>
        <v/>
      </c>
      <c r="L57">
        <f>IFERROR(INDEX(Scores!$AK$2:$AK$103,MATCH($B57,Scores!$BI$2:$BI$103,0)),"")</f>
        <v/>
      </c>
      <c r="M57">
        <f>IFERROR(INDEX(Scores!$AS$2:$AS$103,MATCH($B57,Scores!$BI$2:$BI$103,0)),"")</f>
        <v/>
      </c>
      <c r="N57">
        <f>IFERROR(INDEX(Scores!$BC$2:$BC$103,MATCH($B57,Scores!$BI$2:$BI$103,0)),"")</f>
        <v/>
      </c>
    </row>
    <row r="58">
      <c r="A58" t="inlineStr">
        <is>
          <t>Ranked</t>
        </is>
      </c>
      <c r="B58" t="n">
        <v>56</v>
      </c>
      <c r="C58">
        <f>IFERROR(INDEX(Scores!$BI$2:$BI$103,MATCH($B58,Scores!$BI$2:$BI$103,0)),"")</f>
        <v/>
      </c>
      <c r="D58">
        <f>IFERROR(INDEX(Scores!$B$2:$B$103,MATCH($B58,Scores!$BI$2:$BI$103,0)),"")</f>
        <v/>
      </c>
      <c r="E58">
        <f>IFERROR(INDEX(Scores!$C$2:$C$103,MATCH($B58,Scores!$BI$2:$BI$103,0)),"")</f>
        <v/>
      </c>
      <c r="F58">
        <f>IFERROR(INDEX(Scores!$D$2:$D$103,MATCH($B58,Scores!$BI$2:$BI$103,0)),"")</f>
        <v/>
      </c>
      <c r="G58">
        <f>IFERROR(INDEX(Scores!$E$2:$E$103,MATCH($B58,Scores!$BI$2:$BI$103,0)),"")</f>
        <v/>
      </c>
      <c r="H58">
        <f>IFERROR(INDEX(Scores!$BF$2:$BF$103,MATCH($B58,Scores!$BI$2:$BI$103,0)),"")</f>
        <v/>
      </c>
      <c r="I58">
        <f>IFERROR(INDEX(Scores!$BH$2:$BH$103,MATCH($B58,Scores!$BI$2:$BI$103,0)),"")</f>
        <v/>
      </c>
      <c r="J58">
        <f>IFERROR(INDEX(Scores!$Q$2:$Q$103,MATCH($B58,Scores!$BI$2:$BI$103,0)),"")</f>
        <v/>
      </c>
      <c r="K58">
        <f>IFERROR(INDEX(Scores!$AC$2:$AC$103,MATCH($B58,Scores!$BI$2:$BI$103,0)),"")</f>
        <v/>
      </c>
      <c r="L58">
        <f>IFERROR(INDEX(Scores!$AK$2:$AK$103,MATCH($B58,Scores!$BI$2:$BI$103,0)),"")</f>
        <v/>
      </c>
      <c r="M58">
        <f>IFERROR(INDEX(Scores!$AS$2:$AS$103,MATCH($B58,Scores!$BI$2:$BI$103,0)),"")</f>
        <v/>
      </c>
      <c r="N58">
        <f>IFERROR(INDEX(Scores!$BC$2:$BC$103,MATCH($B58,Scores!$BI$2:$BI$103,0)),"")</f>
        <v/>
      </c>
    </row>
    <row r="59">
      <c r="A59" t="inlineStr">
        <is>
          <t>Ranked</t>
        </is>
      </c>
      <c r="B59" t="n">
        <v>57</v>
      </c>
      <c r="C59">
        <f>IFERROR(INDEX(Scores!$BI$2:$BI$103,MATCH($B59,Scores!$BI$2:$BI$103,0)),"")</f>
        <v/>
      </c>
      <c r="D59">
        <f>IFERROR(INDEX(Scores!$B$2:$B$103,MATCH($B59,Scores!$BI$2:$BI$103,0)),"")</f>
        <v/>
      </c>
      <c r="E59">
        <f>IFERROR(INDEX(Scores!$C$2:$C$103,MATCH($B59,Scores!$BI$2:$BI$103,0)),"")</f>
        <v/>
      </c>
      <c r="F59">
        <f>IFERROR(INDEX(Scores!$D$2:$D$103,MATCH($B59,Scores!$BI$2:$BI$103,0)),"")</f>
        <v/>
      </c>
      <c r="G59">
        <f>IFERROR(INDEX(Scores!$E$2:$E$103,MATCH($B59,Scores!$BI$2:$BI$103,0)),"")</f>
        <v/>
      </c>
      <c r="H59">
        <f>IFERROR(INDEX(Scores!$BF$2:$BF$103,MATCH($B59,Scores!$BI$2:$BI$103,0)),"")</f>
        <v/>
      </c>
      <c r="I59">
        <f>IFERROR(INDEX(Scores!$BH$2:$BH$103,MATCH($B59,Scores!$BI$2:$BI$103,0)),"")</f>
        <v/>
      </c>
      <c r="J59">
        <f>IFERROR(INDEX(Scores!$Q$2:$Q$103,MATCH($B59,Scores!$BI$2:$BI$103,0)),"")</f>
        <v/>
      </c>
      <c r="K59">
        <f>IFERROR(INDEX(Scores!$AC$2:$AC$103,MATCH($B59,Scores!$BI$2:$BI$103,0)),"")</f>
        <v/>
      </c>
      <c r="L59">
        <f>IFERROR(INDEX(Scores!$AK$2:$AK$103,MATCH($B59,Scores!$BI$2:$BI$103,0)),"")</f>
        <v/>
      </c>
      <c r="M59">
        <f>IFERROR(INDEX(Scores!$AS$2:$AS$103,MATCH($B59,Scores!$BI$2:$BI$103,0)),"")</f>
        <v/>
      </c>
      <c r="N59">
        <f>IFERROR(INDEX(Scores!$BC$2:$BC$103,MATCH($B59,Scores!$BI$2:$BI$103,0)),"")</f>
        <v/>
      </c>
    </row>
    <row r="60">
      <c r="A60" t="inlineStr">
        <is>
          <t>Ranked</t>
        </is>
      </c>
      <c r="B60" t="n">
        <v>58</v>
      </c>
      <c r="C60">
        <f>IFERROR(INDEX(Scores!$BI$2:$BI$103,MATCH($B60,Scores!$BI$2:$BI$103,0)),"")</f>
        <v/>
      </c>
      <c r="D60">
        <f>IFERROR(INDEX(Scores!$B$2:$B$103,MATCH($B60,Scores!$BI$2:$BI$103,0)),"")</f>
        <v/>
      </c>
      <c r="E60">
        <f>IFERROR(INDEX(Scores!$C$2:$C$103,MATCH($B60,Scores!$BI$2:$BI$103,0)),"")</f>
        <v/>
      </c>
      <c r="F60">
        <f>IFERROR(INDEX(Scores!$D$2:$D$103,MATCH($B60,Scores!$BI$2:$BI$103,0)),"")</f>
        <v/>
      </c>
      <c r="G60">
        <f>IFERROR(INDEX(Scores!$E$2:$E$103,MATCH($B60,Scores!$BI$2:$BI$103,0)),"")</f>
        <v/>
      </c>
      <c r="H60">
        <f>IFERROR(INDEX(Scores!$BF$2:$BF$103,MATCH($B60,Scores!$BI$2:$BI$103,0)),"")</f>
        <v/>
      </c>
      <c r="I60">
        <f>IFERROR(INDEX(Scores!$BH$2:$BH$103,MATCH($B60,Scores!$BI$2:$BI$103,0)),"")</f>
        <v/>
      </c>
      <c r="J60">
        <f>IFERROR(INDEX(Scores!$Q$2:$Q$103,MATCH($B60,Scores!$BI$2:$BI$103,0)),"")</f>
        <v/>
      </c>
      <c r="K60">
        <f>IFERROR(INDEX(Scores!$AC$2:$AC$103,MATCH($B60,Scores!$BI$2:$BI$103,0)),"")</f>
        <v/>
      </c>
      <c r="L60">
        <f>IFERROR(INDEX(Scores!$AK$2:$AK$103,MATCH($B60,Scores!$BI$2:$BI$103,0)),"")</f>
        <v/>
      </c>
      <c r="M60">
        <f>IFERROR(INDEX(Scores!$AS$2:$AS$103,MATCH($B60,Scores!$BI$2:$BI$103,0)),"")</f>
        <v/>
      </c>
      <c r="N60">
        <f>IFERROR(INDEX(Scores!$BC$2:$BC$103,MATCH($B60,Scores!$BI$2:$BI$103,0)),"")</f>
        <v/>
      </c>
    </row>
    <row r="61">
      <c r="A61" t="inlineStr">
        <is>
          <t>Ranked</t>
        </is>
      </c>
      <c r="B61" t="n">
        <v>59</v>
      </c>
      <c r="C61">
        <f>IFERROR(INDEX(Scores!$BI$2:$BI$103,MATCH($B61,Scores!$BI$2:$BI$103,0)),"")</f>
        <v/>
      </c>
      <c r="D61">
        <f>IFERROR(INDEX(Scores!$B$2:$B$103,MATCH($B61,Scores!$BI$2:$BI$103,0)),"")</f>
        <v/>
      </c>
      <c r="E61">
        <f>IFERROR(INDEX(Scores!$C$2:$C$103,MATCH($B61,Scores!$BI$2:$BI$103,0)),"")</f>
        <v/>
      </c>
      <c r="F61">
        <f>IFERROR(INDEX(Scores!$D$2:$D$103,MATCH($B61,Scores!$BI$2:$BI$103,0)),"")</f>
        <v/>
      </c>
      <c r="G61">
        <f>IFERROR(INDEX(Scores!$E$2:$E$103,MATCH($B61,Scores!$BI$2:$BI$103,0)),"")</f>
        <v/>
      </c>
      <c r="H61">
        <f>IFERROR(INDEX(Scores!$BF$2:$BF$103,MATCH($B61,Scores!$BI$2:$BI$103,0)),"")</f>
        <v/>
      </c>
      <c r="I61">
        <f>IFERROR(INDEX(Scores!$BH$2:$BH$103,MATCH($B61,Scores!$BI$2:$BI$103,0)),"")</f>
        <v/>
      </c>
      <c r="J61">
        <f>IFERROR(INDEX(Scores!$Q$2:$Q$103,MATCH($B61,Scores!$BI$2:$BI$103,0)),"")</f>
        <v/>
      </c>
      <c r="K61">
        <f>IFERROR(INDEX(Scores!$AC$2:$AC$103,MATCH($B61,Scores!$BI$2:$BI$103,0)),"")</f>
        <v/>
      </c>
      <c r="L61">
        <f>IFERROR(INDEX(Scores!$AK$2:$AK$103,MATCH($B61,Scores!$BI$2:$BI$103,0)),"")</f>
        <v/>
      </c>
      <c r="M61">
        <f>IFERROR(INDEX(Scores!$AS$2:$AS$103,MATCH($B61,Scores!$BI$2:$BI$103,0)),"")</f>
        <v/>
      </c>
      <c r="N61">
        <f>IFERROR(INDEX(Scores!$BC$2:$BC$103,MATCH($B61,Scores!$BI$2:$BI$103,0)),"")</f>
        <v/>
      </c>
    </row>
    <row r="62">
      <c r="A62" t="inlineStr">
        <is>
          <t>Ranked</t>
        </is>
      </c>
      <c r="B62" t="n">
        <v>60</v>
      </c>
      <c r="C62">
        <f>IFERROR(INDEX(Scores!$BI$2:$BI$103,MATCH($B62,Scores!$BI$2:$BI$103,0)),"")</f>
        <v/>
      </c>
      <c r="D62">
        <f>IFERROR(INDEX(Scores!$B$2:$B$103,MATCH($B62,Scores!$BI$2:$BI$103,0)),"")</f>
        <v/>
      </c>
      <c r="E62">
        <f>IFERROR(INDEX(Scores!$C$2:$C$103,MATCH($B62,Scores!$BI$2:$BI$103,0)),"")</f>
        <v/>
      </c>
      <c r="F62">
        <f>IFERROR(INDEX(Scores!$D$2:$D$103,MATCH($B62,Scores!$BI$2:$BI$103,0)),"")</f>
        <v/>
      </c>
      <c r="G62">
        <f>IFERROR(INDEX(Scores!$E$2:$E$103,MATCH($B62,Scores!$BI$2:$BI$103,0)),"")</f>
        <v/>
      </c>
      <c r="H62">
        <f>IFERROR(INDEX(Scores!$BF$2:$BF$103,MATCH($B62,Scores!$BI$2:$BI$103,0)),"")</f>
        <v/>
      </c>
      <c r="I62">
        <f>IFERROR(INDEX(Scores!$BH$2:$BH$103,MATCH($B62,Scores!$BI$2:$BI$103,0)),"")</f>
        <v/>
      </c>
      <c r="J62">
        <f>IFERROR(INDEX(Scores!$Q$2:$Q$103,MATCH($B62,Scores!$BI$2:$BI$103,0)),"")</f>
        <v/>
      </c>
      <c r="K62">
        <f>IFERROR(INDEX(Scores!$AC$2:$AC$103,MATCH($B62,Scores!$BI$2:$BI$103,0)),"")</f>
        <v/>
      </c>
      <c r="L62">
        <f>IFERROR(INDEX(Scores!$AK$2:$AK$103,MATCH($B62,Scores!$BI$2:$BI$103,0)),"")</f>
        <v/>
      </c>
      <c r="M62">
        <f>IFERROR(INDEX(Scores!$AS$2:$AS$103,MATCH($B62,Scores!$BI$2:$BI$103,0)),"")</f>
        <v/>
      </c>
      <c r="N62">
        <f>IFERROR(INDEX(Scores!$BC$2:$BC$103,MATCH($B62,Scores!$BI$2:$BI$103,0)),"")</f>
        <v/>
      </c>
    </row>
    <row r="63">
      <c r="A63" t="inlineStr">
        <is>
          <t>Ranked</t>
        </is>
      </c>
      <c r="B63" t="n">
        <v>61</v>
      </c>
      <c r="C63">
        <f>IFERROR(INDEX(Scores!$BI$2:$BI$103,MATCH($B63,Scores!$BI$2:$BI$103,0)),"")</f>
        <v/>
      </c>
      <c r="D63">
        <f>IFERROR(INDEX(Scores!$B$2:$B$103,MATCH($B63,Scores!$BI$2:$BI$103,0)),"")</f>
        <v/>
      </c>
      <c r="E63">
        <f>IFERROR(INDEX(Scores!$C$2:$C$103,MATCH($B63,Scores!$BI$2:$BI$103,0)),"")</f>
        <v/>
      </c>
      <c r="F63">
        <f>IFERROR(INDEX(Scores!$D$2:$D$103,MATCH($B63,Scores!$BI$2:$BI$103,0)),"")</f>
        <v/>
      </c>
      <c r="G63">
        <f>IFERROR(INDEX(Scores!$E$2:$E$103,MATCH($B63,Scores!$BI$2:$BI$103,0)),"")</f>
        <v/>
      </c>
      <c r="H63">
        <f>IFERROR(INDEX(Scores!$BF$2:$BF$103,MATCH($B63,Scores!$BI$2:$BI$103,0)),"")</f>
        <v/>
      </c>
      <c r="I63">
        <f>IFERROR(INDEX(Scores!$BH$2:$BH$103,MATCH($B63,Scores!$BI$2:$BI$103,0)),"")</f>
        <v/>
      </c>
      <c r="J63">
        <f>IFERROR(INDEX(Scores!$Q$2:$Q$103,MATCH($B63,Scores!$BI$2:$BI$103,0)),"")</f>
        <v/>
      </c>
      <c r="K63">
        <f>IFERROR(INDEX(Scores!$AC$2:$AC$103,MATCH($B63,Scores!$BI$2:$BI$103,0)),"")</f>
        <v/>
      </c>
      <c r="L63">
        <f>IFERROR(INDEX(Scores!$AK$2:$AK$103,MATCH($B63,Scores!$BI$2:$BI$103,0)),"")</f>
        <v/>
      </c>
      <c r="M63">
        <f>IFERROR(INDEX(Scores!$AS$2:$AS$103,MATCH($B63,Scores!$BI$2:$BI$103,0)),"")</f>
        <v/>
      </c>
      <c r="N63">
        <f>IFERROR(INDEX(Scores!$BC$2:$BC$103,MATCH($B63,Scores!$BI$2:$BI$103,0)),"")</f>
        <v/>
      </c>
    </row>
    <row r="64">
      <c r="A64" t="inlineStr">
        <is>
          <t>Ranked</t>
        </is>
      </c>
      <c r="B64" t="n">
        <v>62</v>
      </c>
      <c r="C64">
        <f>IFERROR(INDEX(Scores!$BI$2:$BI$103,MATCH($B64,Scores!$BI$2:$BI$103,0)),"")</f>
        <v/>
      </c>
      <c r="D64">
        <f>IFERROR(INDEX(Scores!$B$2:$B$103,MATCH($B64,Scores!$BI$2:$BI$103,0)),"")</f>
        <v/>
      </c>
      <c r="E64">
        <f>IFERROR(INDEX(Scores!$C$2:$C$103,MATCH($B64,Scores!$BI$2:$BI$103,0)),"")</f>
        <v/>
      </c>
      <c r="F64">
        <f>IFERROR(INDEX(Scores!$D$2:$D$103,MATCH($B64,Scores!$BI$2:$BI$103,0)),"")</f>
        <v/>
      </c>
      <c r="G64">
        <f>IFERROR(INDEX(Scores!$E$2:$E$103,MATCH($B64,Scores!$BI$2:$BI$103,0)),"")</f>
        <v/>
      </c>
      <c r="H64">
        <f>IFERROR(INDEX(Scores!$BF$2:$BF$103,MATCH($B64,Scores!$BI$2:$BI$103,0)),"")</f>
        <v/>
      </c>
      <c r="I64">
        <f>IFERROR(INDEX(Scores!$BH$2:$BH$103,MATCH($B64,Scores!$BI$2:$BI$103,0)),"")</f>
        <v/>
      </c>
      <c r="J64">
        <f>IFERROR(INDEX(Scores!$Q$2:$Q$103,MATCH($B64,Scores!$BI$2:$BI$103,0)),"")</f>
        <v/>
      </c>
      <c r="K64">
        <f>IFERROR(INDEX(Scores!$AC$2:$AC$103,MATCH($B64,Scores!$BI$2:$BI$103,0)),"")</f>
        <v/>
      </c>
      <c r="L64">
        <f>IFERROR(INDEX(Scores!$AK$2:$AK$103,MATCH($B64,Scores!$BI$2:$BI$103,0)),"")</f>
        <v/>
      </c>
      <c r="M64">
        <f>IFERROR(INDEX(Scores!$AS$2:$AS$103,MATCH($B64,Scores!$BI$2:$BI$103,0)),"")</f>
        <v/>
      </c>
      <c r="N64">
        <f>IFERROR(INDEX(Scores!$BC$2:$BC$103,MATCH($B64,Scores!$BI$2:$BI$103,0)),"")</f>
        <v/>
      </c>
    </row>
    <row r="65">
      <c r="A65" t="inlineStr">
        <is>
          <t>Ranked</t>
        </is>
      </c>
      <c r="B65" t="n">
        <v>63</v>
      </c>
      <c r="C65">
        <f>IFERROR(INDEX(Scores!$BI$2:$BI$103,MATCH($B65,Scores!$BI$2:$BI$103,0)),"")</f>
        <v/>
      </c>
      <c r="D65">
        <f>IFERROR(INDEX(Scores!$B$2:$B$103,MATCH($B65,Scores!$BI$2:$BI$103,0)),"")</f>
        <v/>
      </c>
      <c r="E65">
        <f>IFERROR(INDEX(Scores!$C$2:$C$103,MATCH($B65,Scores!$BI$2:$BI$103,0)),"")</f>
        <v/>
      </c>
      <c r="F65">
        <f>IFERROR(INDEX(Scores!$D$2:$D$103,MATCH($B65,Scores!$BI$2:$BI$103,0)),"")</f>
        <v/>
      </c>
      <c r="G65">
        <f>IFERROR(INDEX(Scores!$E$2:$E$103,MATCH($B65,Scores!$BI$2:$BI$103,0)),"")</f>
        <v/>
      </c>
      <c r="H65">
        <f>IFERROR(INDEX(Scores!$BF$2:$BF$103,MATCH($B65,Scores!$BI$2:$BI$103,0)),"")</f>
        <v/>
      </c>
      <c r="I65">
        <f>IFERROR(INDEX(Scores!$BH$2:$BH$103,MATCH($B65,Scores!$BI$2:$BI$103,0)),"")</f>
        <v/>
      </c>
      <c r="J65">
        <f>IFERROR(INDEX(Scores!$Q$2:$Q$103,MATCH($B65,Scores!$BI$2:$BI$103,0)),"")</f>
        <v/>
      </c>
      <c r="K65">
        <f>IFERROR(INDEX(Scores!$AC$2:$AC$103,MATCH($B65,Scores!$BI$2:$BI$103,0)),"")</f>
        <v/>
      </c>
      <c r="L65">
        <f>IFERROR(INDEX(Scores!$AK$2:$AK$103,MATCH($B65,Scores!$BI$2:$BI$103,0)),"")</f>
        <v/>
      </c>
      <c r="M65">
        <f>IFERROR(INDEX(Scores!$AS$2:$AS$103,MATCH($B65,Scores!$BI$2:$BI$103,0)),"")</f>
        <v/>
      </c>
      <c r="N65">
        <f>IFERROR(INDEX(Scores!$BC$2:$BC$103,MATCH($B65,Scores!$BI$2:$BI$103,0)),"")</f>
        <v/>
      </c>
    </row>
    <row r="66">
      <c r="A66" t="inlineStr">
        <is>
          <t>Ranked</t>
        </is>
      </c>
      <c r="B66" t="n">
        <v>64</v>
      </c>
      <c r="C66">
        <f>IFERROR(INDEX(Scores!$BI$2:$BI$103,MATCH($B66,Scores!$BI$2:$BI$103,0)),"")</f>
        <v/>
      </c>
      <c r="D66">
        <f>IFERROR(INDEX(Scores!$B$2:$B$103,MATCH($B66,Scores!$BI$2:$BI$103,0)),"")</f>
        <v/>
      </c>
      <c r="E66">
        <f>IFERROR(INDEX(Scores!$C$2:$C$103,MATCH($B66,Scores!$BI$2:$BI$103,0)),"")</f>
        <v/>
      </c>
      <c r="F66">
        <f>IFERROR(INDEX(Scores!$D$2:$D$103,MATCH($B66,Scores!$BI$2:$BI$103,0)),"")</f>
        <v/>
      </c>
      <c r="G66">
        <f>IFERROR(INDEX(Scores!$E$2:$E$103,MATCH($B66,Scores!$BI$2:$BI$103,0)),"")</f>
        <v/>
      </c>
      <c r="H66">
        <f>IFERROR(INDEX(Scores!$BF$2:$BF$103,MATCH($B66,Scores!$BI$2:$BI$103,0)),"")</f>
        <v/>
      </c>
      <c r="I66">
        <f>IFERROR(INDEX(Scores!$BH$2:$BH$103,MATCH($B66,Scores!$BI$2:$BI$103,0)),"")</f>
        <v/>
      </c>
      <c r="J66">
        <f>IFERROR(INDEX(Scores!$Q$2:$Q$103,MATCH($B66,Scores!$BI$2:$BI$103,0)),"")</f>
        <v/>
      </c>
      <c r="K66">
        <f>IFERROR(INDEX(Scores!$AC$2:$AC$103,MATCH($B66,Scores!$BI$2:$BI$103,0)),"")</f>
        <v/>
      </c>
      <c r="L66">
        <f>IFERROR(INDEX(Scores!$AK$2:$AK$103,MATCH($B66,Scores!$BI$2:$BI$103,0)),"")</f>
        <v/>
      </c>
      <c r="M66">
        <f>IFERROR(INDEX(Scores!$AS$2:$AS$103,MATCH($B66,Scores!$BI$2:$BI$103,0)),"")</f>
        <v/>
      </c>
      <c r="N66">
        <f>IFERROR(INDEX(Scores!$BC$2:$BC$103,MATCH($B66,Scores!$BI$2:$BI$103,0)),"")</f>
        <v/>
      </c>
    </row>
    <row r="67">
      <c r="A67" t="inlineStr">
        <is>
          <t>Ranked</t>
        </is>
      </c>
      <c r="B67" t="n">
        <v>65</v>
      </c>
      <c r="C67">
        <f>IFERROR(INDEX(Scores!$BI$2:$BI$103,MATCH($B67,Scores!$BI$2:$BI$103,0)),"")</f>
        <v/>
      </c>
      <c r="D67">
        <f>IFERROR(INDEX(Scores!$B$2:$B$103,MATCH($B67,Scores!$BI$2:$BI$103,0)),"")</f>
        <v/>
      </c>
      <c r="E67">
        <f>IFERROR(INDEX(Scores!$C$2:$C$103,MATCH($B67,Scores!$BI$2:$BI$103,0)),"")</f>
        <v/>
      </c>
      <c r="F67">
        <f>IFERROR(INDEX(Scores!$D$2:$D$103,MATCH($B67,Scores!$BI$2:$BI$103,0)),"")</f>
        <v/>
      </c>
      <c r="G67">
        <f>IFERROR(INDEX(Scores!$E$2:$E$103,MATCH($B67,Scores!$BI$2:$BI$103,0)),"")</f>
        <v/>
      </c>
      <c r="H67">
        <f>IFERROR(INDEX(Scores!$BF$2:$BF$103,MATCH($B67,Scores!$BI$2:$BI$103,0)),"")</f>
        <v/>
      </c>
      <c r="I67">
        <f>IFERROR(INDEX(Scores!$BH$2:$BH$103,MATCH($B67,Scores!$BI$2:$BI$103,0)),"")</f>
        <v/>
      </c>
      <c r="J67">
        <f>IFERROR(INDEX(Scores!$Q$2:$Q$103,MATCH($B67,Scores!$BI$2:$BI$103,0)),"")</f>
        <v/>
      </c>
      <c r="K67">
        <f>IFERROR(INDEX(Scores!$AC$2:$AC$103,MATCH($B67,Scores!$BI$2:$BI$103,0)),"")</f>
        <v/>
      </c>
      <c r="L67">
        <f>IFERROR(INDEX(Scores!$AK$2:$AK$103,MATCH($B67,Scores!$BI$2:$BI$103,0)),"")</f>
        <v/>
      </c>
      <c r="M67">
        <f>IFERROR(INDEX(Scores!$AS$2:$AS$103,MATCH($B67,Scores!$BI$2:$BI$103,0)),"")</f>
        <v/>
      </c>
      <c r="N67">
        <f>IFERROR(INDEX(Scores!$BC$2:$BC$103,MATCH($B67,Scores!$BI$2:$BI$103,0)),"")</f>
        <v/>
      </c>
    </row>
    <row r="68">
      <c r="A68" t="inlineStr">
        <is>
          <t>Ranked</t>
        </is>
      </c>
      <c r="B68" t="n">
        <v>66</v>
      </c>
      <c r="C68">
        <f>IFERROR(INDEX(Scores!$BI$2:$BI$103,MATCH($B68,Scores!$BI$2:$BI$103,0)),"")</f>
        <v/>
      </c>
      <c r="D68">
        <f>IFERROR(INDEX(Scores!$B$2:$B$103,MATCH($B68,Scores!$BI$2:$BI$103,0)),"")</f>
        <v/>
      </c>
      <c r="E68">
        <f>IFERROR(INDEX(Scores!$C$2:$C$103,MATCH($B68,Scores!$BI$2:$BI$103,0)),"")</f>
        <v/>
      </c>
      <c r="F68">
        <f>IFERROR(INDEX(Scores!$D$2:$D$103,MATCH($B68,Scores!$BI$2:$BI$103,0)),"")</f>
        <v/>
      </c>
      <c r="G68">
        <f>IFERROR(INDEX(Scores!$E$2:$E$103,MATCH($B68,Scores!$BI$2:$BI$103,0)),"")</f>
        <v/>
      </c>
      <c r="H68">
        <f>IFERROR(INDEX(Scores!$BF$2:$BF$103,MATCH($B68,Scores!$BI$2:$BI$103,0)),"")</f>
        <v/>
      </c>
      <c r="I68">
        <f>IFERROR(INDEX(Scores!$BH$2:$BH$103,MATCH($B68,Scores!$BI$2:$BI$103,0)),"")</f>
        <v/>
      </c>
      <c r="J68">
        <f>IFERROR(INDEX(Scores!$Q$2:$Q$103,MATCH($B68,Scores!$BI$2:$BI$103,0)),"")</f>
        <v/>
      </c>
      <c r="K68">
        <f>IFERROR(INDEX(Scores!$AC$2:$AC$103,MATCH($B68,Scores!$BI$2:$BI$103,0)),"")</f>
        <v/>
      </c>
      <c r="L68">
        <f>IFERROR(INDEX(Scores!$AK$2:$AK$103,MATCH($B68,Scores!$BI$2:$BI$103,0)),"")</f>
        <v/>
      </c>
      <c r="M68">
        <f>IFERROR(INDEX(Scores!$AS$2:$AS$103,MATCH($B68,Scores!$BI$2:$BI$103,0)),"")</f>
        <v/>
      </c>
      <c r="N68">
        <f>IFERROR(INDEX(Scores!$BC$2:$BC$103,MATCH($B68,Scores!$BI$2:$BI$103,0)),"")</f>
        <v/>
      </c>
    </row>
    <row r="69">
      <c r="A69" t="inlineStr">
        <is>
          <t>Ranked</t>
        </is>
      </c>
      <c r="B69" t="n">
        <v>67</v>
      </c>
      <c r="C69">
        <f>IFERROR(INDEX(Scores!$BI$2:$BI$103,MATCH($B69,Scores!$BI$2:$BI$103,0)),"")</f>
        <v/>
      </c>
      <c r="D69">
        <f>IFERROR(INDEX(Scores!$B$2:$B$103,MATCH($B69,Scores!$BI$2:$BI$103,0)),"")</f>
        <v/>
      </c>
      <c r="E69">
        <f>IFERROR(INDEX(Scores!$C$2:$C$103,MATCH($B69,Scores!$BI$2:$BI$103,0)),"")</f>
        <v/>
      </c>
      <c r="F69">
        <f>IFERROR(INDEX(Scores!$D$2:$D$103,MATCH($B69,Scores!$BI$2:$BI$103,0)),"")</f>
        <v/>
      </c>
      <c r="G69">
        <f>IFERROR(INDEX(Scores!$E$2:$E$103,MATCH($B69,Scores!$BI$2:$BI$103,0)),"")</f>
        <v/>
      </c>
      <c r="H69">
        <f>IFERROR(INDEX(Scores!$BF$2:$BF$103,MATCH($B69,Scores!$BI$2:$BI$103,0)),"")</f>
        <v/>
      </c>
      <c r="I69">
        <f>IFERROR(INDEX(Scores!$BH$2:$BH$103,MATCH($B69,Scores!$BI$2:$BI$103,0)),"")</f>
        <v/>
      </c>
      <c r="J69">
        <f>IFERROR(INDEX(Scores!$Q$2:$Q$103,MATCH($B69,Scores!$BI$2:$BI$103,0)),"")</f>
        <v/>
      </c>
      <c r="K69">
        <f>IFERROR(INDEX(Scores!$AC$2:$AC$103,MATCH($B69,Scores!$BI$2:$BI$103,0)),"")</f>
        <v/>
      </c>
      <c r="L69">
        <f>IFERROR(INDEX(Scores!$AK$2:$AK$103,MATCH($B69,Scores!$BI$2:$BI$103,0)),"")</f>
        <v/>
      </c>
      <c r="M69">
        <f>IFERROR(INDEX(Scores!$AS$2:$AS$103,MATCH($B69,Scores!$BI$2:$BI$103,0)),"")</f>
        <v/>
      </c>
      <c r="N69">
        <f>IFERROR(INDEX(Scores!$BC$2:$BC$103,MATCH($B69,Scores!$BI$2:$BI$103,0)),"")</f>
        <v/>
      </c>
    </row>
    <row r="70">
      <c r="A70" t="inlineStr">
        <is>
          <t>Ranked</t>
        </is>
      </c>
      <c r="B70" t="n">
        <v>68</v>
      </c>
      <c r="C70">
        <f>IFERROR(INDEX(Scores!$BI$2:$BI$103,MATCH($B70,Scores!$BI$2:$BI$103,0)),"")</f>
        <v/>
      </c>
      <c r="D70">
        <f>IFERROR(INDEX(Scores!$B$2:$B$103,MATCH($B70,Scores!$BI$2:$BI$103,0)),"")</f>
        <v/>
      </c>
      <c r="E70">
        <f>IFERROR(INDEX(Scores!$C$2:$C$103,MATCH($B70,Scores!$BI$2:$BI$103,0)),"")</f>
        <v/>
      </c>
      <c r="F70">
        <f>IFERROR(INDEX(Scores!$D$2:$D$103,MATCH($B70,Scores!$BI$2:$BI$103,0)),"")</f>
        <v/>
      </c>
      <c r="G70">
        <f>IFERROR(INDEX(Scores!$E$2:$E$103,MATCH($B70,Scores!$BI$2:$BI$103,0)),"")</f>
        <v/>
      </c>
      <c r="H70">
        <f>IFERROR(INDEX(Scores!$BF$2:$BF$103,MATCH($B70,Scores!$BI$2:$BI$103,0)),"")</f>
        <v/>
      </c>
      <c r="I70">
        <f>IFERROR(INDEX(Scores!$BH$2:$BH$103,MATCH($B70,Scores!$BI$2:$BI$103,0)),"")</f>
        <v/>
      </c>
      <c r="J70">
        <f>IFERROR(INDEX(Scores!$Q$2:$Q$103,MATCH($B70,Scores!$BI$2:$BI$103,0)),"")</f>
        <v/>
      </c>
      <c r="K70">
        <f>IFERROR(INDEX(Scores!$AC$2:$AC$103,MATCH($B70,Scores!$BI$2:$BI$103,0)),"")</f>
        <v/>
      </c>
      <c r="L70">
        <f>IFERROR(INDEX(Scores!$AK$2:$AK$103,MATCH($B70,Scores!$BI$2:$BI$103,0)),"")</f>
        <v/>
      </c>
      <c r="M70">
        <f>IFERROR(INDEX(Scores!$AS$2:$AS$103,MATCH($B70,Scores!$BI$2:$BI$103,0)),"")</f>
        <v/>
      </c>
      <c r="N70">
        <f>IFERROR(INDEX(Scores!$BC$2:$BC$103,MATCH($B70,Scores!$BI$2:$BI$103,0)),"")</f>
        <v/>
      </c>
    </row>
    <row r="71">
      <c r="A71" t="inlineStr">
        <is>
          <t>Ranked</t>
        </is>
      </c>
      <c r="B71" t="n">
        <v>69</v>
      </c>
      <c r="C71">
        <f>IFERROR(INDEX(Scores!$BI$2:$BI$103,MATCH($B71,Scores!$BI$2:$BI$103,0)),"")</f>
        <v/>
      </c>
      <c r="D71">
        <f>IFERROR(INDEX(Scores!$B$2:$B$103,MATCH($B71,Scores!$BI$2:$BI$103,0)),"")</f>
        <v/>
      </c>
      <c r="E71">
        <f>IFERROR(INDEX(Scores!$C$2:$C$103,MATCH($B71,Scores!$BI$2:$BI$103,0)),"")</f>
        <v/>
      </c>
      <c r="F71">
        <f>IFERROR(INDEX(Scores!$D$2:$D$103,MATCH($B71,Scores!$BI$2:$BI$103,0)),"")</f>
        <v/>
      </c>
      <c r="G71">
        <f>IFERROR(INDEX(Scores!$E$2:$E$103,MATCH($B71,Scores!$BI$2:$BI$103,0)),"")</f>
        <v/>
      </c>
      <c r="H71">
        <f>IFERROR(INDEX(Scores!$BF$2:$BF$103,MATCH($B71,Scores!$BI$2:$BI$103,0)),"")</f>
        <v/>
      </c>
      <c r="I71">
        <f>IFERROR(INDEX(Scores!$BH$2:$BH$103,MATCH($B71,Scores!$BI$2:$BI$103,0)),"")</f>
        <v/>
      </c>
      <c r="J71">
        <f>IFERROR(INDEX(Scores!$Q$2:$Q$103,MATCH($B71,Scores!$BI$2:$BI$103,0)),"")</f>
        <v/>
      </c>
      <c r="K71">
        <f>IFERROR(INDEX(Scores!$AC$2:$AC$103,MATCH($B71,Scores!$BI$2:$BI$103,0)),"")</f>
        <v/>
      </c>
      <c r="L71">
        <f>IFERROR(INDEX(Scores!$AK$2:$AK$103,MATCH($B71,Scores!$BI$2:$BI$103,0)),"")</f>
        <v/>
      </c>
      <c r="M71">
        <f>IFERROR(INDEX(Scores!$AS$2:$AS$103,MATCH($B71,Scores!$BI$2:$BI$103,0)),"")</f>
        <v/>
      </c>
      <c r="N71">
        <f>IFERROR(INDEX(Scores!$BC$2:$BC$103,MATCH($B71,Scores!$BI$2:$BI$103,0)),"")</f>
        <v/>
      </c>
    </row>
    <row r="72">
      <c r="A72" t="inlineStr">
        <is>
          <t>Ranked</t>
        </is>
      </c>
      <c r="B72" t="n">
        <v>70</v>
      </c>
      <c r="C72">
        <f>IFERROR(INDEX(Scores!$BI$2:$BI$103,MATCH($B72,Scores!$BI$2:$BI$103,0)),"")</f>
        <v/>
      </c>
      <c r="D72">
        <f>IFERROR(INDEX(Scores!$B$2:$B$103,MATCH($B72,Scores!$BI$2:$BI$103,0)),"")</f>
        <v/>
      </c>
      <c r="E72">
        <f>IFERROR(INDEX(Scores!$C$2:$C$103,MATCH($B72,Scores!$BI$2:$BI$103,0)),"")</f>
        <v/>
      </c>
      <c r="F72">
        <f>IFERROR(INDEX(Scores!$D$2:$D$103,MATCH($B72,Scores!$BI$2:$BI$103,0)),"")</f>
        <v/>
      </c>
      <c r="G72">
        <f>IFERROR(INDEX(Scores!$E$2:$E$103,MATCH($B72,Scores!$BI$2:$BI$103,0)),"")</f>
        <v/>
      </c>
      <c r="H72">
        <f>IFERROR(INDEX(Scores!$BF$2:$BF$103,MATCH($B72,Scores!$BI$2:$BI$103,0)),"")</f>
        <v/>
      </c>
      <c r="I72">
        <f>IFERROR(INDEX(Scores!$BH$2:$BH$103,MATCH($B72,Scores!$BI$2:$BI$103,0)),"")</f>
        <v/>
      </c>
      <c r="J72">
        <f>IFERROR(INDEX(Scores!$Q$2:$Q$103,MATCH($B72,Scores!$BI$2:$BI$103,0)),"")</f>
        <v/>
      </c>
      <c r="K72">
        <f>IFERROR(INDEX(Scores!$AC$2:$AC$103,MATCH($B72,Scores!$BI$2:$BI$103,0)),"")</f>
        <v/>
      </c>
      <c r="L72">
        <f>IFERROR(INDEX(Scores!$AK$2:$AK$103,MATCH($B72,Scores!$BI$2:$BI$103,0)),"")</f>
        <v/>
      </c>
      <c r="M72">
        <f>IFERROR(INDEX(Scores!$AS$2:$AS$103,MATCH($B72,Scores!$BI$2:$BI$103,0)),"")</f>
        <v/>
      </c>
      <c r="N72">
        <f>IFERROR(INDEX(Scores!$BC$2:$BC$103,MATCH($B72,Scores!$BI$2:$BI$103,0)),"")</f>
        <v/>
      </c>
    </row>
    <row r="73">
      <c r="A73" t="inlineStr">
        <is>
          <t>Ranked</t>
        </is>
      </c>
      <c r="B73" t="n">
        <v>71</v>
      </c>
      <c r="C73">
        <f>IFERROR(INDEX(Scores!$BI$2:$BI$103,MATCH($B73,Scores!$BI$2:$BI$103,0)),"")</f>
        <v/>
      </c>
      <c r="D73">
        <f>IFERROR(INDEX(Scores!$B$2:$B$103,MATCH($B73,Scores!$BI$2:$BI$103,0)),"")</f>
        <v/>
      </c>
      <c r="E73">
        <f>IFERROR(INDEX(Scores!$C$2:$C$103,MATCH($B73,Scores!$BI$2:$BI$103,0)),"")</f>
        <v/>
      </c>
      <c r="F73">
        <f>IFERROR(INDEX(Scores!$D$2:$D$103,MATCH($B73,Scores!$BI$2:$BI$103,0)),"")</f>
        <v/>
      </c>
      <c r="G73">
        <f>IFERROR(INDEX(Scores!$E$2:$E$103,MATCH($B73,Scores!$BI$2:$BI$103,0)),"")</f>
        <v/>
      </c>
      <c r="H73">
        <f>IFERROR(INDEX(Scores!$BF$2:$BF$103,MATCH($B73,Scores!$BI$2:$BI$103,0)),"")</f>
        <v/>
      </c>
      <c r="I73">
        <f>IFERROR(INDEX(Scores!$BH$2:$BH$103,MATCH($B73,Scores!$BI$2:$BI$103,0)),"")</f>
        <v/>
      </c>
      <c r="J73">
        <f>IFERROR(INDEX(Scores!$Q$2:$Q$103,MATCH($B73,Scores!$BI$2:$BI$103,0)),"")</f>
        <v/>
      </c>
      <c r="K73">
        <f>IFERROR(INDEX(Scores!$AC$2:$AC$103,MATCH($B73,Scores!$BI$2:$BI$103,0)),"")</f>
        <v/>
      </c>
      <c r="L73">
        <f>IFERROR(INDEX(Scores!$AK$2:$AK$103,MATCH($B73,Scores!$BI$2:$BI$103,0)),"")</f>
        <v/>
      </c>
      <c r="M73">
        <f>IFERROR(INDEX(Scores!$AS$2:$AS$103,MATCH($B73,Scores!$BI$2:$BI$103,0)),"")</f>
        <v/>
      </c>
      <c r="N73">
        <f>IFERROR(INDEX(Scores!$BC$2:$BC$103,MATCH($B73,Scores!$BI$2:$BI$103,0)),"")</f>
        <v/>
      </c>
    </row>
    <row r="74">
      <c r="A74" t="inlineStr">
        <is>
          <t>Ranked</t>
        </is>
      </c>
      <c r="B74" t="n">
        <v>72</v>
      </c>
      <c r="C74">
        <f>IFERROR(INDEX(Scores!$BI$2:$BI$103,MATCH($B74,Scores!$BI$2:$BI$103,0)),"")</f>
        <v/>
      </c>
      <c r="D74">
        <f>IFERROR(INDEX(Scores!$B$2:$B$103,MATCH($B74,Scores!$BI$2:$BI$103,0)),"")</f>
        <v/>
      </c>
      <c r="E74">
        <f>IFERROR(INDEX(Scores!$C$2:$C$103,MATCH($B74,Scores!$BI$2:$BI$103,0)),"")</f>
        <v/>
      </c>
      <c r="F74">
        <f>IFERROR(INDEX(Scores!$D$2:$D$103,MATCH($B74,Scores!$BI$2:$BI$103,0)),"")</f>
        <v/>
      </c>
      <c r="G74">
        <f>IFERROR(INDEX(Scores!$E$2:$E$103,MATCH($B74,Scores!$BI$2:$BI$103,0)),"")</f>
        <v/>
      </c>
      <c r="H74">
        <f>IFERROR(INDEX(Scores!$BF$2:$BF$103,MATCH($B74,Scores!$BI$2:$BI$103,0)),"")</f>
        <v/>
      </c>
      <c r="I74">
        <f>IFERROR(INDEX(Scores!$BH$2:$BH$103,MATCH($B74,Scores!$BI$2:$BI$103,0)),"")</f>
        <v/>
      </c>
      <c r="J74">
        <f>IFERROR(INDEX(Scores!$Q$2:$Q$103,MATCH($B74,Scores!$BI$2:$BI$103,0)),"")</f>
        <v/>
      </c>
      <c r="K74">
        <f>IFERROR(INDEX(Scores!$AC$2:$AC$103,MATCH($B74,Scores!$BI$2:$BI$103,0)),"")</f>
        <v/>
      </c>
      <c r="L74">
        <f>IFERROR(INDEX(Scores!$AK$2:$AK$103,MATCH($B74,Scores!$BI$2:$BI$103,0)),"")</f>
        <v/>
      </c>
      <c r="M74">
        <f>IFERROR(INDEX(Scores!$AS$2:$AS$103,MATCH($B74,Scores!$BI$2:$BI$103,0)),"")</f>
        <v/>
      </c>
      <c r="N74">
        <f>IFERROR(INDEX(Scores!$BC$2:$BC$103,MATCH($B74,Scores!$BI$2:$BI$103,0)),"")</f>
        <v/>
      </c>
    </row>
    <row r="75">
      <c r="A75" t="inlineStr">
        <is>
          <t>Ranked</t>
        </is>
      </c>
      <c r="B75" t="n">
        <v>73</v>
      </c>
      <c r="C75">
        <f>IFERROR(INDEX(Scores!$BI$2:$BI$103,MATCH($B75,Scores!$BI$2:$BI$103,0)),"")</f>
        <v/>
      </c>
      <c r="D75">
        <f>IFERROR(INDEX(Scores!$B$2:$B$103,MATCH($B75,Scores!$BI$2:$BI$103,0)),"")</f>
        <v/>
      </c>
      <c r="E75">
        <f>IFERROR(INDEX(Scores!$C$2:$C$103,MATCH($B75,Scores!$BI$2:$BI$103,0)),"")</f>
        <v/>
      </c>
      <c r="F75">
        <f>IFERROR(INDEX(Scores!$D$2:$D$103,MATCH($B75,Scores!$BI$2:$BI$103,0)),"")</f>
        <v/>
      </c>
      <c r="G75">
        <f>IFERROR(INDEX(Scores!$E$2:$E$103,MATCH($B75,Scores!$BI$2:$BI$103,0)),"")</f>
        <v/>
      </c>
      <c r="H75">
        <f>IFERROR(INDEX(Scores!$BF$2:$BF$103,MATCH($B75,Scores!$BI$2:$BI$103,0)),"")</f>
        <v/>
      </c>
      <c r="I75">
        <f>IFERROR(INDEX(Scores!$BH$2:$BH$103,MATCH($B75,Scores!$BI$2:$BI$103,0)),"")</f>
        <v/>
      </c>
      <c r="J75">
        <f>IFERROR(INDEX(Scores!$Q$2:$Q$103,MATCH($B75,Scores!$BI$2:$BI$103,0)),"")</f>
        <v/>
      </c>
      <c r="K75">
        <f>IFERROR(INDEX(Scores!$AC$2:$AC$103,MATCH($B75,Scores!$BI$2:$BI$103,0)),"")</f>
        <v/>
      </c>
      <c r="L75">
        <f>IFERROR(INDEX(Scores!$AK$2:$AK$103,MATCH($B75,Scores!$BI$2:$BI$103,0)),"")</f>
        <v/>
      </c>
      <c r="M75">
        <f>IFERROR(INDEX(Scores!$AS$2:$AS$103,MATCH($B75,Scores!$BI$2:$BI$103,0)),"")</f>
        <v/>
      </c>
      <c r="N75">
        <f>IFERROR(INDEX(Scores!$BC$2:$BC$103,MATCH($B75,Scores!$BI$2:$BI$103,0)),"")</f>
        <v/>
      </c>
    </row>
    <row r="76">
      <c r="A76" t="inlineStr">
        <is>
          <t>Ranked</t>
        </is>
      </c>
      <c r="B76" t="n">
        <v>74</v>
      </c>
      <c r="C76">
        <f>IFERROR(INDEX(Scores!$BI$2:$BI$103,MATCH($B76,Scores!$BI$2:$BI$103,0)),"")</f>
        <v/>
      </c>
      <c r="D76">
        <f>IFERROR(INDEX(Scores!$B$2:$B$103,MATCH($B76,Scores!$BI$2:$BI$103,0)),"")</f>
        <v/>
      </c>
      <c r="E76">
        <f>IFERROR(INDEX(Scores!$C$2:$C$103,MATCH($B76,Scores!$BI$2:$BI$103,0)),"")</f>
        <v/>
      </c>
      <c r="F76">
        <f>IFERROR(INDEX(Scores!$D$2:$D$103,MATCH($B76,Scores!$BI$2:$BI$103,0)),"")</f>
        <v/>
      </c>
      <c r="G76">
        <f>IFERROR(INDEX(Scores!$E$2:$E$103,MATCH($B76,Scores!$BI$2:$BI$103,0)),"")</f>
        <v/>
      </c>
      <c r="H76">
        <f>IFERROR(INDEX(Scores!$BF$2:$BF$103,MATCH($B76,Scores!$BI$2:$BI$103,0)),"")</f>
        <v/>
      </c>
      <c r="I76">
        <f>IFERROR(INDEX(Scores!$BH$2:$BH$103,MATCH($B76,Scores!$BI$2:$BI$103,0)),"")</f>
        <v/>
      </c>
      <c r="J76">
        <f>IFERROR(INDEX(Scores!$Q$2:$Q$103,MATCH($B76,Scores!$BI$2:$BI$103,0)),"")</f>
        <v/>
      </c>
      <c r="K76">
        <f>IFERROR(INDEX(Scores!$AC$2:$AC$103,MATCH($B76,Scores!$BI$2:$BI$103,0)),"")</f>
        <v/>
      </c>
      <c r="L76">
        <f>IFERROR(INDEX(Scores!$AK$2:$AK$103,MATCH($B76,Scores!$BI$2:$BI$103,0)),"")</f>
        <v/>
      </c>
      <c r="M76">
        <f>IFERROR(INDEX(Scores!$AS$2:$AS$103,MATCH($B76,Scores!$BI$2:$BI$103,0)),"")</f>
        <v/>
      </c>
      <c r="N76">
        <f>IFERROR(INDEX(Scores!$BC$2:$BC$103,MATCH($B76,Scores!$BI$2:$BI$103,0)),"")</f>
        <v/>
      </c>
    </row>
    <row r="77">
      <c r="A77" t="inlineStr">
        <is>
          <t>Ranked</t>
        </is>
      </c>
      <c r="B77" t="n">
        <v>75</v>
      </c>
      <c r="C77">
        <f>IFERROR(INDEX(Scores!$BI$2:$BI$103,MATCH($B77,Scores!$BI$2:$BI$103,0)),"")</f>
        <v/>
      </c>
      <c r="D77">
        <f>IFERROR(INDEX(Scores!$B$2:$B$103,MATCH($B77,Scores!$BI$2:$BI$103,0)),"")</f>
        <v/>
      </c>
      <c r="E77">
        <f>IFERROR(INDEX(Scores!$C$2:$C$103,MATCH($B77,Scores!$BI$2:$BI$103,0)),"")</f>
        <v/>
      </c>
      <c r="F77">
        <f>IFERROR(INDEX(Scores!$D$2:$D$103,MATCH($B77,Scores!$BI$2:$BI$103,0)),"")</f>
        <v/>
      </c>
      <c r="G77">
        <f>IFERROR(INDEX(Scores!$E$2:$E$103,MATCH($B77,Scores!$BI$2:$BI$103,0)),"")</f>
        <v/>
      </c>
      <c r="H77">
        <f>IFERROR(INDEX(Scores!$BF$2:$BF$103,MATCH($B77,Scores!$BI$2:$BI$103,0)),"")</f>
        <v/>
      </c>
      <c r="I77">
        <f>IFERROR(INDEX(Scores!$BH$2:$BH$103,MATCH($B77,Scores!$BI$2:$BI$103,0)),"")</f>
        <v/>
      </c>
      <c r="J77">
        <f>IFERROR(INDEX(Scores!$Q$2:$Q$103,MATCH($B77,Scores!$BI$2:$BI$103,0)),"")</f>
        <v/>
      </c>
      <c r="K77">
        <f>IFERROR(INDEX(Scores!$AC$2:$AC$103,MATCH($B77,Scores!$BI$2:$BI$103,0)),"")</f>
        <v/>
      </c>
      <c r="L77">
        <f>IFERROR(INDEX(Scores!$AK$2:$AK$103,MATCH($B77,Scores!$BI$2:$BI$103,0)),"")</f>
        <v/>
      </c>
      <c r="M77">
        <f>IFERROR(INDEX(Scores!$AS$2:$AS$103,MATCH($B77,Scores!$BI$2:$BI$103,0)),"")</f>
        <v/>
      </c>
      <c r="N77">
        <f>IFERROR(INDEX(Scores!$BC$2:$BC$103,MATCH($B77,Scores!$BI$2:$BI$103,0)),"")</f>
        <v/>
      </c>
    </row>
    <row r="78">
      <c r="A78" t="inlineStr">
        <is>
          <t>Ranked</t>
        </is>
      </c>
      <c r="B78" t="n">
        <v>76</v>
      </c>
      <c r="C78">
        <f>IFERROR(INDEX(Scores!$BI$2:$BI$103,MATCH($B78,Scores!$BI$2:$BI$103,0)),"")</f>
        <v/>
      </c>
      <c r="D78">
        <f>IFERROR(INDEX(Scores!$B$2:$B$103,MATCH($B78,Scores!$BI$2:$BI$103,0)),"")</f>
        <v/>
      </c>
      <c r="E78">
        <f>IFERROR(INDEX(Scores!$C$2:$C$103,MATCH($B78,Scores!$BI$2:$BI$103,0)),"")</f>
        <v/>
      </c>
      <c r="F78">
        <f>IFERROR(INDEX(Scores!$D$2:$D$103,MATCH($B78,Scores!$BI$2:$BI$103,0)),"")</f>
        <v/>
      </c>
      <c r="G78">
        <f>IFERROR(INDEX(Scores!$E$2:$E$103,MATCH($B78,Scores!$BI$2:$BI$103,0)),"")</f>
        <v/>
      </c>
      <c r="H78">
        <f>IFERROR(INDEX(Scores!$BF$2:$BF$103,MATCH($B78,Scores!$BI$2:$BI$103,0)),"")</f>
        <v/>
      </c>
      <c r="I78">
        <f>IFERROR(INDEX(Scores!$BH$2:$BH$103,MATCH($B78,Scores!$BI$2:$BI$103,0)),"")</f>
        <v/>
      </c>
      <c r="J78">
        <f>IFERROR(INDEX(Scores!$Q$2:$Q$103,MATCH($B78,Scores!$BI$2:$BI$103,0)),"")</f>
        <v/>
      </c>
      <c r="K78">
        <f>IFERROR(INDEX(Scores!$AC$2:$AC$103,MATCH($B78,Scores!$BI$2:$BI$103,0)),"")</f>
        <v/>
      </c>
      <c r="L78">
        <f>IFERROR(INDEX(Scores!$AK$2:$AK$103,MATCH($B78,Scores!$BI$2:$BI$103,0)),"")</f>
        <v/>
      </c>
      <c r="M78">
        <f>IFERROR(INDEX(Scores!$AS$2:$AS$103,MATCH($B78,Scores!$BI$2:$BI$103,0)),"")</f>
        <v/>
      </c>
      <c r="N78">
        <f>IFERROR(INDEX(Scores!$BC$2:$BC$103,MATCH($B78,Scores!$BI$2:$BI$103,0)),"")</f>
        <v/>
      </c>
    </row>
    <row r="79">
      <c r="A79" t="inlineStr">
        <is>
          <t>Ranked</t>
        </is>
      </c>
      <c r="B79" t="n">
        <v>77</v>
      </c>
      <c r="C79">
        <f>IFERROR(INDEX(Scores!$BI$2:$BI$103,MATCH($B79,Scores!$BI$2:$BI$103,0)),"")</f>
        <v/>
      </c>
      <c r="D79">
        <f>IFERROR(INDEX(Scores!$B$2:$B$103,MATCH($B79,Scores!$BI$2:$BI$103,0)),"")</f>
        <v/>
      </c>
      <c r="E79">
        <f>IFERROR(INDEX(Scores!$C$2:$C$103,MATCH($B79,Scores!$BI$2:$BI$103,0)),"")</f>
        <v/>
      </c>
      <c r="F79">
        <f>IFERROR(INDEX(Scores!$D$2:$D$103,MATCH($B79,Scores!$BI$2:$BI$103,0)),"")</f>
        <v/>
      </c>
      <c r="G79">
        <f>IFERROR(INDEX(Scores!$E$2:$E$103,MATCH($B79,Scores!$BI$2:$BI$103,0)),"")</f>
        <v/>
      </c>
      <c r="H79">
        <f>IFERROR(INDEX(Scores!$BF$2:$BF$103,MATCH($B79,Scores!$BI$2:$BI$103,0)),"")</f>
        <v/>
      </c>
      <c r="I79">
        <f>IFERROR(INDEX(Scores!$BH$2:$BH$103,MATCH($B79,Scores!$BI$2:$BI$103,0)),"")</f>
        <v/>
      </c>
      <c r="J79">
        <f>IFERROR(INDEX(Scores!$Q$2:$Q$103,MATCH($B79,Scores!$BI$2:$BI$103,0)),"")</f>
        <v/>
      </c>
      <c r="K79">
        <f>IFERROR(INDEX(Scores!$AC$2:$AC$103,MATCH($B79,Scores!$BI$2:$BI$103,0)),"")</f>
        <v/>
      </c>
      <c r="L79">
        <f>IFERROR(INDEX(Scores!$AK$2:$AK$103,MATCH($B79,Scores!$BI$2:$BI$103,0)),"")</f>
        <v/>
      </c>
      <c r="M79">
        <f>IFERROR(INDEX(Scores!$AS$2:$AS$103,MATCH($B79,Scores!$BI$2:$BI$103,0)),"")</f>
        <v/>
      </c>
      <c r="N79">
        <f>IFERROR(INDEX(Scores!$BC$2:$BC$103,MATCH($B79,Scores!$BI$2:$BI$103,0)),"")</f>
        <v/>
      </c>
    </row>
    <row r="80">
      <c r="A80" t="inlineStr">
        <is>
          <t>Ranked</t>
        </is>
      </c>
      <c r="B80" t="n">
        <v>78</v>
      </c>
      <c r="C80">
        <f>IFERROR(INDEX(Scores!$BI$2:$BI$103,MATCH($B80,Scores!$BI$2:$BI$103,0)),"")</f>
        <v/>
      </c>
      <c r="D80">
        <f>IFERROR(INDEX(Scores!$B$2:$B$103,MATCH($B80,Scores!$BI$2:$BI$103,0)),"")</f>
        <v/>
      </c>
      <c r="E80">
        <f>IFERROR(INDEX(Scores!$C$2:$C$103,MATCH($B80,Scores!$BI$2:$BI$103,0)),"")</f>
        <v/>
      </c>
      <c r="F80">
        <f>IFERROR(INDEX(Scores!$D$2:$D$103,MATCH($B80,Scores!$BI$2:$BI$103,0)),"")</f>
        <v/>
      </c>
      <c r="G80">
        <f>IFERROR(INDEX(Scores!$E$2:$E$103,MATCH($B80,Scores!$BI$2:$BI$103,0)),"")</f>
        <v/>
      </c>
      <c r="H80">
        <f>IFERROR(INDEX(Scores!$BF$2:$BF$103,MATCH($B80,Scores!$BI$2:$BI$103,0)),"")</f>
        <v/>
      </c>
      <c r="I80">
        <f>IFERROR(INDEX(Scores!$BH$2:$BH$103,MATCH($B80,Scores!$BI$2:$BI$103,0)),"")</f>
        <v/>
      </c>
      <c r="J80">
        <f>IFERROR(INDEX(Scores!$Q$2:$Q$103,MATCH($B80,Scores!$BI$2:$BI$103,0)),"")</f>
        <v/>
      </c>
      <c r="K80">
        <f>IFERROR(INDEX(Scores!$AC$2:$AC$103,MATCH($B80,Scores!$BI$2:$BI$103,0)),"")</f>
        <v/>
      </c>
      <c r="L80">
        <f>IFERROR(INDEX(Scores!$AK$2:$AK$103,MATCH($B80,Scores!$BI$2:$BI$103,0)),"")</f>
        <v/>
      </c>
      <c r="M80">
        <f>IFERROR(INDEX(Scores!$AS$2:$AS$103,MATCH($B80,Scores!$BI$2:$BI$103,0)),"")</f>
        <v/>
      </c>
      <c r="N80">
        <f>IFERROR(INDEX(Scores!$BC$2:$BC$103,MATCH($B80,Scores!$BI$2:$BI$103,0)),"")</f>
        <v/>
      </c>
    </row>
    <row r="81">
      <c r="A81" t="inlineStr">
        <is>
          <t>Ranked</t>
        </is>
      </c>
      <c r="B81" t="n">
        <v>79</v>
      </c>
      <c r="C81">
        <f>IFERROR(INDEX(Scores!$BI$2:$BI$103,MATCH($B81,Scores!$BI$2:$BI$103,0)),"")</f>
        <v/>
      </c>
      <c r="D81">
        <f>IFERROR(INDEX(Scores!$B$2:$B$103,MATCH($B81,Scores!$BI$2:$BI$103,0)),"")</f>
        <v/>
      </c>
      <c r="E81">
        <f>IFERROR(INDEX(Scores!$C$2:$C$103,MATCH($B81,Scores!$BI$2:$BI$103,0)),"")</f>
        <v/>
      </c>
      <c r="F81">
        <f>IFERROR(INDEX(Scores!$D$2:$D$103,MATCH($B81,Scores!$BI$2:$BI$103,0)),"")</f>
        <v/>
      </c>
      <c r="G81">
        <f>IFERROR(INDEX(Scores!$E$2:$E$103,MATCH($B81,Scores!$BI$2:$BI$103,0)),"")</f>
        <v/>
      </c>
      <c r="H81">
        <f>IFERROR(INDEX(Scores!$BF$2:$BF$103,MATCH($B81,Scores!$BI$2:$BI$103,0)),"")</f>
        <v/>
      </c>
      <c r="I81">
        <f>IFERROR(INDEX(Scores!$BH$2:$BH$103,MATCH($B81,Scores!$BI$2:$BI$103,0)),"")</f>
        <v/>
      </c>
      <c r="J81">
        <f>IFERROR(INDEX(Scores!$Q$2:$Q$103,MATCH($B81,Scores!$BI$2:$BI$103,0)),"")</f>
        <v/>
      </c>
      <c r="K81">
        <f>IFERROR(INDEX(Scores!$AC$2:$AC$103,MATCH($B81,Scores!$BI$2:$BI$103,0)),"")</f>
        <v/>
      </c>
      <c r="L81">
        <f>IFERROR(INDEX(Scores!$AK$2:$AK$103,MATCH($B81,Scores!$BI$2:$BI$103,0)),"")</f>
        <v/>
      </c>
      <c r="M81">
        <f>IFERROR(INDEX(Scores!$AS$2:$AS$103,MATCH($B81,Scores!$BI$2:$BI$103,0)),"")</f>
        <v/>
      </c>
      <c r="N81">
        <f>IFERROR(INDEX(Scores!$BC$2:$BC$103,MATCH($B81,Scores!$BI$2:$BI$103,0)),"")</f>
        <v/>
      </c>
    </row>
    <row r="82">
      <c r="A82" t="inlineStr">
        <is>
          <t>Ranked</t>
        </is>
      </c>
      <c r="B82" t="n">
        <v>80</v>
      </c>
      <c r="C82">
        <f>IFERROR(INDEX(Scores!$BI$2:$BI$103,MATCH($B82,Scores!$BI$2:$BI$103,0)),"")</f>
        <v/>
      </c>
      <c r="D82">
        <f>IFERROR(INDEX(Scores!$B$2:$B$103,MATCH($B82,Scores!$BI$2:$BI$103,0)),"")</f>
        <v/>
      </c>
      <c r="E82">
        <f>IFERROR(INDEX(Scores!$C$2:$C$103,MATCH($B82,Scores!$BI$2:$BI$103,0)),"")</f>
        <v/>
      </c>
      <c r="F82">
        <f>IFERROR(INDEX(Scores!$D$2:$D$103,MATCH($B82,Scores!$BI$2:$BI$103,0)),"")</f>
        <v/>
      </c>
      <c r="G82">
        <f>IFERROR(INDEX(Scores!$E$2:$E$103,MATCH($B82,Scores!$BI$2:$BI$103,0)),"")</f>
        <v/>
      </c>
      <c r="H82">
        <f>IFERROR(INDEX(Scores!$BF$2:$BF$103,MATCH($B82,Scores!$BI$2:$BI$103,0)),"")</f>
        <v/>
      </c>
      <c r="I82">
        <f>IFERROR(INDEX(Scores!$BH$2:$BH$103,MATCH($B82,Scores!$BI$2:$BI$103,0)),"")</f>
        <v/>
      </c>
      <c r="J82">
        <f>IFERROR(INDEX(Scores!$Q$2:$Q$103,MATCH($B82,Scores!$BI$2:$BI$103,0)),"")</f>
        <v/>
      </c>
      <c r="K82">
        <f>IFERROR(INDEX(Scores!$AC$2:$AC$103,MATCH($B82,Scores!$BI$2:$BI$103,0)),"")</f>
        <v/>
      </c>
      <c r="L82">
        <f>IFERROR(INDEX(Scores!$AK$2:$AK$103,MATCH($B82,Scores!$BI$2:$BI$103,0)),"")</f>
        <v/>
      </c>
      <c r="M82">
        <f>IFERROR(INDEX(Scores!$AS$2:$AS$103,MATCH($B82,Scores!$BI$2:$BI$103,0)),"")</f>
        <v/>
      </c>
      <c r="N82">
        <f>IFERROR(INDEX(Scores!$BC$2:$BC$103,MATCH($B82,Scores!$BI$2:$BI$103,0)),"")</f>
        <v/>
      </c>
    </row>
    <row r="83">
      <c r="A83" t="inlineStr">
        <is>
          <t>Ranked</t>
        </is>
      </c>
      <c r="B83" t="n">
        <v>81</v>
      </c>
      <c r="C83">
        <f>IFERROR(INDEX(Scores!$BI$2:$BI$103,MATCH($B83,Scores!$BI$2:$BI$103,0)),"")</f>
        <v/>
      </c>
      <c r="D83">
        <f>IFERROR(INDEX(Scores!$B$2:$B$103,MATCH($B83,Scores!$BI$2:$BI$103,0)),"")</f>
        <v/>
      </c>
      <c r="E83">
        <f>IFERROR(INDEX(Scores!$C$2:$C$103,MATCH($B83,Scores!$BI$2:$BI$103,0)),"")</f>
        <v/>
      </c>
      <c r="F83">
        <f>IFERROR(INDEX(Scores!$D$2:$D$103,MATCH($B83,Scores!$BI$2:$BI$103,0)),"")</f>
        <v/>
      </c>
      <c r="G83">
        <f>IFERROR(INDEX(Scores!$E$2:$E$103,MATCH($B83,Scores!$BI$2:$BI$103,0)),"")</f>
        <v/>
      </c>
      <c r="H83">
        <f>IFERROR(INDEX(Scores!$BF$2:$BF$103,MATCH($B83,Scores!$BI$2:$BI$103,0)),"")</f>
        <v/>
      </c>
      <c r="I83">
        <f>IFERROR(INDEX(Scores!$BH$2:$BH$103,MATCH($B83,Scores!$BI$2:$BI$103,0)),"")</f>
        <v/>
      </c>
      <c r="J83">
        <f>IFERROR(INDEX(Scores!$Q$2:$Q$103,MATCH($B83,Scores!$BI$2:$BI$103,0)),"")</f>
        <v/>
      </c>
      <c r="K83">
        <f>IFERROR(INDEX(Scores!$AC$2:$AC$103,MATCH($B83,Scores!$BI$2:$BI$103,0)),"")</f>
        <v/>
      </c>
      <c r="L83">
        <f>IFERROR(INDEX(Scores!$AK$2:$AK$103,MATCH($B83,Scores!$BI$2:$BI$103,0)),"")</f>
        <v/>
      </c>
      <c r="M83">
        <f>IFERROR(INDEX(Scores!$AS$2:$AS$103,MATCH($B83,Scores!$BI$2:$BI$103,0)),"")</f>
        <v/>
      </c>
      <c r="N83">
        <f>IFERROR(INDEX(Scores!$BC$2:$BC$103,MATCH($B83,Scores!$BI$2:$BI$103,0)),"")</f>
        <v/>
      </c>
    </row>
    <row r="84">
      <c r="A84" t="inlineStr">
        <is>
          <t>Ranked</t>
        </is>
      </c>
      <c r="B84" t="n">
        <v>82</v>
      </c>
      <c r="C84">
        <f>IFERROR(INDEX(Scores!$BI$2:$BI$103,MATCH($B84,Scores!$BI$2:$BI$103,0)),"")</f>
        <v/>
      </c>
      <c r="D84">
        <f>IFERROR(INDEX(Scores!$B$2:$B$103,MATCH($B84,Scores!$BI$2:$BI$103,0)),"")</f>
        <v/>
      </c>
      <c r="E84">
        <f>IFERROR(INDEX(Scores!$C$2:$C$103,MATCH($B84,Scores!$BI$2:$BI$103,0)),"")</f>
        <v/>
      </c>
      <c r="F84">
        <f>IFERROR(INDEX(Scores!$D$2:$D$103,MATCH($B84,Scores!$BI$2:$BI$103,0)),"")</f>
        <v/>
      </c>
      <c r="G84">
        <f>IFERROR(INDEX(Scores!$E$2:$E$103,MATCH($B84,Scores!$BI$2:$BI$103,0)),"")</f>
        <v/>
      </c>
      <c r="H84">
        <f>IFERROR(INDEX(Scores!$BF$2:$BF$103,MATCH($B84,Scores!$BI$2:$BI$103,0)),"")</f>
        <v/>
      </c>
      <c r="I84">
        <f>IFERROR(INDEX(Scores!$BH$2:$BH$103,MATCH($B84,Scores!$BI$2:$BI$103,0)),"")</f>
        <v/>
      </c>
      <c r="J84">
        <f>IFERROR(INDEX(Scores!$Q$2:$Q$103,MATCH($B84,Scores!$BI$2:$BI$103,0)),"")</f>
        <v/>
      </c>
      <c r="K84">
        <f>IFERROR(INDEX(Scores!$AC$2:$AC$103,MATCH($B84,Scores!$BI$2:$BI$103,0)),"")</f>
        <v/>
      </c>
      <c r="L84">
        <f>IFERROR(INDEX(Scores!$AK$2:$AK$103,MATCH($B84,Scores!$BI$2:$BI$103,0)),"")</f>
        <v/>
      </c>
      <c r="M84">
        <f>IFERROR(INDEX(Scores!$AS$2:$AS$103,MATCH($B84,Scores!$BI$2:$BI$103,0)),"")</f>
        <v/>
      </c>
      <c r="N84">
        <f>IFERROR(INDEX(Scores!$BC$2:$BC$103,MATCH($B84,Scores!$BI$2:$BI$103,0)),"")</f>
        <v/>
      </c>
    </row>
    <row r="85">
      <c r="A85" t="inlineStr">
        <is>
          <t>Ranked</t>
        </is>
      </c>
      <c r="B85" t="n">
        <v>83</v>
      </c>
      <c r="C85">
        <f>IFERROR(INDEX(Scores!$BI$2:$BI$103,MATCH($B85,Scores!$BI$2:$BI$103,0)),"")</f>
        <v/>
      </c>
      <c r="D85">
        <f>IFERROR(INDEX(Scores!$B$2:$B$103,MATCH($B85,Scores!$BI$2:$BI$103,0)),"")</f>
        <v/>
      </c>
      <c r="E85">
        <f>IFERROR(INDEX(Scores!$C$2:$C$103,MATCH($B85,Scores!$BI$2:$BI$103,0)),"")</f>
        <v/>
      </c>
      <c r="F85">
        <f>IFERROR(INDEX(Scores!$D$2:$D$103,MATCH($B85,Scores!$BI$2:$BI$103,0)),"")</f>
        <v/>
      </c>
      <c r="G85">
        <f>IFERROR(INDEX(Scores!$E$2:$E$103,MATCH($B85,Scores!$BI$2:$BI$103,0)),"")</f>
        <v/>
      </c>
      <c r="H85">
        <f>IFERROR(INDEX(Scores!$BF$2:$BF$103,MATCH($B85,Scores!$BI$2:$BI$103,0)),"")</f>
        <v/>
      </c>
      <c r="I85">
        <f>IFERROR(INDEX(Scores!$BH$2:$BH$103,MATCH($B85,Scores!$BI$2:$BI$103,0)),"")</f>
        <v/>
      </c>
      <c r="J85">
        <f>IFERROR(INDEX(Scores!$Q$2:$Q$103,MATCH($B85,Scores!$BI$2:$BI$103,0)),"")</f>
        <v/>
      </c>
      <c r="K85">
        <f>IFERROR(INDEX(Scores!$AC$2:$AC$103,MATCH($B85,Scores!$BI$2:$BI$103,0)),"")</f>
        <v/>
      </c>
      <c r="L85">
        <f>IFERROR(INDEX(Scores!$AK$2:$AK$103,MATCH($B85,Scores!$BI$2:$BI$103,0)),"")</f>
        <v/>
      </c>
      <c r="M85">
        <f>IFERROR(INDEX(Scores!$AS$2:$AS$103,MATCH($B85,Scores!$BI$2:$BI$103,0)),"")</f>
        <v/>
      </c>
      <c r="N85">
        <f>IFERROR(INDEX(Scores!$BC$2:$BC$103,MATCH($B85,Scores!$BI$2:$BI$103,0)),"")</f>
        <v/>
      </c>
    </row>
    <row r="86">
      <c r="A86" t="inlineStr">
        <is>
          <t>Ranked</t>
        </is>
      </c>
      <c r="B86" t="n">
        <v>84</v>
      </c>
      <c r="C86">
        <f>IFERROR(INDEX(Scores!$BI$2:$BI$103,MATCH($B86,Scores!$BI$2:$BI$103,0)),"")</f>
        <v/>
      </c>
      <c r="D86">
        <f>IFERROR(INDEX(Scores!$B$2:$B$103,MATCH($B86,Scores!$BI$2:$BI$103,0)),"")</f>
        <v/>
      </c>
      <c r="E86">
        <f>IFERROR(INDEX(Scores!$C$2:$C$103,MATCH($B86,Scores!$BI$2:$BI$103,0)),"")</f>
        <v/>
      </c>
      <c r="F86">
        <f>IFERROR(INDEX(Scores!$D$2:$D$103,MATCH($B86,Scores!$BI$2:$BI$103,0)),"")</f>
        <v/>
      </c>
      <c r="G86">
        <f>IFERROR(INDEX(Scores!$E$2:$E$103,MATCH($B86,Scores!$BI$2:$BI$103,0)),"")</f>
        <v/>
      </c>
      <c r="H86">
        <f>IFERROR(INDEX(Scores!$BF$2:$BF$103,MATCH($B86,Scores!$BI$2:$BI$103,0)),"")</f>
        <v/>
      </c>
      <c r="I86">
        <f>IFERROR(INDEX(Scores!$BH$2:$BH$103,MATCH($B86,Scores!$BI$2:$BI$103,0)),"")</f>
        <v/>
      </c>
      <c r="J86">
        <f>IFERROR(INDEX(Scores!$Q$2:$Q$103,MATCH($B86,Scores!$BI$2:$BI$103,0)),"")</f>
        <v/>
      </c>
      <c r="K86">
        <f>IFERROR(INDEX(Scores!$AC$2:$AC$103,MATCH($B86,Scores!$BI$2:$BI$103,0)),"")</f>
        <v/>
      </c>
      <c r="L86">
        <f>IFERROR(INDEX(Scores!$AK$2:$AK$103,MATCH($B86,Scores!$BI$2:$BI$103,0)),"")</f>
        <v/>
      </c>
      <c r="M86">
        <f>IFERROR(INDEX(Scores!$AS$2:$AS$103,MATCH($B86,Scores!$BI$2:$BI$103,0)),"")</f>
        <v/>
      </c>
      <c r="N86">
        <f>IFERROR(INDEX(Scores!$BC$2:$BC$103,MATCH($B86,Scores!$BI$2:$BI$103,0)),"")</f>
        <v/>
      </c>
    </row>
    <row r="87">
      <c r="A87" t="inlineStr">
        <is>
          <t>Ranked</t>
        </is>
      </c>
      <c r="B87" t="n">
        <v>85</v>
      </c>
      <c r="C87">
        <f>IFERROR(INDEX(Scores!$BI$2:$BI$103,MATCH($B87,Scores!$BI$2:$BI$103,0)),"")</f>
        <v/>
      </c>
      <c r="D87">
        <f>IFERROR(INDEX(Scores!$B$2:$B$103,MATCH($B87,Scores!$BI$2:$BI$103,0)),"")</f>
        <v/>
      </c>
      <c r="E87">
        <f>IFERROR(INDEX(Scores!$C$2:$C$103,MATCH($B87,Scores!$BI$2:$BI$103,0)),"")</f>
        <v/>
      </c>
      <c r="F87">
        <f>IFERROR(INDEX(Scores!$D$2:$D$103,MATCH($B87,Scores!$BI$2:$BI$103,0)),"")</f>
        <v/>
      </c>
      <c r="G87">
        <f>IFERROR(INDEX(Scores!$E$2:$E$103,MATCH($B87,Scores!$BI$2:$BI$103,0)),"")</f>
        <v/>
      </c>
      <c r="H87">
        <f>IFERROR(INDEX(Scores!$BF$2:$BF$103,MATCH($B87,Scores!$BI$2:$BI$103,0)),"")</f>
        <v/>
      </c>
      <c r="I87">
        <f>IFERROR(INDEX(Scores!$BH$2:$BH$103,MATCH($B87,Scores!$BI$2:$BI$103,0)),"")</f>
        <v/>
      </c>
      <c r="J87">
        <f>IFERROR(INDEX(Scores!$Q$2:$Q$103,MATCH($B87,Scores!$BI$2:$BI$103,0)),"")</f>
        <v/>
      </c>
      <c r="K87">
        <f>IFERROR(INDEX(Scores!$AC$2:$AC$103,MATCH($B87,Scores!$BI$2:$BI$103,0)),"")</f>
        <v/>
      </c>
      <c r="L87">
        <f>IFERROR(INDEX(Scores!$AK$2:$AK$103,MATCH($B87,Scores!$BI$2:$BI$103,0)),"")</f>
        <v/>
      </c>
      <c r="M87">
        <f>IFERROR(INDEX(Scores!$AS$2:$AS$103,MATCH($B87,Scores!$BI$2:$BI$103,0)),"")</f>
        <v/>
      </c>
      <c r="N87">
        <f>IFERROR(INDEX(Scores!$BC$2:$BC$103,MATCH($B87,Scores!$BI$2:$BI$103,0)),"")</f>
        <v/>
      </c>
    </row>
    <row r="88">
      <c r="A88" t="inlineStr">
        <is>
          <t>Ranked</t>
        </is>
      </c>
      <c r="B88" t="n">
        <v>86</v>
      </c>
      <c r="C88">
        <f>IFERROR(INDEX(Scores!$BI$2:$BI$103,MATCH($B88,Scores!$BI$2:$BI$103,0)),"")</f>
        <v/>
      </c>
      <c r="D88">
        <f>IFERROR(INDEX(Scores!$B$2:$B$103,MATCH($B88,Scores!$BI$2:$BI$103,0)),"")</f>
        <v/>
      </c>
      <c r="E88">
        <f>IFERROR(INDEX(Scores!$C$2:$C$103,MATCH($B88,Scores!$BI$2:$BI$103,0)),"")</f>
        <v/>
      </c>
      <c r="F88">
        <f>IFERROR(INDEX(Scores!$D$2:$D$103,MATCH($B88,Scores!$BI$2:$BI$103,0)),"")</f>
        <v/>
      </c>
      <c r="G88">
        <f>IFERROR(INDEX(Scores!$E$2:$E$103,MATCH($B88,Scores!$BI$2:$BI$103,0)),"")</f>
        <v/>
      </c>
      <c r="H88">
        <f>IFERROR(INDEX(Scores!$BF$2:$BF$103,MATCH($B88,Scores!$BI$2:$BI$103,0)),"")</f>
        <v/>
      </c>
      <c r="I88">
        <f>IFERROR(INDEX(Scores!$BH$2:$BH$103,MATCH($B88,Scores!$BI$2:$BI$103,0)),"")</f>
        <v/>
      </c>
      <c r="J88">
        <f>IFERROR(INDEX(Scores!$Q$2:$Q$103,MATCH($B88,Scores!$BI$2:$BI$103,0)),"")</f>
        <v/>
      </c>
      <c r="K88">
        <f>IFERROR(INDEX(Scores!$AC$2:$AC$103,MATCH($B88,Scores!$BI$2:$BI$103,0)),"")</f>
        <v/>
      </c>
      <c r="L88">
        <f>IFERROR(INDEX(Scores!$AK$2:$AK$103,MATCH($B88,Scores!$BI$2:$BI$103,0)),"")</f>
        <v/>
      </c>
      <c r="M88">
        <f>IFERROR(INDEX(Scores!$AS$2:$AS$103,MATCH($B88,Scores!$BI$2:$BI$103,0)),"")</f>
        <v/>
      </c>
      <c r="N88">
        <f>IFERROR(INDEX(Scores!$BC$2:$BC$103,MATCH($B88,Scores!$BI$2:$BI$103,0)),"")</f>
        <v/>
      </c>
    </row>
    <row r="89">
      <c r="A89" t="inlineStr">
        <is>
          <t>Ranked</t>
        </is>
      </c>
      <c r="B89" t="n">
        <v>87</v>
      </c>
      <c r="C89">
        <f>IFERROR(INDEX(Scores!$BI$2:$BI$103,MATCH($B89,Scores!$BI$2:$BI$103,0)),"")</f>
        <v/>
      </c>
      <c r="D89">
        <f>IFERROR(INDEX(Scores!$B$2:$B$103,MATCH($B89,Scores!$BI$2:$BI$103,0)),"")</f>
        <v/>
      </c>
      <c r="E89">
        <f>IFERROR(INDEX(Scores!$C$2:$C$103,MATCH($B89,Scores!$BI$2:$BI$103,0)),"")</f>
        <v/>
      </c>
      <c r="F89">
        <f>IFERROR(INDEX(Scores!$D$2:$D$103,MATCH($B89,Scores!$BI$2:$BI$103,0)),"")</f>
        <v/>
      </c>
      <c r="G89">
        <f>IFERROR(INDEX(Scores!$E$2:$E$103,MATCH($B89,Scores!$BI$2:$BI$103,0)),"")</f>
        <v/>
      </c>
      <c r="H89">
        <f>IFERROR(INDEX(Scores!$BF$2:$BF$103,MATCH($B89,Scores!$BI$2:$BI$103,0)),"")</f>
        <v/>
      </c>
      <c r="I89">
        <f>IFERROR(INDEX(Scores!$BH$2:$BH$103,MATCH($B89,Scores!$BI$2:$BI$103,0)),"")</f>
        <v/>
      </c>
      <c r="J89">
        <f>IFERROR(INDEX(Scores!$Q$2:$Q$103,MATCH($B89,Scores!$BI$2:$BI$103,0)),"")</f>
        <v/>
      </c>
      <c r="K89">
        <f>IFERROR(INDEX(Scores!$AC$2:$AC$103,MATCH($B89,Scores!$BI$2:$BI$103,0)),"")</f>
        <v/>
      </c>
      <c r="L89">
        <f>IFERROR(INDEX(Scores!$AK$2:$AK$103,MATCH($B89,Scores!$BI$2:$BI$103,0)),"")</f>
        <v/>
      </c>
      <c r="M89">
        <f>IFERROR(INDEX(Scores!$AS$2:$AS$103,MATCH($B89,Scores!$BI$2:$BI$103,0)),"")</f>
        <v/>
      </c>
      <c r="N89">
        <f>IFERROR(INDEX(Scores!$BC$2:$BC$103,MATCH($B89,Scores!$BI$2:$BI$103,0)),"")</f>
        <v/>
      </c>
    </row>
    <row r="90">
      <c r="A90" t="inlineStr">
        <is>
          <t>Ranked</t>
        </is>
      </c>
      <c r="B90" t="n">
        <v>88</v>
      </c>
      <c r="C90">
        <f>IFERROR(INDEX(Scores!$BI$2:$BI$103,MATCH($B90,Scores!$BI$2:$BI$103,0)),"")</f>
        <v/>
      </c>
      <c r="D90">
        <f>IFERROR(INDEX(Scores!$B$2:$B$103,MATCH($B90,Scores!$BI$2:$BI$103,0)),"")</f>
        <v/>
      </c>
      <c r="E90">
        <f>IFERROR(INDEX(Scores!$C$2:$C$103,MATCH($B90,Scores!$BI$2:$BI$103,0)),"")</f>
        <v/>
      </c>
      <c r="F90">
        <f>IFERROR(INDEX(Scores!$D$2:$D$103,MATCH($B90,Scores!$BI$2:$BI$103,0)),"")</f>
        <v/>
      </c>
      <c r="G90">
        <f>IFERROR(INDEX(Scores!$E$2:$E$103,MATCH($B90,Scores!$BI$2:$BI$103,0)),"")</f>
        <v/>
      </c>
      <c r="H90">
        <f>IFERROR(INDEX(Scores!$BF$2:$BF$103,MATCH($B90,Scores!$BI$2:$BI$103,0)),"")</f>
        <v/>
      </c>
      <c r="I90">
        <f>IFERROR(INDEX(Scores!$BH$2:$BH$103,MATCH($B90,Scores!$BI$2:$BI$103,0)),"")</f>
        <v/>
      </c>
      <c r="J90">
        <f>IFERROR(INDEX(Scores!$Q$2:$Q$103,MATCH($B90,Scores!$BI$2:$BI$103,0)),"")</f>
        <v/>
      </c>
      <c r="K90">
        <f>IFERROR(INDEX(Scores!$AC$2:$AC$103,MATCH($B90,Scores!$BI$2:$BI$103,0)),"")</f>
        <v/>
      </c>
      <c r="L90">
        <f>IFERROR(INDEX(Scores!$AK$2:$AK$103,MATCH($B90,Scores!$BI$2:$BI$103,0)),"")</f>
        <v/>
      </c>
      <c r="M90">
        <f>IFERROR(INDEX(Scores!$AS$2:$AS$103,MATCH($B90,Scores!$BI$2:$BI$103,0)),"")</f>
        <v/>
      </c>
      <c r="N90">
        <f>IFERROR(INDEX(Scores!$BC$2:$BC$103,MATCH($B90,Scores!$BI$2:$BI$103,0)),"")</f>
        <v/>
      </c>
    </row>
    <row r="91">
      <c r="A91" t="inlineStr">
        <is>
          <t>Ranked</t>
        </is>
      </c>
      <c r="B91" t="n">
        <v>89</v>
      </c>
      <c r="C91">
        <f>IFERROR(INDEX(Scores!$BI$2:$BI$103,MATCH($B91,Scores!$BI$2:$BI$103,0)),"")</f>
        <v/>
      </c>
      <c r="D91">
        <f>IFERROR(INDEX(Scores!$B$2:$B$103,MATCH($B91,Scores!$BI$2:$BI$103,0)),"")</f>
        <v/>
      </c>
      <c r="E91">
        <f>IFERROR(INDEX(Scores!$C$2:$C$103,MATCH($B91,Scores!$BI$2:$BI$103,0)),"")</f>
        <v/>
      </c>
      <c r="F91">
        <f>IFERROR(INDEX(Scores!$D$2:$D$103,MATCH($B91,Scores!$BI$2:$BI$103,0)),"")</f>
        <v/>
      </c>
      <c r="G91">
        <f>IFERROR(INDEX(Scores!$E$2:$E$103,MATCH($B91,Scores!$BI$2:$BI$103,0)),"")</f>
        <v/>
      </c>
      <c r="H91">
        <f>IFERROR(INDEX(Scores!$BF$2:$BF$103,MATCH($B91,Scores!$BI$2:$BI$103,0)),"")</f>
        <v/>
      </c>
      <c r="I91">
        <f>IFERROR(INDEX(Scores!$BH$2:$BH$103,MATCH($B91,Scores!$BI$2:$BI$103,0)),"")</f>
        <v/>
      </c>
      <c r="J91">
        <f>IFERROR(INDEX(Scores!$Q$2:$Q$103,MATCH($B91,Scores!$BI$2:$BI$103,0)),"")</f>
        <v/>
      </c>
      <c r="K91">
        <f>IFERROR(INDEX(Scores!$AC$2:$AC$103,MATCH($B91,Scores!$BI$2:$BI$103,0)),"")</f>
        <v/>
      </c>
      <c r="L91">
        <f>IFERROR(INDEX(Scores!$AK$2:$AK$103,MATCH($B91,Scores!$BI$2:$BI$103,0)),"")</f>
        <v/>
      </c>
      <c r="M91">
        <f>IFERROR(INDEX(Scores!$AS$2:$AS$103,MATCH($B91,Scores!$BI$2:$BI$103,0)),"")</f>
        <v/>
      </c>
      <c r="N91">
        <f>IFERROR(INDEX(Scores!$BC$2:$BC$103,MATCH($B91,Scores!$BI$2:$BI$103,0)),"")</f>
        <v/>
      </c>
    </row>
    <row r="92">
      <c r="A92" t="inlineStr">
        <is>
          <t>Ranked</t>
        </is>
      </c>
      <c r="B92" t="n">
        <v>90</v>
      </c>
      <c r="C92">
        <f>IFERROR(INDEX(Scores!$BI$2:$BI$103,MATCH($B92,Scores!$BI$2:$BI$103,0)),"")</f>
        <v/>
      </c>
      <c r="D92">
        <f>IFERROR(INDEX(Scores!$B$2:$B$103,MATCH($B92,Scores!$BI$2:$BI$103,0)),"")</f>
        <v/>
      </c>
      <c r="E92">
        <f>IFERROR(INDEX(Scores!$C$2:$C$103,MATCH($B92,Scores!$BI$2:$BI$103,0)),"")</f>
        <v/>
      </c>
      <c r="F92">
        <f>IFERROR(INDEX(Scores!$D$2:$D$103,MATCH($B92,Scores!$BI$2:$BI$103,0)),"")</f>
        <v/>
      </c>
      <c r="G92">
        <f>IFERROR(INDEX(Scores!$E$2:$E$103,MATCH($B92,Scores!$BI$2:$BI$103,0)),"")</f>
        <v/>
      </c>
      <c r="H92">
        <f>IFERROR(INDEX(Scores!$BF$2:$BF$103,MATCH($B92,Scores!$BI$2:$BI$103,0)),"")</f>
        <v/>
      </c>
      <c r="I92">
        <f>IFERROR(INDEX(Scores!$BH$2:$BH$103,MATCH($B92,Scores!$BI$2:$BI$103,0)),"")</f>
        <v/>
      </c>
      <c r="J92">
        <f>IFERROR(INDEX(Scores!$Q$2:$Q$103,MATCH($B92,Scores!$BI$2:$BI$103,0)),"")</f>
        <v/>
      </c>
      <c r="K92">
        <f>IFERROR(INDEX(Scores!$AC$2:$AC$103,MATCH($B92,Scores!$BI$2:$BI$103,0)),"")</f>
        <v/>
      </c>
      <c r="L92">
        <f>IFERROR(INDEX(Scores!$AK$2:$AK$103,MATCH($B92,Scores!$BI$2:$BI$103,0)),"")</f>
        <v/>
      </c>
      <c r="M92">
        <f>IFERROR(INDEX(Scores!$AS$2:$AS$103,MATCH($B92,Scores!$BI$2:$BI$103,0)),"")</f>
        <v/>
      </c>
      <c r="N92">
        <f>IFERROR(INDEX(Scores!$BC$2:$BC$103,MATCH($B92,Scores!$BI$2:$BI$103,0)),"")</f>
        <v/>
      </c>
    </row>
    <row r="93">
      <c r="A93" t="inlineStr">
        <is>
          <t>Ranked</t>
        </is>
      </c>
      <c r="B93" t="n">
        <v>91</v>
      </c>
      <c r="C93">
        <f>IFERROR(INDEX(Scores!$BI$2:$BI$103,MATCH($B93,Scores!$BI$2:$BI$103,0)),"")</f>
        <v/>
      </c>
      <c r="D93">
        <f>IFERROR(INDEX(Scores!$B$2:$B$103,MATCH($B93,Scores!$BI$2:$BI$103,0)),"")</f>
        <v/>
      </c>
      <c r="E93">
        <f>IFERROR(INDEX(Scores!$C$2:$C$103,MATCH($B93,Scores!$BI$2:$BI$103,0)),"")</f>
        <v/>
      </c>
      <c r="F93">
        <f>IFERROR(INDEX(Scores!$D$2:$D$103,MATCH($B93,Scores!$BI$2:$BI$103,0)),"")</f>
        <v/>
      </c>
      <c r="G93">
        <f>IFERROR(INDEX(Scores!$E$2:$E$103,MATCH($B93,Scores!$BI$2:$BI$103,0)),"")</f>
        <v/>
      </c>
      <c r="H93">
        <f>IFERROR(INDEX(Scores!$BF$2:$BF$103,MATCH($B93,Scores!$BI$2:$BI$103,0)),"")</f>
        <v/>
      </c>
      <c r="I93">
        <f>IFERROR(INDEX(Scores!$BH$2:$BH$103,MATCH($B93,Scores!$BI$2:$BI$103,0)),"")</f>
        <v/>
      </c>
      <c r="J93">
        <f>IFERROR(INDEX(Scores!$Q$2:$Q$103,MATCH($B93,Scores!$BI$2:$BI$103,0)),"")</f>
        <v/>
      </c>
      <c r="K93">
        <f>IFERROR(INDEX(Scores!$AC$2:$AC$103,MATCH($B93,Scores!$BI$2:$BI$103,0)),"")</f>
        <v/>
      </c>
      <c r="L93">
        <f>IFERROR(INDEX(Scores!$AK$2:$AK$103,MATCH($B93,Scores!$BI$2:$BI$103,0)),"")</f>
        <v/>
      </c>
      <c r="M93">
        <f>IFERROR(INDEX(Scores!$AS$2:$AS$103,MATCH($B93,Scores!$BI$2:$BI$103,0)),"")</f>
        <v/>
      </c>
      <c r="N93">
        <f>IFERROR(INDEX(Scores!$BC$2:$BC$103,MATCH($B93,Scores!$BI$2:$BI$103,0)),"")</f>
        <v/>
      </c>
    </row>
    <row r="94">
      <c r="A94" t="inlineStr">
        <is>
          <t>Ranked</t>
        </is>
      </c>
      <c r="B94" t="n">
        <v>92</v>
      </c>
      <c r="C94">
        <f>IFERROR(INDEX(Scores!$BI$2:$BI$103,MATCH($B94,Scores!$BI$2:$BI$103,0)),"")</f>
        <v/>
      </c>
      <c r="D94">
        <f>IFERROR(INDEX(Scores!$B$2:$B$103,MATCH($B94,Scores!$BI$2:$BI$103,0)),"")</f>
        <v/>
      </c>
      <c r="E94">
        <f>IFERROR(INDEX(Scores!$C$2:$C$103,MATCH($B94,Scores!$BI$2:$BI$103,0)),"")</f>
        <v/>
      </c>
      <c r="F94">
        <f>IFERROR(INDEX(Scores!$D$2:$D$103,MATCH($B94,Scores!$BI$2:$BI$103,0)),"")</f>
        <v/>
      </c>
      <c r="G94">
        <f>IFERROR(INDEX(Scores!$E$2:$E$103,MATCH($B94,Scores!$BI$2:$BI$103,0)),"")</f>
        <v/>
      </c>
      <c r="H94">
        <f>IFERROR(INDEX(Scores!$BF$2:$BF$103,MATCH($B94,Scores!$BI$2:$BI$103,0)),"")</f>
        <v/>
      </c>
      <c r="I94">
        <f>IFERROR(INDEX(Scores!$BH$2:$BH$103,MATCH($B94,Scores!$BI$2:$BI$103,0)),"")</f>
        <v/>
      </c>
      <c r="J94">
        <f>IFERROR(INDEX(Scores!$Q$2:$Q$103,MATCH($B94,Scores!$BI$2:$BI$103,0)),"")</f>
        <v/>
      </c>
      <c r="K94">
        <f>IFERROR(INDEX(Scores!$AC$2:$AC$103,MATCH($B94,Scores!$BI$2:$BI$103,0)),"")</f>
        <v/>
      </c>
      <c r="L94">
        <f>IFERROR(INDEX(Scores!$AK$2:$AK$103,MATCH($B94,Scores!$BI$2:$BI$103,0)),"")</f>
        <v/>
      </c>
      <c r="M94">
        <f>IFERROR(INDEX(Scores!$AS$2:$AS$103,MATCH($B94,Scores!$BI$2:$BI$103,0)),"")</f>
        <v/>
      </c>
      <c r="N94">
        <f>IFERROR(INDEX(Scores!$BC$2:$BC$103,MATCH($B94,Scores!$BI$2:$BI$103,0)),"")</f>
        <v/>
      </c>
    </row>
    <row r="95">
      <c r="A95" t="inlineStr">
        <is>
          <t>Ranked</t>
        </is>
      </c>
      <c r="B95" t="n">
        <v>93</v>
      </c>
      <c r="C95">
        <f>IFERROR(INDEX(Scores!$BI$2:$BI$103,MATCH($B95,Scores!$BI$2:$BI$103,0)),"")</f>
        <v/>
      </c>
      <c r="D95">
        <f>IFERROR(INDEX(Scores!$B$2:$B$103,MATCH($B95,Scores!$BI$2:$BI$103,0)),"")</f>
        <v/>
      </c>
      <c r="E95">
        <f>IFERROR(INDEX(Scores!$C$2:$C$103,MATCH($B95,Scores!$BI$2:$BI$103,0)),"")</f>
        <v/>
      </c>
      <c r="F95">
        <f>IFERROR(INDEX(Scores!$D$2:$D$103,MATCH($B95,Scores!$BI$2:$BI$103,0)),"")</f>
        <v/>
      </c>
      <c r="G95">
        <f>IFERROR(INDEX(Scores!$E$2:$E$103,MATCH($B95,Scores!$BI$2:$BI$103,0)),"")</f>
        <v/>
      </c>
      <c r="H95">
        <f>IFERROR(INDEX(Scores!$BF$2:$BF$103,MATCH($B95,Scores!$BI$2:$BI$103,0)),"")</f>
        <v/>
      </c>
      <c r="I95">
        <f>IFERROR(INDEX(Scores!$BH$2:$BH$103,MATCH($B95,Scores!$BI$2:$BI$103,0)),"")</f>
        <v/>
      </c>
      <c r="J95">
        <f>IFERROR(INDEX(Scores!$Q$2:$Q$103,MATCH($B95,Scores!$BI$2:$BI$103,0)),"")</f>
        <v/>
      </c>
      <c r="K95">
        <f>IFERROR(INDEX(Scores!$AC$2:$AC$103,MATCH($B95,Scores!$BI$2:$BI$103,0)),"")</f>
        <v/>
      </c>
      <c r="L95">
        <f>IFERROR(INDEX(Scores!$AK$2:$AK$103,MATCH($B95,Scores!$BI$2:$BI$103,0)),"")</f>
        <v/>
      </c>
      <c r="M95">
        <f>IFERROR(INDEX(Scores!$AS$2:$AS$103,MATCH($B95,Scores!$BI$2:$BI$103,0)),"")</f>
        <v/>
      </c>
      <c r="N95">
        <f>IFERROR(INDEX(Scores!$BC$2:$BC$103,MATCH($B95,Scores!$BI$2:$BI$103,0)),"")</f>
        <v/>
      </c>
    </row>
    <row r="96">
      <c r="A96" t="inlineStr">
        <is>
          <t>Ranked</t>
        </is>
      </c>
      <c r="B96" t="n">
        <v>94</v>
      </c>
      <c r="C96">
        <f>IFERROR(INDEX(Scores!$BI$2:$BI$103,MATCH($B96,Scores!$BI$2:$BI$103,0)),"")</f>
        <v/>
      </c>
      <c r="D96">
        <f>IFERROR(INDEX(Scores!$B$2:$B$103,MATCH($B96,Scores!$BI$2:$BI$103,0)),"")</f>
        <v/>
      </c>
      <c r="E96">
        <f>IFERROR(INDEX(Scores!$C$2:$C$103,MATCH($B96,Scores!$BI$2:$BI$103,0)),"")</f>
        <v/>
      </c>
      <c r="F96">
        <f>IFERROR(INDEX(Scores!$D$2:$D$103,MATCH($B96,Scores!$BI$2:$BI$103,0)),"")</f>
        <v/>
      </c>
      <c r="G96">
        <f>IFERROR(INDEX(Scores!$E$2:$E$103,MATCH($B96,Scores!$BI$2:$BI$103,0)),"")</f>
        <v/>
      </c>
      <c r="H96">
        <f>IFERROR(INDEX(Scores!$BF$2:$BF$103,MATCH($B96,Scores!$BI$2:$BI$103,0)),"")</f>
        <v/>
      </c>
      <c r="I96">
        <f>IFERROR(INDEX(Scores!$BH$2:$BH$103,MATCH($B96,Scores!$BI$2:$BI$103,0)),"")</f>
        <v/>
      </c>
      <c r="J96">
        <f>IFERROR(INDEX(Scores!$Q$2:$Q$103,MATCH($B96,Scores!$BI$2:$BI$103,0)),"")</f>
        <v/>
      </c>
      <c r="K96">
        <f>IFERROR(INDEX(Scores!$AC$2:$AC$103,MATCH($B96,Scores!$BI$2:$BI$103,0)),"")</f>
        <v/>
      </c>
      <c r="L96">
        <f>IFERROR(INDEX(Scores!$AK$2:$AK$103,MATCH($B96,Scores!$BI$2:$BI$103,0)),"")</f>
        <v/>
      </c>
      <c r="M96">
        <f>IFERROR(INDEX(Scores!$AS$2:$AS$103,MATCH($B96,Scores!$BI$2:$BI$103,0)),"")</f>
        <v/>
      </c>
      <c r="N96">
        <f>IFERROR(INDEX(Scores!$BC$2:$BC$103,MATCH($B96,Scores!$BI$2:$BI$103,0)),"")</f>
        <v/>
      </c>
    </row>
    <row r="97">
      <c r="A97" t="inlineStr">
        <is>
          <t>Ranked</t>
        </is>
      </c>
      <c r="B97" t="n">
        <v>95</v>
      </c>
      <c r="C97">
        <f>IFERROR(INDEX(Scores!$BI$2:$BI$103,MATCH($B97,Scores!$BI$2:$BI$103,0)),"")</f>
        <v/>
      </c>
      <c r="D97">
        <f>IFERROR(INDEX(Scores!$B$2:$B$103,MATCH($B97,Scores!$BI$2:$BI$103,0)),"")</f>
        <v/>
      </c>
      <c r="E97">
        <f>IFERROR(INDEX(Scores!$C$2:$C$103,MATCH($B97,Scores!$BI$2:$BI$103,0)),"")</f>
        <v/>
      </c>
      <c r="F97">
        <f>IFERROR(INDEX(Scores!$D$2:$D$103,MATCH($B97,Scores!$BI$2:$BI$103,0)),"")</f>
        <v/>
      </c>
      <c r="G97">
        <f>IFERROR(INDEX(Scores!$E$2:$E$103,MATCH($B97,Scores!$BI$2:$BI$103,0)),"")</f>
        <v/>
      </c>
      <c r="H97">
        <f>IFERROR(INDEX(Scores!$BF$2:$BF$103,MATCH($B97,Scores!$BI$2:$BI$103,0)),"")</f>
        <v/>
      </c>
      <c r="I97">
        <f>IFERROR(INDEX(Scores!$BH$2:$BH$103,MATCH($B97,Scores!$BI$2:$BI$103,0)),"")</f>
        <v/>
      </c>
      <c r="J97">
        <f>IFERROR(INDEX(Scores!$Q$2:$Q$103,MATCH($B97,Scores!$BI$2:$BI$103,0)),"")</f>
        <v/>
      </c>
      <c r="K97">
        <f>IFERROR(INDEX(Scores!$AC$2:$AC$103,MATCH($B97,Scores!$BI$2:$BI$103,0)),"")</f>
        <v/>
      </c>
      <c r="L97">
        <f>IFERROR(INDEX(Scores!$AK$2:$AK$103,MATCH($B97,Scores!$BI$2:$BI$103,0)),"")</f>
        <v/>
      </c>
      <c r="M97">
        <f>IFERROR(INDEX(Scores!$AS$2:$AS$103,MATCH($B97,Scores!$BI$2:$BI$103,0)),"")</f>
        <v/>
      </c>
      <c r="N97">
        <f>IFERROR(INDEX(Scores!$BC$2:$BC$103,MATCH($B97,Scores!$BI$2:$BI$103,0)),"")</f>
        <v/>
      </c>
    </row>
    <row r="98">
      <c r="A98" t="inlineStr">
        <is>
          <t>Ranked</t>
        </is>
      </c>
      <c r="B98" t="n">
        <v>96</v>
      </c>
      <c r="C98">
        <f>IFERROR(INDEX(Scores!$BI$2:$BI$103,MATCH($B98,Scores!$BI$2:$BI$103,0)),"")</f>
        <v/>
      </c>
      <c r="D98">
        <f>IFERROR(INDEX(Scores!$B$2:$B$103,MATCH($B98,Scores!$BI$2:$BI$103,0)),"")</f>
        <v/>
      </c>
      <c r="E98">
        <f>IFERROR(INDEX(Scores!$C$2:$C$103,MATCH($B98,Scores!$BI$2:$BI$103,0)),"")</f>
        <v/>
      </c>
      <c r="F98">
        <f>IFERROR(INDEX(Scores!$D$2:$D$103,MATCH($B98,Scores!$BI$2:$BI$103,0)),"")</f>
        <v/>
      </c>
      <c r="G98">
        <f>IFERROR(INDEX(Scores!$E$2:$E$103,MATCH($B98,Scores!$BI$2:$BI$103,0)),"")</f>
        <v/>
      </c>
      <c r="H98">
        <f>IFERROR(INDEX(Scores!$BF$2:$BF$103,MATCH($B98,Scores!$BI$2:$BI$103,0)),"")</f>
        <v/>
      </c>
      <c r="I98">
        <f>IFERROR(INDEX(Scores!$BH$2:$BH$103,MATCH($B98,Scores!$BI$2:$BI$103,0)),"")</f>
        <v/>
      </c>
      <c r="J98">
        <f>IFERROR(INDEX(Scores!$Q$2:$Q$103,MATCH($B98,Scores!$BI$2:$BI$103,0)),"")</f>
        <v/>
      </c>
      <c r="K98">
        <f>IFERROR(INDEX(Scores!$AC$2:$AC$103,MATCH($B98,Scores!$BI$2:$BI$103,0)),"")</f>
        <v/>
      </c>
      <c r="L98">
        <f>IFERROR(INDEX(Scores!$AK$2:$AK$103,MATCH($B98,Scores!$BI$2:$BI$103,0)),"")</f>
        <v/>
      </c>
      <c r="M98">
        <f>IFERROR(INDEX(Scores!$AS$2:$AS$103,MATCH($B98,Scores!$BI$2:$BI$103,0)),"")</f>
        <v/>
      </c>
      <c r="N98">
        <f>IFERROR(INDEX(Scores!$BC$2:$BC$103,MATCH($B98,Scores!$BI$2:$BI$103,0)),"")</f>
        <v/>
      </c>
    </row>
    <row r="99">
      <c r="A99" t="inlineStr">
        <is>
          <t>Ranked</t>
        </is>
      </c>
      <c r="B99" t="n">
        <v>97</v>
      </c>
      <c r="C99">
        <f>IFERROR(INDEX(Scores!$BI$2:$BI$103,MATCH($B99,Scores!$BI$2:$BI$103,0)),"")</f>
        <v/>
      </c>
      <c r="D99">
        <f>IFERROR(INDEX(Scores!$B$2:$B$103,MATCH($B99,Scores!$BI$2:$BI$103,0)),"")</f>
        <v/>
      </c>
      <c r="E99">
        <f>IFERROR(INDEX(Scores!$C$2:$C$103,MATCH($B99,Scores!$BI$2:$BI$103,0)),"")</f>
        <v/>
      </c>
      <c r="F99">
        <f>IFERROR(INDEX(Scores!$D$2:$D$103,MATCH($B99,Scores!$BI$2:$BI$103,0)),"")</f>
        <v/>
      </c>
      <c r="G99">
        <f>IFERROR(INDEX(Scores!$E$2:$E$103,MATCH($B99,Scores!$BI$2:$BI$103,0)),"")</f>
        <v/>
      </c>
      <c r="H99">
        <f>IFERROR(INDEX(Scores!$BF$2:$BF$103,MATCH($B99,Scores!$BI$2:$BI$103,0)),"")</f>
        <v/>
      </c>
      <c r="I99">
        <f>IFERROR(INDEX(Scores!$BH$2:$BH$103,MATCH($B99,Scores!$BI$2:$BI$103,0)),"")</f>
        <v/>
      </c>
      <c r="J99">
        <f>IFERROR(INDEX(Scores!$Q$2:$Q$103,MATCH($B99,Scores!$BI$2:$BI$103,0)),"")</f>
        <v/>
      </c>
      <c r="K99">
        <f>IFERROR(INDEX(Scores!$AC$2:$AC$103,MATCH($B99,Scores!$BI$2:$BI$103,0)),"")</f>
        <v/>
      </c>
      <c r="L99">
        <f>IFERROR(INDEX(Scores!$AK$2:$AK$103,MATCH($B99,Scores!$BI$2:$BI$103,0)),"")</f>
        <v/>
      </c>
      <c r="M99">
        <f>IFERROR(INDEX(Scores!$AS$2:$AS$103,MATCH($B99,Scores!$BI$2:$BI$103,0)),"")</f>
        <v/>
      </c>
      <c r="N99">
        <f>IFERROR(INDEX(Scores!$BC$2:$BC$103,MATCH($B99,Scores!$BI$2:$BI$103,0)),"")</f>
        <v/>
      </c>
    </row>
    <row r="100">
      <c r="A100" t="inlineStr">
        <is>
          <t>Ranked</t>
        </is>
      </c>
      <c r="B100" t="n">
        <v>98</v>
      </c>
      <c r="C100">
        <f>IFERROR(INDEX(Scores!$BI$2:$BI$103,MATCH($B100,Scores!$BI$2:$BI$103,0)),"")</f>
        <v/>
      </c>
      <c r="D100">
        <f>IFERROR(INDEX(Scores!$B$2:$B$103,MATCH($B100,Scores!$BI$2:$BI$103,0)),"")</f>
        <v/>
      </c>
      <c r="E100">
        <f>IFERROR(INDEX(Scores!$C$2:$C$103,MATCH($B100,Scores!$BI$2:$BI$103,0)),"")</f>
        <v/>
      </c>
      <c r="F100">
        <f>IFERROR(INDEX(Scores!$D$2:$D$103,MATCH($B100,Scores!$BI$2:$BI$103,0)),"")</f>
        <v/>
      </c>
      <c r="G100">
        <f>IFERROR(INDEX(Scores!$E$2:$E$103,MATCH($B100,Scores!$BI$2:$BI$103,0)),"")</f>
        <v/>
      </c>
      <c r="H100">
        <f>IFERROR(INDEX(Scores!$BF$2:$BF$103,MATCH($B100,Scores!$BI$2:$BI$103,0)),"")</f>
        <v/>
      </c>
      <c r="I100">
        <f>IFERROR(INDEX(Scores!$BH$2:$BH$103,MATCH($B100,Scores!$BI$2:$BI$103,0)),"")</f>
        <v/>
      </c>
      <c r="J100">
        <f>IFERROR(INDEX(Scores!$Q$2:$Q$103,MATCH($B100,Scores!$BI$2:$BI$103,0)),"")</f>
        <v/>
      </c>
      <c r="K100">
        <f>IFERROR(INDEX(Scores!$AC$2:$AC$103,MATCH($B100,Scores!$BI$2:$BI$103,0)),"")</f>
        <v/>
      </c>
      <c r="L100">
        <f>IFERROR(INDEX(Scores!$AK$2:$AK$103,MATCH($B100,Scores!$BI$2:$BI$103,0)),"")</f>
        <v/>
      </c>
      <c r="M100">
        <f>IFERROR(INDEX(Scores!$AS$2:$AS$103,MATCH($B100,Scores!$BI$2:$BI$103,0)),"")</f>
        <v/>
      </c>
      <c r="N100">
        <f>IFERROR(INDEX(Scores!$BC$2:$BC$103,MATCH($B100,Scores!$BI$2:$BI$103,0)),"")</f>
        <v/>
      </c>
    </row>
    <row r="101">
      <c r="A101" t="inlineStr">
        <is>
          <t>Ranked</t>
        </is>
      </c>
      <c r="B101" t="n">
        <v>99</v>
      </c>
      <c r="C101">
        <f>IFERROR(INDEX(Scores!$BI$2:$BI$103,MATCH($B101,Scores!$BI$2:$BI$103,0)),"")</f>
        <v/>
      </c>
      <c r="D101">
        <f>IFERROR(INDEX(Scores!$B$2:$B$103,MATCH($B101,Scores!$BI$2:$BI$103,0)),"")</f>
        <v/>
      </c>
      <c r="E101">
        <f>IFERROR(INDEX(Scores!$C$2:$C$103,MATCH($B101,Scores!$BI$2:$BI$103,0)),"")</f>
        <v/>
      </c>
      <c r="F101">
        <f>IFERROR(INDEX(Scores!$D$2:$D$103,MATCH($B101,Scores!$BI$2:$BI$103,0)),"")</f>
        <v/>
      </c>
      <c r="G101">
        <f>IFERROR(INDEX(Scores!$E$2:$E$103,MATCH($B101,Scores!$BI$2:$BI$103,0)),"")</f>
        <v/>
      </c>
      <c r="H101">
        <f>IFERROR(INDEX(Scores!$BF$2:$BF$103,MATCH($B101,Scores!$BI$2:$BI$103,0)),"")</f>
        <v/>
      </c>
      <c r="I101">
        <f>IFERROR(INDEX(Scores!$BH$2:$BH$103,MATCH($B101,Scores!$BI$2:$BI$103,0)),"")</f>
        <v/>
      </c>
      <c r="J101">
        <f>IFERROR(INDEX(Scores!$Q$2:$Q$103,MATCH($B101,Scores!$BI$2:$BI$103,0)),"")</f>
        <v/>
      </c>
      <c r="K101">
        <f>IFERROR(INDEX(Scores!$AC$2:$AC$103,MATCH($B101,Scores!$BI$2:$BI$103,0)),"")</f>
        <v/>
      </c>
      <c r="L101">
        <f>IFERROR(INDEX(Scores!$AK$2:$AK$103,MATCH($B101,Scores!$BI$2:$BI$103,0)),"")</f>
        <v/>
      </c>
      <c r="M101">
        <f>IFERROR(INDEX(Scores!$AS$2:$AS$103,MATCH($B101,Scores!$BI$2:$BI$103,0)),"")</f>
        <v/>
      </c>
      <c r="N101">
        <f>IFERROR(INDEX(Scores!$BC$2:$BC$103,MATCH($B101,Scores!$BI$2:$BI$103,0)),"")</f>
        <v/>
      </c>
    </row>
    <row r="102">
      <c r="A102" t="inlineStr">
        <is>
          <t>Ranked</t>
        </is>
      </c>
      <c r="B102" t="n">
        <v>100</v>
      </c>
      <c r="C102">
        <f>IFERROR(INDEX(Scores!$BI$2:$BI$103,MATCH($B102,Scores!$BI$2:$BI$103,0)),"")</f>
        <v/>
      </c>
      <c r="D102">
        <f>IFERROR(INDEX(Scores!$B$2:$B$103,MATCH($B102,Scores!$BI$2:$BI$103,0)),"")</f>
        <v/>
      </c>
      <c r="E102">
        <f>IFERROR(INDEX(Scores!$C$2:$C$103,MATCH($B102,Scores!$BI$2:$BI$103,0)),"")</f>
        <v/>
      </c>
      <c r="F102">
        <f>IFERROR(INDEX(Scores!$D$2:$D$103,MATCH($B102,Scores!$BI$2:$BI$103,0)),"")</f>
        <v/>
      </c>
      <c r="G102">
        <f>IFERROR(INDEX(Scores!$E$2:$E$103,MATCH($B102,Scores!$BI$2:$BI$103,0)),"")</f>
        <v/>
      </c>
      <c r="H102">
        <f>IFERROR(INDEX(Scores!$BF$2:$BF$103,MATCH($B102,Scores!$BI$2:$BI$103,0)),"")</f>
        <v/>
      </c>
      <c r="I102">
        <f>IFERROR(INDEX(Scores!$BH$2:$BH$103,MATCH($B102,Scores!$BI$2:$BI$103,0)),"")</f>
        <v/>
      </c>
      <c r="J102">
        <f>IFERROR(INDEX(Scores!$Q$2:$Q$103,MATCH($B102,Scores!$BI$2:$BI$103,0)),"")</f>
        <v/>
      </c>
      <c r="K102">
        <f>IFERROR(INDEX(Scores!$AC$2:$AC$103,MATCH($B102,Scores!$BI$2:$BI$103,0)),"")</f>
        <v/>
      </c>
      <c r="L102">
        <f>IFERROR(INDEX(Scores!$AK$2:$AK$103,MATCH($B102,Scores!$BI$2:$BI$103,0)),"")</f>
        <v/>
      </c>
      <c r="M102">
        <f>IFERROR(INDEX(Scores!$AS$2:$AS$103,MATCH($B102,Scores!$BI$2:$BI$103,0)),"")</f>
        <v/>
      </c>
      <c r="N102">
        <f>IFERROR(INDEX(Scores!$BC$2:$BC$103,MATCH($B102,Scores!$BI$2:$BI$103,0)),"")</f>
        <v/>
      </c>
    </row>
    <row r="103">
      <c r="A103" t="inlineStr">
        <is>
          <t>Ranked</t>
        </is>
      </c>
      <c r="B103" t="n">
        <v>101</v>
      </c>
      <c r="C103">
        <f>IFERROR(INDEX(Scores!$BI$2:$BI$103,MATCH($B103,Scores!$BI$2:$BI$103,0)),"")</f>
        <v/>
      </c>
      <c r="D103">
        <f>IFERROR(INDEX(Scores!$B$2:$B$103,MATCH($B103,Scores!$BI$2:$BI$103,0)),"")</f>
        <v/>
      </c>
      <c r="E103">
        <f>IFERROR(INDEX(Scores!$C$2:$C$103,MATCH($B103,Scores!$BI$2:$BI$103,0)),"")</f>
        <v/>
      </c>
      <c r="F103">
        <f>IFERROR(INDEX(Scores!$D$2:$D$103,MATCH($B103,Scores!$BI$2:$BI$103,0)),"")</f>
        <v/>
      </c>
      <c r="G103">
        <f>IFERROR(INDEX(Scores!$E$2:$E$103,MATCH($B103,Scores!$BI$2:$BI$103,0)),"")</f>
        <v/>
      </c>
      <c r="H103">
        <f>IFERROR(INDEX(Scores!$BF$2:$BF$103,MATCH($B103,Scores!$BI$2:$BI$103,0)),"")</f>
        <v/>
      </c>
      <c r="I103">
        <f>IFERROR(INDEX(Scores!$BH$2:$BH$103,MATCH($B103,Scores!$BI$2:$BI$103,0)),"")</f>
        <v/>
      </c>
      <c r="J103">
        <f>IFERROR(INDEX(Scores!$Q$2:$Q$103,MATCH($B103,Scores!$BI$2:$BI$103,0)),"")</f>
        <v/>
      </c>
      <c r="K103">
        <f>IFERROR(INDEX(Scores!$AC$2:$AC$103,MATCH($B103,Scores!$BI$2:$BI$103,0)),"")</f>
        <v/>
      </c>
      <c r="L103">
        <f>IFERROR(INDEX(Scores!$AK$2:$AK$103,MATCH($B103,Scores!$BI$2:$BI$103,0)),"")</f>
        <v/>
      </c>
      <c r="M103">
        <f>IFERROR(INDEX(Scores!$AS$2:$AS$103,MATCH($B103,Scores!$BI$2:$BI$103,0)),"")</f>
        <v/>
      </c>
      <c r="N103">
        <f>IFERROR(INDEX(Scores!$BC$2:$BC$103,MATCH($B103,Scores!$BI$2:$BI$103,0)),"")</f>
        <v/>
      </c>
    </row>
    <row r="104">
      <c r="A104" t="inlineStr">
        <is>
          <t>Ranked</t>
        </is>
      </c>
      <c r="B104" t="n">
        <v>102</v>
      </c>
      <c r="C104">
        <f>IFERROR(INDEX(Scores!$BI$2:$BI$103,MATCH($B104,Scores!$BI$2:$BI$103,0)),"")</f>
        <v/>
      </c>
      <c r="D104">
        <f>IFERROR(INDEX(Scores!$B$2:$B$103,MATCH($B104,Scores!$BI$2:$BI$103,0)),"")</f>
        <v/>
      </c>
      <c r="E104">
        <f>IFERROR(INDEX(Scores!$C$2:$C$103,MATCH($B104,Scores!$BI$2:$BI$103,0)),"")</f>
        <v/>
      </c>
      <c r="F104">
        <f>IFERROR(INDEX(Scores!$D$2:$D$103,MATCH($B104,Scores!$BI$2:$BI$103,0)),"")</f>
        <v/>
      </c>
      <c r="G104">
        <f>IFERROR(INDEX(Scores!$E$2:$E$103,MATCH($B104,Scores!$BI$2:$BI$103,0)),"")</f>
        <v/>
      </c>
      <c r="H104">
        <f>IFERROR(INDEX(Scores!$BF$2:$BF$103,MATCH($B104,Scores!$BI$2:$BI$103,0)),"")</f>
        <v/>
      </c>
      <c r="I104">
        <f>IFERROR(INDEX(Scores!$BH$2:$BH$103,MATCH($B104,Scores!$BI$2:$BI$103,0)),"")</f>
        <v/>
      </c>
      <c r="J104">
        <f>IFERROR(INDEX(Scores!$Q$2:$Q$103,MATCH($B104,Scores!$BI$2:$BI$103,0)),"")</f>
        <v/>
      </c>
      <c r="K104">
        <f>IFERROR(INDEX(Scores!$AC$2:$AC$103,MATCH($B104,Scores!$BI$2:$BI$103,0)),"")</f>
        <v/>
      </c>
      <c r="L104">
        <f>IFERROR(INDEX(Scores!$AK$2:$AK$103,MATCH($B104,Scores!$BI$2:$BI$103,0)),"")</f>
        <v/>
      </c>
      <c r="M104">
        <f>IFERROR(INDEX(Scores!$AS$2:$AS$103,MATCH($B104,Scores!$BI$2:$BI$103,0)),"")</f>
        <v/>
      </c>
      <c r="N104">
        <f>IFERROR(INDEX(Scores!$BC$2:$BC$103,MATCH($B104,Scores!$BI$2:$BI$103,0)),"")</f>
        <v/>
      </c>
    </row>
    <row r="105">
      <c r="A105" s="16" t="inlineStr">
        <is>
          <t>Top 50 Ranked Cities</t>
        </is>
      </c>
    </row>
    <row r="106">
      <c r="A106" s="6" t="inlineStr">
        <is>
          <t>leaderboard_scope</t>
        </is>
      </c>
      <c r="B106" s="6" t="inlineStr">
        <is>
          <t>target_rank</t>
        </is>
      </c>
      <c r="C106" s="6" t="inlineStr">
        <is>
          <t>rank</t>
        </is>
      </c>
      <c r="D106" s="6" t="inlineStr">
        <is>
          <t>display_name</t>
        </is>
      </c>
      <c r="E106" s="6" t="inlineStr">
        <is>
          <t>country</t>
        </is>
      </c>
      <c r="F106" s="6" t="inlineStr">
        <is>
          <t>cohort</t>
        </is>
      </c>
      <c r="G106" s="6" t="inlineStr">
        <is>
          <t>manifest_status</t>
        </is>
      </c>
      <c r="H106" s="6" t="inlineStr">
        <is>
          <t>coverage_grade</t>
        </is>
      </c>
      <c r="I106" s="6" t="inlineStr">
        <is>
          <t>slic_score</t>
        </is>
      </c>
      <c r="J106" s="6" t="inlineStr">
        <is>
          <t>pressure_pillar_score</t>
        </is>
      </c>
      <c r="K106" s="6" t="inlineStr">
        <is>
          <t>viability_pillar_score</t>
        </is>
      </c>
      <c r="L106" s="6" t="inlineStr">
        <is>
          <t>capability_pillar_score</t>
        </is>
      </c>
      <c r="M106" s="6" t="inlineStr">
        <is>
          <t>community_pillar_score</t>
        </is>
      </c>
      <c r="N106" s="6" t="inlineStr">
        <is>
          <t>creative_pillar_score</t>
        </is>
      </c>
    </row>
    <row r="107">
      <c r="A107" t="inlineStr">
        <is>
          <t>Top 50</t>
        </is>
      </c>
      <c r="B107" t="n">
        <v>1</v>
      </c>
      <c r="C107">
        <f>IFERROR(INDEX(Scores!$BI$2:$BI$103,MATCH($B107,Scores!$BI$2:$BI$103,0)),"")</f>
        <v/>
      </c>
      <c r="D107">
        <f>IFERROR(INDEX(Scores!$B$2:$B$103,MATCH($B107,Scores!$BI$2:$BI$103,0)),"")</f>
        <v/>
      </c>
      <c r="E107">
        <f>IFERROR(INDEX(Scores!$C$2:$C$103,MATCH($B107,Scores!$BI$2:$BI$103,0)),"")</f>
        <v/>
      </c>
      <c r="F107">
        <f>IFERROR(INDEX(Scores!$D$2:$D$103,MATCH($B107,Scores!$BI$2:$BI$103,0)),"")</f>
        <v/>
      </c>
      <c r="G107">
        <f>IFERROR(INDEX(Scores!$E$2:$E$103,MATCH($B107,Scores!$BI$2:$BI$103,0)),"")</f>
        <v/>
      </c>
      <c r="H107">
        <f>IFERROR(INDEX(Scores!$BF$2:$BF$103,MATCH($B107,Scores!$BI$2:$BI$103,0)),"")</f>
        <v/>
      </c>
      <c r="I107">
        <f>IFERROR(INDEX(Scores!$BH$2:$BH$103,MATCH($B107,Scores!$BI$2:$BI$103,0)),"")</f>
        <v/>
      </c>
      <c r="J107">
        <f>IFERROR(INDEX(Scores!$Q$2:$Q$103,MATCH($B107,Scores!$BI$2:$BI$103,0)),"")</f>
        <v/>
      </c>
      <c r="K107">
        <f>IFERROR(INDEX(Scores!$AC$2:$AC$103,MATCH($B107,Scores!$BI$2:$BI$103,0)),"")</f>
        <v/>
      </c>
      <c r="L107">
        <f>IFERROR(INDEX(Scores!$AK$2:$AK$103,MATCH($B107,Scores!$BI$2:$BI$103,0)),"")</f>
        <v/>
      </c>
      <c r="M107">
        <f>IFERROR(INDEX(Scores!$AS$2:$AS$103,MATCH($B107,Scores!$BI$2:$BI$103,0)),"")</f>
        <v/>
      </c>
      <c r="N107">
        <f>IFERROR(INDEX(Scores!$BC$2:$BC$103,MATCH($B107,Scores!$BI$2:$BI$103,0)),"")</f>
        <v/>
      </c>
    </row>
    <row r="108">
      <c r="A108" t="inlineStr">
        <is>
          <t>Top 50</t>
        </is>
      </c>
      <c r="B108" t="n">
        <v>2</v>
      </c>
      <c r="C108">
        <f>IFERROR(INDEX(Scores!$BI$2:$BI$103,MATCH($B108,Scores!$BI$2:$BI$103,0)),"")</f>
        <v/>
      </c>
      <c r="D108">
        <f>IFERROR(INDEX(Scores!$B$2:$B$103,MATCH($B108,Scores!$BI$2:$BI$103,0)),"")</f>
        <v/>
      </c>
      <c r="E108">
        <f>IFERROR(INDEX(Scores!$C$2:$C$103,MATCH($B108,Scores!$BI$2:$BI$103,0)),"")</f>
        <v/>
      </c>
      <c r="F108">
        <f>IFERROR(INDEX(Scores!$D$2:$D$103,MATCH($B108,Scores!$BI$2:$BI$103,0)),"")</f>
        <v/>
      </c>
      <c r="G108">
        <f>IFERROR(INDEX(Scores!$E$2:$E$103,MATCH($B108,Scores!$BI$2:$BI$103,0)),"")</f>
        <v/>
      </c>
      <c r="H108">
        <f>IFERROR(INDEX(Scores!$BF$2:$BF$103,MATCH($B108,Scores!$BI$2:$BI$103,0)),"")</f>
        <v/>
      </c>
      <c r="I108">
        <f>IFERROR(INDEX(Scores!$BH$2:$BH$103,MATCH($B108,Scores!$BI$2:$BI$103,0)),"")</f>
        <v/>
      </c>
      <c r="J108">
        <f>IFERROR(INDEX(Scores!$Q$2:$Q$103,MATCH($B108,Scores!$BI$2:$BI$103,0)),"")</f>
        <v/>
      </c>
      <c r="K108">
        <f>IFERROR(INDEX(Scores!$AC$2:$AC$103,MATCH($B108,Scores!$BI$2:$BI$103,0)),"")</f>
        <v/>
      </c>
      <c r="L108">
        <f>IFERROR(INDEX(Scores!$AK$2:$AK$103,MATCH($B108,Scores!$BI$2:$BI$103,0)),"")</f>
        <v/>
      </c>
      <c r="M108">
        <f>IFERROR(INDEX(Scores!$AS$2:$AS$103,MATCH($B108,Scores!$BI$2:$BI$103,0)),"")</f>
        <v/>
      </c>
      <c r="N108">
        <f>IFERROR(INDEX(Scores!$BC$2:$BC$103,MATCH($B108,Scores!$BI$2:$BI$103,0)),"")</f>
        <v/>
      </c>
    </row>
    <row r="109">
      <c r="A109" t="inlineStr">
        <is>
          <t>Top 50</t>
        </is>
      </c>
      <c r="B109" t="n">
        <v>3</v>
      </c>
      <c r="C109">
        <f>IFERROR(INDEX(Scores!$BI$2:$BI$103,MATCH($B109,Scores!$BI$2:$BI$103,0)),"")</f>
        <v/>
      </c>
      <c r="D109">
        <f>IFERROR(INDEX(Scores!$B$2:$B$103,MATCH($B109,Scores!$BI$2:$BI$103,0)),"")</f>
        <v/>
      </c>
      <c r="E109">
        <f>IFERROR(INDEX(Scores!$C$2:$C$103,MATCH($B109,Scores!$BI$2:$BI$103,0)),"")</f>
        <v/>
      </c>
      <c r="F109">
        <f>IFERROR(INDEX(Scores!$D$2:$D$103,MATCH($B109,Scores!$BI$2:$BI$103,0)),"")</f>
        <v/>
      </c>
      <c r="G109">
        <f>IFERROR(INDEX(Scores!$E$2:$E$103,MATCH($B109,Scores!$BI$2:$BI$103,0)),"")</f>
        <v/>
      </c>
      <c r="H109">
        <f>IFERROR(INDEX(Scores!$BF$2:$BF$103,MATCH($B109,Scores!$BI$2:$BI$103,0)),"")</f>
        <v/>
      </c>
      <c r="I109">
        <f>IFERROR(INDEX(Scores!$BH$2:$BH$103,MATCH($B109,Scores!$BI$2:$BI$103,0)),"")</f>
        <v/>
      </c>
      <c r="J109">
        <f>IFERROR(INDEX(Scores!$Q$2:$Q$103,MATCH($B109,Scores!$BI$2:$BI$103,0)),"")</f>
        <v/>
      </c>
      <c r="K109">
        <f>IFERROR(INDEX(Scores!$AC$2:$AC$103,MATCH($B109,Scores!$BI$2:$BI$103,0)),"")</f>
        <v/>
      </c>
      <c r="L109">
        <f>IFERROR(INDEX(Scores!$AK$2:$AK$103,MATCH($B109,Scores!$BI$2:$BI$103,0)),"")</f>
        <v/>
      </c>
      <c r="M109">
        <f>IFERROR(INDEX(Scores!$AS$2:$AS$103,MATCH($B109,Scores!$BI$2:$BI$103,0)),"")</f>
        <v/>
      </c>
      <c r="N109">
        <f>IFERROR(INDEX(Scores!$BC$2:$BC$103,MATCH($B109,Scores!$BI$2:$BI$103,0)),"")</f>
        <v/>
      </c>
    </row>
    <row r="110">
      <c r="A110" t="inlineStr">
        <is>
          <t>Top 50</t>
        </is>
      </c>
      <c r="B110" t="n">
        <v>4</v>
      </c>
      <c r="C110">
        <f>IFERROR(INDEX(Scores!$BI$2:$BI$103,MATCH($B110,Scores!$BI$2:$BI$103,0)),"")</f>
        <v/>
      </c>
      <c r="D110">
        <f>IFERROR(INDEX(Scores!$B$2:$B$103,MATCH($B110,Scores!$BI$2:$BI$103,0)),"")</f>
        <v/>
      </c>
      <c r="E110">
        <f>IFERROR(INDEX(Scores!$C$2:$C$103,MATCH($B110,Scores!$BI$2:$BI$103,0)),"")</f>
        <v/>
      </c>
      <c r="F110">
        <f>IFERROR(INDEX(Scores!$D$2:$D$103,MATCH($B110,Scores!$BI$2:$BI$103,0)),"")</f>
        <v/>
      </c>
      <c r="G110">
        <f>IFERROR(INDEX(Scores!$E$2:$E$103,MATCH($B110,Scores!$BI$2:$BI$103,0)),"")</f>
        <v/>
      </c>
      <c r="H110">
        <f>IFERROR(INDEX(Scores!$BF$2:$BF$103,MATCH($B110,Scores!$BI$2:$BI$103,0)),"")</f>
        <v/>
      </c>
      <c r="I110">
        <f>IFERROR(INDEX(Scores!$BH$2:$BH$103,MATCH($B110,Scores!$BI$2:$BI$103,0)),"")</f>
        <v/>
      </c>
      <c r="J110">
        <f>IFERROR(INDEX(Scores!$Q$2:$Q$103,MATCH($B110,Scores!$BI$2:$BI$103,0)),"")</f>
        <v/>
      </c>
      <c r="K110">
        <f>IFERROR(INDEX(Scores!$AC$2:$AC$103,MATCH($B110,Scores!$BI$2:$BI$103,0)),"")</f>
        <v/>
      </c>
      <c r="L110">
        <f>IFERROR(INDEX(Scores!$AK$2:$AK$103,MATCH($B110,Scores!$BI$2:$BI$103,0)),"")</f>
        <v/>
      </c>
      <c r="M110">
        <f>IFERROR(INDEX(Scores!$AS$2:$AS$103,MATCH($B110,Scores!$BI$2:$BI$103,0)),"")</f>
        <v/>
      </c>
      <c r="N110">
        <f>IFERROR(INDEX(Scores!$BC$2:$BC$103,MATCH($B110,Scores!$BI$2:$BI$103,0)),"")</f>
        <v/>
      </c>
    </row>
    <row r="111">
      <c r="A111" t="inlineStr">
        <is>
          <t>Top 50</t>
        </is>
      </c>
      <c r="B111" t="n">
        <v>5</v>
      </c>
      <c r="C111">
        <f>IFERROR(INDEX(Scores!$BI$2:$BI$103,MATCH($B111,Scores!$BI$2:$BI$103,0)),"")</f>
        <v/>
      </c>
      <c r="D111">
        <f>IFERROR(INDEX(Scores!$B$2:$B$103,MATCH($B111,Scores!$BI$2:$BI$103,0)),"")</f>
        <v/>
      </c>
      <c r="E111">
        <f>IFERROR(INDEX(Scores!$C$2:$C$103,MATCH($B111,Scores!$BI$2:$BI$103,0)),"")</f>
        <v/>
      </c>
      <c r="F111">
        <f>IFERROR(INDEX(Scores!$D$2:$D$103,MATCH($B111,Scores!$BI$2:$BI$103,0)),"")</f>
        <v/>
      </c>
      <c r="G111">
        <f>IFERROR(INDEX(Scores!$E$2:$E$103,MATCH($B111,Scores!$BI$2:$BI$103,0)),"")</f>
        <v/>
      </c>
      <c r="H111">
        <f>IFERROR(INDEX(Scores!$BF$2:$BF$103,MATCH($B111,Scores!$BI$2:$BI$103,0)),"")</f>
        <v/>
      </c>
      <c r="I111">
        <f>IFERROR(INDEX(Scores!$BH$2:$BH$103,MATCH($B111,Scores!$BI$2:$BI$103,0)),"")</f>
        <v/>
      </c>
      <c r="J111">
        <f>IFERROR(INDEX(Scores!$Q$2:$Q$103,MATCH($B111,Scores!$BI$2:$BI$103,0)),"")</f>
        <v/>
      </c>
      <c r="K111">
        <f>IFERROR(INDEX(Scores!$AC$2:$AC$103,MATCH($B111,Scores!$BI$2:$BI$103,0)),"")</f>
        <v/>
      </c>
      <c r="L111">
        <f>IFERROR(INDEX(Scores!$AK$2:$AK$103,MATCH($B111,Scores!$BI$2:$BI$103,0)),"")</f>
        <v/>
      </c>
      <c r="M111">
        <f>IFERROR(INDEX(Scores!$AS$2:$AS$103,MATCH($B111,Scores!$BI$2:$BI$103,0)),"")</f>
        <v/>
      </c>
      <c r="N111">
        <f>IFERROR(INDEX(Scores!$BC$2:$BC$103,MATCH($B111,Scores!$BI$2:$BI$103,0)),"")</f>
        <v/>
      </c>
    </row>
    <row r="112">
      <c r="A112" t="inlineStr">
        <is>
          <t>Top 50</t>
        </is>
      </c>
      <c r="B112" t="n">
        <v>6</v>
      </c>
      <c r="C112">
        <f>IFERROR(INDEX(Scores!$BI$2:$BI$103,MATCH($B112,Scores!$BI$2:$BI$103,0)),"")</f>
        <v/>
      </c>
      <c r="D112">
        <f>IFERROR(INDEX(Scores!$B$2:$B$103,MATCH($B112,Scores!$BI$2:$BI$103,0)),"")</f>
        <v/>
      </c>
      <c r="E112">
        <f>IFERROR(INDEX(Scores!$C$2:$C$103,MATCH($B112,Scores!$BI$2:$BI$103,0)),"")</f>
        <v/>
      </c>
      <c r="F112">
        <f>IFERROR(INDEX(Scores!$D$2:$D$103,MATCH($B112,Scores!$BI$2:$BI$103,0)),"")</f>
        <v/>
      </c>
      <c r="G112">
        <f>IFERROR(INDEX(Scores!$E$2:$E$103,MATCH($B112,Scores!$BI$2:$BI$103,0)),"")</f>
        <v/>
      </c>
      <c r="H112">
        <f>IFERROR(INDEX(Scores!$BF$2:$BF$103,MATCH($B112,Scores!$BI$2:$BI$103,0)),"")</f>
        <v/>
      </c>
      <c r="I112">
        <f>IFERROR(INDEX(Scores!$BH$2:$BH$103,MATCH($B112,Scores!$BI$2:$BI$103,0)),"")</f>
        <v/>
      </c>
      <c r="J112">
        <f>IFERROR(INDEX(Scores!$Q$2:$Q$103,MATCH($B112,Scores!$BI$2:$BI$103,0)),"")</f>
        <v/>
      </c>
      <c r="K112">
        <f>IFERROR(INDEX(Scores!$AC$2:$AC$103,MATCH($B112,Scores!$BI$2:$BI$103,0)),"")</f>
        <v/>
      </c>
      <c r="L112">
        <f>IFERROR(INDEX(Scores!$AK$2:$AK$103,MATCH($B112,Scores!$BI$2:$BI$103,0)),"")</f>
        <v/>
      </c>
      <c r="M112">
        <f>IFERROR(INDEX(Scores!$AS$2:$AS$103,MATCH($B112,Scores!$BI$2:$BI$103,0)),"")</f>
        <v/>
      </c>
      <c r="N112">
        <f>IFERROR(INDEX(Scores!$BC$2:$BC$103,MATCH($B112,Scores!$BI$2:$BI$103,0)),"")</f>
        <v/>
      </c>
    </row>
    <row r="113">
      <c r="A113" t="inlineStr">
        <is>
          <t>Top 50</t>
        </is>
      </c>
      <c r="B113" t="n">
        <v>7</v>
      </c>
      <c r="C113">
        <f>IFERROR(INDEX(Scores!$BI$2:$BI$103,MATCH($B113,Scores!$BI$2:$BI$103,0)),"")</f>
        <v/>
      </c>
      <c r="D113">
        <f>IFERROR(INDEX(Scores!$B$2:$B$103,MATCH($B113,Scores!$BI$2:$BI$103,0)),"")</f>
        <v/>
      </c>
      <c r="E113">
        <f>IFERROR(INDEX(Scores!$C$2:$C$103,MATCH($B113,Scores!$BI$2:$BI$103,0)),"")</f>
        <v/>
      </c>
      <c r="F113">
        <f>IFERROR(INDEX(Scores!$D$2:$D$103,MATCH($B113,Scores!$BI$2:$BI$103,0)),"")</f>
        <v/>
      </c>
      <c r="G113">
        <f>IFERROR(INDEX(Scores!$E$2:$E$103,MATCH($B113,Scores!$BI$2:$BI$103,0)),"")</f>
        <v/>
      </c>
      <c r="H113">
        <f>IFERROR(INDEX(Scores!$BF$2:$BF$103,MATCH($B113,Scores!$BI$2:$BI$103,0)),"")</f>
        <v/>
      </c>
      <c r="I113">
        <f>IFERROR(INDEX(Scores!$BH$2:$BH$103,MATCH($B113,Scores!$BI$2:$BI$103,0)),"")</f>
        <v/>
      </c>
      <c r="J113">
        <f>IFERROR(INDEX(Scores!$Q$2:$Q$103,MATCH($B113,Scores!$BI$2:$BI$103,0)),"")</f>
        <v/>
      </c>
      <c r="K113">
        <f>IFERROR(INDEX(Scores!$AC$2:$AC$103,MATCH($B113,Scores!$BI$2:$BI$103,0)),"")</f>
        <v/>
      </c>
      <c r="L113">
        <f>IFERROR(INDEX(Scores!$AK$2:$AK$103,MATCH($B113,Scores!$BI$2:$BI$103,0)),"")</f>
        <v/>
      </c>
      <c r="M113">
        <f>IFERROR(INDEX(Scores!$AS$2:$AS$103,MATCH($B113,Scores!$BI$2:$BI$103,0)),"")</f>
        <v/>
      </c>
      <c r="N113">
        <f>IFERROR(INDEX(Scores!$BC$2:$BC$103,MATCH($B113,Scores!$BI$2:$BI$103,0)),"")</f>
        <v/>
      </c>
    </row>
    <row r="114">
      <c r="A114" t="inlineStr">
        <is>
          <t>Top 50</t>
        </is>
      </c>
      <c r="B114" t="n">
        <v>8</v>
      </c>
      <c r="C114">
        <f>IFERROR(INDEX(Scores!$BI$2:$BI$103,MATCH($B114,Scores!$BI$2:$BI$103,0)),"")</f>
        <v/>
      </c>
      <c r="D114">
        <f>IFERROR(INDEX(Scores!$B$2:$B$103,MATCH($B114,Scores!$BI$2:$BI$103,0)),"")</f>
        <v/>
      </c>
      <c r="E114">
        <f>IFERROR(INDEX(Scores!$C$2:$C$103,MATCH($B114,Scores!$BI$2:$BI$103,0)),"")</f>
        <v/>
      </c>
      <c r="F114">
        <f>IFERROR(INDEX(Scores!$D$2:$D$103,MATCH($B114,Scores!$BI$2:$BI$103,0)),"")</f>
        <v/>
      </c>
      <c r="G114">
        <f>IFERROR(INDEX(Scores!$E$2:$E$103,MATCH($B114,Scores!$BI$2:$BI$103,0)),"")</f>
        <v/>
      </c>
      <c r="H114">
        <f>IFERROR(INDEX(Scores!$BF$2:$BF$103,MATCH($B114,Scores!$BI$2:$BI$103,0)),"")</f>
        <v/>
      </c>
      <c r="I114">
        <f>IFERROR(INDEX(Scores!$BH$2:$BH$103,MATCH($B114,Scores!$BI$2:$BI$103,0)),"")</f>
        <v/>
      </c>
      <c r="J114">
        <f>IFERROR(INDEX(Scores!$Q$2:$Q$103,MATCH($B114,Scores!$BI$2:$BI$103,0)),"")</f>
        <v/>
      </c>
      <c r="K114">
        <f>IFERROR(INDEX(Scores!$AC$2:$AC$103,MATCH($B114,Scores!$BI$2:$BI$103,0)),"")</f>
        <v/>
      </c>
      <c r="L114">
        <f>IFERROR(INDEX(Scores!$AK$2:$AK$103,MATCH($B114,Scores!$BI$2:$BI$103,0)),"")</f>
        <v/>
      </c>
      <c r="M114">
        <f>IFERROR(INDEX(Scores!$AS$2:$AS$103,MATCH($B114,Scores!$BI$2:$BI$103,0)),"")</f>
        <v/>
      </c>
      <c r="N114">
        <f>IFERROR(INDEX(Scores!$BC$2:$BC$103,MATCH($B114,Scores!$BI$2:$BI$103,0)),"")</f>
        <v/>
      </c>
    </row>
    <row r="115">
      <c r="A115" t="inlineStr">
        <is>
          <t>Top 50</t>
        </is>
      </c>
      <c r="B115" t="n">
        <v>9</v>
      </c>
      <c r="C115">
        <f>IFERROR(INDEX(Scores!$BI$2:$BI$103,MATCH($B115,Scores!$BI$2:$BI$103,0)),"")</f>
        <v/>
      </c>
      <c r="D115">
        <f>IFERROR(INDEX(Scores!$B$2:$B$103,MATCH($B115,Scores!$BI$2:$BI$103,0)),"")</f>
        <v/>
      </c>
      <c r="E115">
        <f>IFERROR(INDEX(Scores!$C$2:$C$103,MATCH($B115,Scores!$BI$2:$BI$103,0)),"")</f>
        <v/>
      </c>
      <c r="F115">
        <f>IFERROR(INDEX(Scores!$D$2:$D$103,MATCH($B115,Scores!$BI$2:$BI$103,0)),"")</f>
        <v/>
      </c>
      <c r="G115">
        <f>IFERROR(INDEX(Scores!$E$2:$E$103,MATCH($B115,Scores!$BI$2:$BI$103,0)),"")</f>
        <v/>
      </c>
      <c r="H115">
        <f>IFERROR(INDEX(Scores!$BF$2:$BF$103,MATCH($B115,Scores!$BI$2:$BI$103,0)),"")</f>
        <v/>
      </c>
      <c r="I115">
        <f>IFERROR(INDEX(Scores!$BH$2:$BH$103,MATCH($B115,Scores!$BI$2:$BI$103,0)),"")</f>
        <v/>
      </c>
      <c r="J115">
        <f>IFERROR(INDEX(Scores!$Q$2:$Q$103,MATCH($B115,Scores!$BI$2:$BI$103,0)),"")</f>
        <v/>
      </c>
      <c r="K115">
        <f>IFERROR(INDEX(Scores!$AC$2:$AC$103,MATCH($B115,Scores!$BI$2:$BI$103,0)),"")</f>
        <v/>
      </c>
      <c r="L115">
        <f>IFERROR(INDEX(Scores!$AK$2:$AK$103,MATCH($B115,Scores!$BI$2:$BI$103,0)),"")</f>
        <v/>
      </c>
      <c r="M115">
        <f>IFERROR(INDEX(Scores!$AS$2:$AS$103,MATCH($B115,Scores!$BI$2:$BI$103,0)),"")</f>
        <v/>
      </c>
      <c r="N115">
        <f>IFERROR(INDEX(Scores!$BC$2:$BC$103,MATCH($B115,Scores!$BI$2:$BI$103,0)),"")</f>
        <v/>
      </c>
    </row>
    <row r="116">
      <c r="A116" t="inlineStr">
        <is>
          <t>Top 50</t>
        </is>
      </c>
      <c r="B116" t="n">
        <v>10</v>
      </c>
      <c r="C116">
        <f>IFERROR(INDEX(Scores!$BI$2:$BI$103,MATCH($B116,Scores!$BI$2:$BI$103,0)),"")</f>
        <v/>
      </c>
      <c r="D116">
        <f>IFERROR(INDEX(Scores!$B$2:$B$103,MATCH($B116,Scores!$BI$2:$BI$103,0)),"")</f>
        <v/>
      </c>
      <c r="E116">
        <f>IFERROR(INDEX(Scores!$C$2:$C$103,MATCH($B116,Scores!$BI$2:$BI$103,0)),"")</f>
        <v/>
      </c>
      <c r="F116">
        <f>IFERROR(INDEX(Scores!$D$2:$D$103,MATCH($B116,Scores!$BI$2:$BI$103,0)),"")</f>
        <v/>
      </c>
      <c r="G116">
        <f>IFERROR(INDEX(Scores!$E$2:$E$103,MATCH($B116,Scores!$BI$2:$BI$103,0)),"")</f>
        <v/>
      </c>
      <c r="H116">
        <f>IFERROR(INDEX(Scores!$BF$2:$BF$103,MATCH($B116,Scores!$BI$2:$BI$103,0)),"")</f>
        <v/>
      </c>
      <c r="I116">
        <f>IFERROR(INDEX(Scores!$BH$2:$BH$103,MATCH($B116,Scores!$BI$2:$BI$103,0)),"")</f>
        <v/>
      </c>
      <c r="J116">
        <f>IFERROR(INDEX(Scores!$Q$2:$Q$103,MATCH($B116,Scores!$BI$2:$BI$103,0)),"")</f>
        <v/>
      </c>
      <c r="K116">
        <f>IFERROR(INDEX(Scores!$AC$2:$AC$103,MATCH($B116,Scores!$BI$2:$BI$103,0)),"")</f>
        <v/>
      </c>
      <c r="L116">
        <f>IFERROR(INDEX(Scores!$AK$2:$AK$103,MATCH($B116,Scores!$BI$2:$BI$103,0)),"")</f>
        <v/>
      </c>
      <c r="M116">
        <f>IFERROR(INDEX(Scores!$AS$2:$AS$103,MATCH($B116,Scores!$BI$2:$BI$103,0)),"")</f>
        <v/>
      </c>
      <c r="N116">
        <f>IFERROR(INDEX(Scores!$BC$2:$BC$103,MATCH($B116,Scores!$BI$2:$BI$103,0)),"")</f>
        <v/>
      </c>
    </row>
    <row r="117">
      <c r="A117" t="inlineStr">
        <is>
          <t>Top 50</t>
        </is>
      </c>
      <c r="B117" t="n">
        <v>11</v>
      </c>
      <c r="C117">
        <f>IFERROR(INDEX(Scores!$BI$2:$BI$103,MATCH($B117,Scores!$BI$2:$BI$103,0)),"")</f>
        <v/>
      </c>
      <c r="D117">
        <f>IFERROR(INDEX(Scores!$B$2:$B$103,MATCH($B117,Scores!$BI$2:$BI$103,0)),"")</f>
        <v/>
      </c>
      <c r="E117">
        <f>IFERROR(INDEX(Scores!$C$2:$C$103,MATCH($B117,Scores!$BI$2:$BI$103,0)),"")</f>
        <v/>
      </c>
      <c r="F117">
        <f>IFERROR(INDEX(Scores!$D$2:$D$103,MATCH($B117,Scores!$BI$2:$BI$103,0)),"")</f>
        <v/>
      </c>
      <c r="G117">
        <f>IFERROR(INDEX(Scores!$E$2:$E$103,MATCH($B117,Scores!$BI$2:$BI$103,0)),"")</f>
        <v/>
      </c>
      <c r="H117">
        <f>IFERROR(INDEX(Scores!$BF$2:$BF$103,MATCH($B117,Scores!$BI$2:$BI$103,0)),"")</f>
        <v/>
      </c>
      <c r="I117">
        <f>IFERROR(INDEX(Scores!$BH$2:$BH$103,MATCH($B117,Scores!$BI$2:$BI$103,0)),"")</f>
        <v/>
      </c>
      <c r="J117">
        <f>IFERROR(INDEX(Scores!$Q$2:$Q$103,MATCH($B117,Scores!$BI$2:$BI$103,0)),"")</f>
        <v/>
      </c>
      <c r="K117">
        <f>IFERROR(INDEX(Scores!$AC$2:$AC$103,MATCH($B117,Scores!$BI$2:$BI$103,0)),"")</f>
        <v/>
      </c>
      <c r="L117">
        <f>IFERROR(INDEX(Scores!$AK$2:$AK$103,MATCH($B117,Scores!$BI$2:$BI$103,0)),"")</f>
        <v/>
      </c>
      <c r="M117">
        <f>IFERROR(INDEX(Scores!$AS$2:$AS$103,MATCH($B117,Scores!$BI$2:$BI$103,0)),"")</f>
        <v/>
      </c>
      <c r="N117">
        <f>IFERROR(INDEX(Scores!$BC$2:$BC$103,MATCH($B117,Scores!$BI$2:$BI$103,0)),"")</f>
        <v/>
      </c>
    </row>
    <row r="118">
      <c r="A118" t="inlineStr">
        <is>
          <t>Top 50</t>
        </is>
      </c>
      <c r="B118" t="n">
        <v>12</v>
      </c>
      <c r="C118">
        <f>IFERROR(INDEX(Scores!$BI$2:$BI$103,MATCH($B118,Scores!$BI$2:$BI$103,0)),"")</f>
        <v/>
      </c>
      <c r="D118">
        <f>IFERROR(INDEX(Scores!$B$2:$B$103,MATCH($B118,Scores!$BI$2:$BI$103,0)),"")</f>
        <v/>
      </c>
      <c r="E118">
        <f>IFERROR(INDEX(Scores!$C$2:$C$103,MATCH($B118,Scores!$BI$2:$BI$103,0)),"")</f>
        <v/>
      </c>
      <c r="F118">
        <f>IFERROR(INDEX(Scores!$D$2:$D$103,MATCH($B118,Scores!$BI$2:$BI$103,0)),"")</f>
        <v/>
      </c>
      <c r="G118">
        <f>IFERROR(INDEX(Scores!$E$2:$E$103,MATCH($B118,Scores!$BI$2:$BI$103,0)),"")</f>
        <v/>
      </c>
      <c r="H118">
        <f>IFERROR(INDEX(Scores!$BF$2:$BF$103,MATCH($B118,Scores!$BI$2:$BI$103,0)),"")</f>
        <v/>
      </c>
      <c r="I118">
        <f>IFERROR(INDEX(Scores!$BH$2:$BH$103,MATCH($B118,Scores!$BI$2:$BI$103,0)),"")</f>
        <v/>
      </c>
      <c r="J118">
        <f>IFERROR(INDEX(Scores!$Q$2:$Q$103,MATCH($B118,Scores!$BI$2:$BI$103,0)),"")</f>
        <v/>
      </c>
      <c r="K118">
        <f>IFERROR(INDEX(Scores!$AC$2:$AC$103,MATCH($B118,Scores!$BI$2:$BI$103,0)),"")</f>
        <v/>
      </c>
      <c r="L118">
        <f>IFERROR(INDEX(Scores!$AK$2:$AK$103,MATCH($B118,Scores!$BI$2:$BI$103,0)),"")</f>
        <v/>
      </c>
      <c r="M118">
        <f>IFERROR(INDEX(Scores!$AS$2:$AS$103,MATCH($B118,Scores!$BI$2:$BI$103,0)),"")</f>
        <v/>
      </c>
      <c r="N118">
        <f>IFERROR(INDEX(Scores!$BC$2:$BC$103,MATCH($B118,Scores!$BI$2:$BI$103,0)),"")</f>
        <v/>
      </c>
    </row>
    <row r="119">
      <c r="A119" t="inlineStr">
        <is>
          <t>Top 50</t>
        </is>
      </c>
      <c r="B119" t="n">
        <v>13</v>
      </c>
      <c r="C119">
        <f>IFERROR(INDEX(Scores!$BI$2:$BI$103,MATCH($B119,Scores!$BI$2:$BI$103,0)),"")</f>
        <v/>
      </c>
      <c r="D119">
        <f>IFERROR(INDEX(Scores!$B$2:$B$103,MATCH($B119,Scores!$BI$2:$BI$103,0)),"")</f>
        <v/>
      </c>
      <c r="E119">
        <f>IFERROR(INDEX(Scores!$C$2:$C$103,MATCH($B119,Scores!$BI$2:$BI$103,0)),"")</f>
        <v/>
      </c>
      <c r="F119">
        <f>IFERROR(INDEX(Scores!$D$2:$D$103,MATCH($B119,Scores!$BI$2:$BI$103,0)),"")</f>
        <v/>
      </c>
      <c r="G119">
        <f>IFERROR(INDEX(Scores!$E$2:$E$103,MATCH($B119,Scores!$BI$2:$BI$103,0)),"")</f>
        <v/>
      </c>
      <c r="H119">
        <f>IFERROR(INDEX(Scores!$BF$2:$BF$103,MATCH($B119,Scores!$BI$2:$BI$103,0)),"")</f>
        <v/>
      </c>
      <c r="I119">
        <f>IFERROR(INDEX(Scores!$BH$2:$BH$103,MATCH($B119,Scores!$BI$2:$BI$103,0)),"")</f>
        <v/>
      </c>
      <c r="J119">
        <f>IFERROR(INDEX(Scores!$Q$2:$Q$103,MATCH($B119,Scores!$BI$2:$BI$103,0)),"")</f>
        <v/>
      </c>
      <c r="K119">
        <f>IFERROR(INDEX(Scores!$AC$2:$AC$103,MATCH($B119,Scores!$BI$2:$BI$103,0)),"")</f>
        <v/>
      </c>
      <c r="L119">
        <f>IFERROR(INDEX(Scores!$AK$2:$AK$103,MATCH($B119,Scores!$BI$2:$BI$103,0)),"")</f>
        <v/>
      </c>
      <c r="M119">
        <f>IFERROR(INDEX(Scores!$AS$2:$AS$103,MATCH($B119,Scores!$BI$2:$BI$103,0)),"")</f>
        <v/>
      </c>
      <c r="N119">
        <f>IFERROR(INDEX(Scores!$BC$2:$BC$103,MATCH($B119,Scores!$BI$2:$BI$103,0)),"")</f>
        <v/>
      </c>
    </row>
    <row r="120">
      <c r="A120" t="inlineStr">
        <is>
          <t>Top 50</t>
        </is>
      </c>
      <c r="B120" t="n">
        <v>14</v>
      </c>
      <c r="C120">
        <f>IFERROR(INDEX(Scores!$BI$2:$BI$103,MATCH($B120,Scores!$BI$2:$BI$103,0)),"")</f>
        <v/>
      </c>
      <c r="D120">
        <f>IFERROR(INDEX(Scores!$B$2:$B$103,MATCH($B120,Scores!$BI$2:$BI$103,0)),"")</f>
        <v/>
      </c>
      <c r="E120">
        <f>IFERROR(INDEX(Scores!$C$2:$C$103,MATCH($B120,Scores!$BI$2:$BI$103,0)),"")</f>
        <v/>
      </c>
      <c r="F120">
        <f>IFERROR(INDEX(Scores!$D$2:$D$103,MATCH($B120,Scores!$BI$2:$BI$103,0)),"")</f>
        <v/>
      </c>
      <c r="G120">
        <f>IFERROR(INDEX(Scores!$E$2:$E$103,MATCH($B120,Scores!$BI$2:$BI$103,0)),"")</f>
        <v/>
      </c>
      <c r="H120">
        <f>IFERROR(INDEX(Scores!$BF$2:$BF$103,MATCH($B120,Scores!$BI$2:$BI$103,0)),"")</f>
        <v/>
      </c>
      <c r="I120">
        <f>IFERROR(INDEX(Scores!$BH$2:$BH$103,MATCH($B120,Scores!$BI$2:$BI$103,0)),"")</f>
        <v/>
      </c>
      <c r="J120">
        <f>IFERROR(INDEX(Scores!$Q$2:$Q$103,MATCH($B120,Scores!$BI$2:$BI$103,0)),"")</f>
        <v/>
      </c>
      <c r="K120">
        <f>IFERROR(INDEX(Scores!$AC$2:$AC$103,MATCH($B120,Scores!$BI$2:$BI$103,0)),"")</f>
        <v/>
      </c>
      <c r="L120">
        <f>IFERROR(INDEX(Scores!$AK$2:$AK$103,MATCH($B120,Scores!$BI$2:$BI$103,0)),"")</f>
        <v/>
      </c>
      <c r="M120">
        <f>IFERROR(INDEX(Scores!$AS$2:$AS$103,MATCH($B120,Scores!$BI$2:$BI$103,0)),"")</f>
        <v/>
      </c>
      <c r="N120">
        <f>IFERROR(INDEX(Scores!$BC$2:$BC$103,MATCH($B120,Scores!$BI$2:$BI$103,0)),"")</f>
        <v/>
      </c>
    </row>
    <row r="121">
      <c r="A121" t="inlineStr">
        <is>
          <t>Top 50</t>
        </is>
      </c>
      <c r="B121" t="n">
        <v>15</v>
      </c>
      <c r="C121">
        <f>IFERROR(INDEX(Scores!$BI$2:$BI$103,MATCH($B121,Scores!$BI$2:$BI$103,0)),"")</f>
        <v/>
      </c>
      <c r="D121">
        <f>IFERROR(INDEX(Scores!$B$2:$B$103,MATCH($B121,Scores!$BI$2:$BI$103,0)),"")</f>
        <v/>
      </c>
      <c r="E121">
        <f>IFERROR(INDEX(Scores!$C$2:$C$103,MATCH($B121,Scores!$BI$2:$BI$103,0)),"")</f>
        <v/>
      </c>
      <c r="F121">
        <f>IFERROR(INDEX(Scores!$D$2:$D$103,MATCH($B121,Scores!$BI$2:$BI$103,0)),"")</f>
        <v/>
      </c>
      <c r="G121">
        <f>IFERROR(INDEX(Scores!$E$2:$E$103,MATCH($B121,Scores!$BI$2:$BI$103,0)),"")</f>
        <v/>
      </c>
      <c r="H121">
        <f>IFERROR(INDEX(Scores!$BF$2:$BF$103,MATCH($B121,Scores!$BI$2:$BI$103,0)),"")</f>
        <v/>
      </c>
      <c r="I121">
        <f>IFERROR(INDEX(Scores!$BH$2:$BH$103,MATCH($B121,Scores!$BI$2:$BI$103,0)),"")</f>
        <v/>
      </c>
      <c r="J121">
        <f>IFERROR(INDEX(Scores!$Q$2:$Q$103,MATCH($B121,Scores!$BI$2:$BI$103,0)),"")</f>
        <v/>
      </c>
      <c r="K121">
        <f>IFERROR(INDEX(Scores!$AC$2:$AC$103,MATCH($B121,Scores!$BI$2:$BI$103,0)),"")</f>
        <v/>
      </c>
      <c r="L121">
        <f>IFERROR(INDEX(Scores!$AK$2:$AK$103,MATCH($B121,Scores!$BI$2:$BI$103,0)),"")</f>
        <v/>
      </c>
      <c r="M121">
        <f>IFERROR(INDEX(Scores!$AS$2:$AS$103,MATCH($B121,Scores!$BI$2:$BI$103,0)),"")</f>
        <v/>
      </c>
      <c r="N121">
        <f>IFERROR(INDEX(Scores!$BC$2:$BC$103,MATCH($B121,Scores!$BI$2:$BI$103,0)),"")</f>
        <v/>
      </c>
    </row>
    <row r="122">
      <c r="A122" t="inlineStr">
        <is>
          <t>Top 50</t>
        </is>
      </c>
      <c r="B122" t="n">
        <v>16</v>
      </c>
      <c r="C122">
        <f>IFERROR(INDEX(Scores!$BI$2:$BI$103,MATCH($B122,Scores!$BI$2:$BI$103,0)),"")</f>
        <v/>
      </c>
      <c r="D122">
        <f>IFERROR(INDEX(Scores!$B$2:$B$103,MATCH($B122,Scores!$BI$2:$BI$103,0)),"")</f>
        <v/>
      </c>
      <c r="E122">
        <f>IFERROR(INDEX(Scores!$C$2:$C$103,MATCH($B122,Scores!$BI$2:$BI$103,0)),"")</f>
        <v/>
      </c>
      <c r="F122">
        <f>IFERROR(INDEX(Scores!$D$2:$D$103,MATCH($B122,Scores!$BI$2:$BI$103,0)),"")</f>
        <v/>
      </c>
      <c r="G122">
        <f>IFERROR(INDEX(Scores!$E$2:$E$103,MATCH($B122,Scores!$BI$2:$BI$103,0)),"")</f>
        <v/>
      </c>
      <c r="H122">
        <f>IFERROR(INDEX(Scores!$BF$2:$BF$103,MATCH($B122,Scores!$BI$2:$BI$103,0)),"")</f>
        <v/>
      </c>
      <c r="I122">
        <f>IFERROR(INDEX(Scores!$BH$2:$BH$103,MATCH($B122,Scores!$BI$2:$BI$103,0)),"")</f>
        <v/>
      </c>
      <c r="J122">
        <f>IFERROR(INDEX(Scores!$Q$2:$Q$103,MATCH($B122,Scores!$BI$2:$BI$103,0)),"")</f>
        <v/>
      </c>
      <c r="K122">
        <f>IFERROR(INDEX(Scores!$AC$2:$AC$103,MATCH($B122,Scores!$BI$2:$BI$103,0)),"")</f>
        <v/>
      </c>
      <c r="L122">
        <f>IFERROR(INDEX(Scores!$AK$2:$AK$103,MATCH($B122,Scores!$BI$2:$BI$103,0)),"")</f>
        <v/>
      </c>
      <c r="M122">
        <f>IFERROR(INDEX(Scores!$AS$2:$AS$103,MATCH($B122,Scores!$BI$2:$BI$103,0)),"")</f>
        <v/>
      </c>
      <c r="N122">
        <f>IFERROR(INDEX(Scores!$BC$2:$BC$103,MATCH($B122,Scores!$BI$2:$BI$103,0)),"")</f>
        <v/>
      </c>
    </row>
    <row r="123">
      <c r="A123" t="inlineStr">
        <is>
          <t>Top 50</t>
        </is>
      </c>
      <c r="B123" t="n">
        <v>17</v>
      </c>
      <c r="C123">
        <f>IFERROR(INDEX(Scores!$BI$2:$BI$103,MATCH($B123,Scores!$BI$2:$BI$103,0)),"")</f>
        <v/>
      </c>
      <c r="D123">
        <f>IFERROR(INDEX(Scores!$B$2:$B$103,MATCH($B123,Scores!$BI$2:$BI$103,0)),"")</f>
        <v/>
      </c>
      <c r="E123">
        <f>IFERROR(INDEX(Scores!$C$2:$C$103,MATCH($B123,Scores!$BI$2:$BI$103,0)),"")</f>
        <v/>
      </c>
      <c r="F123">
        <f>IFERROR(INDEX(Scores!$D$2:$D$103,MATCH($B123,Scores!$BI$2:$BI$103,0)),"")</f>
        <v/>
      </c>
      <c r="G123">
        <f>IFERROR(INDEX(Scores!$E$2:$E$103,MATCH($B123,Scores!$BI$2:$BI$103,0)),"")</f>
        <v/>
      </c>
      <c r="H123">
        <f>IFERROR(INDEX(Scores!$BF$2:$BF$103,MATCH($B123,Scores!$BI$2:$BI$103,0)),"")</f>
        <v/>
      </c>
      <c r="I123">
        <f>IFERROR(INDEX(Scores!$BH$2:$BH$103,MATCH($B123,Scores!$BI$2:$BI$103,0)),"")</f>
        <v/>
      </c>
      <c r="J123">
        <f>IFERROR(INDEX(Scores!$Q$2:$Q$103,MATCH($B123,Scores!$BI$2:$BI$103,0)),"")</f>
        <v/>
      </c>
      <c r="K123">
        <f>IFERROR(INDEX(Scores!$AC$2:$AC$103,MATCH($B123,Scores!$BI$2:$BI$103,0)),"")</f>
        <v/>
      </c>
      <c r="L123">
        <f>IFERROR(INDEX(Scores!$AK$2:$AK$103,MATCH($B123,Scores!$BI$2:$BI$103,0)),"")</f>
        <v/>
      </c>
      <c r="M123">
        <f>IFERROR(INDEX(Scores!$AS$2:$AS$103,MATCH($B123,Scores!$BI$2:$BI$103,0)),"")</f>
        <v/>
      </c>
      <c r="N123">
        <f>IFERROR(INDEX(Scores!$BC$2:$BC$103,MATCH($B123,Scores!$BI$2:$BI$103,0)),"")</f>
        <v/>
      </c>
    </row>
    <row r="124">
      <c r="A124" t="inlineStr">
        <is>
          <t>Top 50</t>
        </is>
      </c>
      <c r="B124" t="n">
        <v>18</v>
      </c>
      <c r="C124">
        <f>IFERROR(INDEX(Scores!$BI$2:$BI$103,MATCH($B124,Scores!$BI$2:$BI$103,0)),"")</f>
        <v/>
      </c>
      <c r="D124">
        <f>IFERROR(INDEX(Scores!$B$2:$B$103,MATCH($B124,Scores!$BI$2:$BI$103,0)),"")</f>
        <v/>
      </c>
      <c r="E124">
        <f>IFERROR(INDEX(Scores!$C$2:$C$103,MATCH($B124,Scores!$BI$2:$BI$103,0)),"")</f>
        <v/>
      </c>
      <c r="F124">
        <f>IFERROR(INDEX(Scores!$D$2:$D$103,MATCH($B124,Scores!$BI$2:$BI$103,0)),"")</f>
        <v/>
      </c>
      <c r="G124">
        <f>IFERROR(INDEX(Scores!$E$2:$E$103,MATCH($B124,Scores!$BI$2:$BI$103,0)),"")</f>
        <v/>
      </c>
      <c r="H124">
        <f>IFERROR(INDEX(Scores!$BF$2:$BF$103,MATCH($B124,Scores!$BI$2:$BI$103,0)),"")</f>
        <v/>
      </c>
      <c r="I124">
        <f>IFERROR(INDEX(Scores!$BH$2:$BH$103,MATCH($B124,Scores!$BI$2:$BI$103,0)),"")</f>
        <v/>
      </c>
      <c r="J124">
        <f>IFERROR(INDEX(Scores!$Q$2:$Q$103,MATCH($B124,Scores!$BI$2:$BI$103,0)),"")</f>
        <v/>
      </c>
      <c r="K124">
        <f>IFERROR(INDEX(Scores!$AC$2:$AC$103,MATCH($B124,Scores!$BI$2:$BI$103,0)),"")</f>
        <v/>
      </c>
      <c r="L124">
        <f>IFERROR(INDEX(Scores!$AK$2:$AK$103,MATCH($B124,Scores!$BI$2:$BI$103,0)),"")</f>
        <v/>
      </c>
      <c r="M124">
        <f>IFERROR(INDEX(Scores!$AS$2:$AS$103,MATCH($B124,Scores!$BI$2:$BI$103,0)),"")</f>
        <v/>
      </c>
      <c r="N124">
        <f>IFERROR(INDEX(Scores!$BC$2:$BC$103,MATCH($B124,Scores!$BI$2:$BI$103,0)),"")</f>
        <v/>
      </c>
    </row>
    <row r="125">
      <c r="A125" t="inlineStr">
        <is>
          <t>Top 50</t>
        </is>
      </c>
      <c r="B125" t="n">
        <v>19</v>
      </c>
      <c r="C125">
        <f>IFERROR(INDEX(Scores!$BI$2:$BI$103,MATCH($B125,Scores!$BI$2:$BI$103,0)),"")</f>
        <v/>
      </c>
      <c r="D125">
        <f>IFERROR(INDEX(Scores!$B$2:$B$103,MATCH($B125,Scores!$BI$2:$BI$103,0)),"")</f>
        <v/>
      </c>
      <c r="E125">
        <f>IFERROR(INDEX(Scores!$C$2:$C$103,MATCH($B125,Scores!$BI$2:$BI$103,0)),"")</f>
        <v/>
      </c>
      <c r="F125">
        <f>IFERROR(INDEX(Scores!$D$2:$D$103,MATCH($B125,Scores!$BI$2:$BI$103,0)),"")</f>
        <v/>
      </c>
      <c r="G125">
        <f>IFERROR(INDEX(Scores!$E$2:$E$103,MATCH($B125,Scores!$BI$2:$BI$103,0)),"")</f>
        <v/>
      </c>
      <c r="H125">
        <f>IFERROR(INDEX(Scores!$BF$2:$BF$103,MATCH($B125,Scores!$BI$2:$BI$103,0)),"")</f>
        <v/>
      </c>
      <c r="I125">
        <f>IFERROR(INDEX(Scores!$BH$2:$BH$103,MATCH($B125,Scores!$BI$2:$BI$103,0)),"")</f>
        <v/>
      </c>
      <c r="J125">
        <f>IFERROR(INDEX(Scores!$Q$2:$Q$103,MATCH($B125,Scores!$BI$2:$BI$103,0)),"")</f>
        <v/>
      </c>
      <c r="K125">
        <f>IFERROR(INDEX(Scores!$AC$2:$AC$103,MATCH($B125,Scores!$BI$2:$BI$103,0)),"")</f>
        <v/>
      </c>
      <c r="L125">
        <f>IFERROR(INDEX(Scores!$AK$2:$AK$103,MATCH($B125,Scores!$BI$2:$BI$103,0)),"")</f>
        <v/>
      </c>
      <c r="M125">
        <f>IFERROR(INDEX(Scores!$AS$2:$AS$103,MATCH($B125,Scores!$BI$2:$BI$103,0)),"")</f>
        <v/>
      </c>
      <c r="N125">
        <f>IFERROR(INDEX(Scores!$BC$2:$BC$103,MATCH($B125,Scores!$BI$2:$BI$103,0)),"")</f>
        <v/>
      </c>
    </row>
    <row r="126">
      <c r="A126" t="inlineStr">
        <is>
          <t>Top 50</t>
        </is>
      </c>
      <c r="B126" t="n">
        <v>20</v>
      </c>
      <c r="C126">
        <f>IFERROR(INDEX(Scores!$BI$2:$BI$103,MATCH($B126,Scores!$BI$2:$BI$103,0)),"")</f>
        <v/>
      </c>
      <c r="D126">
        <f>IFERROR(INDEX(Scores!$B$2:$B$103,MATCH($B126,Scores!$BI$2:$BI$103,0)),"")</f>
        <v/>
      </c>
      <c r="E126">
        <f>IFERROR(INDEX(Scores!$C$2:$C$103,MATCH($B126,Scores!$BI$2:$BI$103,0)),"")</f>
        <v/>
      </c>
      <c r="F126">
        <f>IFERROR(INDEX(Scores!$D$2:$D$103,MATCH($B126,Scores!$BI$2:$BI$103,0)),"")</f>
        <v/>
      </c>
      <c r="G126">
        <f>IFERROR(INDEX(Scores!$E$2:$E$103,MATCH($B126,Scores!$BI$2:$BI$103,0)),"")</f>
        <v/>
      </c>
      <c r="H126">
        <f>IFERROR(INDEX(Scores!$BF$2:$BF$103,MATCH($B126,Scores!$BI$2:$BI$103,0)),"")</f>
        <v/>
      </c>
      <c r="I126">
        <f>IFERROR(INDEX(Scores!$BH$2:$BH$103,MATCH($B126,Scores!$BI$2:$BI$103,0)),"")</f>
        <v/>
      </c>
      <c r="J126">
        <f>IFERROR(INDEX(Scores!$Q$2:$Q$103,MATCH($B126,Scores!$BI$2:$BI$103,0)),"")</f>
        <v/>
      </c>
      <c r="K126">
        <f>IFERROR(INDEX(Scores!$AC$2:$AC$103,MATCH($B126,Scores!$BI$2:$BI$103,0)),"")</f>
        <v/>
      </c>
      <c r="L126">
        <f>IFERROR(INDEX(Scores!$AK$2:$AK$103,MATCH($B126,Scores!$BI$2:$BI$103,0)),"")</f>
        <v/>
      </c>
      <c r="M126">
        <f>IFERROR(INDEX(Scores!$AS$2:$AS$103,MATCH($B126,Scores!$BI$2:$BI$103,0)),"")</f>
        <v/>
      </c>
      <c r="N126">
        <f>IFERROR(INDEX(Scores!$BC$2:$BC$103,MATCH($B126,Scores!$BI$2:$BI$103,0)),"")</f>
        <v/>
      </c>
    </row>
    <row r="127">
      <c r="A127" t="inlineStr">
        <is>
          <t>Top 50</t>
        </is>
      </c>
      <c r="B127" t="n">
        <v>21</v>
      </c>
      <c r="C127">
        <f>IFERROR(INDEX(Scores!$BI$2:$BI$103,MATCH($B127,Scores!$BI$2:$BI$103,0)),"")</f>
        <v/>
      </c>
      <c r="D127">
        <f>IFERROR(INDEX(Scores!$B$2:$B$103,MATCH($B127,Scores!$BI$2:$BI$103,0)),"")</f>
        <v/>
      </c>
      <c r="E127">
        <f>IFERROR(INDEX(Scores!$C$2:$C$103,MATCH($B127,Scores!$BI$2:$BI$103,0)),"")</f>
        <v/>
      </c>
      <c r="F127">
        <f>IFERROR(INDEX(Scores!$D$2:$D$103,MATCH($B127,Scores!$BI$2:$BI$103,0)),"")</f>
        <v/>
      </c>
      <c r="G127">
        <f>IFERROR(INDEX(Scores!$E$2:$E$103,MATCH($B127,Scores!$BI$2:$BI$103,0)),"")</f>
        <v/>
      </c>
      <c r="H127">
        <f>IFERROR(INDEX(Scores!$BF$2:$BF$103,MATCH($B127,Scores!$BI$2:$BI$103,0)),"")</f>
        <v/>
      </c>
      <c r="I127">
        <f>IFERROR(INDEX(Scores!$BH$2:$BH$103,MATCH($B127,Scores!$BI$2:$BI$103,0)),"")</f>
        <v/>
      </c>
      <c r="J127">
        <f>IFERROR(INDEX(Scores!$Q$2:$Q$103,MATCH($B127,Scores!$BI$2:$BI$103,0)),"")</f>
        <v/>
      </c>
      <c r="K127">
        <f>IFERROR(INDEX(Scores!$AC$2:$AC$103,MATCH($B127,Scores!$BI$2:$BI$103,0)),"")</f>
        <v/>
      </c>
      <c r="L127">
        <f>IFERROR(INDEX(Scores!$AK$2:$AK$103,MATCH($B127,Scores!$BI$2:$BI$103,0)),"")</f>
        <v/>
      </c>
      <c r="M127">
        <f>IFERROR(INDEX(Scores!$AS$2:$AS$103,MATCH($B127,Scores!$BI$2:$BI$103,0)),"")</f>
        <v/>
      </c>
      <c r="N127">
        <f>IFERROR(INDEX(Scores!$BC$2:$BC$103,MATCH($B127,Scores!$BI$2:$BI$103,0)),"")</f>
        <v/>
      </c>
    </row>
    <row r="128">
      <c r="A128" t="inlineStr">
        <is>
          <t>Top 50</t>
        </is>
      </c>
      <c r="B128" t="n">
        <v>22</v>
      </c>
      <c r="C128">
        <f>IFERROR(INDEX(Scores!$BI$2:$BI$103,MATCH($B128,Scores!$BI$2:$BI$103,0)),"")</f>
        <v/>
      </c>
      <c r="D128">
        <f>IFERROR(INDEX(Scores!$B$2:$B$103,MATCH($B128,Scores!$BI$2:$BI$103,0)),"")</f>
        <v/>
      </c>
      <c r="E128">
        <f>IFERROR(INDEX(Scores!$C$2:$C$103,MATCH($B128,Scores!$BI$2:$BI$103,0)),"")</f>
        <v/>
      </c>
      <c r="F128">
        <f>IFERROR(INDEX(Scores!$D$2:$D$103,MATCH($B128,Scores!$BI$2:$BI$103,0)),"")</f>
        <v/>
      </c>
      <c r="G128">
        <f>IFERROR(INDEX(Scores!$E$2:$E$103,MATCH($B128,Scores!$BI$2:$BI$103,0)),"")</f>
        <v/>
      </c>
      <c r="H128">
        <f>IFERROR(INDEX(Scores!$BF$2:$BF$103,MATCH($B128,Scores!$BI$2:$BI$103,0)),"")</f>
        <v/>
      </c>
      <c r="I128">
        <f>IFERROR(INDEX(Scores!$BH$2:$BH$103,MATCH($B128,Scores!$BI$2:$BI$103,0)),"")</f>
        <v/>
      </c>
      <c r="J128">
        <f>IFERROR(INDEX(Scores!$Q$2:$Q$103,MATCH($B128,Scores!$BI$2:$BI$103,0)),"")</f>
        <v/>
      </c>
      <c r="K128">
        <f>IFERROR(INDEX(Scores!$AC$2:$AC$103,MATCH($B128,Scores!$BI$2:$BI$103,0)),"")</f>
        <v/>
      </c>
      <c r="L128">
        <f>IFERROR(INDEX(Scores!$AK$2:$AK$103,MATCH($B128,Scores!$BI$2:$BI$103,0)),"")</f>
        <v/>
      </c>
      <c r="M128">
        <f>IFERROR(INDEX(Scores!$AS$2:$AS$103,MATCH($B128,Scores!$BI$2:$BI$103,0)),"")</f>
        <v/>
      </c>
      <c r="N128">
        <f>IFERROR(INDEX(Scores!$BC$2:$BC$103,MATCH($B128,Scores!$BI$2:$BI$103,0)),"")</f>
        <v/>
      </c>
    </row>
    <row r="129">
      <c r="A129" t="inlineStr">
        <is>
          <t>Top 50</t>
        </is>
      </c>
      <c r="B129" t="n">
        <v>23</v>
      </c>
      <c r="C129">
        <f>IFERROR(INDEX(Scores!$BI$2:$BI$103,MATCH($B129,Scores!$BI$2:$BI$103,0)),"")</f>
        <v/>
      </c>
      <c r="D129">
        <f>IFERROR(INDEX(Scores!$B$2:$B$103,MATCH($B129,Scores!$BI$2:$BI$103,0)),"")</f>
        <v/>
      </c>
      <c r="E129">
        <f>IFERROR(INDEX(Scores!$C$2:$C$103,MATCH($B129,Scores!$BI$2:$BI$103,0)),"")</f>
        <v/>
      </c>
      <c r="F129">
        <f>IFERROR(INDEX(Scores!$D$2:$D$103,MATCH($B129,Scores!$BI$2:$BI$103,0)),"")</f>
        <v/>
      </c>
      <c r="G129">
        <f>IFERROR(INDEX(Scores!$E$2:$E$103,MATCH($B129,Scores!$BI$2:$BI$103,0)),"")</f>
        <v/>
      </c>
      <c r="H129">
        <f>IFERROR(INDEX(Scores!$BF$2:$BF$103,MATCH($B129,Scores!$BI$2:$BI$103,0)),"")</f>
        <v/>
      </c>
      <c r="I129">
        <f>IFERROR(INDEX(Scores!$BH$2:$BH$103,MATCH($B129,Scores!$BI$2:$BI$103,0)),"")</f>
        <v/>
      </c>
      <c r="J129">
        <f>IFERROR(INDEX(Scores!$Q$2:$Q$103,MATCH($B129,Scores!$BI$2:$BI$103,0)),"")</f>
        <v/>
      </c>
      <c r="K129">
        <f>IFERROR(INDEX(Scores!$AC$2:$AC$103,MATCH($B129,Scores!$BI$2:$BI$103,0)),"")</f>
        <v/>
      </c>
      <c r="L129">
        <f>IFERROR(INDEX(Scores!$AK$2:$AK$103,MATCH($B129,Scores!$BI$2:$BI$103,0)),"")</f>
        <v/>
      </c>
      <c r="M129">
        <f>IFERROR(INDEX(Scores!$AS$2:$AS$103,MATCH($B129,Scores!$BI$2:$BI$103,0)),"")</f>
        <v/>
      </c>
      <c r="N129">
        <f>IFERROR(INDEX(Scores!$BC$2:$BC$103,MATCH($B129,Scores!$BI$2:$BI$103,0)),"")</f>
        <v/>
      </c>
    </row>
    <row r="130">
      <c r="A130" t="inlineStr">
        <is>
          <t>Top 50</t>
        </is>
      </c>
      <c r="B130" t="n">
        <v>24</v>
      </c>
      <c r="C130">
        <f>IFERROR(INDEX(Scores!$BI$2:$BI$103,MATCH($B130,Scores!$BI$2:$BI$103,0)),"")</f>
        <v/>
      </c>
      <c r="D130">
        <f>IFERROR(INDEX(Scores!$B$2:$B$103,MATCH($B130,Scores!$BI$2:$BI$103,0)),"")</f>
        <v/>
      </c>
      <c r="E130">
        <f>IFERROR(INDEX(Scores!$C$2:$C$103,MATCH($B130,Scores!$BI$2:$BI$103,0)),"")</f>
        <v/>
      </c>
      <c r="F130">
        <f>IFERROR(INDEX(Scores!$D$2:$D$103,MATCH($B130,Scores!$BI$2:$BI$103,0)),"")</f>
        <v/>
      </c>
      <c r="G130">
        <f>IFERROR(INDEX(Scores!$E$2:$E$103,MATCH($B130,Scores!$BI$2:$BI$103,0)),"")</f>
        <v/>
      </c>
      <c r="H130">
        <f>IFERROR(INDEX(Scores!$BF$2:$BF$103,MATCH($B130,Scores!$BI$2:$BI$103,0)),"")</f>
        <v/>
      </c>
      <c r="I130">
        <f>IFERROR(INDEX(Scores!$BH$2:$BH$103,MATCH($B130,Scores!$BI$2:$BI$103,0)),"")</f>
        <v/>
      </c>
      <c r="J130">
        <f>IFERROR(INDEX(Scores!$Q$2:$Q$103,MATCH($B130,Scores!$BI$2:$BI$103,0)),"")</f>
        <v/>
      </c>
      <c r="K130">
        <f>IFERROR(INDEX(Scores!$AC$2:$AC$103,MATCH($B130,Scores!$BI$2:$BI$103,0)),"")</f>
        <v/>
      </c>
      <c r="L130">
        <f>IFERROR(INDEX(Scores!$AK$2:$AK$103,MATCH($B130,Scores!$BI$2:$BI$103,0)),"")</f>
        <v/>
      </c>
      <c r="M130">
        <f>IFERROR(INDEX(Scores!$AS$2:$AS$103,MATCH($B130,Scores!$BI$2:$BI$103,0)),"")</f>
        <v/>
      </c>
      <c r="N130">
        <f>IFERROR(INDEX(Scores!$BC$2:$BC$103,MATCH($B130,Scores!$BI$2:$BI$103,0)),"")</f>
        <v/>
      </c>
    </row>
    <row r="131">
      <c r="A131" t="inlineStr">
        <is>
          <t>Top 50</t>
        </is>
      </c>
      <c r="B131" t="n">
        <v>25</v>
      </c>
      <c r="C131">
        <f>IFERROR(INDEX(Scores!$BI$2:$BI$103,MATCH($B131,Scores!$BI$2:$BI$103,0)),"")</f>
        <v/>
      </c>
      <c r="D131">
        <f>IFERROR(INDEX(Scores!$B$2:$B$103,MATCH($B131,Scores!$BI$2:$BI$103,0)),"")</f>
        <v/>
      </c>
      <c r="E131">
        <f>IFERROR(INDEX(Scores!$C$2:$C$103,MATCH($B131,Scores!$BI$2:$BI$103,0)),"")</f>
        <v/>
      </c>
      <c r="F131">
        <f>IFERROR(INDEX(Scores!$D$2:$D$103,MATCH($B131,Scores!$BI$2:$BI$103,0)),"")</f>
        <v/>
      </c>
      <c r="G131">
        <f>IFERROR(INDEX(Scores!$E$2:$E$103,MATCH($B131,Scores!$BI$2:$BI$103,0)),"")</f>
        <v/>
      </c>
      <c r="H131">
        <f>IFERROR(INDEX(Scores!$BF$2:$BF$103,MATCH($B131,Scores!$BI$2:$BI$103,0)),"")</f>
        <v/>
      </c>
      <c r="I131">
        <f>IFERROR(INDEX(Scores!$BH$2:$BH$103,MATCH($B131,Scores!$BI$2:$BI$103,0)),"")</f>
        <v/>
      </c>
      <c r="J131">
        <f>IFERROR(INDEX(Scores!$Q$2:$Q$103,MATCH($B131,Scores!$BI$2:$BI$103,0)),"")</f>
        <v/>
      </c>
      <c r="K131">
        <f>IFERROR(INDEX(Scores!$AC$2:$AC$103,MATCH($B131,Scores!$BI$2:$BI$103,0)),"")</f>
        <v/>
      </c>
      <c r="L131">
        <f>IFERROR(INDEX(Scores!$AK$2:$AK$103,MATCH($B131,Scores!$BI$2:$BI$103,0)),"")</f>
        <v/>
      </c>
      <c r="M131">
        <f>IFERROR(INDEX(Scores!$AS$2:$AS$103,MATCH($B131,Scores!$BI$2:$BI$103,0)),"")</f>
        <v/>
      </c>
      <c r="N131">
        <f>IFERROR(INDEX(Scores!$BC$2:$BC$103,MATCH($B131,Scores!$BI$2:$BI$103,0)),"")</f>
        <v/>
      </c>
    </row>
    <row r="132">
      <c r="A132" t="inlineStr">
        <is>
          <t>Top 50</t>
        </is>
      </c>
      <c r="B132" t="n">
        <v>26</v>
      </c>
      <c r="C132">
        <f>IFERROR(INDEX(Scores!$BI$2:$BI$103,MATCH($B132,Scores!$BI$2:$BI$103,0)),"")</f>
        <v/>
      </c>
      <c r="D132">
        <f>IFERROR(INDEX(Scores!$B$2:$B$103,MATCH($B132,Scores!$BI$2:$BI$103,0)),"")</f>
        <v/>
      </c>
      <c r="E132">
        <f>IFERROR(INDEX(Scores!$C$2:$C$103,MATCH($B132,Scores!$BI$2:$BI$103,0)),"")</f>
        <v/>
      </c>
      <c r="F132">
        <f>IFERROR(INDEX(Scores!$D$2:$D$103,MATCH($B132,Scores!$BI$2:$BI$103,0)),"")</f>
        <v/>
      </c>
      <c r="G132">
        <f>IFERROR(INDEX(Scores!$E$2:$E$103,MATCH($B132,Scores!$BI$2:$BI$103,0)),"")</f>
        <v/>
      </c>
      <c r="H132">
        <f>IFERROR(INDEX(Scores!$BF$2:$BF$103,MATCH($B132,Scores!$BI$2:$BI$103,0)),"")</f>
        <v/>
      </c>
      <c r="I132">
        <f>IFERROR(INDEX(Scores!$BH$2:$BH$103,MATCH($B132,Scores!$BI$2:$BI$103,0)),"")</f>
        <v/>
      </c>
      <c r="J132">
        <f>IFERROR(INDEX(Scores!$Q$2:$Q$103,MATCH($B132,Scores!$BI$2:$BI$103,0)),"")</f>
        <v/>
      </c>
      <c r="K132">
        <f>IFERROR(INDEX(Scores!$AC$2:$AC$103,MATCH($B132,Scores!$BI$2:$BI$103,0)),"")</f>
        <v/>
      </c>
      <c r="L132">
        <f>IFERROR(INDEX(Scores!$AK$2:$AK$103,MATCH($B132,Scores!$BI$2:$BI$103,0)),"")</f>
        <v/>
      </c>
      <c r="M132">
        <f>IFERROR(INDEX(Scores!$AS$2:$AS$103,MATCH($B132,Scores!$BI$2:$BI$103,0)),"")</f>
        <v/>
      </c>
      <c r="N132">
        <f>IFERROR(INDEX(Scores!$BC$2:$BC$103,MATCH($B132,Scores!$BI$2:$BI$103,0)),"")</f>
        <v/>
      </c>
    </row>
    <row r="133">
      <c r="A133" t="inlineStr">
        <is>
          <t>Top 50</t>
        </is>
      </c>
      <c r="B133" t="n">
        <v>27</v>
      </c>
      <c r="C133">
        <f>IFERROR(INDEX(Scores!$BI$2:$BI$103,MATCH($B133,Scores!$BI$2:$BI$103,0)),"")</f>
        <v/>
      </c>
      <c r="D133">
        <f>IFERROR(INDEX(Scores!$B$2:$B$103,MATCH($B133,Scores!$BI$2:$BI$103,0)),"")</f>
        <v/>
      </c>
      <c r="E133">
        <f>IFERROR(INDEX(Scores!$C$2:$C$103,MATCH($B133,Scores!$BI$2:$BI$103,0)),"")</f>
        <v/>
      </c>
      <c r="F133">
        <f>IFERROR(INDEX(Scores!$D$2:$D$103,MATCH($B133,Scores!$BI$2:$BI$103,0)),"")</f>
        <v/>
      </c>
      <c r="G133">
        <f>IFERROR(INDEX(Scores!$E$2:$E$103,MATCH($B133,Scores!$BI$2:$BI$103,0)),"")</f>
        <v/>
      </c>
      <c r="H133">
        <f>IFERROR(INDEX(Scores!$BF$2:$BF$103,MATCH($B133,Scores!$BI$2:$BI$103,0)),"")</f>
        <v/>
      </c>
      <c r="I133">
        <f>IFERROR(INDEX(Scores!$BH$2:$BH$103,MATCH($B133,Scores!$BI$2:$BI$103,0)),"")</f>
        <v/>
      </c>
      <c r="J133">
        <f>IFERROR(INDEX(Scores!$Q$2:$Q$103,MATCH($B133,Scores!$BI$2:$BI$103,0)),"")</f>
        <v/>
      </c>
      <c r="K133">
        <f>IFERROR(INDEX(Scores!$AC$2:$AC$103,MATCH($B133,Scores!$BI$2:$BI$103,0)),"")</f>
        <v/>
      </c>
      <c r="L133">
        <f>IFERROR(INDEX(Scores!$AK$2:$AK$103,MATCH($B133,Scores!$BI$2:$BI$103,0)),"")</f>
        <v/>
      </c>
      <c r="M133">
        <f>IFERROR(INDEX(Scores!$AS$2:$AS$103,MATCH($B133,Scores!$BI$2:$BI$103,0)),"")</f>
        <v/>
      </c>
      <c r="N133">
        <f>IFERROR(INDEX(Scores!$BC$2:$BC$103,MATCH($B133,Scores!$BI$2:$BI$103,0)),"")</f>
        <v/>
      </c>
    </row>
    <row r="134">
      <c r="A134" t="inlineStr">
        <is>
          <t>Top 50</t>
        </is>
      </c>
      <c r="B134" t="n">
        <v>28</v>
      </c>
      <c r="C134">
        <f>IFERROR(INDEX(Scores!$BI$2:$BI$103,MATCH($B134,Scores!$BI$2:$BI$103,0)),"")</f>
        <v/>
      </c>
      <c r="D134">
        <f>IFERROR(INDEX(Scores!$B$2:$B$103,MATCH($B134,Scores!$BI$2:$BI$103,0)),"")</f>
        <v/>
      </c>
      <c r="E134">
        <f>IFERROR(INDEX(Scores!$C$2:$C$103,MATCH($B134,Scores!$BI$2:$BI$103,0)),"")</f>
        <v/>
      </c>
      <c r="F134">
        <f>IFERROR(INDEX(Scores!$D$2:$D$103,MATCH($B134,Scores!$BI$2:$BI$103,0)),"")</f>
        <v/>
      </c>
      <c r="G134">
        <f>IFERROR(INDEX(Scores!$E$2:$E$103,MATCH($B134,Scores!$BI$2:$BI$103,0)),"")</f>
        <v/>
      </c>
      <c r="H134">
        <f>IFERROR(INDEX(Scores!$BF$2:$BF$103,MATCH($B134,Scores!$BI$2:$BI$103,0)),"")</f>
        <v/>
      </c>
      <c r="I134">
        <f>IFERROR(INDEX(Scores!$BH$2:$BH$103,MATCH($B134,Scores!$BI$2:$BI$103,0)),"")</f>
        <v/>
      </c>
      <c r="J134">
        <f>IFERROR(INDEX(Scores!$Q$2:$Q$103,MATCH($B134,Scores!$BI$2:$BI$103,0)),"")</f>
        <v/>
      </c>
      <c r="K134">
        <f>IFERROR(INDEX(Scores!$AC$2:$AC$103,MATCH($B134,Scores!$BI$2:$BI$103,0)),"")</f>
        <v/>
      </c>
      <c r="L134">
        <f>IFERROR(INDEX(Scores!$AK$2:$AK$103,MATCH($B134,Scores!$BI$2:$BI$103,0)),"")</f>
        <v/>
      </c>
      <c r="M134">
        <f>IFERROR(INDEX(Scores!$AS$2:$AS$103,MATCH($B134,Scores!$BI$2:$BI$103,0)),"")</f>
        <v/>
      </c>
      <c r="N134">
        <f>IFERROR(INDEX(Scores!$BC$2:$BC$103,MATCH($B134,Scores!$BI$2:$BI$103,0)),"")</f>
        <v/>
      </c>
    </row>
    <row r="135">
      <c r="A135" t="inlineStr">
        <is>
          <t>Top 50</t>
        </is>
      </c>
      <c r="B135" t="n">
        <v>29</v>
      </c>
      <c r="C135">
        <f>IFERROR(INDEX(Scores!$BI$2:$BI$103,MATCH($B135,Scores!$BI$2:$BI$103,0)),"")</f>
        <v/>
      </c>
      <c r="D135">
        <f>IFERROR(INDEX(Scores!$B$2:$B$103,MATCH($B135,Scores!$BI$2:$BI$103,0)),"")</f>
        <v/>
      </c>
      <c r="E135">
        <f>IFERROR(INDEX(Scores!$C$2:$C$103,MATCH($B135,Scores!$BI$2:$BI$103,0)),"")</f>
        <v/>
      </c>
      <c r="F135">
        <f>IFERROR(INDEX(Scores!$D$2:$D$103,MATCH($B135,Scores!$BI$2:$BI$103,0)),"")</f>
        <v/>
      </c>
      <c r="G135">
        <f>IFERROR(INDEX(Scores!$E$2:$E$103,MATCH($B135,Scores!$BI$2:$BI$103,0)),"")</f>
        <v/>
      </c>
      <c r="H135">
        <f>IFERROR(INDEX(Scores!$BF$2:$BF$103,MATCH($B135,Scores!$BI$2:$BI$103,0)),"")</f>
        <v/>
      </c>
      <c r="I135">
        <f>IFERROR(INDEX(Scores!$BH$2:$BH$103,MATCH($B135,Scores!$BI$2:$BI$103,0)),"")</f>
        <v/>
      </c>
      <c r="J135">
        <f>IFERROR(INDEX(Scores!$Q$2:$Q$103,MATCH($B135,Scores!$BI$2:$BI$103,0)),"")</f>
        <v/>
      </c>
      <c r="K135">
        <f>IFERROR(INDEX(Scores!$AC$2:$AC$103,MATCH($B135,Scores!$BI$2:$BI$103,0)),"")</f>
        <v/>
      </c>
      <c r="L135">
        <f>IFERROR(INDEX(Scores!$AK$2:$AK$103,MATCH($B135,Scores!$BI$2:$BI$103,0)),"")</f>
        <v/>
      </c>
      <c r="M135">
        <f>IFERROR(INDEX(Scores!$AS$2:$AS$103,MATCH($B135,Scores!$BI$2:$BI$103,0)),"")</f>
        <v/>
      </c>
      <c r="N135">
        <f>IFERROR(INDEX(Scores!$BC$2:$BC$103,MATCH($B135,Scores!$BI$2:$BI$103,0)),"")</f>
        <v/>
      </c>
    </row>
    <row r="136">
      <c r="A136" t="inlineStr">
        <is>
          <t>Top 50</t>
        </is>
      </c>
      <c r="B136" t="n">
        <v>30</v>
      </c>
      <c r="C136">
        <f>IFERROR(INDEX(Scores!$BI$2:$BI$103,MATCH($B136,Scores!$BI$2:$BI$103,0)),"")</f>
        <v/>
      </c>
      <c r="D136">
        <f>IFERROR(INDEX(Scores!$B$2:$B$103,MATCH($B136,Scores!$BI$2:$BI$103,0)),"")</f>
        <v/>
      </c>
      <c r="E136">
        <f>IFERROR(INDEX(Scores!$C$2:$C$103,MATCH($B136,Scores!$BI$2:$BI$103,0)),"")</f>
        <v/>
      </c>
      <c r="F136">
        <f>IFERROR(INDEX(Scores!$D$2:$D$103,MATCH($B136,Scores!$BI$2:$BI$103,0)),"")</f>
        <v/>
      </c>
      <c r="G136">
        <f>IFERROR(INDEX(Scores!$E$2:$E$103,MATCH($B136,Scores!$BI$2:$BI$103,0)),"")</f>
        <v/>
      </c>
      <c r="H136">
        <f>IFERROR(INDEX(Scores!$BF$2:$BF$103,MATCH($B136,Scores!$BI$2:$BI$103,0)),"")</f>
        <v/>
      </c>
      <c r="I136">
        <f>IFERROR(INDEX(Scores!$BH$2:$BH$103,MATCH($B136,Scores!$BI$2:$BI$103,0)),"")</f>
        <v/>
      </c>
      <c r="J136">
        <f>IFERROR(INDEX(Scores!$Q$2:$Q$103,MATCH($B136,Scores!$BI$2:$BI$103,0)),"")</f>
        <v/>
      </c>
      <c r="K136">
        <f>IFERROR(INDEX(Scores!$AC$2:$AC$103,MATCH($B136,Scores!$BI$2:$BI$103,0)),"")</f>
        <v/>
      </c>
      <c r="L136">
        <f>IFERROR(INDEX(Scores!$AK$2:$AK$103,MATCH($B136,Scores!$BI$2:$BI$103,0)),"")</f>
        <v/>
      </c>
      <c r="M136">
        <f>IFERROR(INDEX(Scores!$AS$2:$AS$103,MATCH($B136,Scores!$BI$2:$BI$103,0)),"")</f>
        <v/>
      </c>
      <c r="N136">
        <f>IFERROR(INDEX(Scores!$BC$2:$BC$103,MATCH($B136,Scores!$BI$2:$BI$103,0)),"")</f>
        <v/>
      </c>
    </row>
    <row r="137">
      <c r="A137" t="inlineStr">
        <is>
          <t>Top 50</t>
        </is>
      </c>
      <c r="B137" t="n">
        <v>31</v>
      </c>
      <c r="C137">
        <f>IFERROR(INDEX(Scores!$BI$2:$BI$103,MATCH($B137,Scores!$BI$2:$BI$103,0)),"")</f>
        <v/>
      </c>
      <c r="D137">
        <f>IFERROR(INDEX(Scores!$B$2:$B$103,MATCH($B137,Scores!$BI$2:$BI$103,0)),"")</f>
        <v/>
      </c>
      <c r="E137">
        <f>IFERROR(INDEX(Scores!$C$2:$C$103,MATCH($B137,Scores!$BI$2:$BI$103,0)),"")</f>
        <v/>
      </c>
      <c r="F137">
        <f>IFERROR(INDEX(Scores!$D$2:$D$103,MATCH($B137,Scores!$BI$2:$BI$103,0)),"")</f>
        <v/>
      </c>
      <c r="G137">
        <f>IFERROR(INDEX(Scores!$E$2:$E$103,MATCH($B137,Scores!$BI$2:$BI$103,0)),"")</f>
        <v/>
      </c>
      <c r="H137">
        <f>IFERROR(INDEX(Scores!$BF$2:$BF$103,MATCH($B137,Scores!$BI$2:$BI$103,0)),"")</f>
        <v/>
      </c>
      <c r="I137">
        <f>IFERROR(INDEX(Scores!$BH$2:$BH$103,MATCH($B137,Scores!$BI$2:$BI$103,0)),"")</f>
        <v/>
      </c>
      <c r="J137">
        <f>IFERROR(INDEX(Scores!$Q$2:$Q$103,MATCH($B137,Scores!$BI$2:$BI$103,0)),"")</f>
        <v/>
      </c>
      <c r="K137">
        <f>IFERROR(INDEX(Scores!$AC$2:$AC$103,MATCH($B137,Scores!$BI$2:$BI$103,0)),"")</f>
        <v/>
      </c>
      <c r="L137">
        <f>IFERROR(INDEX(Scores!$AK$2:$AK$103,MATCH($B137,Scores!$BI$2:$BI$103,0)),"")</f>
        <v/>
      </c>
      <c r="M137">
        <f>IFERROR(INDEX(Scores!$AS$2:$AS$103,MATCH($B137,Scores!$BI$2:$BI$103,0)),"")</f>
        <v/>
      </c>
      <c r="N137">
        <f>IFERROR(INDEX(Scores!$BC$2:$BC$103,MATCH($B137,Scores!$BI$2:$BI$103,0)),"")</f>
        <v/>
      </c>
    </row>
    <row r="138">
      <c r="A138" t="inlineStr">
        <is>
          <t>Top 50</t>
        </is>
      </c>
      <c r="B138" t="n">
        <v>32</v>
      </c>
      <c r="C138">
        <f>IFERROR(INDEX(Scores!$BI$2:$BI$103,MATCH($B138,Scores!$BI$2:$BI$103,0)),"")</f>
        <v/>
      </c>
      <c r="D138">
        <f>IFERROR(INDEX(Scores!$B$2:$B$103,MATCH($B138,Scores!$BI$2:$BI$103,0)),"")</f>
        <v/>
      </c>
      <c r="E138">
        <f>IFERROR(INDEX(Scores!$C$2:$C$103,MATCH($B138,Scores!$BI$2:$BI$103,0)),"")</f>
        <v/>
      </c>
      <c r="F138">
        <f>IFERROR(INDEX(Scores!$D$2:$D$103,MATCH($B138,Scores!$BI$2:$BI$103,0)),"")</f>
        <v/>
      </c>
      <c r="G138">
        <f>IFERROR(INDEX(Scores!$E$2:$E$103,MATCH($B138,Scores!$BI$2:$BI$103,0)),"")</f>
        <v/>
      </c>
      <c r="H138">
        <f>IFERROR(INDEX(Scores!$BF$2:$BF$103,MATCH($B138,Scores!$BI$2:$BI$103,0)),"")</f>
        <v/>
      </c>
      <c r="I138">
        <f>IFERROR(INDEX(Scores!$BH$2:$BH$103,MATCH($B138,Scores!$BI$2:$BI$103,0)),"")</f>
        <v/>
      </c>
      <c r="J138">
        <f>IFERROR(INDEX(Scores!$Q$2:$Q$103,MATCH($B138,Scores!$BI$2:$BI$103,0)),"")</f>
        <v/>
      </c>
      <c r="K138">
        <f>IFERROR(INDEX(Scores!$AC$2:$AC$103,MATCH($B138,Scores!$BI$2:$BI$103,0)),"")</f>
        <v/>
      </c>
      <c r="L138">
        <f>IFERROR(INDEX(Scores!$AK$2:$AK$103,MATCH($B138,Scores!$BI$2:$BI$103,0)),"")</f>
        <v/>
      </c>
      <c r="M138">
        <f>IFERROR(INDEX(Scores!$AS$2:$AS$103,MATCH($B138,Scores!$BI$2:$BI$103,0)),"")</f>
        <v/>
      </c>
      <c r="N138">
        <f>IFERROR(INDEX(Scores!$BC$2:$BC$103,MATCH($B138,Scores!$BI$2:$BI$103,0)),"")</f>
        <v/>
      </c>
    </row>
    <row r="139">
      <c r="A139" t="inlineStr">
        <is>
          <t>Top 50</t>
        </is>
      </c>
      <c r="B139" t="n">
        <v>33</v>
      </c>
      <c r="C139">
        <f>IFERROR(INDEX(Scores!$BI$2:$BI$103,MATCH($B139,Scores!$BI$2:$BI$103,0)),"")</f>
        <v/>
      </c>
      <c r="D139">
        <f>IFERROR(INDEX(Scores!$B$2:$B$103,MATCH($B139,Scores!$BI$2:$BI$103,0)),"")</f>
        <v/>
      </c>
      <c r="E139">
        <f>IFERROR(INDEX(Scores!$C$2:$C$103,MATCH($B139,Scores!$BI$2:$BI$103,0)),"")</f>
        <v/>
      </c>
      <c r="F139">
        <f>IFERROR(INDEX(Scores!$D$2:$D$103,MATCH($B139,Scores!$BI$2:$BI$103,0)),"")</f>
        <v/>
      </c>
      <c r="G139">
        <f>IFERROR(INDEX(Scores!$E$2:$E$103,MATCH($B139,Scores!$BI$2:$BI$103,0)),"")</f>
        <v/>
      </c>
      <c r="H139">
        <f>IFERROR(INDEX(Scores!$BF$2:$BF$103,MATCH($B139,Scores!$BI$2:$BI$103,0)),"")</f>
        <v/>
      </c>
      <c r="I139">
        <f>IFERROR(INDEX(Scores!$BH$2:$BH$103,MATCH($B139,Scores!$BI$2:$BI$103,0)),"")</f>
        <v/>
      </c>
      <c r="J139">
        <f>IFERROR(INDEX(Scores!$Q$2:$Q$103,MATCH($B139,Scores!$BI$2:$BI$103,0)),"")</f>
        <v/>
      </c>
      <c r="K139">
        <f>IFERROR(INDEX(Scores!$AC$2:$AC$103,MATCH($B139,Scores!$BI$2:$BI$103,0)),"")</f>
        <v/>
      </c>
      <c r="L139">
        <f>IFERROR(INDEX(Scores!$AK$2:$AK$103,MATCH($B139,Scores!$BI$2:$BI$103,0)),"")</f>
        <v/>
      </c>
      <c r="M139">
        <f>IFERROR(INDEX(Scores!$AS$2:$AS$103,MATCH($B139,Scores!$BI$2:$BI$103,0)),"")</f>
        <v/>
      </c>
      <c r="N139">
        <f>IFERROR(INDEX(Scores!$BC$2:$BC$103,MATCH($B139,Scores!$BI$2:$BI$103,0)),"")</f>
        <v/>
      </c>
    </row>
    <row r="140">
      <c r="A140" t="inlineStr">
        <is>
          <t>Top 50</t>
        </is>
      </c>
      <c r="B140" t="n">
        <v>34</v>
      </c>
      <c r="C140">
        <f>IFERROR(INDEX(Scores!$BI$2:$BI$103,MATCH($B140,Scores!$BI$2:$BI$103,0)),"")</f>
        <v/>
      </c>
      <c r="D140">
        <f>IFERROR(INDEX(Scores!$B$2:$B$103,MATCH($B140,Scores!$BI$2:$BI$103,0)),"")</f>
        <v/>
      </c>
      <c r="E140">
        <f>IFERROR(INDEX(Scores!$C$2:$C$103,MATCH($B140,Scores!$BI$2:$BI$103,0)),"")</f>
        <v/>
      </c>
      <c r="F140">
        <f>IFERROR(INDEX(Scores!$D$2:$D$103,MATCH($B140,Scores!$BI$2:$BI$103,0)),"")</f>
        <v/>
      </c>
      <c r="G140">
        <f>IFERROR(INDEX(Scores!$E$2:$E$103,MATCH($B140,Scores!$BI$2:$BI$103,0)),"")</f>
        <v/>
      </c>
      <c r="H140">
        <f>IFERROR(INDEX(Scores!$BF$2:$BF$103,MATCH($B140,Scores!$BI$2:$BI$103,0)),"")</f>
        <v/>
      </c>
      <c r="I140">
        <f>IFERROR(INDEX(Scores!$BH$2:$BH$103,MATCH($B140,Scores!$BI$2:$BI$103,0)),"")</f>
        <v/>
      </c>
      <c r="J140">
        <f>IFERROR(INDEX(Scores!$Q$2:$Q$103,MATCH($B140,Scores!$BI$2:$BI$103,0)),"")</f>
        <v/>
      </c>
      <c r="K140">
        <f>IFERROR(INDEX(Scores!$AC$2:$AC$103,MATCH($B140,Scores!$BI$2:$BI$103,0)),"")</f>
        <v/>
      </c>
      <c r="L140">
        <f>IFERROR(INDEX(Scores!$AK$2:$AK$103,MATCH($B140,Scores!$BI$2:$BI$103,0)),"")</f>
        <v/>
      </c>
      <c r="M140">
        <f>IFERROR(INDEX(Scores!$AS$2:$AS$103,MATCH($B140,Scores!$BI$2:$BI$103,0)),"")</f>
        <v/>
      </c>
      <c r="N140">
        <f>IFERROR(INDEX(Scores!$BC$2:$BC$103,MATCH($B140,Scores!$BI$2:$BI$103,0)),"")</f>
        <v/>
      </c>
    </row>
    <row r="141">
      <c r="A141" t="inlineStr">
        <is>
          <t>Top 50</t>
        </is>
      </c>
      <c r="B141" t="n">
        <v>35</v>
      </c>
      <c r="C141">
        <f>IFERROR(INDEX(Scores!$BI$2:$BI$103,MATCH($B141,Scores!$BI$2:$BI$103,0)),"")</f>
        <v/>
      </c>
      <c r="D141">
        <f>IFERROR(INDEX(Scores!$B$2:$B$103,MATCH($B141,Scores!$BI$2:$BI$103,0)),"")</f>
        <v/>
      </c>
      <c r="E141">
        <f>IFERROR(INDEX(Scores!$C$2:$C$103,MATCH($B141,Scores!$BI$2:$BI$103,0)),"")</f>
        <v/>
      </c>
      <c r="F141">
        <f>IFERROR(INDEX(Scores!$D$2:$D$103,MATCH($B141,Scores!$BI$2:$BI$103,0)),"")</f>
        <v/>
      </c>
      <c r="G141">
        <f>IFERROR(INDEX(Scores!$E$2:$E$103,MATCH($B141,Scores!$BI$2:$BI$103,0)),"")</f>
        <v/>
      </c>
      <c r="H141">
        <f>IFERROR(INDEX(Scores!$BF$2:$BF$103,MATCH($B141,Scores!$BI$2:$BI$103,0)),"")</f>
        <v/>
      </c>
      <c r="I141">
        <f>IFERROR(INDEX(Scores!$BH$2:$BH$103,MATCH($B141,Scores!$BI$2:$BI$103,0)),"")</f>
        <v/>
      </c>
      <c r="J141">
        <f>IFERROR(INDEX(Scores!$Q$2:$Q$103,MATCH($B141,Scores!$BI$2:$BI$103,0)),"")</f>
        <v/>
      </c>
      <c r="K141">
        <f>IFERROR(INDEX(Scores!$AC$2:$AC$103,MATCH($B141,Scores!$BI$2:$BI$103,0)),"")</f>
        <v/>
      </c>
      <c r="L141">
        <f>IFERROR(INDEX(Scores!$AK$2:$AK$103,MATCH($B141,Scores!$BI$2:$BI$103,0)),"")</f>
        <v/>
      </c>
      <c r="M141">
        <f>IFERROR(INDEX(Scores!$AS$2:$AS$103,MATCH($B141,Scores!$BI$2:$BI$103,0)),"")</f>
        <v/>
      </c>
      <c r="N141">
        <f>IFERROR(INDEX(Scores!$BC$2:$BC$103,MATCH($B141,Scores!$BI$2:$BI$103,0)),"")</f>
        <v/>
      </c>
    </row>
    <row r="142">
      <c r="A142" t="inlineStr">
        <is>
          <t>Top 50</t>
        </is>
      </c>
      <c r="B142" t="n">
        <v>36</v>
      </c>
      <c r="C142">
        <f>IFERROR(INDEX(Scores!$BI$2:$BI$103,MATCH($B142,Scores!$BI$2:$BI$103,0)),"")</f>
        <v/>
      </c>
      <c r="D142">
        <f>IFERROR(INDEX(Scores!$B$2:$B$103,MATCH($B142,Scores!$BI$2:$BI$103,0)),"")</f>
        <v/>
      </c>
      <c r="E142">
        <f>IFERROR(INDEX(Scores!$C$2:$C$103,MATCH($B142,Scores!$BI$2:$BI$103,0)),"")</f>
        <v/>
      </c>
      <c r="F142">
        <f>IFERROR(INDEX(Scores!$D$2:$D$103,MATCH($B142,Scores!$BI$2:$BI$103,0)),"")</f>
        <v/>
      </c>
      <c r="G142">
        <f>IFERROR(INDEX(Scores!$E$2:$E$103,MATCH($B142,Scores!$BI$2:$BI$103,0)),"")</f>
        <v/>
      </c>
      <c r="H142">
        <f>IFERROR(INDEX(Scores!$BF$2:$BF$103,MATCH($B142,Scores!$BI$2:$BI$103,0)),"")</f>
        <v/>
      </c>
      <c r="I142">
        <f>IFERROR(INDEX(Scores!$BH$2:$BH$103,MATCH($B142,Scores!$BI$2:$BI$103,0)),"")</f>
        <v/>
      </c>
      <c r="J142">
        <f>IFERROR(INDEX(Scores!$Q$2:$Q$103,MATCH($B142,Scores!$BI$2:$BI$103,0)),"")</f>
        <v/>
      </c>
      <c r="K142">
        <f>IFERROR(INDEX(Scores!$AC$2:$AC$103,MATCH($B142,Scores!$BI$2:$BI$103,0)),"")</f>
        <v/>
      </c>
      <c r="L142">
        <f>IFERROR(INDEX(Scores!$AK$2:$AK$103,MATCH($B142,Scores!$BI$2:$BI$103,0)),"")</f>
        <v/>
      </c>
      <c r="M142">
        <f>IFERROR(INDEX(Scores!$AS$2:$AS$103,MATCH($B142,Scores!$BI$2:$BI$103,0)),"")</f>
        <v/>
      </c>
      <c r="N142">
        <f>IFERROR(INDEX(Scores!$BC$2:$BC$103,MATCH($B142,Scores!$BI$2:$BI$103,0)),"")</f>
        <v/>
      </c>
    </row>
    <row r="143">
      <c r="A143" t="inlineStr">
        <is>
          <t>Top 50</t>
        </is>
      </c>
      <c r="B143" t="n">
        <v>37</v>
      </c>
      <c r="C143">
        <f>IFERROR(INDEX(Scores!$BI$2:$BI$103,MATCH($B143,Scores!$BI$2:$BI$103,0)),"")</f>
        <v/>
      </c>
      <c r="D143">
        <f>IFERROR(INDEX(Scores!$B$2:$B$103,MATCH($B143,Scores!$BI$2:$BI$103,0)),"")</f>
        <v/>
      </c>
      <c r="E143">
        <f>IFERROR(INDEX(Scores!$C$2:$C$103,MATCH($B143,Scores!$BI$2:$BI$103,0)),"")</f>
        <v/>
      </c>
      <c r="F143">
        <f>IFERROR(INDEX(Scores!$D$2:$D$103,MATCH($B143,Scores!$BI$2:$BI$103,0)),"")</f>
        <v/>
      </c>
      <c r="G143">
        <f>IFERROR(INDEX(Scores!$E$2:$E$103,MATCH($B143,Scores!$BI$2:$BI$103,0)),"")</f>
        <v/>
      </c>
      <c r="H143">
        <f>IFERROR(INDEX(Scores!$BF$2:$BF$103,MATCH($B143,Scores!$BI$2:$BI$103,0)),"")</f>
        <v/>
      </c>
      <c r="I143">
        <f>IFERROR(INDEX(Scores!$BH$2:$BH$103,MATCH($B143,Scores!$BI$2:$BI$103,0)),"")</f>
        <v/>
      </c>
      <c r="J143">
        <f>IFERROR(INDEX(Scores!$Q$2:$Q$103,MATCH($B143,Scores!$BI$2:$BI$103,0)),"")</f>
        <v/>
      </c>
      <c r="K143">
        <f>IFERROR(INDEX(Scores!$AC$2:$AC$103,MATCH($B143,Scores!$BI$2:$BI$103,0)),"")</f>
        <v/>
      </c>
      <c r="L143">
        <f>IFERROR(INDEX(Scores!$AK$2:$AK$103,MATCH($B143,Scores!$BI$2:$BI$103,0)),"")</f>
        <v/>
      </c>
      <c r="M143">
        <f>IFERROR(INDEX(Scores!$AS$2:$AS$103,MATCH($B143,Scores!$BI$2:$BI$103,0)),"")</f>
        <v/>
      </c>
      <c r="N143">
        <f>IFERROR(INDEX(Scores!$BC$2:$BC$103,MATCH($B143,Scores!$BI$2:$BI$103,0)),"")</f>
        <v/>
      </c>
    </row>
    <row r="144">
      <c r="A144" t="inlineStr">
        <is>
          <t>Top 50</t>
        </is>
      </c>
      <c r="B144" t="n">
        <v>38</v>
      </c>
      <c r="C144">
        <f>IFERROR(INDEX(Scores!$BI$2:$BI$103,MATCH($B144,Scores!$BI$2:$BI$103,0)),"")</f>
        <v/>
      </c>
      <c r="D144">
        <f>IFERROR(INDEX(Scores!$B$2:$B$103,MATCH($B144,Scores!$BI$2:$BI$103,0)),"")</f>
        <v/>
      </c>
      <c r="E144">
        <f>IFERROR(INDEX(Scores!$C$2:$C$103,MATCH($B144,Scores!$BI$2:$BI$103,0)),"")</f>
        <v/>
      </c>
      <c r="F144">
        <f>IFERROR(INDEX(Scores!$D$2:$D$103,MATCH($B144,Scores!$BI$2:$BI$103,0)),"")</f>
        <v/>
      </c>
      <c r="G144">
        <f>IFERROR(INDEX(Scores!$E$2:$E$103,MATCH($B144,Scores!$BI$2:$BI$103,0)),"")</f>
        <v/>
      </c>
      <c r="H144">
        <f>IFERROR(INDEX(Scores!$BF$2:$BF$103,MATCH($B144,Scores!$BI$2:$BI$103,0)),"")</f>
        <v/>
      </c>
      <c r="I144">
        <f>IFERROR(INDEX(Scores!$BH$2:$BH$103,MATCH($B144,Scores!$BI$2:$BI$103,0)),"")</f>
        <v/>
      </c>
      <c r="J144">
        <f>IFERROR(INDEX(Scores!$Q$2:$Q$103,MATCH($B144,Scores!$BI$2:$BI$103,0)),"")</f>
        <v/>
      </c>
      <c r="K144">
        <f>IFERROR(INDEX(Scores!$AC$2:$AC$103,MATCH($B144,Scores!$BI$2:$BI$103,0)),"")</f>
        <v/>
      </c>
      <c r="L144">
        <f>IFERROR(INDEX(Scores!$AK$2:$AK$103,MATCH($B144,Scores!$BI$2:$BI$103,0)),"")</f>
        <v/>
      </c>
      <c r="M144">
        <f>IFERROR(INDEX(Scores!$AS$2:$AS$103,MATCH($B144,Scores!$BI$2:$BI$103,0)),"")</f>
        <v/>
      </c>
      <c r="N144">
        <f>IFERROR(INDEX(Scores!$BC$2:$BC$103,MATCH($B144,Scores!$BI$2:$BI$103,0)),"")</f>
        <v/>
      </c>
    </row>
    <row r="145">
      <c r="A145" t="inlineStr">
        <is>
          <t>Top 50</t>
        </is>
      </c>
      <c r="B145" t="n">
        <v>39</v>
      </c>
      <c r="C145">
        <f>IFERROR(INDEX(Scores!$BI$2:$BI$103,MATCH($B145,Scores!$BI$2:$BI$103,0)),"")</f>
        <v/>
      </c>
      <c r="D145">
        <f>IFERROR(INDEX(Scores!$B$2:$B$103,MATCH($B145,Scores!$BI$2:$BI$103,0)),"")</f>
        <v/>
      </c>
      <c r="E145">
        <f>IFERROR(INDEX(Scores!$C$2:$C$103,MATCH($B145,Scores!$BI$2:$BI$103,0)),"")</f>
        <v/>
      </c>
      <c r="F145">
        <f>IFERROR(INDEX(Scores!$D$2:$D$103,MATCH($B145,Scores!$BI$2:$BI$103,0)),"")</f>
        <v/>
      </c>
      <c r="G145">
        <f>IFERROR(INDEX(Scores!$E$2:$E$103,MATCH($B145,Scores!$BI$2:$BI$103,0)),"")</f>
        <v/>
      </c>
      <c r="H145">
        <f>IFERROR(INDEX(Scores!$BF$2:$BF$103,MATCH($B145,Scores!$BI$2:$BI$103,0)),"")</f>
        <v/>
      </c>
      <c r="I145">
        <f>IFERROR(INDEX(Scores!$BH$2:$BH$103,MATCH($B145,Scores!$BI$2:$BI$103,0)),"")</f>
        <v/>
      </c>
      <c r="J145">
        <f>IFERROR(INDEX(Scores!$Q$2:$Q$103,MATCH($B145,Scores!$BI$2:$BI$103,0)),"")</f>
        <v/>
      </c>
      <c r="K145">
        <f>IFERROR(INDEX(Scores!$AC$2:$AC$103,MATCH($B145,Scores!$BI$2:$BI$103,0)),"")</f>
        <v/>
      </c>
      <c r="L145">
        <f>IFERROR(INDEX(Scores!$AK$2:$AK$103,MATCH($B145,Scores!$BI$2:$BI$103,0)),"")</f>
        <v/>
      </c>
      <c r="M145">
        <f>IFERROR(INDEX(Scores!$AS$2:$AS$103,MATCH($B145,Scores!$BI$2:$BI$103,0)),"")</f>
        <v/>
      </c>
      <c r="N145">
        <f>IFERROR(INDEX(Scores!$BC$2:$BC$103,MATCH($B145,Scores!$BI$2:$BI$103,0)),"")</f>
        <v/>
      </c>
    </row>
    <row r="146">
      <c r="A146" t="inlineStr">
        <is>
          <t>Top 50</t>
        </is>
      </c>
      <c r="B146" t="n">
        <v>40</v>
      </c>
      <c r="C146">
        <f>IFERROR(INDEX(Scores!$BI$2:$BI$103,MATCH($B146,Scores!$BI$2:$BI$103,0)),"")</f>
        <v/>
      </c>
      <c r="D146">
        <f>IFERROR(INDEX(Scores!$B$2:$B$103,MATCH($B146,Scores!$BI$2:$BI$103,0)),"")</f>
        <v/>
      </c>
      <c r="E146">
        <f>IFERROR(INDEX(Scores!$C$2:$C$103,MATCH($B146,Scores!$BI$2:$BI$103,0)),"")</f>
        <v/>
      </c>
      <c r="F146">
        <f>IFERROR(INDEX(Scores!$D$2:$D$103,MATCH($B146,Scores!$BI$2:$BI$103,0)),"")</f>
        <v/>
      </c>
      <c r="G146">
        <f>IFERROR(INDEX(Scores!$E$2:$E$103,MATCH($B146,Scores!$BI$2:$BI$103,0)),"")</f>
        <v/>
      </c>
      <c r="H146">
        <f>IFERROR(INDEX(Scores!$BF$2:$BF$103,MATCH($B146,Scores!$BI$2:$BI$103,0)),"")</f>
        <v/>
      </c>
      <c r="I146">
        <f>IFERROR(INDEX(Scores!$BH$2:$BH$103,MATCH($B146,Scores!$BI$2:$BI$103,0)),"")</f>
        <v/>
      </c>
      <c r="J146">
        <f>IFERROR(INDEX(Scores!$Q$2:$Q$103,MATCH($B146,Scores!$BI$2:$BI$103,0)),"")</f>
        <v/>
      </c>
      <c r="K146">
        <f>IFERROR(INDEX(Scores!$AC$2:$AC$103,MATCH($B146,Scores!$BI$2:$BI$103,0)),"")</f>
        <v/>
      </c>
      <c r="L146">
        <f>IFERROR(INDEX(Scores!$AK$2:$AK$103,MATCH($B146,Scores!$BI$2:$BI$103,0)),"")</f>
        <v/>
      </c>
      <c r="M146">
        <f>IFERROR(INDEX(Scores!$AS$2:$AS$103,MATCH($B146,Scores!$BI$2:$BI$103,0)),"")</f>
        <v/>
      </c>
      <c r="N146">
        <f>IFERROR(INDEX(Scores!$BC$2:$BC$103,MATCH($B146,Scores!$BI$2:$BI$103,0)),"")</f>
        <v/>
      </c>
    </row>
    <row r="147">
      <c r="A147" t="inlineStr">
        <is>
          <t>Top 50</t>
        </is>
      </c>
      <c r="B147" t="n">
        <v>41</v>
      </c>
      <c r="C147">
        <f>IFERROR(INDEX(Scores!$BI$2:$BI$103,MATCH($B147,Scores!$BI$2:$BI$103,0)),"")</f>
        <v/>
      </c>
      <c r="D147">
        <f>IFERROR(INDEX(Scores!$B$2:$B$103,MATCH($B147,Scores!$BI$2:$BI$103,0)),"")</f>
        <v/>
      </c>
      <c r="E147">
        <f>IFERROR(INDEX(Scores!$C$2:$C$103,MATCH($B147,Scores!$BI$2:$BI$103,0)),"")</f>
        <v/>
      </c>
      <c r="F147">
        <f>IFERROR(INDEX(Scores!$D$2:$D$103,MATCH($B147,Scores!$BI$2:$BI$103,0)),"")</f>
        <v/>
      </c>
      <c r="G147">
        <f>IFERROR(INDEX(Scores!$E$2:$E$103,MATCH($B147,Scores!$BI$2:$BI$103,0)),"")</f>
        <v/>
      </c>
      <c r="H147">
        <f>IFERROR(INDEX(Scores!$BF$2:$BF$103,MATCH($B147,Scores!$BI$2:$BI$103,0)),"")</f>
        <v/>
      </c>
      <c r="I147">
        <f>IFERROR(INDEX(Scores!$BH$2:$BH$103,MATCH($B147,Scores!$BI$2:$BI$103,0)),"")</f>
        <v/>
      </c>
      <c r="J147">
        <f>IFERROR(INDEX(Scores!$Q$2:$Q$103,MATCH($B147,Scores!$BI$2:$BI$103,0)),"")</f>
        <v/>
      </c>
      <c r="K147">
        <f>IFERROR(INDEX(Scores!$AC$2:$AC$103,MATCH($B147,Scores!$BI$2:$BI$103,0)),"")</f>
        <v/>
      </c>
      <c r="L147">
        <f>IFERROR(INDEX(Scores!$AK$2:$AK$103,MATCH($B147,Scores!$BI$2:$BI$103,0)),"")</f>
        <v/>
      </c>
      <c r="M147">
        <f>IFERROR(INDEX(Scores!$AS$2:$AS$103,MATCH($B147,Scores!$BI$2:$BI$103,0)),"")</f>
        <v/>
      </c>
      <c r="N147">
        <f>IFERROR(INDEX(Scores!$BC$2:$BC$103,MATCH($B147,Scores!$BI$2:$BI$103,0)),"")</f>
        <v/>
      </c>
    </row>
    <row r="148">
      <c r="A148" t="inlineStr">
        <is>
          <t>Top 50</t>
        </is>
      </c>
      <c r="B148" t="n">
        <v>42</v>
      </c>
      <c r="C148">
        <f>IFERROR(INDEX(Scores!$BI$2:$BI$103,MATCH($B148,Scores!$BI$2:$BI$103,0)),"")</f>
        <v/>
      </c>
      <c r="D148">
        <f>IFERROR(INDEX(Scores!$B$2:$B$103,MATCH($B148,Scores!$BI$2:$BI$103,0)),"")</f>
        <v/>
      </c>
      <c r="E148">
        <f>IFERROR(INDEX(Scores!$C$2:$C$103,MATCH($B148,Scores!$BI$2:$BI$103,0)),"")</f>
        <v/>
      </c>
      <c r="F148">
        <f>IFERROR(INDEX(Scores!$D$2:$D$103,MATCH($B148,Scores!$BI$2:$BI$103,0)),"")</f>
        <v/>
      </c>
      <c r="G148">
        <f>IFERROR(INDEX(Scores!$E$2:$E$103,MATCH($B148,Scores!$BI$2:$BI$103,0)),"")</f>
        <v/>
      </c>
      <c r="H148">
        <f>IFERROR(INDEX(Scores!$BF$2:$BF$103,MATCH($B148,Scores!$BI$2:$BI$103,0)),"")</f>
        <v/>
      </c>
      <c r="I148">
        <f>IFERROR(INDEX(Scores!$BH$2:$BH$103,MATCH($B148,Scores!$BI$2:$BI$103,0)),"")</f>
        <v/>
      </c>
      <c r="J148">
        <f>IFERROR(INDEX(Scores!$Q$2:$Q$103,MATCH($B148,Scores!$BI$2:$BI$103,0)),"")</f>
        <v/>
      </c>
      <c r="K148">
        <f>IFERROR(INDEX(Scores!$AC$2:$AC$103,MATCH($B148,Scores!$BI$2:$BI$103,0)),"")</f>
        <v/>
      </c>
      <c r="L148">
        <f>IFERROR(INDEX(Scores!$AK$2:$AK$103,MATCH($B148,Scores!$BI$2:$BI$103,0)),"")</f>
        <v/>
      </c>
      <c r="M148">
        <f>IFERROR(INDEX(Scores!$AS$2:$AS$103,MATCH($B148,Scores!$BI$2:$BI$103,0)),"")</f>
        <v/>
      </c>
      <c r="N148">
        <f>IFERROR(INDEX(Scores!$BC$2:$BC$103,MATCH($B148,Scores!$BI$2:$BI$103,0)),"")</f>
        <v/>
      </c>
    </row>
    <row r="149">
      <c r="A149" t="inlineStr">
        <is>
          <t>Top 50</t>
        </is>
      </c>
      <c r="B149" t="n">
        <v>43</v>
      </c>
      <c r="C149">
        <f>IFERROR(INDEX(Scores!$BI$2:$BI$103,MATCH($B149,Scores!$BI$2:$BI$103,0)),"")</f>
        <v/>
      </c>
      <c r="D149">
        <f>IFERROR(INDEX(Scores!$B$2:$B$103,MATCH($B149,Scores!$BI$2:$BI$103,0)),"")</f>
        <v/>
      </c>
      <c r="E149">
        <f>IFERROR(INDEX(Scores!$C$2:$C$103,MATCH($B149,Scores!$BI$2:$BI$103,0)),"")</f>
        <v/>
      </c>
      <c r="F149">
        <f>IFERROR(INDEX(Scores!$D$2:$D$103,MATCH($B149,Scores!$BI$2:$BI$103,0)),"")</f>
        <v/>
      </c>
      <c r="G149">
        <f>IFERROR(INDEX(Scores!$E$2:$E$103,MATCH($B149,Scores!$BI$2:$BI$103,0)),"")</f>
        <v/>
      </c>
      <c r="H149">
        <f>IFERROR(INDEX(Scores!$BF$2:$BF$103,MATCH($B149,Scores!$BI$2:$BI$103,0)),"")</f>
        <v/>
      </c>
      <c r="I149">
        <f>IFERROR(INDEX(Scores!$BH$2:$BH$103,MATCH($B149,Scores!$BI$2:$BI$103,0)),"")</f>
        <v/>
      </c>
      <c r="J149">
        <f>IFERROR(INDEX(Scores!$Q$2:$Q$103,MATCH($B149,Scores!$BI$2:$BI$103,0)),"")</f>
        <v/>
      </c>
      <c r="K149">
        <f>IFERROR(INDEX(Scores!$AC$2:$AC$103,MATCH($B149,Scores!$BI$2:$BI$103,0)),"")</f>
        <v/>
      </c>
      <c r="L149">
        <f>IFERROR(INDEX(Scores!$AK$2:$AK$103,MATCH($B149,Scores!$BI$2:$BI$103,0)),"")</f>
        <v/>
      </c>
      <c r="M149">
        <f>IFERROR(INDEX(Scores!$AS$2:$AS$103,MATCH($B149,Scores!$BI$2:$BI$103,0)),"")</f>
        <v/>
      </c>
      <c r="N149">
        <f>IFERROR(INDEX(Scores!$BC$2:$BC$103,MATCH($B149,Scores!$BI$2:$BI$103,0)),"")</f>
        <v/>
      </c>
    </row>
    <row r="150">
      <c r="A150" t="inlineStr">
        <is>
          <t>Top 50</t>
        </is>
      </c>
      <c r="B150" t="n">
        <v>44</v>
      </c>
      <c r="C150">
        <f>IFERROR(INDEX(Scores!$BI$2:$BI$103,MATCH($B150,Scores!$BI$2:$BI$103,0)),"")</f>
        <v/>
      </c>
      <c r="D150">
        <f>IFERROR(INDEX(Scores!$B$2:$B$103,MATCH($B150,Scores!$BI$2:$BI$103,0)),"")</f>
        <v/>
      </c>
      <c r="E150">
        <f>IFERROR(INDEX(Scores!$C$2:$C$103,MATCH($B150,Scores!$BI$2:$BI$103,0)),"")</f>
        <v/>
      </c>
      <c r="F150">
        <f>IFERROR(INDEX(Scores!$D$2:$D$103,MATCH($B150,Scores!$BI$2:$BI$103,0)),"")</f>
        <v/>
      </c>
      <c r="G150">
        <f>IFERROR(INDEX(Scores!$E$2:$E$103,MATCH($B150,Scores!$BI$2:$BI$103,0)),"")</f>
        <v/>
      </c>
      <c r="H150">
        <f>IFERROR(INDEX(Scores!$BF$2:$BF$103,MATCH($B150,Scores!$BI$2:$BI$103,0)),"")</f>
        <v/>
      </c>
      <c r="I150">
        <f>IFERROR(INDEX(Scores!$BH$2:$BH$103,MATCH($B150,Scores!$BI$2:$BI$103,0)),"")</f>
        <v/>
      </c>
      <c r="J150">
        <f>IFERROR(INDEX(Scores!$Q$2:$Q$103,MATCH($B150,Scores!$BI$2:$BI$103,0)),"")</f>
        <v/>
      </c>
      <c r="K150">
        <f>IFERROR(INDEX(Scores!$AC$2:$AC$103,MATCH($B150,Scores!$BI$2:$BI$103,0)),"")</f>
        <v/>
      </c>
      <c r="L150">
        <f>IFERROR(INDEX(Scores!$AK$2:$AK$103,MATCH($B150,Scores!$BI$2:$BI$103,0)),"")</f>
        <v/>
      </c>
      <c r="M150">
        <f>IFERROR(INDEX(Scores!$AS$2:$AS$103,MATCH($B150,Scores!$BI$2:$BI$103,0)),"")</f>
        <v/>
      </c>
      <c r="N150">
        <f>IFERROR(INDEX(Scores!$BC$2:$BC$103,MATCH($B150,Scores!$BI$2:$BI$103,0)),"")</f>
        <v/>
      </c>
    </row>
    <row r="151">
      <c r="A151" t="inlineStr">
        <is>
          <t>Top 50</t>
        </is>
      </c>
      <c r="B151" t="n">
        <v>45</v>
      </c>
      <c r="C151">
        <f>IFERROR(INDEX(Scores!$BI$2:$BI$103,MATCH($B151,Scores!$BI$2:$BI$103,0)),"")</f>
        <v/>
      </c>
      <c r="D151">
        <f>IFERROR(INDEX(Scores!$B$2:$B$103,MATCH($B151,Scores!$BI$2:$BI$103,0)),"")</f>
        <v/>
      </c>
      <c r="E151">
        <f>IFERROR(INDEX(Scores!$C$2:$C$103,MATCH($B151,Scores!$BI$2:$BI$103,0)),"")</f>
        <v/>
      </c>
      <c r="F151">
        <f>IFERROR(INDEX(Scores!$D$2:$D$103,MATCH($B151,Scores!$BI$2:$BI$103,0)),"")</f>
        <v/>
      </c>
      <c r="G151">
        <f>IFERROR(INDEX(Scores!$E$2:$E$103,MATCH($B151,Scores!$BI$2:$BI$103,0)),"")</f>
        <v/>
      </c>
      <c r="H151">
        <f>IFERROR(INDEX(Scores!$BF$2:$BF$103,MATCH($B151,Scores!$BI$2:$BI$103,0)),"")</f>
        <v/>
      </c>
      <c r="I151">
        <f>IFERROR(INDEX(Scores!$BH$2:$BH$103,MATCH($B151,Scores!$BI$2:$BI$103,0)),"")</f>
        <v/>
      </c>
      <c r="J151">
        <f>IFERROR(INDEX(Scores!$Q$2:$Q$103,MATCH($B151,Scores!$BI$2:$BI$103,0)),"")</f>
        <v/>
      </c>
      <c r="K151">
        <f>IFERROR(INDEX(Scores!$AC$2:$AC$103,MATCH($B151,Scores!$BI$2:$BI$103,0)),"")</f>
        <v/>
      </c>
      <c r="L151">
        <f>IFERROR(INDEX(Scores!$AK$2:$AK$103,MATCH($B151,Scores!$BI$2:$BI$103,0)),"")</f>
        <v/>
      </c>
      <c r="M151">
        <f>IFERROR(INDEX(Scores!$AS$2:$AS$103,MATCH($B151,Scores!$BI$2:$BI$103,0)),"")</f>
        <v/>
      </c>
      <c r="N151">
        <f>IFERROR(INDEX(Scores!$BC$2:$BC$103,MATCH($B151,Scores!$BI$2:$BI$103,0)),"")</f>
        <v/>
      </c>
    </row>
    <row r="152">
      <c r="A152" t="inlineStr">
        <is>
          <t>Top 50</t>
        </is>
      </c>
      <c r="B152" t="n">
        <v>46</v>
      </c>
      <c r="C152">
        <f>IFERROR(INDEX(Scores!$BI$2:$BI$103,MATCH($B152,Scores!$BI$2:$BI$103,0)),"")</f>
        <v/>
      </c>
      <c r="D152">
        <f>IFERROR(INDEX(Scores!$B$2:$B$103,MATCH($B152,Scores!$BI$2:$BI$103,0)),"")</f>
        <v/>
      </c>
      <c r="E152">
        <f>IFERROR(INDEX(Scores!$C$2:$C$103,MATCH($B152,Scores!$BI$2:$BI$103,0)),"")</f>
        <v/>
      </c>
      <c r="F152">
        <f>IFERROR(INDEX(Scores!$D$2:$D$103,MATCH($B152,Scores!$BI$2:$BI$103,0)),"")</f>
        <v/>
      </c>
      <c r="G152">
        <f>IFERROR(INDEX(Scores!$E$2:$E$103,MATCH($B152,Scores!$BI$2:$BI$103,0)),"")</f>
        <v/>
      </c>
      <c r="H152">
        <f>IFERROR(INDEX(Scores!$BF$2:$BF$103,MATCH($B152,Scores!$BI$2:$BI$103,0)),"")</f>
        <v/>
      </c>
      <c r="I152">
        <f>IFERROR(INDEX(Scores!$BH$2:$BH$103,MATCH($B152,Scores!$BI$2:$BI$103,0)),"")</f>
        <v/>
      </c>
      <c r="J152">
        <f>IFERROR(INDEX(Scores!$Q$2:$Q$103,MATCH($B152,Scores!$BI$2:$BI$103,0)),"")</f>
        <v/>
      </c>
      <c r="K152">
        <f>IFERROR(INDEX(Scores!$AC$2:$AC$103,MATCH($B152,Scores!$BI$2:$BI$103,0)),"")</f>
        <v/>
      </c>
      <c r="L152">
        <f>IFERROR(INDEX(Scores!$AK$2:$AK$103,MATCH($B152,Scores!$BI$2:$BI$103,0)),"")</f>
        <v/>
      </c>
      <c r="M152">
        <f>IFERROR(INDEX(Scores!$AS$2:$AS$103,MATCH($B152,Scores!$BI$2:$BI$103,0)),"")</f>
        <v/>
      </c>
      <c r="N152">
        <f>IFERROR(INDEX(Scores!$BC$2:$BC$103,MATCH($B152,Scores!$BI$2:$BI$103,0)),"")</f>
        <v/>
      </c>
    </row>
    <row r="153">
      <c r="A153" t="inlineStr">
        <is>
          <t>Top 50</t>
        </is>
      </c>
      <c r="B153" t="n">
        <v>47</v>
      </c>
      <c r="C153">
        <f>IFERROR(INDEX(Scores!$BI$2:$BI$103,MATCH($B153,Scores!$BI$2:$BI$103,0)),"")</f>
        <v/>
      </c>
      <c r="D153">
        <f>IFERROR(INDEX(Scores!$B$2:$B$103,MATCH($B153,Scores!$BI$2:$BI$103,0)),"")</f>
        <v/>
      </c>
      <c r="E153">
        <f>IFERROR(INDEX(Scores!$C$2:$C$103,MATCH($B153,Scores!$BI$2:$BI$103,0)),"")</f>
        <v/>
      </c>
      <c r="F153">
        <f>IFERROR(INDEX(Scores!$D$2:$D$103,MATCH($B153,Scores!$BI$2:$BI$103,0)),"")</f>
        <v/>
      </c>
      <c r="G153">
        <f>IFERROR(INDEX(Scores!$E$2:$E$103,MATCH($B153,Scores!$BI$2:$BI$103,0)),"")</f>
        <v/>
      </c>
      <c r="H153">
        <f>IFERROR(INDEX(Scores!$BF$2:$BF$103,MATCH($B153,Scores!$BI$2:$BI$103,0)),"")</f>
        <v/>
      </c>
      <c r="I153">
        <f>IFERROR(INDEX(Scores!$BH$2:$BH$103,MATCH($B153,Scores!$BI$2:$BI$103,0)),"")</f>
        <v/>
      </c>
      <c r="J153">
        <f>IFERROR(INDEX(Scores!$Q$2:$Q$103,MATCH($B153,Scores!$BI$2:$BI$103,0)),"")</f>
        <v/>
      </c>
      <c r="K153">
        <f>IFERROR(INDEX(Scores!$AC$2:$AC$103,MATCH($B153,Scores!$BI$2:$BI$103,0)),"")</f>
        <v/>
      </c>
      <c r="L153">
        <f>IFERROR(INDEX(Scores!$AK$2:$AK$103,MATCH($B153,Scores!$BI$2:$BI$103,0)),"")</f>
        <v/>
      </c>
      <c r="M153">
        <f>IFERROR(INDEX(Scores!$AS$2:$AS$103,MATCH($B153,Scores!$BI$2:$BI$103,0)),"")</f>
        <v/>
      </c>
      <c r="N153">
        <f>IFERROR(INDEX(Scores!$BC$2:$BC$103,MATCH($B153,Scores!$BI$2:$BI$103,0)),"")</f>
        <v/>
      </c>
    </row>
    <row r="154">
      <c r="A154" t="inlineStr">
        <is>
          <t>Top 50</t>
        </is>
      </c>
      <c r="B154" t="n">
        <v>48</v>
      </c>
      <c r="C154">
        <f>IFERROR(INDEX(Scores!$BI$2:$BI$103,MATCH($B154,Scores!$BI$2:$BI$103,0)),"")</f>
        <v/>
      </c>
      <c r="D154">
        <f>IFERROR(INDEX(Scores!$B$2:$B$103,MATCH($B154,Scores!$BI$2:$BI$103,0)),"")</f>
        <v/>
      </c>
      <c r="E154">
        <f>IFERROR(INDEX(Scores!$C$2:$C$103,MATCH($B154,Scores!$BI$2:$BI$103,0)),"")</f>
        <v/>
      </c>
      <c r="F154">
        <f>IFERROR(INDEX(Scores!$D$2:$D$103,MATCH($B154,Scores!$BI$2:$BI$103,0)),"")</f>
        <v/>
      </c>
      <c r="G154">
        <f>IFERROR(INDEX(Scores!$E$2:$E$103,MATCH($B154,Scores!$BI$2:$BI$103,0)),"")</f>
        <v/>
      </c>
      <c r="H154">
        <f>IFERROR(INDEX(Scores!$BF$2:$BF$103,MATCH($B154,Scores!$BI$2:$BI$103,0)),"")</f>
        <v/>
      </c>
      <c r="I154">
        <f>IFERROR(INDEX(Scores!$BH$2:$BH$103,MATCH($B154,Scores!$BI$2:$BI$103,0)),"")</f>
        <v/>
      </c>
      <c r="J154">
        <f>IFERROR(INDEX(Scores!$Q$2:$Q$103,MATCH($B154,Scores!$BI$2:$BI$103,0)),"")</f>
        <v/>
      </c>
      <c r="K154">
        <f>IFERROR(INDEX(Scores!$AC$2:$AC$103,MATCH($B154,Scores!$BI$2:$BI$103,0)),"")</f>
        <v/>
      </c>
      <c r="L154">
        <f>IFERROR(INDEX(Scores!$AK$2:$AK$103,MATCH($B154,Scores!$BI$2:$BI$103,0)),"")</f>
        <v/>
      </c>
      <c r="M154">
        <f>IFERROR(INDEX(Scores!$AS$2:$AS$103,MATCH($B154,Scores!$BI$2:$BI$103,0)),"")</f>
        <v/>
      </c>
      <c r="N154">
        <f>IFERROR(INDEX(Scores!$BC$2:$BC$103,MATCH($B154,Scores!$BI$2:$BI$103,0)),"")</f>
        <v/>
      </c>
    </row>
    <row r="155">
      <c r="A155" t="inlineStr">
        <is>
          <t>Top 50</t>
        </is>
      </c>
      <c r="B155" t="n">
        <v>49</v>
      </c>
      <c r="C155">
        <f>IFERROR(INDEX(Scores!$BI$2:$BI$103,MATCH($B155,Scores!$BI$2:$BI$103,0)),"")</f>
        <v/>
      </c>
      <c r="D155">
        <f>IFERROR(INDEX(Scores!$B$2:$B$103,MATCH($B155,Scores!$BI$2:$BI$103,0)),"")</f>
        <v/>
      </c>
      <c r="E155">
        <f>IFERROR(INDEX(Scores!$C$2:$C$103,MATCH($B155,Scores!$BI$2:$BI$103,0)),"")</f>
        <v/>
      </c>
      <c r="F155">
        <f>IFERROR(INDEX(Scores!$D$2:$D$103,MATCH($B155,Scores!$BI$2:$BI$103,0)),"")</f>
        <v/>
      </c>
      <c r="G155">
        <f>IFERROR(INDEX(Scores!$E$2:$E$103,MATCH($B155,Scores!$BI$2:$BI$103,0)),"")</f>
        <v/>
      </c>
      <c r="H155">
        <f>IFERROR(INDEX(Scores!$BF$2:$BF$103,MATCH($B155,Scores!$BI$2:$BI$103,0)),"")</f>
        <v/>
      </c>
      <c r="I155">
        <f>IFERROR(INDEX(Scores!$BH$2:$BH$103,MATCH($B155,Scores!$BI$2:$BI$103,0)),"")</f>
        <v/>
      </c>
      <c r="J155">
        <f>IFERROR(INDEX(Scores!$Q$2:$Q$103,MATCH($B155,Scores!$BI$2:$BI$103,0)),"")</f>
        <v/>
      </c>
      <c r="K155">
        <f>IFERROR(INDEX(Scores!$AC$2:$AC$103,MATCH($B155,Scores!$BI$2:$BI$103,0)),"")</f>
        <v/>
      </c>
      <c r="L155">
        <f>IFERROR(INDEX(Scores!$AK$2:$AK$103,MATCH($B155,Scores!$BI$2:$BI$103,0)),"")</f>
        <v/>
      </c>
      <c r="M155">
        <f>IFERROR(INDEX(Scores!$AS$2:$AS$103,MATCH($B155,Scores!$BI$2:$BI$103,0)),"")</f>
        <v/>
      </c>
      <c r="N155">
        <f>IFERROR(INDEX(Scores!$BC$2:$BC$103,MATCH($B155,Scores!$BI$2:$BI$103,0)),"")</f>
        <v/>
      </c>
    </row>
    <row r="156">
      <c r="A156" t="inlineStr">
        <is>
          <t>Top 50</t>
        </is>
      </c>
      <c r="B156" t="n">
        <v>50</v>
      </c>
      <c r="C156">
        <f>IFERROR(INDEX(Scores!$BI$2:$BI$103,MATCH($B156,Scores!$BI$2:$BI$103,0)),"")</f>
        <v/>
      </c>
      <c r="D156">
        <f>IFERROR(INDEX(Scores!$B$2:$B$103,MATCH($B156,Scores!$BI$2:$BI$103,0)),"")</f>
        <v/>
      </c>
      <c r="E156">
        <f>IFERROR(INDEX(Scores!$C$2:$C$103,MATCH($B156,Scores!$BI$2:$BI$103,0)),"")</f>
        <v/>
      </c>
      <c r="F156">
        <f>IFERROR(INDEX(Scores!$D$2:$D$103,MATCH($B156,Scores!$BI$2:$BI$103,0)),"")</f>
        <v/>
      </c>
      <c r="G156">
        <f>IFERROR(INDEX(Scores!$E$2:$E$103,MATCH($B156,Scores!$BI$2:$BI$103,0)),"")</f>
        <v/>
      </c>
      <c r="H156">
        <f>IFERROR(INDEX(Scores!$BF$2:$BF$103,MATCH($B156,Scores!$BI$2:$BI$103,0)),"")</f>
        <v/>
      </c>
      <c r="I156">
        <f>IFERROR(INDEX(Scores!$BH$2:$BH$103,MATCH($B156,Scores!$BI$2:$BI$103,0)),"")</f>
        <v/>
      </c>
      <c r="J156">
        <f>IFERROR(INDEX(Scores!$Q$2:$Q$103,MATCH($B156,Scores!$BI$2:$BI$103,0)),"")</f>
        <v/>
      </c>
      <c r="K156">
        <f>IFERROR(INDEX(Scores!$AC$2:$AC$103,MATCH($B156,Scores!$BI$2:$BI$103,0)),"")</f>
        <v/>
      </c>
      <c r="L156">
        <f>IFERROR(INDEX(Scores!$AK$2:$AK$103,MATCH($B156,Scores!$BI$2:$BI$103,0)),"")</f>
        <v/>
      </c>
      <c r="M156">
        <f>IFERROR(INDEX(Scores!$AS$2:$AS$103,MATCH($B156,Scores!$BI$2:$BI$103,0)),"")</f>
        <v/>
      </c>
      <c r="N156">
        <f>IFERROR(INDEX(Scores!$BC$2:$BC$103,MATCH($B156,Scores!$BI$2:$BI$103,0)),"")</f>
        <v/>
      </c>
    </row>
  </sheetData>
  <autoFilter ref="A1:N156"/>
  <mergeCells count="2">
    <mergeCell ref="A105:N105"/>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cohort</t>
        </is>
      </c>
      <c r="B1" s="6" t="inlineStr">
        <is>
          <t>ranked_city_count</t>
        </is>
      </c>
      <c r="C1" s="6" t="inlineStr">
        <is>
          <t>average_slic_score</t>
        </is>
      </c>
      <c r="D1" s="6" t="inlineStr">
        <is>
          <t>average_overall_coverage</t>
        </is>
      </c>
      <c r="E1" s="6" t="inlineStr">
        <is>
          <t>average_pressure_score</t>
        </is>
      </c>
      <c r="F1" s="6" t="inlineStr">
        <is>
          <t>average_creative_score</t>
        </is>
      </c>
      <c r="G1" s="6" t="inlineStr">
        <is>
          <t>top_ranked_city</t>
        </is>
      </c>
    </row>
    <row r="2">
      <c r="A2" t="inlineStr">
        <is>
          <t>Southeast Asia</t>
        </is>
      </c>
      <c r="B2">
        <f>COUNTIFS(Scores!$D$2:$D$103,$A2,Scores!$BG$2:$BG$103,"Ranked")</f>
        <v/>
      </c>
      <c r="C2">
        <f>IFERROR(AVERAGEIFS(Scores!$BH$2:$BH$103,Scores!$D$2:$D$103,$A2,Scores!$BG$2:$BG$103,"Ranked"),"")</f>
        <v/>
      </c>
      <c r="D2">
        <f>IFERROR(AVERAGEIFS(Scores!$BE$2:$BE$103,Scores!$D$2:$D$103,$A2),"")</f>
        <v/>
      </c>
      <c r="E2">
        <f>IFERROR(AVERAGEIFS(Scores!$Q$2:$Q$103,Scores!$D$2:$D$103,$A2,Scores!$BG$2:$BG$103,"Ranked"),"")</f>
        <v/>
      </c>
      <c r="F2">
        <f>IFERROR(AVERAGEIFS(Scores!$BC$2:$BC$103,Scores!$D$2:$D$103,$A2,Scores!$BG$2:$BG$103,"Ranked"),"")</f>
        <v/>
      </c>
      <c r="G2">
        <f>IFERROR(INDEX(Scores!$B$2:$B$103,MATCH(MINIFS(Scores!$BI$2:$BI$103,Scores!$D$2:$D$103,$A2,Scores!$BG$2:$BG$103,"Ranked"),Scores!$BI$2:$BI$103,0)),"")</f>
        <v/>
      </c>
    </row>
    <row r="3">
      <c r="A3" t="inlineStr">
        <is>
          <t>East Asia</t>
        </is>
      </c>
      <c r="B3">
        <f>COUNTIFS(Scores!$D$2:$D$103,$A3,Scores!$BG$2:$BG$103,"Ranked")</f>
        <v/>
      </c>
      <c r="C3">
        <f>IFERROR(AVERAGEIFS(Scores!$BH$2:$BH$103,Scores!$D$2:$D$103,$A3,Scores!$BG$2:$BG$103,"Ranked"),"")</f>
        <v/>
      </c>
      <c r="D3">
        <f>IFERROR(AVERAGEIFS(Scores!$BE$2:$BE$103,Scores!$D$2:$D$103,$A3),"")</f>
        <v/>
      </c>
      <c r="E3">
        <f>IFERROR(AVERAGEIFS(Scores!$Q$2:$Q$103,Scores!$D$2:$D$103,$A3,Scores!$BG$2:$BG$103,"Ranked"),"")</f>
        <v/>
      </c>
      <c r="F3">
        <f>IFERROR(AVERAGEIFS(Scores!$BC$2:$BC$103,Scores!$D$2:$D$103,$A3,Scores!$BG$2:$BG$103,"Ranked"),"")</f>
        <v/>
      </c>
      <c r="G3">
        <f>IFERROR(INDEX(Scores!$B$2:$B$103,MATCH(MINIFS(Scores!$BI$2:$BI$103,Scores!$D$2:$D$103,$A3,Scores!$BG$2:$BG$103,"Ranked"),Scores!$BI$2:$BI$103,0)),"")</f>
        <v/>
      </c>
    </row>
    <row r="4">
      <c r="A4" t="inlineStr">
        <is>
          <t>South Asia</t>
        </is>
      </c>
      <c r="B4">
        <f>COUNTIFS(Scores!$D$2:$D$103,$A4,Scores!$BG$2:$BG$103,"Ranked")</f>
        <v/>
      </c>
      <c r="C4">
        <f>IFERROR(AVERAGEIFS(Scores!$BH$2:$BH$103,Scores!$D$2:$D$103,$A4,Scores!$BG$2:$BG$103,"Ranked"),"")</f>
        <v/>
      </c>
      <c r="D4">
        <f>IFERROR(AVERAGEIFS(Scores!$BE$2:$BE$103,Scores!$D$2:$D$103,$A4),"")</f>
        <v/>
      </c>
      <c r="E4">
        <f>IFERROR(AVERAGEIFS(Scores!$Q$2:$Q$103,Scores!$D$2:$D$103,$A4,Scores!$BG$2:$BG$103,"Ranked"),"")</f>
        <v/>
      </c>
      <c r="F4">
        <f>IFERROR(AVERAGEIFS(Scores!$BC$2:$BC$103,Scores!$D$2:$D$103,$A4,Scores!$BG$2:$BG$103,"Ranked"),"")</f>
        <v/>
      </c>
      <c r="G4">
        <f>IFERROR(INDEX(Scores!$B$2:$B$103,MATCH(MINIFS(Scores!$BI$2:$BI$103,Scores!$D$2:$D$103,$A4,Scores!$BG$2:$BG$103,"Ranked"),Scores!$BI$2:$BI$103,0)),"")</f>
        <v/>
      </c>
    </row>
    <row r="5">
      <c r="A5" t="inlineStr">
        <is>
          <t>Western, Northern, and Southern Europe</t>
        </is>
      </c>
      <c r="B5">
        <f>COUNTIFS(Scores!$D$2:$D$103,$A5,Scores!$BG$2:$BG$103,"Ranked")</f>
        <v/>
      </c>
      <c r="C5">
        <f>IFERROR(AVERAGEIFS(Scores!$BH$2:$BH$103,Scores!$D$2:$D$103,$A5,Scores!$BG$2:$BG$103,"Ranked"),"")</f>
        <v/>
      </c>
      <c r="D5">
        <f>IFERROR(AVERAGEIFS(Scores!$BE$2:$BE$103,Scores!$D$2:$D$103,$A5),"")</f>
        <v/>
      </c>
      <c r="E5">
        <f>IFERROR(AVERAGEIFS(Scores!$Q$2:$Q$103,Scores!$D$2:$D$103,$A5,Scores!$BG$2:$BG$103,"Ranked"),"")</f>
        <v/>
      </c>
      <c r="F5">
        <f>IFERROR(AVERAGEIFS(Scores!$BC$2:$BC$103,Scores!$D$2:$D$103,$A5,Scores!$BG$2:$BG$103,"Ranked"),"")</f>
        <v/>
      </c>
      <c r="G5">
        <f>IFERROR(INDEX(Scores!$B$2:$B$103,MATCH(MINIFS(Scores!$BI$2:$BI$103,Scores!$D$2:$D$103,$A5,Scores!$BG$2:$BG$103,"Ranked"),Scores!$BI$2:$BI$103,0)),"")</f>
        <v/>
      </c>
    </row>
    <row r="6">
      <c r="A6" t="inlineStr">
        <is>
          <t>Southern/Eastern Europe and Eurasia</t>
        </is>
      </c>
      <c r="B6">
        <f>COUNTIFS(Scores!$D$2:$D$103,$A6,Scores!$BG$2:$BG$103,"Ranked")</f>
        <v/>
      </c>
      <c r="C6">
        <f>IFERROR(AVERAGEIFS(Scores!$BH$2:$BH$103,Scores!$D$2:$D$103,$A6,Scores!$BG$2:$BG$103,"Ranked"),"")</f>
        <v/>
      </c>
      <c r="D6">
        <f>IFERROR(AVERAGEIFS(Scores!$BE$2:$BE$103,Scores!$D$2:$D$103,$A6),"")</f>
        <v/>
      </c>
      <c r="E6">
        <f>IFERROR(AVERAGEIFS(Scores!$Q$2:$Q$103,Scores!$D$2:$D$103,$A6,Scores!$BG$2:$BG$103,"Ranked"),"")</f>
        <v/>
      </c>
      <c r="F6">
        <f>IFERROR(AVERAGEIFS(Scores!$BC$2:$BC$103,Scores!$D$2:$D$103,$A6,Scores!$BG$2:$BG$103,"Ranked"),"")</f>
        <v/>
      </c>
      <c r="G6">
        <f>IFERROR(INDEX(Scores!$B$2:$B$103,MATCH(MINIFS(Scores!$BI$2:$BI$103,Scores!$D$2:$D$103,$A6,Scores!$BG$2:$BG$103,"Ranked"),Scores!$BI$2:$BI$103,0)),"")</f>
        <v/>
      </c>
    </row>
    <row r="7">
      <c r="A7" t="inlineStr">
        <is>
          <t>North America</t>
        </is>
      </c>
      <c r="B7">
        <f>COUNTIFS(Scores!$D$2:$D$103,$A7,Scores!$BG$2:$BG$103,"Ranked")</f>
        <v/>
      </c>
      <c r="C7">
        <f>IFERROR(AVERAGEIFS(Scores!$BH$2:$BH$103,Scores!$D$2:$D$103,$A7,Scores!$BG$2:$BG$103,"Ranked"),"")</f>
        <v/>
      </c>
      <c r="D7">
        <f>IFERROR(AVERAGEIFS(Scores!$BE$2:$BE$103,Scores!$D$2:$D$103,$A7),"")</f>
        <v/>
      </c>
      <c r="E7">
        <f>IFERROR(AVERAGEIFS(Scores!$Q$2:$Q$103,Scores!$D$2:$D$103,$A7,Scores!$BG$2:$BG$103,"Ranked"),"")</f>
        <v/>
      </c>
      <c r="F7">
        <f>IFERROR(AVERAGEIFS(Scores!$BC$2:$BC$103,Scores!$D$2:$D$103,$A7,Scores!$BG$2:$BG$103,"Ranked"),"")</f>
        <v/>
      </c>
      <c r="G7">
        <f>IFERROR(INDEX(Scores!$B$2:$B$103,MATCH(MINIFS(Scores!$BI$2:$BI$103,Scores!$D$2:$D$103,$A7,Scores!$BG$2:$BG$103,"Ranked"),Scores!$BI$2:$BI$103,0)),"")</f>
        <v/>
      </c>
    </row>
    <row r="8">
      <c r="A8" t="inlineStr">
        <is>
          <t>Latin America</t>
        </is>
      </c>
      <c r="B8">
        <f>COUNTIFS(Scores!$D$2:$D$103,$A8,Scores!$BG$2:$BG$103,"Ranked")</f>
        <v/>
      </c>
      <c r="C8">
        <f>IFERROR(AVERAGEIFS(Scores!$BH$2:$BH$103,Scores!$D$2:$D$103,$A8,Scores!$BG$2:$BG$103,"Ranked"),"")</f>
        <v/>
      </c>
      <c r="D8">
        <f>IFERROR(AVERAGEIFS(Scores!$BE$2:$BE$103,Scores!$D$2:$D$103,$A8),"")</f>
        <v/>
      </c>
      <c r="E8">
        <f>IFERROR(AVERAGEIFS(Scores!$Q$2:$Q$103,Scores!$D$2:$D$103,$A8,Scores!$BG$2:$BG$103,"Ranked"),"")</f>
        <v/>
      </c>
      <c r="F8">
        <f>IFERROR(AVERAGEIFS(Scores!$BC$2:$BC$103,Scores!$D$2:$D$103,$A8,Scores!$BG$2:$BG$103,"Ranked"),"")</f>
        <v/>
      </c>
      <c r="G8">
        <f>IFERROR(INDEX(Scores!$B$2:$B$103,MATCH(MINIFS(Scores!$BI$2:$BI$103,Scores!$D$2:$D$103,$A8,Scores!$BG$2:$BG$103,"Ranked"),Scores!$BI$2:$BI$103,0)),"")</f>
        <v/>
      </c>
    </row>
    <row r="9">
      <c r="A9" t="inlineStr">
        <is>
          <t>Middle East</t>
        </is>
      </c>
      <c r="B9">
        <f>COUNTIFS(Scores!$D$2:$D$103,$A9,Scores!$BG$2:$BG$103,"Ranked")</f>
        <v/>
      </c>
      <c r="C9">
        <f>IFERROR(AVERAGEIFS(Scores!$BH$2:$BH$103,Scores!$D$2:$D$103,$A9,Scores!$BG$2:$BG$103,"Ranked"),"")</f>
        <v/>
      </c>
      <c r="D9">
        <f>IFERROR(AVERAGEIFS(Scores!$BE$2:$BE$103,Scores!$D$2:$D$103,$A9),"")</f>
        <v/>
      </c>
      <c r="E9">
        <f>IFERROR(AVERAGEIFS(Scores!$Q$2:$Q$103,Scores!$D$2:$D$103,$A9,Scores!$BG$2:$BG$103,"Ranked"),"")</f>
        <v/>
      </c>
      <c r="F9">
        <f>IFERROR(AVERAGEIFS(Scores!$BC$2:$BC$103,Scores!$D$2:$D$103,$A9,Scores!$BG$2:$BG$103,"Ranked"),"")</f>
        <v/>
      </c>
      <c r="G9">
        <f>IFERROR(INDEX(Scores!$B$2:$B$103,MATCH(MINIFS(Scores!$BI$2:$BI$103,Scores!$D$2:$D$103,$A9,Scores!$BG$2:$BG$103,"Ranked"),Scores!$BI$2:$BI$103,0)),"")</f>
        <v/>
      </c>
    </row>
    <row r="10">
      <c r="A10" t="inlineStr">
        <is>
          <t>Africa</t>
        </is>
      </c>
      <c r="B10">
        <f>COUNTIFS(Scores!$D$2:$D$103,$A10,Scores!$BG$2:$BG$103,"Ranked")</f>
        <v/>
      </c>
      <c r="C10">
        <f>IFERROR(AVERAGEIFS(Scores!$BH$2:$BH$103,Scores!$D$2:$D$103,$A10,Scores!$BG$2:$BG$103,"Ranked"),"")</f>
        <v/>
      </c>
      <c r="D10">
        <f>IFERROR(AVERAGEIFS(Scores!$BE$2:$BE$103,Scores!$D$2:$D$103,$A10),"")</f>
        <v/>
      </c>
      <c r="E10">
        <f>IFERROR(AVERAGEIFS(Scores!$Q$2:$Q$103,Scores!$D$2:$D$103,$A10,Scores!$BG$2:$BG$103,"Ranked"),"")</f>
        <v/>
      </c>
      <c r="F10">
        <f>IFERROR(AVERAGEIFS(Scores!$BC$2:$BC$103,Scores!$D$2:$D$103,$A10,Scores!$BG$2:$BG$103,"Ranked"),"")</f>
        <v/>
      </c>
      <c r="G10">
        <f>IFERROR(INDEX(Scores!$B$2:$B$103,MATCH(MINIFS(Scores!$BI$2:$BI$103,Scores!$D$2:$D$103,$A10,Scores!$BG$2:$BG$103,"Ranked"),Scores!$BI$2:$BI$103,0)),"")</f>
        <v/>
      </c>
    </row>
    <row r="11">
      <c r="A11" t="inlineStr">
        <is>
          <t>Oceania</t>
        </is>
      </c>
      <c r="B11">
        <f>COUNTIFS(Scores!$D$2:$D$103,$A11,Scores!$BG$2:$BG$103,"Ranked")</f>
        <v/>
      </c>
      <c r="C11">
        <f>IFERROR(AVERAGEIFS(Scores!$BH$2:$BH$103,Scores!$D$2:$D$103,$A11,Scores!$BG$2:$BG$103,"Ranked"),"")</f>
        <v/>
      </c>
      <c r="D11">
        <f>IFERROR(AVERAGEIFS(Scores!$BE$2:$BE$103,Scores!$D$2:$D$103,$A11),"")</f>
        <v/>
      </c>
      <c r="E11">
        <f>IFERROR(AVERAGEIFS(Scores!$Q$2:$Q$103,Scores!$D$2:$D$103,$A11,Scores!$BG$2:$BG$103,"Ranked"),"")</f>
        <v/>
      </c>
      <c r="F11">
        <f>IFERROR(AVERAGEIFS(Scores!$BC$2:$BC$103,Scores!$D$2:$D$103,$A11,Scores!$BG$2:$BG$103,"Ranked"),"")</f>
        <v/>
      </c>
      <c r="G11">
        <f>IFERROR(INDEX(Scores!$B$2:$B$103,MATCH(MINIFS(Scores!$BI$2:$BI$103,Scores!$D$2:$D$103,$A11,Scores!$BG$2:$BG$103,"Ranked"),Scores!$BI$2:$BI$103,0)),"")</f>
        <v/>
      </c>
    </row>
  </sheetData>
  <autoFilter ref="A1:G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21" customWidth="1" min="3" max="3"/>
    <col width="25" customWidth="1" min="4" max="4"/>
    <col width="17" customWidth="1" min="5" max="5"/>
    <col width="16" customWidth="1" min="6" max="6"/>
    <col width="14" customWidth="1" min="7" max="7"/>
    <col width="22" customWidth="1" min="8" max="8"/>
    <col width="15" customWidth="1" min="9" max="9"/>
    <col width="12" customWidth="1" min="10" max="10"/>
    <col width="23" customWidth="1" min="11" max="11"/>
    <col width="28" customWidth="1" min="12" max="12"/>
    <col width="28" customWidth="1" min="13" max="13"/>
    <col width="28" customWidth="1" min="14" max="14"/>
  </cols>
  <sheetData>
    <row r="1">
      <c r="A1" s="6" t="inlineStr">
        <is>
          <t>city_id</t>
        </is>
      </c>
      <c r="B1" s="6" t="inlineStr">
        <is>
          <t>display_name</t>
        </is>
      </c>
      <c r="C1" s="6" t="inlineStr">
        <is>
          <t>province</t>
        </is>
      </c>
      <c r="D1" s="6" t="inlineStr">
        <is>
          <t>province_gdp_per_capita</t>
        </is>
      </c>
      <c r="E1" s="6" t="inlineStr">
        <is>
          <t>pollution_index</t>
        </is>
      </c>
      <c r="F1" s="6" t="inlineStr">
        <is>
          <t>hospital_count</t>
        </is>
      </c>
      <c r="G1" s="6" t="inlineStr">
        <is>
          <t>school_count</t>
        </is>
      </c>
      <c r="H1" s="6" t="inlineStr">
        <is>
          <t>infrastructure_index</t>
        </is>
      </c>
      <c r="I1" s="6" t="inlineStr">
        <is>
          <t>median_income</t>
        </is>
      </c>
      <c r="J1" s="6" t="inlineStr">
        <is>
          <t>longevity</t>
        </is>
      </c>
      <c r="K1" s="6" t="inlineStr">
        <is>
          <t>competitiveness_index</t>
        </is>
      </c>
      <c r="L1" s="6" t="inlineStr">
        <is>
          <t>thai_slic_score</t>
        </is>
      </c>
      <c r="M1" s="6" t="inlineStr">
        <is>
          <t>rank</t>
        </is>
      </c>
      <c r="N1" s="6" t="inlineStr">
        <is>
          <t>notes</t>
        </is>
      </c>
    </row>
    <row r="2">
      <c r="A2" t="inlineStr">
        <is>
          <t>th-bangkok</t>
        </is>
      </c>
      <c r="B2" t="inlineStr">
        <is>
          <t>Bangkok</t>
        </is>
      </c>
      <c r="C2" t="inlineStr">
        <is>
          <t>Bangkok</t>
        </is>
      </c>
      <c r="L2" s="13">
        <f>IF(COUNT(D2:K2)=0,"",(IF(D2="",0,IF(COUNT($D$2:$D$12)&gt;=2,PERCENTRANK.INC($D$2:$D$12,D2)*100,"")*0.15)+IF(E2="",0,IF(COUNT($E$2:$E$12)&gt;=2,(1-PERCENTRANK.INC($E$2:$E$12,E2))*100,"")*0.15)+IF(F2="",0,IF(COUNT($F$2:$F$12)&gt;=2,PERCENTRANK.INC($F$2:$F$12,F2)*100,"")*0.15)+IF(G2="",0,IF(COUNT($G$2:$G$12)&gt;=2,PERCENTRANK.INC($G$2:$G$12,G2)*100,"")*0.10)+IF(H2="",0,IF(COUNT($H$2:$H$12)&gt;=2,PERCENTRANK.INC($H$2:$H$12,H2)*100,"")*0.10)+IF(I2="",0,IF(COUNT($I$2:$I$12)&gt;=2,PERCENTRANK.INC($I$2:$I$12,I2)*100,"")*0.15)+IF(J2="",0,IF(COUNT($J$2:$J$12)&gt;=2,PERCENTRANK.INC($J$2:$J$12,J2)*100,"")*0.10)+IF(K2="",0,IF(COUNT($K$2:$K$12)&gt;=2,PERCENTRANK.INC($K$2:$K$12,K2)*100,"")*0.10))/(IF(D2="",0,0.15)+IF(E2="",0,0.15)+IF(F2="",0,0.15)+IF(G2="",0,0.10)+IF(H2="",0,0.10)+IF(I2="",0,0.15)+IF(J2="",0,0.10)+IF(K2="",0,0.10)))</f>
        <v/>
      </c>
      <c r="M2" s="13">
        <f>IF(L2="", "", 1+COUNTIF($L$2:$L$12, "&gt;"&amp;L2))</f>
        <v/>
      </c>
      <c r="N2" s="3" t="inlineStr">
        <is>
          <t>Thailand-only companion ranking. This sheet is intentionally separate from global SLIC so province and city data can be handled with Thai-specific logic.</t>
        </is>
      </c>
    </row>
    <row r="3">
      <c r="A3" t="inlineStr">
        <is>
          <t>th-chonburi</t>
        </is>
      </c>
      <c r="B3" t="inlineStr">
        <is>
          <t>Chonburi-Pattaya</t>
        </is>
      </c>
      <c r="C3" t="inlineStr">
        <is>
          <t>Chonburi</t>
        </is>
      </c>
      <c r="L3" s="13">
        <f>IF(COUNT(D3:K3)=0,"",(IF(D3="",0,IF(COUNT($D$2:$D$12)&gt;=2,PERCENTRANK.INC($D$2:$D$12,D3)*100,"")*0.15)+IF(E3="",0,IF(COUNT($E$2:$E$12)&gt;=2,(1-PERCENTRANK.INC($E$2:$E$12,E3))*100,"")*0.15)+IF(F3="",0,IF(COUNT($F$2:$F$12)&gt;=2,PERCENTRANK.INC($F$2:$F$12,F3)*100,"")*0.15)+IF(G3="",0,IF(COUNT($G$2:$G$12)&gt;=2,PERCENTRANK.INC($G$2:$G$12,G3)*100,"")*0.10)+IF(H3="",0,IF(COUNT($H$2:$H$12)&gt;=2,PERCENTRANK.INC($H$2:$H$12,H3)*100,"")*0.10)+IF(I3="",0,IF(COUNT($I$2:$I$12)&gt;=2,PERCENTRANK.INC($I$2:$I$12,I3)*100,"")*0.15)+IF(J3="",0,IF(COUNT($J$2:$J$12)&gt;=2,PERCENTRANK.INC($J$2:$J$12,J3)*100,"")*0.10)+IF(K3="",0,IF(COUNT($K$2:$K$12)&gt;=2,PERCENTRANK.INC($K$2:$K$12,K3)*100,"")*0.10))/(IF(D3="",0,0.15)+IF(E3="",0,0.15)+IF(F3="",0,0.15)+IF(G3="",0,0.10)+IF(H3="",0,0.10)+IF(I3="",0,0.15)+IF(J3="",0,0.10)+IF(K3="",0,0.10)))</f>
        <v/>
      </c>
      <c r="M3" s="13">
        <f>IF(L3="", "", 1+COUNTIF($L$2:$L$12, "&gt;"&amp;L3))</f>
        <v/>
      </c>
    </row>
    <row r="4">
      <c r="A4" t="inlineStr">
        <is>
          <t>th-phuket</t>
        </is>
      </c>
      <c r="B4" t="inlineStr">
        <is>
          <t>Phuket</t>
        </is>
      </c>
      <c r="C4" t="inlineStr">
        <is>
          <t>Phuket</t>
        </is>
      </c>
      <c r="L4" s="13">
        <f>IF(COUNT(D4:K4)=0,"",(IF(D4="",0,IF(COUNT($D$2:$D$12)&gt;=2,PERCENTRANK.INC($D$2:$D$12,D4)*100,"")*0.15)+IF(E4="",0,IF(COUNT($E$2:$E$12)&gt;=2,(1-PERCENTRANK.INC($E$2:$E$12,E4))*100,"")*0.15)+IF(F4="",0,IF(COUNT($F$2:$F$12)&gt;=2,PERCENTRANK.INC($F$2:$F$12,F4)*100,"")*0.15)+IF(G4="",0,IF(COUNT($G$2:$G$12)&gt;=2,PERCENTRANK.INC($G$2:$G$12,G4)*100,"")*0.10)+IF(H4="",0,IF(COUNT($H$2:$H$12)&gt;=2,PERCENTRANK.INC($H$2:$H$12,H4)*100,"")*0.10)+IF(I4="",0,IF(COUNT($I$2:$I$12)&gt;=2,PERCENTRANK.INC($I$2:$I$12,I4)*100,"")*0.15)+IF(J4="",0,IF(COUNT($J$2:$J$12)&gt;=2,PERCENTRANK.INC($J$2:$J$12,J4)*100,"")*0.10)+IF(K4="",0,IF(COUNT($K$2:$K$12)&gt;=2,PERCENTRANK.INC($K$2:$K$12,K4)*100,"")*0.10))/(IF(D4="",0,0.15)+IF(E4="",0,0.15)+IF(F4="",0,0.15)+IF(G4="",0,0.10)+IF(H4="",0,0.10)+IF(I4="",0,0.15)+IF(J4="",0,0.10)+IF(K4="",0,0.10)))</f>
        <v/>
      </c>
      <c r="M4" s="13">
        <f>IF(L4="", "", 1+COUNTIF($L$2:$L$12, "&gt;"&amp;L4))</f>
        <v/>
      </c>
    </row>
    <row r="5">
      <c r="A5" t="inlineStr">
        <is>
          <t>th-chiang-mai</t>
        </is>
      </c>
      <c r="B5" t="inlineStr">
        <is>
          <t>Chiang Mai</t>
        </is>
      </c>
      <c r="C5" t="inlineStr">
        <is>
          <t>Chiang Mai</t>
        </is>
      </c>
      <c r="L5" s="13">
        <f>IF(COUNT(D5:K5)=0,"",(IF(D5="",0,IF(COUNT($D$2:$D$12)&gt;=2,PERCENTRANK.INC($D$2:$D$12,D5)*100,"")*0.15)+IF(E5="",0,IF(COUNT($E$2:$E$12)&gt;=2,(1-PERCENTRANK.INC($E$2:$E$12,E5))*100,"")*0.15)+IF(F5="",0,IF(COUNT($F$2:$F$12)&gt;=2,PERCENTRANK.INC($F$2:$F$12,F5)*100,"")*0.15)+IF(G5="",0,IF(COUNT($G$2:$G$12)&gt;=2,PERCENTRANK.INC($G$2:$G$12,G5)*100,"")*0.10)+IF(H5="",0,IF(COUNT($H$2:$H$12)&gt;=2,PERCENTRANK.INC($H$2:$H$12,H5)*100,"")*0.10)+IF(I5="",0,IF(COUNT($I$2:$I$12)&gt;=2,PERCENTRANK.INC($I$2:$I$12,I5)*100,"")*0.15)+IF(J5="",0,IF(COUNT($J$2:$J$12)&gt;=2,PERCENTRANK.INC($J$2:$J$12,J5)*100,"")*0.10)+IF(K5="",0,IF(COUNT($K$2:$K$12)&gt;=2,PERCENTRANK.INC($K$2:$K$12,K5)*100,"")*0.10))/(IF(D5="",0,0.15)+IF(E5="",0,0.15)+IF(F5="",0,0.15)+IF(G5="",0,0.10)+IF(H5="",0,0.10)+IF(I5="",0,0.15)+IF(J5="",0,0.10)+IF(K5="",0,0.10)))</f>
        <v/>
      </c>
      <c r="M5" s="13">
        <f>IF(L5="", "", 1+COUNTIF($L$2:$L$12, "&gt;"&amp;L5))</f>
        <v/>
      </c>
    </row>
    <row r="6">
      <c r="A6" t="inlineStr">
        <is>
          <t>th-chiang-rai</t>
        </is>
      </c>
      <c r="B6" t="inlineStr">
        <is>
          <t>Chiang Rai</t>
        </is>
      </c>
      <c r="C6" t="inlineStr">
        <is>
          <t>Chiang Rai</t>
        </is>
      </c>
      <c r="L6" s="13">
        <f>IF(COUNT(D6:K6)=0,"",(IF(D6="",0,IF(COUNT($D$2:$D$12)&gt;=2,PERCENTRANK.INC($D$2:$D$12,D6)*100,"")*0.15)+IF(E6="",0,IF(COUNT($E$2:$E$12)&gt;=2,(1-PERCENTRANK.INC($E$2:$E$12,E6))*100,"")*0.15)+IF(F6="",0,IF(COUNT($F$2:$F$12)&gt;=2,PERCENTRANK.INC($F$2:$F$12,F6)*100,"")*0.15)+IF(G6="",0,IF(COUNT($G$2:$G$12)&gt;=2,PERCENTRANK.INC($G$2:$G$12,G6)*100,"")*0.10)+IF(H6="",0,IF(COUNT($H$2:$H$12)&gt;=2,PERCENTRANK.INC($H$2:$H$12,H6)*100,"")*0.10)+IF(I6="",0,IF(COUNT($I$2:$I$12)&gt;=2,PERCENTRANK.INC($I$2:$I$12,I6)*100,"")*0.15)+IF(J6="",0,IF(COUNT($J$2:$J$12)&gt;=2,PERCENTRANK.INC($J$2:$J$12,J6)*100,"")*0.10)+IF(K6="",0,IF(COUNT($K$2:$K$12)&gt;=2,PERCENTRANK.INC($K$2:$K$12,K6)*100,"")*0.10))/(IF(D6="",0,0.15)+IF(E6="",0,0.15)+IF(F6="",0,0.15)+IF(G6="",0,0.10)+IF(H6="",0,0.10)+IF(I6="",0,0.15)+IF(J6="",0,0.10)+IF(K6="",0,0.10)))</f>
        <v/>
      </c>
      <c r="M6" s="13">
        <f>IF(L6="", "", 1+COUNTIF($L$2:$L$12, "&gt;"&amp;L6))</f>
        <v/>
      </c>
    </row>
    <row r="7">
      <c r="A7" t="inlineStr">
        <is>
          <t>th-nakhon-si-thammarat</t>
        </is>
      </c>
      <c r="B7" t="inlineStr">
        <is>
          <t>Nakhon Si Thammarat</t>
        </is>
      </c>
      <c r="C7" t="inlineStr">
        <is>
          <t>Nakhon Si Thammarat</t>
        </is>
      </c>
      <c r="L7" s="13">
        <f>IF(COUNT(D7:K7)=0,"",(IF(D7="",0,IF(COUNT($D$2:$D$12)&gt;=2,PERCENTRANK.INC($D$2:$D$12,D7)*100,"")*0.15)+IF(E7="",0,IF(COUNT($E$2:$E$12)&gt;=2,(1-PERCENTRANK.INC($E$2:$E$12,E7))*100,"")*0.15)+IF(F7="",0,IF(COUNT($F$2:$F$12)&gt;=2,PERCENTRANK.INC($F$2:$F$12,F7)*100,"")*0.15)+IF(G7="",0,IF(COUNT($G$2:$G$12)&gt;=2,PERCENTRANK.INC($G$2:$G$12,G7)*100,"")*0.10)+IF(H7="",0,IF(COUNT($H$2:$H$12)&gt;=2,PERCENTRANK.INC($H$2:$H$12,H7)*100,"")*0.10)+IF(I7="",0,IF(COUNT($I$2:$I$12)&gt;=2,PERCENTRANK.INC($I$2:$I$12,I7)*100,"")*0.15)+IF(J7="",0,IF(COUNT($J$2:$J$12)&gt;=2,PERCENTRANK.INC($J$2:$J$12,J7)*100,"")*0.10)+IF(K7="",0,IF(COUNT($K$2:$K$12)&gt;=2,PERCENTRANK.INC($K$2:$K$12,K7)*100,"")*0.10))/(IF(D7="",0,0.15)+IF(E7="",0,0.15)+IF(F7="",0,0.15)+IF(G7="",0,0.10)+IF(H7="",0,0.10)+IF(I7="",0,0.15)+IF(J7="",0,0.10)+IF(K7="",0,0.10)))</f>
        <v/>
      </c>
      <c r="M7" s="13">
        <f>IF(L7="", "", 1+COUNTIF($L$2:$L$12, "&gt;"&amp;L7))</f>
        <v/>
      </c>
    </row>
    <row r="8">
      <c r="A8" t="inlineStr">
        <is>
          <t>th-nakhon-ratchasima</t>
        </is>
      </c>
      <c r="B8" t="inlineStr">
        <is>
          <t>Nakhon Ratchasima</t>
        </is>
      </c>
      <c r="C8" t="inlineStr">
        <is>
          <t>Nakhon Ratchasima</t>
        </is>
      </c>
      <c r="L8" s="13">
        <f>IF(COUNT(D8:K8)=0,"",(IF(D8="",0,IF(COUNT($D$2:$D$12)&gt;=2,PERCENTRANK.INC($D$2:$D$12,D8)*100,"")*0.15)+IF(E8="",0,IF(COUNT($E$2:$E$12)&gt;=2,(1-PERCENTRANK.INC($E$2:$E$12,E8))*100,"")*0.15)+IF(F8="",0,IF(COUNT($F$2:$F$12)&gt;=2,PERCENTRANK.INC($F$2:$F$12,F8)*100,"")*0.15)+IF(G8="",0,IF(COUNT($G$2:$G$12)&gt;=2,PERCENTRANK.INC($G$2:$G$12,G8)*100,"")*0.10)+IF(H8="",0,IF(COUNT($H$2:$H$12)&gt;=2,PERCENTRANK.INC($H$2:$H$12,H8)*100,"")*0.10)+IF(I8="",0,IF(COUNT($I$2:$I$12)&gt;=2,PERCENTRANK.INC($I$2:$I$12,I8)*100,"")*0.15)+IF(J8="",0,IF(COUNT($J$2:$J$12)&gt;=2,PERCENTRANK.INC($J$2:$J$12,J8)*100,"")*0.10)+IF(K8="",0,IF(COUNT($K$2:$K$12)&gt;=2,PERCENTRANK.INC($K$2:$K$12,K8)*100,"")*0.10))/(IF(D8="",0,0.15)+IF(E8="",0,0.15)+IF(F8="",0,0.15)+IF(G8="",0,0.10)+IF(H8="",0,0.10)+IF(I8="",0,0.15)+IF(J8="",0,0.10)+IF(K8="",0,0.10)))</f>
        <v/>
      </c>
      <c r="M8" s="13">
        <f>IF(L8="", "", 1+COUNTIF($L$2:$L$12, "&gt;"&amp;L8))</f>
        <v/>
      </c>
    </row>
    <row r="9">
      <c r="A9" t="inlineStr">
        <is>
          <t>th-khon-kaen</t>
        </is>
      </c>
      <c r="B9" t="inlineStr">
        <is>
          <t>Khon Kaen</t>
        </is>
      </c>
      <c r="C9" t="inlineStr">
        <is>
          <t>Khon Kaen</t>
        </is>
      </c>
      <c r="L9" s="13">
        <f>IF(COUNT(D9:K9)=0,"",(IF(D9="",0,IF(COUNT($D$2:$D$12)&gt;=2,PERCENTRANK.INC($D$2:$D$12,D9)*100,"")*0.15)+IF(E9="",0,IF(COUNT($E$2:$E$12)&gt;=2,(1-PERCENTRANK.INC($E$2:$E$12,E9))*100,"")*0.15)+IF(F9="",0,IF(COUNT($F$2:$F$12)&gt;=2,PERCENTRANK.INC($F$2:$F$12,F9)*100,"")*0.15)+IF(G9="",0,IF(COUNT($G$2:$G$12)&gt;=2,PERCENTRANK.INC($G$2:$G$12,G9)*100,"")*0.10)+IF(H9="",0,IF(COUNT($H$2:$H$12)&gt;=2,PERCENTRANK.INC($H$2:$H$12,H9)*100,"")*0.10)+IF(I9="",0,IF(COUNT($I$2:$I$12)&gt;=2,PERCENTRANK.INC($I$2:$I$12,I9)*100,"")*0.15)+IF(J9="",0,IF(COUNT($J$2:$J$12)&gt;=2,PERCENTRANK.INC($J$2:$J$12,J9)*100,"")*0.10)+IF(K9="",0,IF(COUNT($K$2:$K$12)&gt;=2,PERCENTRANK.INC($K$2:$K$12,K9)*100,"")*0.10))/(IF(D9="",0,0.15)+IF(E9="",0,0.15)+IF(F9="",0,0.15)+IF(G9="",0,0.10)+IF(H9="",0,0.10)+IF(I9="",0,0.15)+IF(J9="",0,0.10)+IF(K9="",0,0.10)))</f>
        <v/>
      </c>
      <c r="M9" s="13">
        <f>IF(L9="", "", 1+COUNTIF($L$2:$L$12, "&gt;"&amp;L9))</f>
        <v/>
      </c>
    </row>
    <row r="10">
      <c r="A10" t="inlineStr">
        <is>
          <t>th-ubon-ratchathani</t>
        </is>
      </c>
      <c r="B10" t="inlineStr">
        <is>
          <t>Ubon Ratchathani</t>
        </is>
      </c>
      <c r="C10" t="inlineStr">
        <is>
          <t>Ubon Ratchathani</t>
        </is>
      </c>
      <c r="L10" s="13">
        <f>IF(COUNT(D10:K10)=0,"",(IF(D10="",0,IF(COUNT($D$2:$D$12)&gt;=2,PERCENTRANK.INC($D$2:$D$12,D10)*100,"")*0.15)+IF(E10="",0,IF(COUNT($E$2:$E$12)&gt;=2,(1-PERCENTRANK.INC($E$2:$E$12,E10))*100,"")*0.15)+IF(F10="",0,IF(COUNT($F$2:$F$12)&gt;=2,PERCENTRANK.INC($F$2:$F$12,F10)*100,"")*0.15)+IF(G10="",0,IF(COUNT($G$2:$G$12)&gt;=2,PERCENTRANK.INC($G$2:$G$12,G10)*100,"")*0.10)+IF(H10="",0,IF(COUNT($H$2:$H$12)&gt;=2,PERCENTRANK.INC($H$2:$H$12,H10)*100,"")*0.10)+IF(I10="",0,IF(COUNT($I$2:$I$12)&gt;=2,PERCENTRANK.INC($I$2:$I$12,I10)*100,"")*0.15)+IF(J10="",0,IF(COUNT($J$2:$J$12)&gt;=2,PERCENTRANK.INC($J$2:$J$12,J10)*100,"")*0.10)+IF(K10="",0,IF(COUNT($K$2:$K$12)&gt;=2,PERCENTRANK.INC($K$2:$K$12,K10)*100,"")*0.10))/(IF(D10="",0,0.15)+IF(E10="",0,0.15)+IF(F10="",0,0.15)+IF(G10="",0,0.10)+IF(H10="",0,0.10)+IF(I10="",0,0.15)+IF(J10="",0,0.10)+IF(K10="",0,0.10)))</f>
        <v/>
      </c>
      <c r="M10" s="13">
        <f>IF(L10="", "", 1+COUNTIF($L$2:$L$12, "&gt;"&amp;L10))</f>
        <v/>
      </c>
    </row>
    <row r="11">
      <c r="A11" t="inlineStr">
        <is>
          <t>th-surat-thani</t>
        </is>
      </c>
      <c r="B11" t="inlineStr">
        <is>
          <t>Surat Thani</t>
        </is>
      </c>
      <c r="C11" t="inlineStr">
        <is>
          <t>Surat Thani</t>
        </is>
      </c>
      <c r="L11" s="13">
        <f>IF(COUNT(D11:K11)=0,"",(IF(D11="",0,IF(COUNT($D$2:$D$12)&gt;=2,PERCENTRANK.INC($D$2:$D$12,D11)*100,"")*0.15)+IF(E11="",0,IF(COUNT($E$2:$E$12)&gt;=2,(1-PERCENTRANK.INC($E$2:$E$12,E11))*100,"")*0.15)+IF(F11="",0,IF(COUNT($F$2:$F$12)&gt;=2,PERCENTRANK.INC($F$2:$F$12,F11)*100,"")*0.15)+IF(G11="",0,IF(COUNT($G$2:$G$12)&gt;=2,PERCENTRANK.INC($G$2:$G$12,G11)*100,"")*0.10)+IF(H11="",0,IF(COUNT($H$2:$H$12)&gt;=2,PERCENTRANK.INC($H$2:$H$12,H11)*100,"")*0.10)+IF(I11="",0,IF(COUNT($I$2:$I$12)&gt;=2,PERCENTRANK.INC($I$2:$I$12,I11)*100,"")*0.15)+IF(J11="",0,IF(COUNT($J$2:$J$12)&gt;=2,PERCENTRANK.INC($J$2:$J$12,J11)*100,"")*0.10)+IF(K11="",0,IF(COUNT($K$2:$K$12)&gt;=2,PERCENTRANK.INC($K$2:$K$12,K11)*100,"")*0.10))/(IF(D11="",0,0.15)+IF(E11="",0,0.15)+IF(F11="",0,0.15)+IF(G11="",0,0.10)+IF(H11="",0,0.10)+IF(I11="",0,0.15)+IF(J11="",0,0.10)+IF(K11="",0,0.10)))</f>
        <v/>
      </c>
      <c r="M11" s="13">
        <f>IF(L11="", "", 1+COUNTIF($L$2:$L$12, "&gt;"&amp;L11))</f>
        <v/>
      </c>
    </row>
    <row r="12">
      <c r="A12" t="inlineStr">
        <is>
          <t>th-hat-yai</t>
        </is>
      </c>
      <c r="B12" t="inlineStr">
        <is>
          <t>Hat Yai</t>
        </is>
      </c>
      <c r="C12" t="inlineStr">
        <is>
          <t>Songkhla</t>
        </is>
      </c>
      <c r="L12" s="13">
        <f>IF(COUNT(D12:K12)=0,"",(IF(D12="",0,IF(COUNT($D$2:$D$12)&gt;=2,PERCENTRANK.INC($D$2:$D$12,D12)*100,"")*0.15)+IF(E12="",0,IF(COUNT($E$2:$E$12)&gt;=2,(1-PERCENTRANK.INC($E$2:$E$12,E12))*100,"")*0.15)+IF(F12="",0,IF(COUNT($F$2:$F$12)&gt;=2,PERCENTRANK.INC($F$2:$F$12,F12)*100,"")*0.15)+IF(G12="",0,IF(COUNT($G$2:$G$12)&gt;=2,PERCENTRANK.INC($G$2:$G$12,G12)*100,"")*0.10)+IF(H12="",0,IF(COUNT($H$2:$H$12)&gt;=2,PERCENTRANK.INC($H$2:$H$12,H12)*100,"")*0.10)+IF(I12="",0,IF(COUNT($I$2:$I$12)&gt;=2,PERCENTRANK.INC($I$2:$I$12,I12)*100,"")*0.15)+IF(J12="",0,IF(COUNT($J$2:$J$12)&gt;=2,PERCENTRANK.INC($J$2:$J$12,J12)*100,"")*0.10)+IF(K12="",0,IF(COUNT($K$2:$K$12)&gt;=2,PERCENTRANK.INC($K$2:$K$12,K12)*100,"")*0.10))/(IF(D12="",0,0.15)+IF(E12="",0,0.15)+IF(F12="",0,0.15)+IF(G12="",0,0.10)+IF(H12="",0,0.10)+IF(I12="",0,0.15)+IF(J12="",0,0.10)+IF(K12="",0,0.10)))</f>
        <v/>
      </c>
      <c r="M12" s="13">
        <f>IF(L12="", "", 1+COUNTIF($L$2:$L$12, "&gt;"&amp;L12))</f>
        <v/>
      </c>
    </row>
  </sheetData>
  <autoFilter ref="A1:N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9" customWidth="1" min="1" max="1"/>
    <col width="38" customWidth="1" min="2" max="2"/>
    <col width="12" customWidth="1" min="3" max="3"/>
    <col width="31" customWidth="1" min="4" max="4"/>
    <col width="28" customWidth="1" min="5" max="5"/>
    <col width="17" customWidth="1" min="6" max="6"/>
    <col width="16" customWidth="1" min="7" max="7"/>
    <col width="40" customWidth="1" min="8" max="8"/>
  </cols>
  <sheetData>
    <row r="1">
      <c r="A1" s="19" t="inlineStr">
        <is>
          <t>provider_id</t>
        </is>
      </c>
      <c r="B1" s="19" t="inlineStr">
        <is>
          <t>name</t>
        </is>
      </c>
      <c r="C1" s="19" t="inlineStr">
        <is>
          <t>tier</t>
        </is>
      </c>
      <c r="D1" s="19" t="inlineStr">
        <is>
          <t>scope</t>
        </is>
      </c>
      <c r="E1" s="19" t="inlineStr">
        <is>
          <t>allowed_host</t>
        </is>
      </c>
      <c r="F1" s="19" t="inlineStr">
        <is>
          <t>allow_any_https</t>
        </is>
      </c>
      <c r="G1" s="19" t="inlineStr">
        <is>
          <t>reference_only</t>
        </is>
      </c>
      <c r="H1" s="19" t="inlineStr">
        <is>
          <t>notes</t>
        </is>
      </c>
    </row>
    <row r="2">
      <c r="A2" t="inlineStr">
        <is>
          <t>city_official_portal</t>
        </is>
      </c>
      <c r="B2" t="inlineStr">
        <is>
          <t>City or metro official portal</t>
        </is>
      </c>
      <c r="C2" t="inlineStr">
        <is>
          <t>Tier 1</t>
        </is>
      </c>
      <c r="D2" t="inlineStr">
        <is>
          <t>city_or_metro</t>
        </is>
      </c>
      <c r="E2" t="inlineStr"/>
      <c r="F2" t="inlineStr">
        <is>
          <t>true</t>
        </is>
      </c>
      <c r="G2" t="inlineStr">
        <is>
          <t>false</t>
        </is>
      </c>
      <c r="H2" t="inlineStr">
        <is>
          <t>Use for municipal statistical offices, city open-data portals, transit authorities, or water and utility agencies.</t>
        </is>
      </c>
    </row>
    <row r="3">
      <c r="A3" t="inlineStr">
        <is>
          <t>subnational_official_portal</t>
        </is>
      </c>
      <c r="B3" t="inlineStr">
        <is>
          <t>State or provincial official portal</t>
        </is>
      </c>
      <c r="C3" t="inlineStr">
        <is>
          <t>Tier 2</t>
        </is>
      </c>
      <c r="D3" t="inlineStr">
        <is>
          <t>subnational</t>
        </is>
      </c>
      <c r="E3" t="inlineStr"/>
      <c r="F3" t="inlineStr">
        <is>
          <t>true</t>
        </is>
      </c>
      <c r="G3" t="inlineStr">
        <is>
          <t>false</t>
        </is>
      </c>
      <c r="H3" t="inlineStr">
        <is>
          <t>Use for provincial, prefectural, or metropolitan statistical offices and observatories.</t>
        </is>
      </c>
    </row>
    <row r="4">
      <c r="A4" t="inlineStr">
        <is>
          <t>national_statistical_office</t>
        </is>
      </c>
      <c r="B4" t="inlineStr">
        <is>
          <t>National statistical office</t>
        </is>
      </c>
      <c r="C4" t="inlineStr">
        <is>
          <t>Tier 3</t>
        </is>
      </c>
      <c r="D4" t="inlineStr">
        <is>
          <t>national</t>
        </is>
      </c>
      <c r="E4" t="inlineStr"/>
      <c r="F4" t="inlineStr">
        <is>
          <t>true</t>
        </is>
      </c>
      <c r="G4" t="inlineStr">
        <is>
          <t>false</t>
        </is>
      </c>
      <c r="H4" t="inlineStr">
        <is>
          <t>Use for official national statistics portals when a city metric is only available nationally or by subnational breakdown.</t>
        </is>
      </c>
    </row>
    <row r="5">
      <c r="A5" t="inlineStr">
        <is>
          <t>world_bank</t>
        </is>
      </c>
      <c r="B5" t="inlineStr">
        <is>
          <t>World Bank Data</t>
        </is>
      </c>
      <c r="C5" t="inlineStr">
        <is>
          <t>Tier 3</t>
        </is>
      </c>
      <c r="D5" t="inlineStr">
        <is>
          <t>international</t>
        </is>
      </c>
      <c r="E5" t="inlineStr">
        <is>
          <t>worldbank.org</t>
        </is>
      </c>
      <c r="F5" t="inlineStr">
        <is>
          <t>false</t>
        </is>
      </c>
      <c r="G5" t="inlineStr">
        <is>
          <t>false</t>
        </is>
      </c>
      <c r="H5" t="inlineStr">
        <is>
          <t>Recommended for GDP per capita PPP, growth, inequality context, and related official international baselines.</t>
        </is>
      </c>
    </row>
    <row r="6">
      <c r="A6" t="inlineStr">
        <is>
          <t>who_gho</t>
        </is>
      </c>
      <c r="B6" t="inlineStr">
        <is>
          <t>WHO Global Health Observatory</t>
        </is>
      </c>
      <c r="C6" t="inlineStr">
        <is>
          <t>Tier 3</t>
        </is>
      </c>
      <c r="D6" t="inlineStr">
        <is>
          <t>international</t>
        </is>
      </c>
      <c r="E6" t="inlineStr">
        <is>
          <t>who.int</t>
        </is>
      </c>
      <c r="F6" t="inlineStr">
        <is>
          <t>false</t>
        </is>
      </c>
      <c r="G6" t="inlineStr">
        <is>
          <t>false</t>
        </is>
      </c>
      <c r="H6" t="inlineStr">
        <is>
          <t>Recommended for health and mortality baselines when city-level official releases are unavailable.</t>
        </is>
      </c>
    </row>
    <row r="7">
      <c r="A7" t="inlineStr">
        <is>
          <t>ilo_ilostat</t>
        </is>
      </c>
      <c r="B7" t="inlineStr">
        <is>
          <t>ILO ILOSTAT</t>
        </is>
      </c>
      <c r="C7" t="inlineStr">
        <is>
          <t>Tier 3</t>
        </is>
      </c>
      <c r="D7" t="inlineStr">
        <is>
          <t>international</t>
        </is>
      </c>
      <c r="E7" t="inlineStr">
        <is>
          <t>ilo.org</t>
        </is>
      </c>
      <c r="F7" t="inlineStr">
        <is>
          <t>false</t>
        </is>
      </c>
      <c r="G7" t="inlineStr">
        <is>
          <t>false</t>
        </is>
      </c>
      <c r="H7" t="inlineStr">
        <is>
          <t>Recommended for labour, work-time, and employment pressure indicators.</t>
        </is>
      </c>
    </row>
    <row r="8">
      <c r="A8" t="inlineStr">
        <is>
          <t>who_unicef_jmp</t>
        </is>
      </c>
      <c r="B8" t="inlineStr">
        <is>
          <t>WHO/UNICEF JMP</t>
        </is>
      </c>
      <c r="C8" t="inlineStr">
        <is>
          <t>Tier 3</t>
        </is>
      </c>
      <c r="D8" t="inlineStr">
        <is>
          <t>international</t>
        </is>
      </c>
      <c r="E8" t="inlineStr">
        <is>
          <t>washdata.org</t>
        </is>
      </c>
      <c r="F8" t="inlineStr">
        <is>
          <t>false</t>
        </is>
      </c>
      <c r="G8" t="inlineStr">
        <is>
          <t>false</t>
        </is>
      </c>
      <c r="H8" t="inlineStr">
        <is>
          <t>Recommended for water, sanitation, and utility service baselines.</t>
        </is>
      </c>
    </row>
    <row r="9">
      <c r="A9" t="inlineStr">
        <is>
          <t>unesco_uis</t>
        </is>
      </c>
      <c r="B9" t="inlineStr">
        <is>
          <t>UNESCO UIS</t>
        </is>
      </c>
      <c r="C9" t="inlineStr">
        <is>
          <t>Tier 3</t>
        </is>
      </c>
      <c r="D9" t="inlineStr">
        <is>
          <t>international</t>
        </is>
      </c>
      <c r="E9" t="inlineStr">
        <is>
          <t>uis.unesco.org</t>
        </is>
      </c>
      <c r="F9" t="inlineStr">
        <is>
          <t>false</t>
        </is>
      </c>
      <c r="G9" t="inlineStr">
        <is>
          <t>false</t>
        </is>
      </c>
      <c r="H9" t="inlineStr">
        <is>
          <t>Recommended for education and human-capability indicators.</t>
        </is>
      </c>
    </row>
    <row r="10">
      <c r="A10" t="inlineStr">
        <is>
          <t>oecd_data</t>
        </is>
      </c>
      <c r="B10" t="inlineStr">
        <is>
          <t>OECD Data</t>
        </is>
      </c>
      <c r="C10" t="inlineStr">
        <is>
          <t>Tier 3</t>
        </is>
      </c>
      <c r="D10" t="inlineStr">
        <is>
          <t>international</t>
        </is>
      </c>
      <c r="E10" t="inlineStr">
        <is>
          <t>oecd.org</t>
        </is>
      </c>
      <c r="F10" t="inlineStr">
        <is>
          <t>false</t>
        </is>
      </c>
      <c r="G10" t="inlineStr">
        <is>
          <t>false</t>
        </is>
      </c>
      <c r="H10" t="inlineStr">
        <is>
          <t>Recommended for housing, health, education, and competitive-context baselines.</t>
        </is>
      </c>
    </row>
    <row r="11">
      <c r="A11" t="inlineStr">
        <is>
          <t>wipo_statistics</t>
        </is>
      </c>
      <c r="B11" t="inlineStr">
        <is>
          <t>WIPO IP Statistics</t>
        </is>
      </c>
      <c r="C11" t="inlineStr">
        <is>
          <t>Tier 3</t>
        </is>
      </c>
      <c r="D11" t="inlineStr">
        <is>
          <t>international</t>
        </is>
      </c>
      <c r="E11" t="inlineStr">
        <is>
          <t>wipo.int</t>
        </is>
      </c>
      <c r="F11" t="inlineStr">
        <is>
          <t>false</t>
        </is>
      </c>
      <c r="G11" t="inlineStr">
        <is>
          <t>false</t>
        </is>
      </c>
      <c r="H11" t="inlineStr">
        <is>
          <t>Recommended for innovation and research intensity proxies.</t>
        </is>
      </c>
    </row>
    <row r="12">
      <c r="A12" t="inlineStr">
        <is>
          <t>openaq</t>
        </is>
      </c>
      <c r="B12" t="inlineStr">
        <is>
          <t>OpenAQ</t>
        </is>
      </c>
      <c r="C12" t="inlineStr">
        <is>
          <t>Tier 4</t>
        </is>
      </c>
      <c r="D12" t="inlineStr">
        <is>
          <t>secondary</t>
        </is>
      </c>
      <c r="E12" t="inlineStr">
        <is>
          <t>openaq.org</t>
        </is>
      </c>
      <c r="F12" t="inlineStr">
        <is>
          <t>false</t>
        </is>
      </c>
      <c r="G12" t="inlineStr">
        <is>
          <t>false</t>
        </is>
      </c>
      <c r="H12" t="inlineStr">
        <is>
          <t>Audited secondary layer for air-quality coverage when official city feeds are thin.</t>
        </is>
      </c>
    </row>
    <row r="13">
      <c r="A13" t="inlineStr">
        <is>
          <t>mlab</t>
        </is>
      </c>
      <c r="B13" t="inlineStr">
        <is>
          <t>Measurement Lab</t>
        </is>
      </c>
      <c r="C13" t="inlineStr">
        <is>
          <t>Tier 4</t>
        </is>
      </c>
      <c r="D13" t="inlineStr">
        <is>
          <t>secondary</t>
        </is>
      </c>
      <c r="E13" t="inlineStr">
        <is>
          <t>measurementlab.net</t>
        </is>
      </c>
      <c r="F13" t="inlineStr">
        <is>
          <t>false</t>
        </is>
      </c>
      <c r="G13" t="inlineStr">
        <is>
          <t>false</t>
        </is>
      </c>
      <c r="H13" t="inlineStr">
        <is>
          <t>Audited secondary layer for digital-performance context.</t>
        </is>
      </c>
    </row>
    <row r="14">
      <c r="A14" t="inlineStr">
        <is>
          <t>economist_world_in_numbers</t>
        </is>
      </c>
      <c r="B14" t="inlineStr">
        <is>
          <t>The World in Numbers | The Economist</t>
        </is>
      </c>
      <c r="C14" t="inlineStr">
        <is>
          <t>Tier 4</t>
        </is>
      </c>
      <c r="D14" t="inlineStr">
        <is>
          <t>secondary_editorial_reference</t>
        </is>
      </c>
      <c r="E14" t="inlineStr">
        <is>
          <t>economist.com</t>
        </is>
      </c>
      <c r="F14" t="inlineStr">
        <is>
          <t>false</t>
        </is>
      </c>
      <c r="G14" t="inlineStr">
        <is>
          <t>true</t>
        </is>
      </c>
      <c r="H14" t="inlineStr">
        <is>
          <t>Internal analyst reference only. Do not use this provider directly in publishable Country_Context or City_Inputs scoring rows.</t>
        </is>
      </c>
    </row>
    <row r="15">
      <c r="A15" t="inlineStr">
        <is>
          <t>istat</t>
        </is>
      </c>
      <c r="B15" t="inlineStr">
        <is>
          <t>ISTAT</t>
        </is>
      </c>
      <c r="C15" t="inlineStr">
        <is>
          <t>Tier 3</t>
        </is>
      </c>
      <c r="D15" t="inlineStr">
        <is>
          <t>national</t>
        </is>
      </c>
      <c r="E15" t="inlineStr">
        <is>
          <t>istat.it</t>
        </is>
      </c>
      <c r="F15" t="inlineStr">
        <is>
          <t>false</t>
        </is>
      </c>
      <c r="G15" t="inlineStr">
        <is>
          <t>false</t>
        </is>
      </c>
      <c r="H15" t="inlineStr">
        <is>
          <t>Official Italian national statistical institute. Use for labour, prices, safety, education, and subnational social indicators.</t>
        </is>
      </c>
    </row>
    <row r="16">
      <c r="A16" t="inlineStr">
        <is>
          <t>banca_d_italia</t>
        </is>
      </c>
      <c r="B16" t="inlineStr">
        <is>
          <t>Banca d'Italia</t>
        </is>
      </c>
      <c r="C16" t="inlineStr">
        <is>
          <t>Tier 3</t>
        </is>
      </c>
      <c r="D16" t="inlineStr">
        <is>
          <t>national</t>
        </is>
      </c>
      <c r="E16" t="inlineStr">
        <is>
          <t>bancaditalia.it</t>
        </is>
      </c>
      <c r="F16" t="inlineStr">
        <is>
          <t>false</t>
        </is>
      </c>
      <c r="G16" t="inlineStr">
        <is>
          <t>false</t>
        </is>
      </c>
      <c r="H16" t="inlineStr">
        <is>
          <t>Official Bank of Italy source for credit, household finance, and territorial banking indicators.</t>
        </is>
      </c>
    </row>
    <row r="17">
      <c r="A17" t="inlineStr">
        <is>
          <t>agenzia_entrate_omi</t>
        </is>
      </c>
      <c r="B17" t="inlineStr">
        <is>
          <t>Agenzia delle Entrate OMI</t>
        </is>
      </c>
      <c r="C17" t="inlineStr">
        <is>
          <t>Tier 3</t>
        </is>
      </c>
      <c r="D17" t="inlineStr">
        <is>
          <t>national</t>
        </is>
      </c>
      <c r="E17" t="inlineStr">
        <is>
          <t>agenziaentrate.gov.it</t>
        </is>
      </c>
      <c r="F17" t="inlineStr">
        <is>
          <t>false</t>
        </is>
      </c>
      <c r="G17" t="inlineStr">
        <is>
          <t>false</t>
        </is>
      </c>
      <c r="H17" t="inlineStr">
        <is>
          <t>Official Property Market Observatory for housing and rent reference values in Italian cities.</t>
        </is>
      </c>
    </row>
    <row r="18">
      <c r="A18" t="inlineStr">
        <is>
          <t>comune_milano_open_data</t>
        </is>
      </c>
      <c r="B18" t="inlineStr">
        <is>
          <t>Comune di Milano Open Data</t>
        </is>
      </c>
      <c r="C18" t="inlineStr">
        <is>
          <t>Tier 1</t>
        </is>
      </c>
      <c r="D18" t="inlineStr">
        <is>
          <t>city_or_metro</t>
        </is>
      </c>
      <c r="E18" t="inlineStr">
        <is>
          <t>dati.comune.milano.it</t>
        </is>
      </c>
      <c r="F18" t="inlineStr">
        <is>
          <t>false</t>
        </is>
      </c>
      <c r="G18" t="inlineStr">
        <is>
          <t>false</t>
        </is>
      </c>
      <c r="H18" t="inlineStr">
        <is>
          <t>Official Comune di Milano open-data portal for city statistics, mobility, services, business activity, and civic indicators.</t>
        </is>
      </c>
    </row>
    <row r="19">
      <c r="A19" t="inlineStr">
        <is>
          <t>atm_milano</t>
        </is>
      </c>
      <c r="B19" t="inlineStr">
        <is>
          <t>ATM Milano</t>
        </is>
      </c>
      <c r="C19" t="inlineStr">
        <is>
          <t>Tier 1</t>
        </is>
      </c>
      <c r="D19" t="inlineStr">
        <is>
          <t>city_or_metro</t>
        </is>
      </c>
      <c r="E19" t="inlineStr">
        <is>
          <t>atm.it</t>
        </is>
      </c>
      <c r="F19" t="inlineStr">
        <is>
          <t>false</t>
        </is>
      </c>
      <c r="G19" t="inlineStr">
        <is>
          <t>false</t>
        </is>
      </c>
      <c r="H19" t="inlineStr">
        <is>
          <t>Official Milan public-transport operator for fares, service coverage, and network information.</t>
        </is>
      </c>
    </row>
    <row r="20">
      <c r="A20" t="inlineStr">
        <is>
          <t>arpa_lombardia</t>
        </is>
      </c>
      <c r="B20" t="inlineStr">
        <is>
          <t>ARPA Lombardia</t>
        </is>
      </c>
      <c r="C20" t="inlineStr">
        <is>
          <t>Tier 2</t>
        </is>
      </c>
      <c r="D20" t="inlineStr">
        <is>
          <t>subnational</t>
        </is>
      </c>
      <c r="E20" t="inlineStr">
        <is>
          <t>arpalombardia.it</t>
        </is>
      </c>
      <c r="F20" t="inlineStr">
        <is>
          <t>false</t>
        </is>
      </c>
      <c r="G20" t="inlineStr">
        <is>
          <t>false</t>
        </is>
      </c>
      <c r="H20" t="inlineStr">
        <is>
          <t>Official Lombardy regional environmental protection agency for air quality and environmental monitoring.</t>
        </is>
      </c>
    </row>
    <row r="21">
      <c r="A21" t="inlineStr">
        <is>
          <t>mm_milano</t>
        </is>
      </c>
      <c r="B21" t="inlineStr">
        <is>
          <t>MM S.p.A.</t>
        </is>
      </c>
      <c r="C21" t="inlineStr">
        <is>
          <t>Tier 2</t>
        </is>
      </c>
      <c r="D21" t="inlineStr">
        <is>
          <t>utility_operator</t>
        </is>
      </c>
      <c r="E21" t="inlineStr">
        <is>
          <t>mmspa.eu</t>
        </is>
      </c>
      <c r="F21" t="inlineStr">
        <is>
          <t>false</t>
        </is>
      </c>
      <c r="G21" t="inlineStr">
        <is>
          <t>false</t>
        </is>
      </c>
      <c r="H21" t="inlineStr">
        <is>
          <t>Official Milan utility operator for water-service and network performance information.</t>
        </is>
      </c>
    </row>
    <row r="22">
      <c r="A22" t="inlineStr">
        <is>
          <t>comune_bologna</t>
        </is>
      </c>
      <c r="B22" t="inlineStr">
        <is>
          <t>Comune di Bologna</t>
        </is>
      </c>
      <c r="C22" t="inlineStr">
        <is>
          <t>Tier 1</t>
        </is>
      </c>
      <c r="D22" t="inlineStr">
        <is>
          <t>city_or_metro</t>
        </is>
      </c>
      <c r="E22" t="inlineStr">
        <is>
          <t>comune.bologna.it</t>
        </is>
      </c>
      <c r="F22" t="inlineStr">
        <is>
          <t>false</t>
        </is>
      </c>
      <c r="G22" t="inlineStr">
        <is>
          <t>false</t>
        </is>
      </c>
      <c r="H22" t="inlineStr">
        <is>
          <t>Official Comune di Bologna portal for city programmes, civic services, culture, and local statistics.</t>
        </is>
      </c>
    </row>
    <row r="23">
      <c r="A23" t="inlineStr">
        <is>
          <t>comune_bologna_open_data</t>
        </is>
      </c>
      <c r="B23" t="inlineStr">
        <is>
          <t>Comune di Bologna Open Data</t>
        </is>
      </c>
      <c r="C23" t="inlineStr">
        <is>
          <t>Tier 1</t>
        </is>
      </c>
      <c r="D23" t="inlineStr">
        <is>
          <t>city_or_metro</t>
        </is>
      </c>
      <c r="E23" t="inlineStr">
        <is>
          <t>opendata.comune.bologna.it</t>
        </is>
      </c>
      <c r="F23" t="inlineStr">
        <is>
          <t>false</t>
        </is>
      </c>
      <c r="G23" t="inlineStr">
        <is>
          <t>false</t>
        </is>
      </c>
      <c r="H23" t="inlineStr">
        <is>
          <t>Official Comune di Bologna open-data portal for mobility, demographics, business, neighbourhood, and service indicators.</t>
        </is>
      </c>
    </row>
    <row r="24">
      <c r="A24" t="inlineStr">
        <is>
          <t>tper_bologna</t>
        </is>
      </c>
      <c r="B24" t="inlineStr">
        <is>
          <t>TPER Bologna</t>
        </is>
      </c>
      <c r="C24" t="inlineStr">
        <is>
          <t>Tier 1</t>
        </is>
      </c>
      <c r="D24" t="inlineStr">
        <is>
          <t>city_or_metro</t>
        </is>
      </c>
      <c r="E24" t="inlineStr">
        <is>
          <t>tper.it</t>
        </is>
      </c>
      <c r="F24" t="inlineStr">
        <is>
          <t>false</t>
        </is>
      </c>
      <c r="G24" t="inlineStr">
        <is>
          <t>false</t>
        </is>
      </c>
      <c r="H24" t="inlineStr">
        <is>
          <t>Official Bologna-area transport operator for fares, service information, and local transit network details.</t>
        </is>
      </c>
    </row>
    <row r="25">
      <c r="A25" t="inlineStr">
        <is>
          <t>arpae_emilia_romagna</t>
        </is>
      </c>
      <c r="B25" t="inlineStr">
        <is>
          <t>ARPAE Emilia-Romagna</t>
        </is>
      </c>
      <c r="C25" t="inlineStr">
        <is>
          <t>Tier 2</t>
        </is>
      </c>
      <c r="D25" t="inlineStr">
        <is>
          <t>subnational</t>
        </is>
      </c>
      <c r="E25" t="inlineStr">
        <is>
          <t>arpae.it</t>
        </is>
      </c>
      <c r="F25" t="inlineStr">
        <is>
          <t>false</t>
        </is>
      </c>
      <c r="G25" t="inlineStr">
        <is>
          <t>false</t>
        </is>
      </c>
      <c r="H25" t="inlineStr">
        <is>
          <t>Official Emilia-Romagna environmental agency for air, water, and local environmental quality monitoring.</t>
        </is>
      </c>
    </row>
    <row r="26">
      <c r="A26" t="inlineStr">
        <is>
          <t>gruppo_hera</t>
        </is>
      </c>
      <c r="B26" t="inlineStr">
        <is>
          <t>Gruppo Hera</t>
        </is>
      </c>
      <c r="C26" t="inlineStr">
        <is>
          <t>Tier 2</t>
        </is>
      </c>
      <c r="D26" t="inlineStr">
        <is>
          <t>utility_operator</t>
        </is>
      </c>
      <c r="E26" t="inlineStr">
        <is>
          <t>gruppohera.it</t>
        </is>
      </c>
      <c r="F26" t="inlineStr">
        <is>
          <t>false</t>
        </is>
      </c>
      <c r="G26" t="inlineStr">
        <is>
          <t>false</t>
        </is>
      </c>
      <c r="H26" t="inlineStr">
        <is>
          <t>Primary regional utility operator for Bologna-area water, waste, and utility service data.</t>
        </is>
      </c>
    </row>
  </sheetData>
  <autoFilter ref="A1:H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29" customWidth="1" min="4" max="4"/>
    <col width="29" customWidth="1" min="5" max="5"/>
    <col width="40" customWidth="1" min="6" max="6"/>
    <col width="40" customWidth="1" min="7" max="7"/>
    <col width="40" customWidth="1" min="8" max="8"/>
  </cols>
  <sheetData>
    <row r="1">
      <c r="A1" s="19" t="inlineStr">
        <is>
          <t>field</t>
        </is>
      </c>
      <c r="B1" s="19" t="inlineStr">
        <is>
          <t>label</t>
        </is>
      </c>
      <c r="C1" s="19" t="inlineStr">
        <is>
          <t>pillar</t>
        </is>
      </c>
      <c r="D1" s="19" t="inlineStr">
        <is>
          <t>preferred_provider_id</t>
        </is>
      </c>
      <c r="E1" s="19" t="inlineStr">
        <is>
          <t>fallback_provider_id</t>
        </is>
      </c>
      <c r="F1" s="19" t="inlineStr">
        <is>
          <t>collection_hint</t>
        </is>
      </c>
      <c r="G1" s="19" t="inlineStr">
        <is>
          <t>minimum_evidence</t>
        </is>
      </c>
      <c r="H1" s="19" t="inlineStr">
        <is>
          <t>notes</t>
        </is>
      </c>
    </row>
    <row r="2">
      <c r="A2" t="inlineStr">
        <is>
          <t>gross_income</t>
        </is>
      </c>
      <c r="B2" t="inlineStr">
        <is>
          <t>Gross income</t>
        </is>
      </c>
      <c r="C2" t="inlineStr">
        <is>
          <t>pressure</t>
        </is>
      </c>
      <c r="D2" t="inlineStr">
        <is>
          <t>national_statistical_office</t>
        </is>
      </c>
      <c r="E2" t="inlineStr">
        <is>
          <t>city_official_portal</t>
        </is>
      </c>
      <c r="F2" t="inlineStr">
        <is>
          <t>Use disposable or median household income at city, metro, or closest urban functional-area level.</t>
        </is>
      </c>
      <c r="G2" t="inlineStr">
        <is>
          <t>Official city or metro income table with a clear reference year and local-currency definition.</t>
        </is>
      </c>
      <c r="H2" t="inlineStr">
        <is>
          <t>Avoid lifestyle blogs or commercial cost-of-living sites. National statistical microdata is acceptable if urban breakdowns are official.</t>
        </is>
      </c>
    </row>
    <row r="3">
      <c r="A3" t="inlineStr">
        <is>
          <t>rent</t>
        </is>
      </c>
      <c r="B3" t="inlineStr">
        <is>
          <t>Rent</t>
        </is>
      </c>
      <c r="C3" t="inlineStr">
        <is>
          <t>pressure</t>
        </is>
      </c>
      <c r="D3" t="inlineStr">
        <is>
          <t>city_official_portal</t>
        </is>
      </c>
      <c r="E3" t="inlineStr">
        <is>
          <t>national_statistical_office</t>
        </is>
      </c>
      <c r="F3" t="inlineStr">
        <is>
          <t>Use official advertised or observed urban rent benchmarks for a standard long-stay dwelling.</t>
        </is>
      </c>
      <c r="G3" t="inlineStr">
        <is>
          <t>Official city, metro, or national housing dataset with dwelling type or square-metre basis stated.</t>
        </is>
      </c>
      <c r="H3" t="inlineStr">
        <is>
          <t>If multiple dwelling sizes are available, document the chosen standard in notes before entering the number.</t>
        </is>
      </c>
    </row>
    <row r="4">
      <c r="A4" t="inlineStr">
        <is>
          <t>utilities</t>
        </is>
      </c>
      <c r="B4" t="inlineStr">
        <is>
          <t>Utilities</t>
        </is>
      </c>
      <c r="C4" t="inlineStr">
        <is>
          <t>pressure</t>
        </is>
      </c>
      <c r="D4" t="inlineStr">
        <is>
          <t>city_official_portal</t>
        </is>
      </c>
      <c r="E4" t="inlineStr">
        <is>
          <t>subnational_official_portal</t>
        </is>
      </c>
      <c r="F4" t="inlineStr">
        <is>
          <t>Use official household utility tariffs or annual service-cost tables covering electricity, water, or bundled utilities.</t>
        </is>
      </c>
      <c r="G4" t="inlineStr">
        <is>
          <t>Official tariff schedule or utility regulator table with billing unit stated.</t>
        </is>
      </c>
      <c r="H4" t="inlineStr">
        <is>
          <t>If utilities are split across agencies, note the blend used in City_Inputs.</t>
        </is>
      </c>
    </row>
    <row r="5">
      <c r="A5" t="inlineStr">
        <is>
          <t>transit_cost</t>
        </is>
      </c>
      <c r="B5" t="inlineStr">
        <is>
          <t>Transit cost</t>
        </is>
      </c>
      <c r="C5" t="inlineStr">
        <is>
          <t>pressure</t>
        </is>
      </c>
      <c r="D5" t="inlineStr">
        <is>
          <t>city_official_portal</t>
        </is>
      </c>
      <c r="E5" t="inlineStr">
        <is>
          <t>subnational_official_portal</t>
        </is>
      </c>
      <c r="F5" t="inlineStr">
        <is>
          <t>Use the official adult fare for the standard recurring urban pass or ticket chosen for the method.</t>
        </is>
      </c>
      <c r="G5" t="inlineStr">
        <is>
          <t>Official transport authority fare table with validity period stated.</t>
        </is>
      </c>
      <c r="H5" t="inlineStr">
        <is>
          <t>Do not use trip-planner screenshots or resale pages as the source of record.</t>
        </is>
      </c>
    </row>
    <row r="6">
      <c r="A6" t="inlineStr">
        <is>
          <t>internet_cost</t>
        </is>
      </c>
      <c r="B6" t="inlineStr">
        <is>
          <t>Internet cost</t>
        </is>
      </c>
      <c r="C6" t="inlineStr">
        <is>
          <t>pressure</t>
        </is>
      </c>
      <c r="D6" t="inlineStr">
        <is>
          <t>national_statistical_office</t>
        </is>
      </c>
      <c r="E6" t="inlineStr">
        <is>
          <t>subnational_official_portal</t>
        </is>
      </c>
      <c r="F6" t="inlineStr">
        <is>
          <t>Use official communications regulator or statistical releases for household broadband pricing or affordability.</t>
        </is>
      </c>
      <c r="G6" t="inlineStr">
        <is>
          <t>Official regulator or statistical publication with broadband package definition and date.</t>
        </is>
      </c>
      <c r="H6" t="inlineStr">
        <is>
          <t>Commercial ISP landing pages are a weak fallback and should be avoided when official regulator data exists.</t>
        </is>
      </c>
    </row>
    <row r="7">
      <c r="A7" t="inlineStr">
        <is>
          <t>food_cost</t>
        </is>
      </c>
      <c r="B7" t="inlineStr">
        <is>
          <t>Food cost</t>
        </is>
      </c>
      <c r="C7" t="inlineStr">
        <is>
          <t>pressure</t>
        </is>
      </c>
      <c r="D7" t="inlineStr">
        <is>
          <t>national_statistical_office</t>
        </is>
      </c>
      <c r="E7" t="inlineStr">
        <is>
          <t>city_official_portal</t>
        </is>
      </c>
      <c r="F7" t="inlineStr">
        <is>
          <t>Use official consumer-price baskets, municipal market surveys, or urban CPI components.</t>
        </is>
      </c>
      <c r="G7" t="inlineStr">
        <is>
          <t>Official basket or price index release with city or metro scope explained.</t>
        </is>
      </c>
      <c r="H7" t="inlineStr">
        <is>
          <t>Document whether the number is a direct basket cost or an indexed proxy.</t>
        </is>
      </c>
    </row>
    <row r="8">
      <c r="A8" t="inlineStr">
        <is>
          <t>housing_burden_raw</t>
        </is>
      </c>
      <c r="B8" t="inlineStr">
        <is>
          <t>Housing burden raw</t>
        </is>
      </c>
      <c r="C8" t="inlineStr">
        <is>
          <t>pressure</t>
        </is>
      </c>
      <c r="D8" t="inlineStr">
        <is>
          <t>city_official_portal</t>
        </is>
      </c>
      <c r="E8" t="inlineStr">
        <is>
          <t>national_statistical_office</t>
        </is>
      </c>
      <c r="F8" t="inlineStr">
        <is>
          <t>Use official housing-cost share or combine official rent and official income sources transparently.</t>
        </is>
      </c>
      <c r="G8" t="inlineStr">
        <is>
          <t>Official burden ratio or a clearly documented manual combination of official rent and income sources.</t>
        </is>
      </c>
      <c r="H8" t="inlineStr">
        <is>
          <t>If you compute the burden manually, cite both upstream sources in notes.</t>
        </is>
      </c>
    </row>
    <row r="9">
      <c r="A9" t="inlineStr">
        <is>
          <t>household_debt_burden_raw</t>
        </is>
      </c>
      <c r="B9" t="inlineStr">
        <is>
          <t>Household debt burden raw</t>
        </is>
      </c>
      <c r="C9" t="inlineStr">
        <is>
          <t>pressure</t>
        </is>
      </c>
      <c r="D9" t="inlineStr">
        <is>
          <t>national_statistical_office</t>
        </is>
      </c>
      <c r="E9" t="inlineStr">
        <is>
          <t>oecd_data</t>
        </is>
      </c>
      <c r="F9" t="inlineStr">
        <is>
          <t>Use official household debt, arrears, or credit-burden indicators at city, metro, or closest functional-area level.</t>
        </is>
      </c>
      <c r="G9" t="inlineStr">
        <is>
          <t>Official household finance or credit-statistics release with geography and year stated.</t>
        </is>
      </c>
      <c r="H9" t="inlineStr">
        <is>
          <t>If only regional or national figures exist, mark that explicitly in notes before reuse.</t>
        </is>
      </c>
    </row>
    <row r="10">
      <c r="A10" t="inlineStr">
        <is>
          <t>working_time_pressure_raw</t>
        </is>
      </c>
      <c r="B10" t="inlineStr">
        <is>
          <t>Working time pressure raw</t>
        </is>
      </c>
      <c r="C10" t="inlineStr">
        <is>
          <t>pressure</t>
        </is>
      </c>
      <c r="D10" t="inlineStr">
        <is>
          <t>ilo_ilostat</t>
        </is>
      </c>
      <c r="E10" t="inlineStr">
        <is>
          <t>national_statistical_office</t>
        </is>
      </c>
      <c r="F10" t="inlineStr">
        <is>
          <t>Use average weekly hours, excessive-hours share, or equivalent official work-time pressure indicator.</t>
        </is>
      </c>
      <c r="G10" t="inlineStr">
        <is>
          <t>Official labour-force or work-time release with geography, unit, and reference period stated.</t>
        </is>
      </c>
      <c r="H10" t="inlineStr">
        <is>
          <t>Prefer urban breakdowns; otherwise use the closest official metro or regional labour market release.</t>
        </is>
      </c>
    </row>
    <row r="11">
      <c r="A11" t="inlineStr">
        <is>
          <t>suicide_mental_strain_raw</t>
        </is>
      </c>
      <c r="B11" t="inlineStr">
        <is>
          <t>Suicide or mental strain raw</t>
        </is>
      </c>
      <c r="C11" t="inlineStr">
        <is>
          <t>pressure</t>
        </is>
      </c>
      <c r="D11" t="inlineStr">
        <is>
          <t>who_gho</t>
        </is>
      </c>
      <c r="E11" t="inlineStr">
        <is>
          <t>national_statistical_office</t>
        </is>
      </c>
      <c r="F11" t="inlineStr">
        <is>
          <t>Use official suicide mortality, severe mental-health strain, or comparable public-health burden figures.</t>
        </is>
      </c>
      <c r="G11" t="inlineStr">
        <is>
          <t>Official health release with numerator basis and geography stated.</t>
        </is>
      </c>
      <c r="H11" t="inlineStr">
        <is>
          <t>Do not use editorial rankings or perception surveys for this field.</t>
        </is>
      </c>
    </row>
    <row r="12">
      <c r="A12" t="inlineStr">
        <is>
          <t>personal_safety_raw</t>
        </is>
      </c>
      <c r="B12" t="inlineStr">
        <is>
          <t>Personal safety raw</t>
        </is>
      </c>
      <c r="C12" t="inlineStr">
        <is>
          <t>viability</t>
        </is>
      </c>
      <c r="D12" t="inlineStr">
        <is>
          <t>city_official_portal</t>
        </is>
      </c>
      <c r="E12" t="inlineStr">
        <is>
          <t>national_statistical_office</t>
        </is>
      </c>
      <c r="F12" t="inlineStr">
        <is>
          <t>Use official crime incidence, victimisation, or public-safety releases covering the city or metro area.</t>
        </is>
      </c>
      <c r="G12" t="inlineStr">
        <is>
          <t>Official police, justice, or municipal safety dataset with geography and rate definition stated.</t>
        </is>
      </c>
      <c r="H12" t="inlineStr">
        <is>
          <t>Prefer incidence rates over narrative safety claims.</t>
        </is>
      </c>
    </row>
    <row r="13">
      <c r="A13" t="inlineStr">
        <is>
          <t>transit_access_commute_raw</t>
        </is>
      </c>
      <c r="B13" t="inlineStr">
        <is>
          <t>Transit access and commute raw</t>
        </is>
      </c>
      <c r="C13" t="inlineStr">
        <is>
          <t>viability</t>
        </is>
      </c>
      <c r="D13" t="inlineStr">
        <is>
          <t>city_official_portal</t>
        </is>
      </c>
      <c r="E13" t="inlineStr">
        <is>
          <t>subnational_official_portal</t>
        </is>
      </c>
      <c r="F13" t="inlineStr">
        <is>
          <t>Use official commute-time, service-coverage, or accessibility indicators from transport or mobility agencies.</t>
        </is>
      </c>
      <c r="G13" t="inlineStr">
        <is>
          <t>Official transport or mobility release with geography and calculation method stated.</t>
        </is>
      </c>
      <c r="H13" t="inlineStr">
        <is>
          <t>Network size alone is not enough; prefer measures tied to access or travel time.</t>
        </is>
      </c>
    </row>
    <row r="14">
      <c r="A14" t="inlineStr">
        <is>
          <t>clean_air_raw</t>
        </is>
      </c>
      <c r="B14" t="inlineStr">
        <is>
          <t>Clean air raw</t>
        </is>
      </c>
      <c r="C14" t="inlineStr">
        <is>
          <t>viability</t>
        </is>
      </c>
      <c r="D14" t="inlineStr">
        <is>
          <t>subnational_official_portal</t>
        </is>
      </c>
      <c r="E14" t="inlineStr">
        <is>
          <t>openaq</t>
        </is>
      </c>
      <c r="F14" t="inlineStr">
        <is>
          <t>Use official PM2.5, NO2, or composite air-quality monitoring results tied to the city or metro area.</t>
        </is>
      </c>
      <c r="G14" t="inlineStr">
        <is>
          <t>Official monitoring data with station coverage and time period stated.</t>
        </is>
      </c>
      <c r="H14" t="inlineStr">
        <is>
          <t>OpenAQ can be an audited fallback, but official environmental monitoring remains preferred.</t>
        </is>
      </c>
    </row>
    <row r="15">
      <c r="A15" t="inlineStr">
        <is>
          <t>water_sanitation_utility_raw</t>
        </is>
      </c>
      <c r="B15" t="inlineStr">
        <is>
          <t>Water, sanitation, and utility raw</t>
        </is>
      </c>
      <c r="C15" t="inlineStr">
        <is>
          <t>viability</t>
        </is>
      </c>
      <c r="D15" t="inlineStr">
        <is>
          <t>city_official_portal</t>
        </is>
      </c>
      <c r="E15" t="inlineStr">
        <is>
          <t>who_unicef_jmp</t>
        </is>
      </c>
      <c r="F15" t="inlineStr">
        <is>
          <t>Use official service continuity, potable-water quality, wastewater coverage, or utility reliability indicators.</t>
        </is>
      </c>
      <c r="G15" t="inlineStr">
        <is>
          <t>Official utility or public-health service release with city or metro scope stated.</t>
        </is>
      </c>
      <c r="H15" t="inlineStr">
        <is>
          <t>If several utilities serve the metro, document the aggregation rule used.</t>
        </is>
      </c>
    </row>
    <row r="16">
      <c r="A16" t="inlineStr">
        <is>
          <t>digital_infrastructure_raw</t>
        </is>
      </c>
      <c r="B16" t="inlineStr">
        <is>
          <t>Digital infrastructure raw</t>
        </is>
      </c>
      <c r="C16" t="inlineStr">
        <is>
          <t>viability</t>
        </is>
      </c>
      <c r="D16" t="inlineStr">
        <is>
          <t>subnational_official_portal</t>
        </is>
      </c>
      <c r="E16" t="inlineStr">
        <is>
          <t>mlab</t>
        </is>
      </c>
      <c r="F16" t="inlineStr">
        <is>
          <t>Use official broadband availability, fixed-speed coverage, or digital-service quality indicators.</t>
        </is>
      </c>
      <c r="G16" t="inlineStr">
        <is>
          <t>Official telecom or digital-infrastructure release with geography and metric definition stated.</t>
        </is>
      </c>
      <c r="H16" t="inlineStr">
        <is>
          <t>Measurement Lab is acceptable as audited context, but official digital coverage is preferred.</t>
        </is>
      </c>
    </row>
    <row r="17">
      <c r="A17" t="inlineStr">
        <is>
          <t>healthcare_quality_raw</t>
        </is>
      </c>
      <c r="B17" t="inlineStr">
        <is>
          <t>Healthcare quality raw</t>
        </is>
      </c>
      <c r="C17" t="inlineStr">
        <is>
          <t>capability</t>
        </is>
      </c>
      <c r="D17" t="inlineStr">
        <is>
          <t>subnational_official_portal</t>
        </is>
      </c>
      <c r="E17" t="inlineStr">
        <is>
          <t>who_gho</t>
        </is>
      </c>
      <c r="F17" t="inlineStr">
        <is>
          <t>Use official healthcare access, capacity, outcomes, or service-quality indicators with city or metro relevance.</t>
        </is>
      </c>
      <c r="G17" t="inlineStr">
        <is>
          <t>Official health-system release with geography and measurement basis stated.</t>
        </is>
      </c>
      <c r="H17" t="inlineStr">
        <is>
          <t>Prefer local access or outcomes metrics over generic hospital counts.</t>
        </is>
      </c>
    </row>
    <row r="18">
      <c r="A18" t="inlineStr">
        <is>
          <t>education_quality_raw</t>
        </is>
      </c>
      <c r="B18" t="inlineStr">
        <is>
          <t>Education quality raw</t>
        </is>
      </c>
      <c r="C18" t="inlineStr">
        <is>
          <t>capability</t>
        </is>
      </c>
      <c r="D18" t="inlineStr">
        <is>
          <t>subnational_official_portal</t>
        </is>
      </c>
      <c r="E18" t="inlineStr">
        <is>
          <t>unesco_uis</t>
        </is>
      </c>
      <c r="F18" t="inlineStr">
        <is>
          <t>Use official school outcomes, completion, attainment, or tertiary-access indicators with local coverage.</t>
        </is>
      </c>
      <c r="G18" t="inlineStr">
        <is>
          <t>Official education release with geography and cohort definition stated.</t>
        </is>
      </c>
      <c r="H18" t="inlineStr">
        <is>
          <t>If only national figures exist, use them transparently and mark the loss of local granularity.</t>
        </is>
      </c>
    </row>
    <row r="19">
      <c r="A19" t="inlineStr">
        <is>
          <t>equal_opportunity_raw</t>
        </is>
      </c>
      <c r="B19" t="inlineStr">
        <is>
          <t>Equal opportunity raw</t>
        </is>
      </c>
      <c r="C19" t="inlineStr">
        <is>
          <t>capability</t>
        </is>
      </c>
      <c r="D19" t="inlineStr">
        <is>
          <t>national_statistical_office</t>
        </is>
      </c>
      <c r="E19" t="inlineStr">
        <is>
          <t>city_official_portal</t>
        </is>
      </c>
      <c r="F19" t="inlineStr">
        <is>
          <t>Use official inequality-of-access, social mobility, poverty, or inclusion indicators at city or metro scale.</t>
        </is>
      </c>
      <c r="G19" t="inlineStr">
        <is>
          <t>Official social or labour statistics release with geography and indicator definition stated.</t>
        </is>
      </c>
      <c r="H19" t="inlineStr">
        <is>
          <t>Do not duplicate the country Gini value here; use a local opportunity measure if available.</t>
        </is>
      </c>
    </row>
    <row r="20">
      <c r="A20" t="inlineStr">
        <is>
          <t>hospitality_belonging_raw</t>
        </is>
      </c>
      <c r="B20" t="inlineStr">
        <is>
          <t>Hospitality and belonging raw</t>
        </is>
      </c>
      <c r="C20" t="inlineStr">
        <is>
          <t>community</t>
        </is>
      </c>
      <c r="D20" t="inlineStr">
        <is>
          <t>city_official_portal</t>
        </is>
      </c>
      <c r="E20" t="inlineStr">
        <is>
          <t>subnational_official_portal</t>
        </is>
      </c>
      <c r="F20" t="inlineStr">
        <is>
          <t>Use official civic-participation, volunteerism, newcomer integration, or resident-satisfaction evidence.</t>
        </is>
      </c>
      <c r="G20" t="inlineStr">
        <is>
          <t>Official municipal or regional social-cohesion release with methodology stated.</t>
        </is>
      </c>
      <c r="H20" t="inlineStr">
        <is>
          <t>This field can rely on high-quality municipal surveys if the survey owner is official.</t>
        </is>
      </c>
    </row>
    <row r="21">
      <c r="A21" t="inlineStr">
        <is>
          <t>tolerance_pluralism_raw</t>
        </is>
      </c>
      <c r="B21" t="inlineStr">
        <is>
          <t>Tolerance and pluralism raw</t>
        </is>
      </c>
      <c r="C21" t="inlineStr">
        <is>
          <t>community</t>
        </is>
      </c>
      <c r="D21" t="inlineStr">
        <is>
          <t>national_statistical_office</t>
        </is>
      </c>
      <c r="E21" t="inlineStr">
        <is>
          <t>city_official_portal</t>
        </is>
      </c>
      <c r="F21" t="inlineStr">
        <is>
          <t>Use official diversity, anti-discrimination, inclusion, or rights-based indicators with urban relevance.</t>
        </is>
      </c>
      <c r="G21" t="inlineStr">
        <is>
          <t>Official demographic or inclusion release with geography and indicator basis stated.</t>
        </is>
      </c>
      <c r="H21" t="inlineStr">
        <is>
          <t>Prefer measured inclusion outcomes over branding statements or awards.</t>
        </is>
      </c>
    </row>
    <row r="22">
      <c r="A22" t="inlineStr">
        <is>
          <t>cultural_public_life_raw</t>
        </is>
      </c>
      <c r="B22" t="inlineStr">
        <is>
          <t>Cultural public life raw</t>
        </is>
      </c>
      <c r="C22" t="inlineStr">
        <is>
          <t>community</t>
        </is>
      </c>
      <c r="D22" t="inlineStr">
        <is>
          <t>city_official_portal</t>
        </is>
      </c>
      <c r="E22" t="inlineStr">
        <is>
          <t>subnational_official_portal</t>
        </is>
      </c>
      <c r="F22" t="inlineStr">
        <is>
          <t>Use official culture, library, museum, or events participation indicators tied to the city.</t>
        </is>
      </c>
      <c r="G22" t="inlineStr">
        <is>
          <t>Official municipal or regional culture release with attendance or availability measures stated.</t>
        </is>
      </c>
      <c r="H22" t="inlineStr">
        <is>
          <t>A structured city culture dataset is stronger than promotional tourism copy.</t>
        </is>
      </c>
    </row>
    <row r="23">
      <c r="A23" t="inlineStr">
        <is>
          <t>entrepreneurial_dynamism_raw</t>
        </is>
      </c>
      <c r="B23" t="inlineStr">
        <is>
          <t>Entrepreneurial dynamism raw</t>
        </is>
      </c>
      <c r="C23" t="inlineStr">
        <is>
          <t>creative</t>
        </is>
      </c>
      <c r="D23" t="inlineStr">
        <is>
          <t>city_official_portal</t>
        </is>
      </c>
      <c r="E23" t="inlineStr">
        <is>
          <t>national_statistical_office</t>
        </is>
      </c>
      <c r="F23" t="inlineStr">
        <is>
          <t>Use official business formation, enterprise density, startup registrations, or employer growth indicators.</t>
        </is>
      </c>
      <c r="G23" t="inlineStr">
        <is>
          <t>Official city, chamber, or national business-statistics release with urban geography stated.</t>
        </is>
      </c>
      <c r="H23" t="inlineStr">
        <is>
          <t>Prefer per-capita or rate-based indicators where possible.</t>
        </is>
      </c>
    </row>
    <row r="24">
      <c r="A24" t="inlineStr">
        <is>
          <t>innovation_research_intensity_raw</t>
        </is>
      </c>
      <c r="B24" t="inlineStr">
        <is>
          <t>Innovation and research raw</t>
        </is>
      </c>
      <c r="C24" t="inlineStr">
        <is>
          <t>creative</t>
        </is>
      </c>
      <c r="D24" t="inlineStr">
        <is>
          <t>city_official_portal</t>
        </is>
      </c>
      <c r="E24" t="inlineStr">
        <is>
          <t>wipo_statistics</t>
        </is>
      </c>
      <c r="F24" t="inlineStr">
        <is>
          <t>Use official patenting, R&amp;D, university research, or scientific-output indicators with local attribution.</t>
        </is>
      </c>
      <c r="G24" t="inlineStr">
        <is>
          <t>Official university, municipal, or national innovation release with geography and date stated.</t>
        </is>
      </c>
      <c r="H24" t="inlineStr">
        <is>
          <t>If you fall back to WIPO, explain how the local geography is inferred.</t>
        </is>
      </c>
    </row>
    <row r="25">
      <c r="A25" t="inlineStr">
        <is>
          <t>investment_signal_raw</t>
        </is>
      </c>
      <c r="B25" t="inlineStr">
        <is>
          <t>Investment signal raw</t>
        </is>
      </c>
      <c r="C25" t="inlineStr">
        <is>
          <t>creative</t>
        </is>
      </c>
      <c r="D25" t="inlineStr">
        <is>
          <t>city_official_portal</t>
        </is>
      </c>
      <c r="E25" t="inlineStr">
        <is>
          <t>oecd_data</t>
        </is>
      </c>
      <c r="F25" t="inlineStr">
        <is>
          <t>Use official investment project, capital expenditure, office absorption, or productive-enterprise growth indicators.</t>
        </is>
      </c>
      <c r="G25" t="inlineStr">
        <is>
          <t>Official economic development or statistical release with urban geography and year stated.</t>
        </is>
      </c>
      <c r="H25" t="inlineStr">
        <is>
          <t>Avoid PR roundups unless they are published by the city or official investment agency.</t>
        </is>
      </c>
    </row>
    <row r="26">
      <c r="A26" t="inlineStr">
        <is>
          <t>administrative_investment_friction_raw</t>
        </is>
      </c>
      <c r="B26" t="inlineStr">
        <is>
          <t>Administrative investment friction raw</t>
        </is>
      </c>
      <c r="C26" t="inlineStr">
        <is>
          <t>creative</t>
        </is>
      </c>
      <c r="D26" t="inlineStr">
        <is>
          <t>city_official_portal</t>
        </is>
      </c>
      <c r="E26" t="inlineStr">
        <is>
          <t>world_bank</t>
        </is>
      </c>
      <c r="F26" t="inlineStr">
        <is>
          <t>Use official permitting, licensing, or business-service turnaround metrics relevant to the city.</t>
        </is>
      </c>
      <c r="G26" t="inlineStr">
        <is>
          <t>Official service standard or regulatory performance release with a dated methodology.</t>
        </is>
      </c>
      <c r="H26" t="inlineStr">
        <is>
          <t>If only national ease-of-doing-business proxies exist, mark that clearly as a context fallback.</t>
        </is>
      </c>
    </row>
    <row r="27">
      <c r="A27" t="inlineStr">
        <is>
          <t>visitor_flow_context_raw</t>
        </is>
      </c>
      <c r="B27" t="inlineStr">
        <is>
          <t>Visitor flow context raw</t>
        </is>
      </c>
      <c r="C27" t="inlineStr">
        <is>
          <t>creative</t>
        </is>
      </c>
      <c r="D27" t="inlineStr">
        <is>
          <t>city_official_portal</t>
        </is>
      </c>
      <c r="E27" t="inlineStr">
        <is>
          <t>national_statistical_office</t>
        </is>
      </c>
      <c r="F27" t="inlineStr">
        <is>
          <t>Use official visitor arrivals, hotel nights, or tourism load indicators tied to the city.</t>
        </is>
      </c>
      <c r="G27" t="inlineStr">
        <is>
          <t>Official tourism or accommodation release with city or metro scope stated.</t>
        </is>
      </c>
      <c r="H27" t="inlineStr">
        <is>
          <t>This field is optional in the score, but it is useful context for sense-checking city dynamics.</t>
        </is>
      </c>
    </row>
  </sheetData>
  <autoFilter ref="A1:H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40" customWidth="1" min="4" max="4"/>
    <col width="40" customWidth="1" min="5" max="5"/>
    <col width="12" customWidth="1" min="6" max="6"/>
    <col width="26" customWidth="1" min="7" max="7"/>
    <col width="25" customWidth="1" min="8" max="8"/>
    <col width="40" customWidth="1" min="9" max="9"/>
    <col width="40" customWidth="1" min="10" max="10"/>
    <col width="20" customWidth="1" min="11" max="11"/>
    <col width="12" customWidth="1" min="12" max="12"/>
    <col width="40" customWidth="1" min="13" max="13"/>
  </cols>
  <sheetData>
    <row r="1">
      <c r="A1" s="19" t="inlineStr">
        <is>
          <t>city_id</t>
        </is>
      </c>
      <c r="B1" s="19" t="inlineStr">
        <is>
          <t>display_name</t>
        </is>
      </c>
      <c r="C1" s="19" t="inlineStr">
        <is>
          <t>country</t>
        </is>
      </c>
      <c r="D1" s="19" t="inlineStr">
        <is>
          <t>field</t>
        </is>
      </c>
      <c r="E1" s="19" t="inlineStr">
        <is>
          <t>label</t>
        </is>
      </c>
      <c r="F1" s="19" t="inlineStr">
        <is>
          <t>pillar</t>
        </is>
      </c>
      <c r="G1" s="19" t="inlineStr">
        <is>
          <t>suggested_provider_id</t>
        </is>
      </c>
      <c r="H1" s="19" t="inlineStr">
        <is>
          <t>backup_provider_id</t>
        </is>
      </c>
      <c r="I1" s="19" t="inlineStr">
        <is>
          <t>source_url</t>
        </is>
      </c>
      <c r="J1" s="19" t="inlineStr">
        <is>
          <t>source_title</t>
        </is>
      </c>
      <c r="K1" s="19" t="inlineStr">
        <is>
          <t>last_verified_date</t>
        </is>
      </c>
      <c r="L1" s="19" t="inlineStr">
        <is>
          <t>priority</t>
        </is>
      </c>
      <c r="M1" s="19" t="inlineStr">
        <is>
          <t>notes</t>
        </is>
      </c>
    </row>
    <row r="2">
      <c r="A2" t="inlineStr">
        <is>
          <t>it-milan</t>
        </is>
      </c>
      <c r="B2" t="inlineStr">
        <is>
          <t>Milan</t>
        </is>
      </c>
      <c r="C2" t="inlineStr">
        <is>
          <t>Italy</t>
        </is>
      </c>
      <c r="D2" t="inlineStr">
        <is>
          <t>food_cost</t>
        </is>
      </c>
      <c r="E2" t="inlineStr">
        <is>
          <t>Food cost</t>
        </is>
      </c>
      <c r="F2" t="inlineStr">
        <is>
          <t>pressure</t>
        </is>
      </c>
      <c r="G2" t="inlineStr">
        <is>
          <t>comune_milano_open_data</t>
        </is>
      </c>
      <c r="H2" t="inlineStr">
        <is>
          <t>istat</t>
        </is>
      </c>
      <c r="I2" t="inlineStr">
        <is>
          <t>https://dati.comune.milano.it/</t>
        </is>
      </c>
      <c r="J2" t="inlineStr">
        <is>
          <t>Comune di Milano Open Data</t>
        </is>
      </c>
      <c r="K2" t="inlineStr">
        <is>
          <t>2026-03-12</t>
        </is>
      </c>
      <c r="L2" t="inlineStr">
        <is>
          <t>high</t>
        </is>
      </c>
      <c r="M2" t="inlineStr">
        <is>
          <t>Start with the city open-data portal or statistical yearbook. If the exact indicator is missing, escalate to ISTAT local series before entering a proxy.</t>
        </is>
      </c>
    </row>
    <row r="3">
      <c r="A3" t="inlineStr">
        <is>
          <t>it-milan</t>
        </is>
      </c>
      <c r="B3" t="inlineStr">
        <is>
          <t>Milan</t>
        </is>
      </c>
      <c r="C3" t="inlineStr">
        <is>
          <t>Italy</t>
        </is>
      </c>
      <c r="D3" t="inlineStr">
        <is>
          <t>digital_infrastructure_raw</t>
        </is>
      </c>
      <c r="E3" t="inlineStr">
        <is>
          <t>Digital infrastructure raw</t>
        </is>
      </c>
      <c r="F3" t="inlineStr">
        <is>
          <t>viability</t>
        </is>
      </c>
      <c r="G3" t="inlineStr">
        <is>
          <t>comune_milano_open_data</t>
        </is>
      </c>
      <c r="H3" t="inlineStr">
        <is>
          <t>istat</t>
        </is>
      </c>
      <c r="I3" t="inlineStr">
        <is>
          <t>https://dati.comune.milano.it/</t>
        </is>
      </c>
      <c r="J3" t="inlineStr">
        <is>
          <t>Comune di Milano Open Data</t>
        </is>
      </c>
      <c r="K3" t="inlineStr">
        <is>
          <t>2026-03-12</t>
        </is>
      </c>
      <c r="L3" t="inlineStr">
        <is>
          <t>high</t>
        </is>
      </c>
      <c r="M3" t="inlineStr">
        <is>
          <t>Start with the city open-data portal or statistical yearbook. If the exact indicator is missing, escalate to ISTAT local series before entering a proxy.</t>
        </is>
      </c>
    </row>
    <row r="4">
      <c r="A4" t="inlineStr">
        <is>
          <t>it-milan</t>
        </is>
      </c>
      <c r="B4" t="inlineStr">
        <is>
          <t>Milan</t>
        </is>
      </c>
      <c r="C4" t="inlineStr">
        <is>
          <t>Italy</t>
        </is>
      </c>
      <c r="D4" t="inlineStr">
        <is>
          <t>education_quality_raw</t>
        </is>
      </c>
      <c r="E4" t="inlineStr">
        <is>
          <t>Education quality raw</t>
        </is>
      </c>
      <c r="F4" t="inlineStr">
        <is>
          <t>capability</t>
        </is>
      </c>
      <c r="G4" t="inlineStr">
        <is>
          <t>comune_milano_open_data</t>
        </is>
      </c>
      <c r="H4" t="inlineStr">
        <is>
          <t>istat</t>
        </is>
      </c>
      <c r="I4" t="inlineStr">
        <is>
          <t>https://dati.comune.milano.it/</t>
        </is>
      </c>
      <c r="J4" t="inlineStr">
        <is>
          <t>Comune di Milano Open Data</t>
        </is>
      </c>
      <c r="K4" t="inlineStr">
        <is>
          <t>2026-03-12</t>
        </is>
      </c>
      <c r="L4" t="inlineStr">
        <is>
          <t>high</t>
        </is>
      </c>
      <c r="M4" t="inlineStr">
        <is>
          <t>Start with the city open-data portal or statistical yearbook. If the exact indicator is missing, escalate to ISTAT local series before entering a proxy.</t>
        </is>
      </c>
    </row>
    <row r="5">
      <c r="A5" t="inlineStr">
        <is>
          <t>it-milan</t>
        </is>
      </c>
      <c r="B5" t="inlineStr">
        <is>
          <t>Milan</t>
        </is>
      </c>
      <c r="C5" t="inlineStr">
        <is>
          <t>Italy</t>
        </is>
      </c>
      <c r="D5" t="inlineStr">
        <is>
          <t>equal_opportunity_raw</t>
        </is>
      </c>
      <c r="E5" t="inlineStr">
        <is>
          <t>Equal opportunity raw</t>
        </is>
      </c>
      <c r="F5" t="inlineStr">
        <is>
          <t>capability</t>
        </is>
      </c>
      <c r="G5" t="inlineStr">
        <is>
          <t>comune_milano_open_data</t>
        </is>
      </c>
      <c r="H5" t="inlineStr">
        <is>
          <t>istat</t>
        </is>
      </c>
      <c r="I5" t="inlineStr">
        <is>
          <t>https://dati.comune.milano.it/</t>
        </is>
      </c>
      <c r="J5" t="inlineStr">
        <is>
          <t>Comune di Milano Open Data</t>
        </is>
      </c>
      <c r="K5" t="inlineStr">
        <is>
          <t>2026-03-12</t>
        </is>
      </c>
      <c r="L5" t="inlineStr">
        <is>
          <t>high</t>
        </is>
      </c>
      <c r="M5" t="inlineStr">
        <is>
          <t>Start with the city open-data portal or statistical yearbook. If the exact indicator is missing, escalate to ISTAT local series before entering a proxy.</t>
        </is>
      </c>
    </row>
    <row r="6">
      <c r="A6" t="inlineStr">
        <is>
          <t>it-milan</t>
        </is>
      </c>
      <c r="B6" t="inlineStr">
        <is>
          <t>Milan</t>
        </is>
      </c>
      <c r="C6" t="inlineStr">
        <is>
          <t>Italy</t>
        </is>
      </c>
      <c r="D6" t="inlineStr">
        <is>
          <t>hospitality_belonging_raw</t>
        </is>
      </c>
      <c r="E6" t="inlineStr">
        <is>
          <t>Hospitality and belonging raw</t>
        </is>
      </c>
      <c r="F6" t="inlineStr">
        <is>
          <t>community</t>
        </is>
      </c>
      <c r="G6" t="inlineStr">
        <is>
          <t>comune_milano_open_data</t>
        </is>
      </c>
      <c r="H6" t="inlineStr">
        <is>
          <t>istat</t>
        </is>
      </c>
      <c r="I6" t="inlineStr">
        <is>
          <t>https://dati.comune.milano.it/</t>
        </is>
      </c>
      <c r="J6" t="inlineStr">
        <is>
          <t>Comune di Milano Open Data</t>
        </is>
      </c>
      <c r="K6" t="inlineStr">
        <is>
          <t>2026-03-12</t>
        </is>
      </c>
      <c r="L6" t="inlineStr">
        <is>
          <t>high</t>
        </is>
      </c>
      <c r="M6" t="inlineStr">
        <is>
          <t>Start with the city open-data portal or statistical yearbook. If the exact indicator is missing, escalate to ISTAT local series before entering a proxy.</t>
        </is>
      </c>
    </row>
    <row r="7">
      <c r="A7" t="inlineStr">
        <is>
          <t>it-milan</t>
        </is>
      </c>
      <c r="B7" t="inlineStr">
        <is>
          <t>Milan</t>
        </is>
      </c>
      <c r="C7" t="inlineStr">
        <is>
          <t>Italy</t>
        </is>
      </c>
      <c r="D7" t="inlineStr">
        <is>
          <t>tolerance_pluralism_raw</t>
        </is>
      </c>
      <c r="E7" t="inlineStr">
        <is>
          <t>Tolerance and pluralism raw</t>
        </is>
      </c>
      <c r="F7" t="inlineStr">
        <is>
          <t>community</t>
        </is>
      </c>
      <c r="G7" t="inlineStr">
        <is>
          <t>comune_milano_open_data</t>
        </is>
      </c>
      <c r="H7" t="inlineStr">
        <is>
          <t>istat</t>
        </is>
      </c>
      <c r="I7" t="inlineStr">
        <is>
          <t>https://dati.comune.milano.it/</t>
        </is>
      </c>
      <c r="J7" t="inlineStr">
        <is>
          <t>Comune di Milano Open Data</t>
        </is>
      </c>
      <c r="K7" t="inlineStr">
        <is>
          <t>2026-03-12</t>
        </is>
      </c>
      <c r="L7" t="inlineStr">
        <is>
          <t>high</t>
        </is>
      </c>
      <c r="M7" t="inlineStr">
        <is>
          <t>Start with the city open-data portal or statistical yearbook. If the exact indicator is missing, escalate to ISTAT local series before entering a proxy.</t>
        </is>
      </c>
    </row>
    <row r="8">
      <c r="A8" t="inlineStr">
        <is>
          <t>it-milan</t>
        </is>
      </c>
      <c r="B8" t="inlineStr">
        <is>
          <t>Milan</t>
        </is>
      </c>
      <c r="C8" t="inlineStr">
        <is>
          <t>Italy</t>
        </is>
      </c>
      <c r="D8" t="inlineStr">
        <is>
          <t>cultural_public_life_raw</t>
        </is>
      </c>
      <c r="E8" t="inlineStr">
        <is>
          <t>Cultural public life raw</t>
        </is>
      </c>
      <c r="F8" t="inlineStr">
        <is>
          <t>community</t>
        </is>
      </c>
      <c r="G8" t="inlineStr">
        <is>
          <t>comune_milano_open_data</t>
        </is>
      </c>
      <c r="H8" t="inlineStr">
        <is>
          <t>istat</t>
        </is>
      </c>
      <c r="I8" t="inlineStr">
        <is>
          <t>https://dati.comune.milano.it/</t>
        </is>
      </c>
      <c r="J8" t="inlineStr">
        <is>
          <t>Comune di Milano Open Data</t>
        </is>
      </c>
      <c r="K8" t="inlineStr">
        <is>
          <t>2026-03-12</t>
        </is>
      </c>
      <c r="L8" t="inlineStr">
        <is>
          <t>high</t>
        </is>
      </c>
      <c r="M8" t="inlineStr">
        <is>
          <t>Start with the city open-data portal or statistical yearbook. If the exact indicator is missing, escalate to ISTAT local series before entering a proxy.</t>
        </is>
      </c>
    </row>
    <row r="9">
      <c r="A9" t="inlineStr">
        <is>
          <t>it-milan</t>
        </is>
      </c>
      <c r="B9" t="inlineStr">
        <is>
          <t>Milan</t>
        </is>
      </c>
      <c r="C9" t="inlineStr">
        <is>
          <t>Italy</t>
        </is>
      </c>
      <c r="D9" t="inlineStr">
        <is>
          <t>innovation_research_intensity_raw</t>
        </is>
      </c>
      <c r="E9" t="inlineStr">
        <is>
          <t>Innovation and research raw</t>
        </is>
      </c>
      <c r="F9" t="inlineStr">
        <is>
          <t>creative</t>
        </is>
      </c>
      <c r="G9" t="inlineStr">
        <is>
          <t>comune_milano_open_data</t>
        </is>
      </c>
      <c r="H9" t="inlineStr">
        <is>
          <t>istat</t>
        </is>
      </c>
      <c r="I9" t="inlineStr">
        <is>
          <t>https://dati.comune.milano.it/</t>
        </is>
      </c>
      <c r="J9" t="inlineStr">
        <is>
          <t>Comune di Milano Open Data</t>
        </is>
      </c>
      <c r="K9" t="inlineStr">
        <is>
          <t>2026-03-12</t>
        </is>
      </c>
      <c r="L9" t="inlineStr">
        <is>
          <t>high</t>
        </is>
      </c>
      <c r="M9" t="inlineStr">
        <is>
          <t>Start with the city open-data portal or statistical yearbook. If the exact indicator is missing, escalate to ISTAT local series before entering a proxy.</t>
        </is>
      </c>
    </row>
    <row r="10">
      <c r="A10" t="inlineStr">
        <is>
          <t>it-milan</t>
        </is>
      </c>
      <c r="B10" t="inlineStr">
        <is>
          <t>Milan</t>
        </is>
      </c>
      <c r="C10" t="inlineStr">
        <is>
          <t>Italy</t>
        </is>
      </c>
      <c r="D10" t="inlineStr">
        <is>
          <t>investment_signal_raw</t>
        </is>
      </c>
      <c r="E10" t="inlineStr">
        <is>
          <t>Investment signal raw</t>
        </is>
      </c>
      <c r="F10" t="inlineStr">
        <is>
          <t>creative</t>
        </is>
      </c>
      <c r="G10" t="inlineStr">
        <is>
          <t>comune_milano_open_data</t>
        </is>
      </c>
      <c r="H10" t="inlineStr">
        <is>
          <t>istat</t>
        </is>
      </c>
      <c r="I10" t="inlineStr">
        <is>
          <t>https://dati.comune.milano.it/</t>
        </is>
      </c>
      <c r="J10" t="inlineStr">
        <is>
          <t>Comune di Milano Open Data</t>
        </is>
      </c>
      <c r="K10" t="inlineStr">
        <is>
          <t>2026-03-12</t>
        </is>
      </c>
      <c r="L10" t="inlineStr">
        <is>
          <t>high</t>
        </is>
      </c>
      <c r="M10" t="inlineStr">
        <is>
          <t>Start with the city open-data portal or statistical yearbook. If the exact indicator is missing, escalate to ISTAT local series before entering a proxy.</t>
        </is>
      </c>
    </row>
    <row r="11">
      <c r="A11" t="inlineStr">
        <is>
          <t>it-milan</t>
        </is>
      </c>
      <c r="B11" t="inlineStr">
        <is>
          <t>Milan</t>
        </is>
      </c>
      <c r="C11" t="inlineStr">
        <is>
          <t>Italy</t>
        </is>
      </c>
      <c r="D11" t="inlineStr">
        <is>
          <t>administrative_investment_friction_raw</t>
        </is>
      </c>
      <c r="E11" t="inlineStr">
        <is>
          <t>Administrative investment friction raw</t>
        </is>
      </c>
      <c r="F11" t="inlineStr">
        <is>
          <t>creative</t>
        </is>
      </c>
      <c r="G11" t="inlineStr">
        <is>
          <t>comune_milano_open_data</t>
        </is>
      </c>
      <c r="H11" t="inlineStr">
        <is>
          <t>istat</t>
        </is>
      </c>
      <c r="I11" t="inlineStr">
        <is>
          <t>https://dati.comune.milano.it/</t>
        </is>
      </c>
      <c r="J11" t="inlineStr">
        <is>
          <t>Comune di Milano Open Data</t>
        </is>
      </c>
      <c r="K11" t="inlineStr">
        <is>
          <t>2026-03-12</t>
        </is>
      </c>
      <c r="L11" t="inlineStr">
        <is>
          <t>high</t>
        </is>
      </c>
      <c r="M11" t="inlineStr">
        <is>
          <t>Start with the city open-data portal or statistical yearbook. If the exact indicator is missing, escalate to ISTAT local series before entering a proxy.</t>
        </is>
      </c>
    </row>
    <row r="12">
      <c r="A12" t="inlineStr">
        <is>
          <t>it-milan</t>
        </is>
      </c>
      <c r="B12" t="inlineStr">
        <is>
          <t>Milan</t>
        </is>
      </c>
      <c r="C12" t="inlineStr">
        <is>
          <t>Italy</t>
        </is>
      </c>
      <c r="D12" t="inlineStr">
        <is>
          <t>gross_income</t>
        </is>
      </c>
      <c r="E12" t="inlineStr">
        <is>
          <t>Gross income</t>
        </is>
      </c>
      <c r="F12" t="inlineStr">
        <is>
          <t>pressure</t>
        </is>
      </c>
      <c r="G12" t="inlineStr">
        <is>
          <t>comune_milano_open_data</t>
        </is>
      </c>
      <c r="H12" t="inlineStr">
        <is>
          <t>istat</t>
        </is>
      </c>
      <c r="I12" t="inlineStr">
        <is>
          <t>https://dati.comune.milano.it/dataset/edfe847d-05f1-4d25-ba44-283d22b1ec73/resource/76b54f5a-24a6-4f7f-a3a9-a6152d8da601/download/redditi_e_principali_variabili_irpef_su_base_comunale_csv_2023.csv</t>
        </is>
      </c>
      <c r="J12" t="inlineStr">
        <is>
          <t>Comune di Milano Open Data | Redditi e variabili Irpef su base comunale: 2024 a.i. 2023</t>
        </is>
      </c>
      <c r="K12" t="inlineStr">
        <is>
          <t>2026-03-12</t>
        </is>
      </c>
      <c r="L12" t="inlineStr">
        <is>
          <t>high</t>
        </is>
      </c>
      <c r="M12" t="inlineStr">
        <is>
          <t>Use the official municipal IRPEF income table and compute the per-contributor city average transparently from the published bracket totals.</t>
        </is>
      </c>
    </row>
    <row r="13">
      <c r="A13" t="inlineStr">
        <is>
          <t>it-milan</t>
        </is>
      </c>
      <c r="B13" t="inlineStr">
        <is>
          <t>Milan</t>
        </is>
      </c>
      <c r="C13" t="inlineStr">
        <is>
          <t>Italy</t>
        </is>
      </c>
      <c r="D13" t="inlineStr">
        <is>
          <t>rent</t>
        </is>
      </c>
      <c r="E13" t="inlineStr">
        <is>
          <t>Rent</t>
        </is>
      </c>
      <c r="F13" t="inlineStr">
        <is>
          <t>pressure</t>
        </is>
      </c>
      <c r="G13" t="inlineStr">
        <is>
          <t>agenzia_entrate_omi</t>
        </is>
      </c>
      <c r="H13" t="inlineStr">
        <is>
          <t>comune_milano_open_data</t>
        </is>
      </c>
      <c r="I13" t="inlineStr">
        <is>
          <t>https://www.agenziaentrate.gov.it/portale/web/english/nsi/omi</t>
        </is>
      </c>
      <c r="J13" t="inlineStr">
        <is>
          <t>Agenzia delle Entrate | OMI</t>
        </is>
      </c>
      <c r="K13" t="inlineStr">
        <is>
          <t>2026-03-12</t>
        </is>
      </c>
      <c r="L13" t="inlineStr">
        <is>
          <t>high</t>
        </is>
      </c>
      <c r="M13" t="inlineStr">
        <is>
          <t>Use official housing-market observatory tables for Milan. Pair with official income data if you need to compute the housing burden manually.</t>
        </is>
      </c>
    </row>
    <row r="14">
      <c r="A14" t="inlineStr">
        <is>
          <t>it-milan</t>
        </is>
      </c>
      <c r="B14" t="inlineStr">
        <is>
          <t>Milan</t>
        </is>
      </c>
      <c r="C14" t="inlineStr">
        <is>
          <t>Italy</t>
        </is>
      </c>
      <c r="D14" t="inlineStr">
        <is>
          <t>housing_burden_raw</t>
        </is>
      </c>
      <c r="E14" t="inlineStr">
        <is>
          <t>Housing burden raw</t>
        </is>
      </c>
      <c r="F14" t="inlineStr">
        <is>
          <t>pressure</t>
        </is>
      </c>
      <c r="G14" t="inlineStr">
        <is>
          <t>agenzia_entrate_omi</t>
        </is>
      </c>
      <c r="H14" t="inlineStr">
        <is>
          <t>comune_milano_open_data</t>
        </is>
      </c>
      <c r="I14" t="inlineStr">
        <is>
          <t>https://www.agenziaentrate.gov.it/portale/web/english/nsi/omi</t>
        </is>
      </c>
      <c r="J14" t="inlineStr">
        <is>
          <t>Agenzia delle Entrate | OMI</t>
        </is>
      </c>
      <c r="K14" t="inlineStr">
        <is>
          <t>2026-03-12</t>
        </is>
      </c>
      <c r="L14" t="inlineStr">
        <is>
          <t>high</t>
        </is>
      </c>
      <c r="M14" t="inlineStr">
        <is>
          <t>Use official housing-market observatory tables for Milan. Pair with official income data if you need to compute the housing burden manually.</t>
        </is>
      </c>
    </row>
    <row r="15">
      <c r="A15" t="inlineStr">
        <is>
          <t>it-milan</t>
        </is>
      </c>
      <c r="B15" t="inlineStr">
        <is>
          <t>Milan</t>
        </is>
      </c>
      <c r="C15" t="inlineStr">
        <is>
          <t>Italy</t>
        </is>
      </c>
      <c r="D15" t="inlineStr">
        <is>
          <t>utilities</t>
        </is>
      </c>
      <c r="E15" t="inlineStr">
        <is>
          <t>Utilities</t>
        </is>
      </c>
      <c r="F15" t="inlineStr">
        <is>
          <t>pressure</t>
        </is>
      </c>
      <c r="G15" t="inlineStr">
        <is>
          <t>mm_milano</t>
        </is>
      </c>
      <c r="H15" t="inlineStr">
        <is>
          <t>comune_milano_open_data</t>
        </is>
      </c>
      <c r="I15" t="inlineStr">
        <is>
          <t>https://www.mmspa.eu/en/</t>
        </is>
      </c>
      <c r="J15" t="inlineStr">
        <is>
          <t>MM S.p.A.</t>
        </is>
      </c>
      <c r="K15" t="inlineStr">
        <is>
          <t>2026-03-12</t>
        </is>
      </c>
      <c r="L15" t="inlineStr">
        <is>
          <t>medium</t>
        </is>
      </c>
      <c r="M15" t="inlineStr">
        <is>
          <t>Use official utility tariffs or service-reliability material published by Milan's water and network operator.</t>
        </is>
      </c>
    </row>
    <row r="16">
      <c r="A16" t="inlineStr">
        <is>
          <t>it-milan</t>
        </is>
      </c>
      <c r="B16" t="inlineStr">
        <is>
          <t>Milan</t>
        </is>
      </c>
      <c r="C16" t="inlineStr">
        <is>
          <t>Italy</t>
        </is>
      </c>
      <c r="D16" t="inlineStr">
        <is>
          <t>water_sanitation_utility_raw</t>
        </is>
      </c>
      <c r="E16" t="inlineStr">
        <is>
          <t>Water, sanitation, and utility raw</t>
        </is>
      </c>
      <c r="F16" t="inlineStr">
        <is>
          <t>viability</t>
        </is>
      </c>
      <c r="G16" t="inlineStr">
        <is>
          <t>mm_milano</t>
        </is>
      </c>
      <c r="H16" t="inlineStr">
        <is>
          <t>comune_milano_open_data</t>
        </is>
      </c>
      <c r="I16" t="inlineStr">
        <is>
          <t>https://www.mmspa.eu/en/</t>
        </is>
      </c>
      <c r="J16" t="inlineStr">
        <is>
          <t>MM S.p.A.</t>
        </is>
      </c>
      <c r="K16" t="inlineStr">
        <is>
          <t>2026-03-12</t>
        </is>
      </c>
      <c r="L16" t="inlineStr">
        <is>
          <t>medium</t>
        </is>
      </c>
      <c r="M16" t="inlineStr">
        <is>
          <t>Use official utility tariffs or service-reliability material published by Milan's water and network operator.</t>
        </is>
      </c>
    </row>
    <row r="17">
      <c r="A17" t="inlineStr">
        <is>
          <t>it-milan</t>
        </is>
      </c>
      <c r="B17" t="inlineStr">
        <is>
          <t>Milan</t>
        </is>
      </c>
      <c r="C17" t="inlineStr">
        <is>
          <t>Italy</t>
        </is>
      </c>
      <c r="D17" t="inlineStr">
        <is>
          <t>transit_cost</t>
        </is>
      </c>
      <c r="E17" t="inlineStr">
        <is>
          <t>Transit cost</t>
        </is>
      </c>
      <c r="F17" t="inlineStr">
        <is>
          <t>pressure</t>
        </is>
      </c>
      <c r="G17" t="inlineStr">
        <is>
          <t>atm_milano</t>
        </is>
      </c>
      <c r="H17" t="inlineStr">
        <is>
          <t>comune_milano_open_data</t>
        </is>
      </c>
      <c r="I17" t="inlineStr">
        <is>
          <t>https://www.atm.it/en/ViaggiaConNoi/Abbonamenti/Pages/Tipologie.aspx</t>
        </is>
      </c>
      <c r="J17" t="inlineStr">
        <is>
          <t>ATM Milano | Travel pass subscriptions</t>
        </is>
      </c>
      <c r="K17" t="inlineStr">
        <is>
          <t>2026-03-12</t>
        </is>
      </c>
      <c r="L17" t="inlineStr">
        <is>
          <t>high</t>
        </is>
      </c>
      <c r="M17" t="inlineStr">
        <is>
          <t>Use the standard adult annual urban pass and record the annualized fare basis in City_Inputs.</t>
        </is>
      </c>
    </row>
    <row r="18">
      <c r="A18" t="inlineStr">
        <is>
          <t>it-milan</t>
        </is>
      </c>
      <c r="B18" t="inlineStr">
        <is>
          <t>Milan</t>
        </is>
      </c>
      <c r="C18" t="inlineStr">
        <is>
          <t>Italy</t>
        </is>
      </c>
      <c r="D18" t="inlineStr">
        <is>
          <t>transit_access_commute_raw</t>
        </is>
      </c>
      <c r="E18" t="inlineStr">
        <is>
          <t>Transit access and commute raw</t>
        </is>
      </c>
      <c r="F18" t="inlineStr">
        <is>
          <t>viability</t>
        </is>
      </c>
      <c r="G18" t="inlineStr">
        <is>
          <t>comune_milano_open_data</t>
        </is>
      </c>
      <c r="H18" t="inlineStr">
        <is>
          <t>atm_milano</t>
        </is>
      </c>
      <c r="I18" t="inlineStr">
        <is>
          <t>https://dati.comune.milano.it/dataset/0ac0f655-1858-410a-9873-70fd057ef65d/resource/39d6ef17-8882-49b6-b2de-dd4a8486d923/download/ds393_popolazione_pendolari_movimenti_interni_mezzo_tempo_orario_uscita_genere__2011c.csv</t>
        </is>
      </c>
      <c r="J18" t="inlineStr">
        <is>
          <t>Comune di Milano Open Data | Censimento 2011: movimenti pendolari interni per mezzo, tempo impiegato, orario di uscita e genere</t>
        </is>
      </c>
      <c r="K18" t="inlineStr">
        <is>
          <t>2026-03-12</t>
        </is>
      </c>
      <c r="L18" t="inlineStr">
        <is>
          <t>high</t>
        </is>
      </c>
      <c r="M18" t="inlineStr">
        <is>
          <t>Use the official commuting-time distribution and derive the share of internal commuters with travel times of 30 minutes or less.</t>
        </is>
      </c>
    </row>
    <row r="19">
      <c r="A19" t="inlineStr">
        <is>
          <t>it-milan</t>
        </is>
      </c>
      <c r="B19" t="inlineStr">
        <is>
          <t>Milan</t>
        </is>
      </c>
      <c r="C19" t="inlineStr">
        <is>
          <t>Italy</t>
        </is>
      </c>
      <c r="D19" t="inlineStr">
        <is>
          <t>clean_air_raw</t>
        </is>
      </c>
      <c r="E19" t="inlineStr">
        <is>
          <t>Clean air raw</t>
        </is>
      </c>
      <c r="F19" t="inlineStr">
        <is>
          <t>viability</t>
        </is>
      </c>
      <c r="G19" t="inlineStr">
        <is>
          <t>arpa_lombardia</t>
        </is>
      </c>
      <c r="H19" t="inlineStr">
        <is>
          <t>openaq</t>
        </is>
      </c>
      <c r="I19" t="inlineStr">
        <is>
          <t>https://www.arpalombardia.it/agenda/notizie/2026/qualita-dell-aria-prosegue-il-miglioramento-anche-nell-anno-2025/</t>
        </is>
      </c>
      <c r="J19" t="inlineStr">
        <is>
          <t>ARPA Lombardia | Qualita dell'aria, prosegue il miglioramento anche nell'anno 2025</t>
        </is>
      </c>
      <c r="K19" t="inlineStr">
        <is>
          <t>2026-03-12</t>
        </is>
      </c>
      <c r="L19" t="inlineStr">
        <is>
          <t>high</t>
        </is>
      </c>
      <c r="M19" t="inlineStr">
        <is>
          <t>Use the official ARPA Lombardia annual monitoring summary, preferably the city PM2.5 average published for Milan.</t>
        </is>
      </c>
    </row>
    <row r="20">
      <c r="A20" t="inlineStr">
        <is>
          <t>it-milan</t>
        </is>
      </c>
      <c r="B20" t="inlineStr">
        <is>
          <t>Milan</t>
        </is>
      </c>
      <c r="C20" t="inlineStr">
        <is>
          <t>Italy</t>
        </is>
      </c>
      <c r="D20" t="inlineStr">
        <is>
          <t>personal_safety_raw</t>
        </is>
      </c>
      <c r="E20" t="inlineStr">
        <is>
          <t>Personal safety raw</t>
        </is>
      </c>
      <c r="F20" t="inlineStr">
        <is>
          <t>viability</t>
        </is>
      </c>
      <c r="G20" t="inlineStr">
        <is>
          <t>comune_milano_open_data</t>
        </is>
      </c>
      <c r="H20" t="inlineStr">
        <is>
          <t>istat</t>
        </is>
      </c>
      <c r="I20" t="inlineStr">
        <is>
          <t>https://dati.comune.milano.it/dataset/34e2d2af-5c3b-4768-918b-ab7e5c0d15da/resource/8b03b9f2-f2d7-4408-b439-bc6efc093cff/download/ds564_reati_denunciati_2004_2023.csv</t>
        </is>
      </c>
      <c r="J20" t="inlineStr">
        <is>
          <t>Comune di Milano Open Data | Reati denunciati all'autorita giudiziaria (2004-2023)</t>
        </is>
      </c>
      <c r="K20" t="inlineStr">
        <is>
          <t>2026-03-12</t>
        </is>
      </c>
      <c r="L20" t="inlineStr">
        <is>
          <t>high</t>
        </is>
      </c>
      <c r="M20" t="inlineStr">
        <is>
          <t>Use the official crime series and convert it into a per-1,000-resident burden using the latest official resident count.</t>
        </is>
      </c>
    </row>
    <row r="21">
      <c r="A21" t="inlineStr">
        <is>
          <t>it-milan</t>
        </is>
      </c>
      <c r="B21" t="inlineStr">
        <is>
          <t>Milan</t>
        </is>
      </c>
      <c r="C21" t="inlineStr">
        <is>
          <t>Italy</t>
        </is>
      </c>
      <c r="D21" t="inlineStr">
        <is>
          <t>healthcare_quality_raw</t>
        </is>
      </c>
      <c r="E21" t="inlineStr">
        <is>
          <t>Healthcare quality raw</t>
        </is>
      </c>
      <c r="F21" t="inlineStr">
        <is>
          <t>capability</t>
        </is>
      </c>
      <c r="G21" t="inlineStr">
        <is>
          <t>comune_milano_open_data</t>
        </is>
      </c>
      <c r="H21" t="inlineStr">
        <is>
          <t>istat</t>
        </is>
      </c>
      <c r="I21" t="inlineStr">
        <is>
          <t>https://dati.comune.milano.it/dataset/71477d58-03a6-468b-81de-b168a264c82c/resource/7632c319-4a2a-4ab5-a39d-74d6ecc7323d/download/ds683_posti_letto_strutture_milano_010925_.csv</t>
        </is>
      </c>
      <c r="J21" t="inlineStr">
        <is>
          <t>Comune di Milano Open Data | Sanita: posti letto delle strutture ospedaliere e case di cura</t>
        </is>
      </c>
      <c r="K21" t="inlineStr">
        <is>
          <t>2026-03-12</t>
        </is>
      </c>
      <c r="L21" t="inlineStr">
        <is>
          <t>high</t>
        </is>
      </c>
      <c r="M21" t="inlineStr">
        <is>
          <t>Use the official bed-capacity series and express it as beds per 1,000 residents using the official population denominator.</t>
        </is>
      </c>
    </row>
    <row r="22">
      <c r="A22" t="inlineStr">
        <is>
          <t>it-milan</t>
        </is>
      </c>
      <c r="B22" t="inlineStr">
        <is>
          <t>Milan</t>
        </is>
      </c>
      <c r="C22" t="inlineStr">
        <is>
          <t>Italy</t>
        </is>
      </c>
      <c r="D22" t="inlineStr">
        <is>
          <t>entrepreneurial_dynamism_raw</t>
        </is>
      </c>
      <c r="E22" t="inlineStr">
        <is>
          <t>Entrepreneurial dynamism raw</t>
        </is>
      </c>
      <c r="F22" t="inlineStr">
        <is>
          <t>creative</t>
        </is>
      </c>
      <c r="G22" t="inlineStr">
        <is>
          <t>comune_milano_open_data</t>
        </is>
      </c>
      <c r="H22" t="inlineStr">
        <is>
          <t>istat</t>
        </is>
      </c>
      <c r="I22" t="inlineStr">
        <is>
          <t>https://dati.comune.milano.it/dataset/8d8a4d19-0004-48a8-9425-e892deffde10/resource/68ebcbed-a736-4f0a-b654-17232b18deb0/download/ds691_imprese.csv</t>
        </is>
      </c>
      <c r="J22" t="inlineStr">
        <is>
          <t>Comune di Milano Open Data | Imprese attive divise per settore merceologico e anno</t>
        </is>
      </c>
      <c r="K22" t="inlineStr">
        <is>
          <t>2026-03-12</t>
        </is>
      </c>
      <c r="L22" t="inlineStr">
        <is>
          <t>high</t>
        </is>
      </c>
      <c r="M22" t="inlineStr">
        <is>
          <t>Use the official business stock series and convert it into active enterprises per 1,000 residents.</t>
        </is>
      </c>
    </row>
    <row r="23">
      <c r="A23" t="inlineStr">
        <is>
          <t>it-milan</t>
        </is>
      </c>
      <c r="B23" t="inlineStr">
        <is>
          <t>Milan</t>
        </is>
      </c>
      <c r="C23" t="inlineStr">
        <is>
          <t>Italy</t>
        </is>
      </c>
      <c r="D23" t="inlineStr">
        <is>
          <t>visitor_flow_context_raw</t>
        </is>
      </c>
      <c r="E23" t="inlineStr">
        <is>
          <t>Visitor flow context raw</t>
        </is>
      </c>
      <c r="F23" t="inlineStr">
        <is>
          <t>creative</t>
        </is>
      </c>
      <c r="G23" t="inlineStr">
        <is>
          <t>comune_milano_open_data</t>
        </is>
      </c>
      <c r="H23" t="inlineStr">
        <is>
          <t>istat</t>
        </is>
      </c>
      <c r="I23" t="inlineStr">
        <is>
          <t>https://dati.comune.milano.it/dataset/645e64c2-0a51-4823-8a40-633cc162b4af/resource/89f7c6c4-fd98-4e5e-8e9a-041b92bac9d8/download/ds215_presenze_mensili-1.csv</t>
        </is>
      </c>
      <c r="J23" t="inlineStr">
        <is>
          <t>Comune di Milano Open Data | Presenze mensili</t>
        </is>
      </c>
      <c r="K23" t="inlineStr">
        <is>
          <t>2026-03-12</t>
        </is>
      </c>
      <c r="L23" t="inlineStr">
        <is>
          <t>high</t>
        </is>
      </c>
      <c r="M23" t="inlineStr">
        <is>
          <t>Use the official monthly tourism-presence series and sum the full year for annual city visitor context.</t>
        </is>
      </c>
    </row>
    <row r="24">
      <c r="A24" t="inlineStr">
        <is>
          <t>it-milan</t>
        </is>
      </c>
      <c r="B24" t="inlineStr">
        <is>
          <t>Milan</t>
        </is>
      </c>
      <c r="C24" t="inlineStr">
        <is>
          <t>Italy</t>
        </is>
      </c>
      <c r="D24" t="inlineStr">
        <is>
          <t>internet_cost</t>
        </is>
      </c>
      <c r="E24" t="inlineStr">
        <is>
          <t>Internet cost</t>
        </is>
      </c>
      <c r="F24" t="inlineStr">
        <is>
          <t>pressure</t>
        </is>
      </c>
      <c r="G24" t="inlineStr">
        <is>
          <t>istat</t>
        </is>
      </c>
      <c r="H24" t="inlineStr">
        <is>
          <t>comune_milano_open_data</t>
        </is>
      </c>
      <c r="I24" t="inlineStr">
        <is>
          <t>https://www.istat.it/en/</t>
        </is>
      </c>
      <c r="J24" t="inlineStr">
        <is>
          <t>ISTAT</t>
        </is>
      </c>
      <c r="K24" t="inlineStr">
        <is>
          <t>2026-03-12</t>
        </is>
      </c>
      <c r="L24" t="inlineStr">
        <is>
          <t>medium</t>
        </is>
      </c>
      <c r="M24" t="inlineStr">
        <is>
          <t>Use official Italian statistical releases with local or metro breakdowns where available.</t>
        </is>
      </c>
    </row>
    <row r="25">
      <c r="A25" t="inlineStr">
        <is>
          <t>it-milan</t>
        </is>
      </c>
      <c r="B25" t="inlineStr">
        <is>
          <t>Milan</t>
        </is>
      </c>
      <c r="C25" t="inlineStr">
        <is>
          <t>Italy</t>
        </is>
      </c>
      <c r="D25" t="inlineStr">
        <is>
          <t>working_time_pressure_raw</t>
        </is>
      </c>
      <c r="E25" t="inlineStr">
        <is>
          <t>Working time pressure raw</t>
        </is>
      </c>
      <c r="F25" t="inlineStr">
        <is>
          <t>pressure</t>
        </is>
      </c>
      <c r="G25" t="inlineStr">
        <is>
          <t>istat</t>
        </is>
      </c>
      <c r="H25" t="inlineStr">
        <is>
          <t>comune_milano_open_data</t>
        </is>
      </c>
      <c r="I25" t="inlineStr">
        <is>
          <t>https://www.istat.it/en/</t>
        </is>
      </c>
      <c r="J25" t="inlineStr">
        <is>
          <t>ISTAT</t>
        </is>
      </c>
      <c r="K25" t="inlineStr">
        <is>
          <t>2026-03-12</t>
        </is>
      </c>
      <c r="L25" t="inlineStr">
        <is>
          <t>medium</t>
        </is>
      </c>
      <c r="M25" t="inlineStr">
        <is>
          <t>Use official Italian statistical releases with local or metro breakdowns where available.</t>
        </is>
      </c>
    </row>
    <row r="26">
      <c r="A26" t="inlineStr">
        <is>
          <t>it-milan</t>
        </is>
      </c>
      <c r="B26" t="inlineStr">
        <is>
          <t>Milan</t>
        </is>
      </c>
      <c r="C26" t="inlineStr">
        <is>
          <t>Italy</t>
        </is>
      </c>
      <c r="D26" t="inlineStr">
        <is>
          <t>suicide_mental_strain_raw</t>
        </is>
      </c>
      <c r="E26" t="inlineStr">
        <is>
          <t>Suicide or mental strain raw</t>
        </is>
      </c>
      <c r="F26" t="inlineStr">
        <is>
          <t>pressure</t>
        </is>
      </c>
      <c r="G26" t="inlineStr">
        <is>
          <t>istat</t>
        </is>
      </c>
      <c r="H26" t="inlineStr">
        <is>
          <t>comune_milano_open_data</t>
        </is>
      </c>
      <c r="I26" t="inlineStr">
        <is>
          <t>https://www.istat.it/en/</t>
        </is>
      </c>
      <c r="J26" t="inlineStr">
        <is>
          <t>ISTAT</t>
        </is>
      </c>
      <c r="K26" t="inlineStr">
        <is>
          <t>2026-03-12</t>
        </is>
      </c>
      <c r="L26" t="inlineStr">
        <is>
          <t>medium</t>
        </is>
      </c>
      <c r="M26" t="inlineStr">
        <is>
          <t>Use official Italian statistical releases with local or metro breakdowns where available.</t>
        </is>
      </c>
    </row>
    <row r="27">
      <c r="A27" t="inlineStr">
        <is>
          <t>it-milan</t>
        </is>
      </c>
      <c r="B27" t="inlineStr">
        <is>
          <t>Milan</t>
        </is>
      </c>
      <c r="C27" t="inlineStr">
        <is>
          <t>Italy</t>
        </is>
      </c>
      <c r="D27" t="inlineStr">
        <is>
          <t>household_debt_burden_raw</t>
        </is>
      </c>
      <c r="E27" t="inlineStr">
        <is>
          <t>Household debt burden raw</t>
        </is>
      </c>
      <c r="F27" t="inlineStr">
        <is>
          <t>pressure</t>
        </is>
      </c>
      <c r="G27" t="inlineStr">
        <is>
          <t>banca_d_italia</t>
        </is>
      </c>
      <c r="H27" t="inlineStr">
        <is>
          <t>istat</t>
        </is>
      </c>
      <c r="I27" t="inlineStr">
        <is>
          <t>https://www.bancaditalia.it/</t>
        </is>
      </c>
      <c r="J27" t="inlineStr">
        <is>
          <t>Banca d'Italia</t>
        </is>
      </c>
      <c r="K27" t="inlineStr">
        <is>
          <t>2026-03-12</t>
        </is>
      </c>
      <c r="L27" t="inlineStr">
        <is>
          <t>medium</t>
        </is>
      </c>
      <c r="M27" t="inlineStr">
        <is>
          <t>Use territorial household-finance or credit indicators. If the city figure is unavailable, document the closest official regional fallback.</t>
        </is>
      </c>
    </row>
    <row r="28">
      <c r="A28" t="inlineStr">
        <is>
          <t>it-bologna</t>
        </is>
      </c>
      <c r="B28" t="inlineStr">
        <is>
          <t>Bologna</t>
        </is>
      </c>
      <c r="C28" t="inlineStr">
        <is>
          <t>Italy</t>
        </is>
      </c>
      <c r="D28" t="inlineStr">
        <is>
          <t>gross_income</t>
        </is>
      </c>
      <c r="E28" t="inlineStr">
        <is>
          <t>Gross income</t>
        </is>
      </c>
      <c r="F28" t="inlineStr">
        <is>
          <t>pressure</t>
        </is>
      </c>
      <c r="G28" t="inlineStr">
        <is>
          <t>comune_bologna_open_data</t>
        </is>
      </c>
      <c r="H28" t="inlineStr">
        <is>
          <t>istat</t>
        </is>
      </c>
      <c r="I28" t="inlineStr">
        <is>
          <t>https://opendata.comune.bologna.it/</t>
        </is>
      </c>
      <c r="J28" t="inlineStr">
        <is>
          <t>Comune di Bologna Open Data</t>
        </is>
      </c>
      <c r="K28" t="inlineStr">
        <is>
          <t>2026-03-12</t>
        </is>
      </c>
      <c r="L28" t="inlineStr">
        <is>
          <t>high</t>
        </is>
      </c>
      <c r="M28" t="inlineStr">
        <is>
          <t>Start with Bologna open data and city statistical publications. Escalate to ISTAT only when the city portal does not publish the needed local series.</t>
        </is>
      </c>
    </row>
    <row r="29">
      <c r="A29" t="inlineStr">
        <is>
          <t>it-bologna</t>
        </is>
      </c>
      <c r="B29" t="inlineStr">
        <is>
          <t>Bologna</t>
        </is>
      </c>
      <c r="C29" t="inlineStr">
        <is>
          <t>Italy</t>
        </is>
      </c>
      <c r="D29" t="inlineStr">
        <is>
          <t>food_cost</t>
        </is>
      </c>
      <c r="E29" t="inlineStr">
        <is>
          <t>Food cost</t>
        </is>
      </c>
      <c r="F29" t="inlineStr">
        <is>
          <t>pressure</t>
        </is>
      </c>
      <c r="G29" t="inlineStr">
        <is>
          <t>comune_bologna_open_data</t>
        </is>
      </c>
      <c r="H29" t="inlineStr">
        <is>
          <t>istat</t>
        </is>
      </c>
      <c r="I29" t="inlineStr">
        <is>
          <t>https://opendata.comune.bologna.it/</t>
        </is>
      </c>
      <c r="J29" t="inlineStr">
        <is>
          <t>Comune di Bologna Open Data</t>
        </is>
      </c>
      <c r="K29" t="inlineStr">
        <is>
          <t>2026-03-12</t>
        </is>
      </c>
      <c r="L29" t="inlineStr">
        <is>
          <t>high</t>
        </is>
      </c>
      <c r="M29" t="inlineStr">
        <is>
          <t>Start with Bologna open data and city statistical publications. Escalate to ISTAT only when the city portal does not publish the needed local series.</t>
        </is>
      </c>
    </row>
    <row r="30">
      <c r="A30" t="inlineStr">
        <is>
          <t>it-bologna</t>
        </is>
      </c>
      <c r="B30" t="inlineStr">
        <is>
          <t>Bologna</t>
        </is>
      </c>
      <c r="C30" t="inlineStr">
        <is>
          <t>Italy</t>
        </is>
      </c>
      <c r="D30" t="inlineStr">
        <is>
          <t>digital_infrastructure_raw</t>
        </is>
      </c>
      <c r="E30" t="inlineStr">
        <is>
          <t>Digital infrastructure raw</t>
        </is>
      </c>
      <c r="F30" t="inlineStr">
        <is>
          <t>viability</t>
        </is>
      </c>
      <c r="G30" t="inlineStr">
        <is>
          <t>comune_bologna_open_data</t>
        </is>
      </c>
      <c r="H30" t="inlineStr">
        <is>
          <t>istat</t>
        </is>
      </c>
      <c r="I30" t="inlineStr">
        <is>
          <t>https://opendata.comune.bologna.it/</t>
        </is>
      </c>
      <c r="J30" t="inlineStr">
        <is>
          <t>Comune di Bologna Open Data</t>
        </is>
      </c>
      <c r="K30" t="inlineStr">
        <is>
          <t>2026-03-12</t>
        </is>
      </c>
      <c r="L30" t="inlineStr">
        <is>
          <t>high</t>
        </is>
      </c>
      <c r="M30" t="inlineStr">
        <is>
          <t>Start with Bologna open data and city statistical publications. Escalate to ISTAT only when the city portal does not publish the needed local series.</t>
        </is>
      </c>
    </row>
    <row r="31">
      <c r="A31" t="inlineStr">
        <is>
          <t>it-bologna</t>
        </is>
      </c>
      <c r="B31" t="inlineStr">
        <is>
          <t>Bologna</t>
        </is>
      </c>
      <c r="C31" t="inlineStr">
        <is>
          <t>Italy</t>
        </is>
      </c>
      <c r="D31" t="inlineStr">
        <is>
          <t>personal_safety_raw</t>
        </is>
      </c>
      <c r="E31" t="inlineStr">
        <is>
          <t>Personal safety raw</t>
        </is>
      </c>
      <c r="F31" t="inlineStr">
        <is>
          <t>viability</t>
        </is>
      </c>
      <c r="G31" t="inlineStr">
        <is>
          <t>comune_bologna_open_data</t>
        </is>
      </c>
      <c r="H31" t="inlineStr">
        <is>
          <t>istat</t>
        </is>
      </c>
      <c r="I31" t="inlineStr">
        <is>
          <t>https://opendata.comune.bologna.it/</t>
        </is>
      </c>
      <c r="J31" t="inlineStr">
        <is>
          <t>Comune di Bologna Open Data</t>
        </is>
      </c>
      <c r="K31" t="inlineStr">
        <is>
          <t>2026-03-12</t>
        </is>
      </c>
      <c r="L31" t="inlineStr">
        <is>
          <t>high</t>
        </is>
      </c>
      <c r="M31" t="inlineStr">
        <is>
          <t>Start with Bologna open data and city statistical publications. Escalate to ISTAT only when the city portal does not publish the needed local series.</t>
        </is>
      </c>
    </row>
    <row r="32">
      <c r="A32" t="inlineStr">
        <is>
          <t>it-bologna</t>
        </is>
      </c>
      <c r="B32" t="inlineStr">
        <is>
          <t>Bologna</t>
        </is>
      </c>
      <c r="C32" t="inlineStr">
        <is>
          <t>Italy</t>
        </is>
      </c>
      <c r="D32" t="inlineStr">
        <is>
          <t>healthcare_quality_raw</t>
        </is>
      </c>
      <c r="E32" t="inlineStr">
        <is>
          <t>Healthcare quality raw</t>
        </is>
      </c>
      <c r="F32" t="inlineStr">
        <is>
          <t>capability</t>
        </is>
      </c>
      <c r="G32" t="inlineStr">
        <is>
          <t>comune_bologna_open_data</t>
        </is>
      </c>
      <c r="H32" t="inlineStr">
        <is>
          <t>istat</t>
        </is>
      </c>
      <c r="I32" t="inlineStr">
        <is>
          <t>https://opendata.comune.bologna.it/</t>
        </is>
      </c>
      <c r="J32" t="inlineStr">
        <is>
          <t>Comune di Bologna Open Data</t>
        </is>
      </c>
      <c r="K32" t="inlineStr">
        <is>
          <t>2026-03-12</t>
        </is>
      </c>
      <c r="L32" t="inlineStr">
        <is>
          <t>high</t>
        </is>
      </c>
      <c r="M32" t="inlineStr">
        <is>
          <t>Start with Bologna open data and city statistical publications. Escalate to ISTAT only when the city portal does not publish the needed local series.</t>
        </is>
      </c>
    </row>
    <row r="33">
      <c r="A33" t="inlineStr">
        <is>
          <t>it-bologna</t>
        </is>
      </c>
      <c r="B33" t="inlineStr">
        <is>
          <t>Bologna</t>
        </is>
      </c>
      <c r="C33" t="inlineStr">
        <is>
          <t>Italy</t>
        </is>
      </c>
      <c r="D33" t="inlineStr">
        <is>
          <t>education_quality_raw</t>
        </is>
      </c>
      <c r="E33" t="inlineStr">
        <is>
          <t>Education quality raw</t>
        </is>
      </c>
      <c r="F33" t="inlineStr">
        <is>
          <t>capability</t>
        </is>
      </c>
      <c r="G33" t="inlineStr">
        <is>
          <t>comune_bologna_open_data</t>
        </is>
      </c>
      <c r="H33" t="inlineStr">
        <is>
          <t>istat</t>
        </is>
      </c>
      <c r="I33" t="inlineStr">
        <is>
          <t>https://opendata.comune.bologna.it/</t>
        </is>
      </c>
      <c r="J33" t="inlineStr">
        <is>
          <t>Comune di Bologna Open Data</t>
        </is>
      </c>
      <c r="K33" t="inlineStr">
        <is>
          <t>2026-03-12</t>
        </is>
      </c>
      <c r="L33" t="inlineStr">
        <is>
          <t>high</t>
        </is>
      </c>
      <c r="M33" t="inlineStr">
        <is>
          <t>Start with Bologna open data and city statistical publications. Escalate to ISTAT only when the city portal does not publish the needed local series.</t>
        </is>
      </c>
    </row>
    <row r="34">
      <c r="A34" t="inlineStr">
        <is>
          <t>it-bologna</t>
        </is>
      </c>
      <c r="B34" t="inlineStr">
        <is>
          <t>Bologna</t>
        </is>
      </c>
      <c r="C34" t="inlineStr">
        <is>
          <t>Italy</t>
        </is>
      </c>
      <c r="D34" t="inlineStr">
        <is>
          <t>equal_opportunity_raw</t>
        </is>
      </c>
      <c r="E34" t="inlineStr">
        <is>
          <t>Equal opportunity raw</t>
        </is>
      </c>
      <c r="F34" t="inlineStr">
        <is>
          <t>capability</t>
        </is>
      </c>
      <c r="G34" t="inlineStr">
        <is>
          <t>comune_bologna_open_data</t>
        </is>
      </c>
      <c r="H34" t="inlineStr">
        <is>
          <t>istat</t>
        </is>
      </c>
      <c r="I34" t="inlineStr">
        <is>
          <t>https://opendata.comune.bologna.it/</t>
        </is>
      </c>
      <c r="J34" t="inlineStr">
        <is>
          <t>Comune di Bologna Open Data</t>
        </is>
      </c>
      <c r="K34" t="inlineStr">
        <is>
          <t>2026-03-12</t>
        </is>
      </c>
      <c r="L34" t="inlineStr">
        <is>
          <t>high</t>
        </is>
      </c>
      <c r="M34" t="inlineStr">
        <is>
          <t>Start with Bologna open data and city statistical publications. Escalate to ISTAT only when the city portal does not publish the needed local series.</t>
        </is>
      </c>
    </row>
    <row r="35">
      <c r="A35" t="inlineStr">
        <is>
          <t>it-bologna</t>
        </is>
      </c>
      <c r="B35" t="inlineStr">
        <is>
          <t>Bologna</t>
        </is>
      </c>
      <c r="C35" t="inlineStr">
        <is>
          <t>Italy</t>
        </is>
      </c>
      <c r="D35" t="inlineStr">
        <is>
          <t>hospitality_belonging_raw</t>
        </is>
      </c>
      <c r="E35" t="inlineStr">
        <is>
          <t>Hospitality and belonging raw</t>
        </is>
      </c>
      <c r="F35" t="inlineStr">
        <is>
          <t>community</t>
        </is>
      </c>
      <c r="G35" t="inlineStr">
        <is>
          <t>comune_bologna_open_data</t>
        </is>
      </c>
      <c r="H35" t="inlineStr">
        <is>
          <t>istat</t>
        </is>
      </c>
      <c r="I35" t="inlineStr">
        <is>
          <t>https://opendata.comune.bologna.it/</t>
        </is>
      </c>
      <c r="J35" t="inlineStr">
        <is>
          <t>Comune di Bologna Open Data</t>
        </is>
      </c>
      <c r="K35" t="inlineStr">
        <is>
          <t>2026-03-12</t>
        </is>
      </c>
      <c r="L35" t="inlineStr">
        <is>
          <t>high</t>
        </is>
      </c>
      <c r="M35" t="inlineStr">
        <is>
          <t>Start with Bologna open data and city statistical publications. Escalate to ISTAT only when the city portal does not publish the needed local series.</t>
        </is>
      </c>
    </row>
    <row r="36">
      <c r="A36" t="inlineStr">
        <is>
          <t>it-bologna</t>
        </is>
      </c>
      <c r="B36" t="inlineStr">
        <is>
          <t>Bologna</t>
        </is>
      </c>
      <c r="C36" t="inlineStr">
        <is>
          <t>Italy</t>
        </is>
      </c>
      <c r="D36" t="inlineStr">
        <is>
          <t>tolerance_pluralism_raw</t>
        </is>
      </c>
      <c r="E36" t="inlineStr">
        <is>
          <t>Tolerance and pluralism raw</t>
        </is>
      </c>
      <c r="F36" t="inlineStr">
        <is>
          <t>community</t>
        </is>
      </c>
      <c r="G36" t="inlineStr">
        <is>
          <t>comune_bologna_open_data</t>
        </is>
      </c>
      <c r="H36" t="inlineStr">
        <is>
          <t>istat</t>
        </is>
      </c>
      <c r="I36" t="inlineStr">
        <is>
          <t>https://opendata.comune.bologna.it/</t>
        </is>
      </c>
      <c r="J36" t="inlineStr">
        <is>
          <t>Comune di Bologna Open Data</t>
        </is>
      </c>
      <c r="K36" t="inlineStr">
        <is>
          <t>2026-03-12</t>
        </is>
      </c>
      <c r="L36" t="inlineStr">
        <is>
          <t>high</t>
        </is>
      </c>
      <c r="M36" t="inlineStr">
        <is>
          <t>Start with Bologna open data and city statistical publications. Escalate to ISTAT only when the city portal does not publish the needed local series.</t>
        </is>
      </c>
    </row>
    <row r="37">
      <c r="A37" t="inlineStr">
        <is>
          <t>it-bologna</t>
        </is>
      </c>
      <c r="B37" t="inlineStr">
        <is>
          <t>Bologna</t>
        </is>
      </c>
      <c r="C37" t="inlineStr">
        <is>
          <t>Italy</t>
        </is>
      </c>
      <c r="D37" t="inlineStr">
        <is>
          <t>cultural_public_life_raw</t>
        </is>
      </c>
      <c r="E37" t="inlineStr">
        <is>
          <t>Cultural public life raw</t>
        </is>
      </c>
      <c r="F37" t="inlineStr">
        <is>
          <t>community</t>
        </is>
      </c>
      <c r="G37" t="inlineStr">
        <is>
          <t>comune_bologna_open_data</t>
        </is>
      </c>
      <c r="H37" t="inlineStr">
        <is>
          <t>istat</t>
        </is>
      </c>
      <c r="I37" t="inlineStr">
        <is>
          <t>https://opendata.comune.bologna.it/</t>
        </is>
      </c>
      <c r="J37" t="inlineStr">
        <is>
          <t>Comune di Bologna Open Data</t>
        </is>
      </c>
      <c r="K37" t="inlineStr">
        <is>
          <t>2026-03-12</t>
        </is>
      </c>
      <c r="L37" t="inlineStr">
        <is>
          <t>high</t>
        </is>
      </c>
      <c r="M37" t="inlineStr">
        <is>
          <t>Start with Bologna open data and city statistical publications. Escalate to ISTAT only when the city portal does not publish the needed local series.</t>
        </is>
      </c>
    </row>
    <row r="38">
      <c r="A38" t="inlineStr">
        <is>
          <t>it-bologna</t>
        </is>
      </c>
      <c r="B38" t="inlineStr">
        <is>
          <t>Bologna</t>
        </is>
      </c>
      <c r="C38" t="inlineStr">
        <is>
          <t>Italy</t>
        </is>
      </c>
      <c r="D38" t="inlineStr">
        <is>
          <t>entrepreneurial_dynamism_raw</t>
        </is>
      </c>
      <c r="E38" t="inlineStr">
        <is>
          <t>Entrepreneurial dynamism raw</t>
        </is>
      </c>
      <c r="F38" t="inlineStr">
        <is>
          <t>creative</t>
        </is>
      </c>
      <c r="G38" t="inlineStr">
        <is>
          <t>comune_bologna_open_data</t>
        </is>
      </c>
      <c r="H38" t="inlineStr">
        <is>
          <t>istat</t>
        </is>
      </c>
      <c r="I38" t="inlineStr">
        <is>
          <t>https://opendata.comune.bologna.it/</t>
        </is>
      </c>
      <c r="J38" t="inlineStr">
        <is>
          <t>Comune di Bologna Open Data</t>
        </is>
      </c>
      <c r="K38" t="inlineStr">
        <is>
          <t>2026-03-12</t>
        </is>
      </c>
      <c r="L38" t="inlineStr">
        <is>
          <t>high</t>
        </is>
      </c>
      <c r="M38" t="inlineStr">
        <is>
          <t>Start with Bologna open data and city statistical publications. Escalate to ISTAT only when the city portal does not publish the needed local series.</t>
        </is>
      </c>
    </row>
    <row r="39">
      <c r="A39" t="inlineStr">
        <is>
          <t>it-bologna</t>
        </is>
      </c>
      <c r="B39" t="inlineStr">
        <is>
          <t>Bologna</t>
        </is>
      </c>
      <c r="C39" t="inlineStr">
        <is>
          <t>Italy</t>
        </is>
      </c>
      <c r="D39" t="inlineStr">
        <is>
          <t>innovation_research_intensity_raw</t>
        </is>
      </c>
      <c r="E39" t="inlineStr">
        <is>
          <t>Innovation and research raw</t>
        </is>
      </c>
      <c r="F39" t="inlineStr">
        <is>
          <t>creative</t>
        </is>
      </c>
      <c r="G39" t="inlineStr">
        <is>
          <t>comune_bologna_open_data</t>
        </is>
      </c>
      <c r="H39" t="inlineStr">
        <is>
          <t>istat</t>
        </is>
      </c>
      <c r="I39" t="inlineStr">
        <is>
          <t>https://opendata.comune.bologna.it/</t>
        </is>
      </c>
      <c r="J39" t="inlineStr">
        <is>
          <t>Comune di Bologna Open Data</t>
        </is>
      </c>
      <c r="K39" t="inlineStr">
        <is>
          <t>2026-03-12</t>
        </is>
      </c>
      <c r="L39" t="inlineStr">
        <is>
          <t>high</t>
        </is>
      </c>
      <c r="M39" t="inlineStr">
        <is>
          <t>Start with Bologna open data and city statistical publications. Escalate to ISTAT only when the city portal does not publish the needed local series.</t>
        </is>
      </c>
    </row>
    <row r="40">
      <c r="A40" t="inlineStr">
        <is>
          <t>it-bologna</t>
        </is>
      </c>
      <c r="B40" t="inlineStr">
        <is>
          <t>Bologna</t>
        </is>
      </c>
      <c r="C40" t="inlineStr">
        <is>
          <t>Italy</t>
        </is>
      </c>
      <c r="D40" t="inlineStr">
        <is>
          <t>investment_signal_raw</t>
        </is>
      </c>
      <c r="E40" t="inlineStr">
        <is>
          <t>Investment signal raw</t>
        </is>
      </c>
      <c r="F40" t="inlineStr">
        <is>
          <t>creative</t>
        </is>
      </c>
      <c r="G40" t="inlineStr">
        <is>
          <t>comune_bologna_open_data</t>
        </is>
      </c>
      <c r="H40" t="inlineStr">
        <is>
          <t>istat</t>
        </is>
      </c>
      <c r="I40" t="inlineStr">
        <is>
          <t>https://opendata.comune.bologna.it/</t>
        </is>
      </c>
      <c r="J40" t="inlineStr">
        <is>
          <t>Comune di Bologna Open Data</t>
        </is>
      </c>
      <c r="K40" t="inlineStr">
        <is>
          <t>2026-03-12</t>
        </is>
      </c>
      <c r="L40" t="inlineStr">
        <is>
          <t>high</t>
        </is>
      </c>
      <c r="M40" t="inlineStr">
        <is>
          <t>Start with Bologna open data and city statistical publications. Escalate to ISTAT only when the city portal does not publish the needed local series.</t>
        </is>
      </c>
    </row>
    <row r="41">
      <c r="A41" t="inlineStr">
        <is>
          <t>it-bologna</t>
        </is>
      </c>
      <c r="B41" t="inlineStr">
        <is>
          <t>Bologna</t>
        </is>
      </c>
      <c r="C41" t="inlineStr">
        <is>
          <t>Italy</t>
        </is>
      </c>
      <c r="D41" t="inlineStr">
        <is>
          <t>administrative_investment_friction_raw</t>
        </is>
      </c>
      <c r="E41" t="inlineStr">
        <is>
          <t>Administrative investment friction raw</t>
        </is>
      </c>
      <c r="F41" t="inlineStr">
        <is>
          <t>creative</t>
        </is>
      </c>
      <c r="G41" t="inlineStr">
        <is>
          <t>comune_bologna_open_data</t>
        </is>
      </c>
      <c r="H41" t="inlineStr">
        <is>
          <t>istat</t>
        </is>
      </c>
      <c r="I41" t="inlineStr">
        <is>
          <t>https://opendata.comune.bologna.it/</t>
        </is>
      </c>
      <c r="J41" t="inlineStr">
        <is>
          <t>Comune di Bologna Open Data</t>
        </is>
      </c>
      <c r="K41" t="inlineStr">
        <is>
          <t>2026-03-12</t>
        </is>
      </c>
      <c r="L41" t="inlineStr">
        <is>
          <t>high</t>
        </is>
      </c>
      <c r="M41" t="inlineStr">
        <is>
          <t>Start with Bologna open data and city statistical publications. Escalate to ISTAT only when the city portal does not publish the needed local series.</t>
        </is>
      </c>
    </row>
    <row r="42">
      <c r="A42" t="inlineStr">
        <is>
          <t>it-bologna</t>
        </is>
      </c>
      <c r="B42" t="inlineStr">
        <is>
          <t>Bologna</t>
        </is>
      </c>
      <c r="C42" t="inlineStr">
        <is>
          <t>Italy</t>
        </is>
      </c>
      <c r="D42" t="inlineStr">
        <is>
          <t>visitor_flow_context_raw</t>
        </is>
      </c>
      <c r="E42" t="inlineStr">
        <is>
          <t>Visitor flow context raw</t>
        </is>
      </c>
      <c r="F42" t="inlineStr">
        <is>
          <t>creative</t>
        </is>
      </c>
      <c r="G42" t="inlineStr">
        <is>
          <t>comune_bologna_open_data</t>
        </is>
      </c>
      <c r="H42" t="inlineStr">
        <is>
          <t>istat</t>
        </is>
      </c>
      <c r="I42" t="inlineStr">
        <is>
          <t>https://opendata.comune.bologna.it/</t>
        </is>
      </c>
      <c r="J42" t="inlineStr">
        <is>
          <t>Comune di Bologna Open Data</t>
        </is>
      </c>
      <c r="K42" t="inlineStr">
        <is>
          <t>2026-03-12</t>
        </is>
      </c>
      <c r="L42" t="inlineStr">
        <is>
          <t>high</t>
        </is>
      </c>
      <c r="M42" t="inlineStr">
        <is>
          <t>Start with Bologna open data and city statistical publications. Escalate to ISTAT only when the city portal does not publish the needed local series.</t>
        </is>
      </c>
    </row>
    <row r="43">
      <c r="A43" t="inlineStr">
        <is>
          <t>it-bologna</t>
        </is>
      </c>
      <c r="B43" t="inlineStr">
        <is>
          <t>Bologna</t>
        </is>
      </c>
      <c r="C43" t="inlineStr">
        <is>
          <t>Italy</t>
        </is>
      </c>
      <c r="D43" t="inlineStr">
        <is>
          <t>rent</t>
        </is>
      </c>
      <c r="E43" t="inlineStr">
        <is>
          <t>Rent</t>
        </is>
      </c>
      <c r="F43" t="inlineStr">
        <is>
          <t>pressure</t>
        </is>
      </c>
      <c r="G43" t="inlineStr">
        <is>
          <t>agenzia_entrate_omi</t>
        </is>
      </c>
      <c r="H43" t="inlineStr">
        <is>
          <t>comune_bologna_open_data</t>
        </is>
      </c>
      <c r="I43" t="inlineStr">
        <is>
          <t>https://www.agenziaentrate.gov.it/portale/web/english/nsi/omi</t>
        </is>
      </c>
      <c r="J43" t="inlineStr">
        <is>
          <t>Agenzia delle Entrate | OMI</t>
        </is>
      </c>
      <c r="K43" t="inlineStr">
        <is>
          <t>2026-03-12</t>
        </is>
      </c>
      <c r="L43" t="inlineStr">
        <is>
          <t>high</t>
        </is>
      </c>
      <c r="M43" t="inlineStr">
        <is>
          <t>Use OMI housing-market tables for Bologna and pair them with official income data when a housing-burden ratio must be built manually.</t>
        </is>
      </c>
    </row>
    <row r="44">
      <c r="A44" t="inlineStr">
        <is>
          <t>it-bologna</t>
        </is>
      </c>
      <c r="B44" t="inlineStr">
        <is>
          <t>Bologna</t>
        </is>
      </c>
      <c r="C44" t="inlineStr">
        <is>
          <t>Italy</t>
        </is>
      </c>
      <c r="D44" t="inlineStr">
        <is>
          <t>housing_burden_raw</t>
        </is>
      </c>
      <c r="E44" t="inlineStr">
        <is>
          <t>Housing burden raw</t>
        </is>
      </c>
      <c r="F44" t="inlineStr">
        <is>
          <t>pressure</t>
        </is>
      </c>
      <c r="G44" t="inlineStr">
        <is>
          <t>agenzia_entrate_omi</t>
        </is>
      </c>
      <c r="H44" t="inlineStr">
        <is>
          <t>comune_bologna_open_data</t>
        </is>
      </c>
      <c r="I44" t="inlineStr">
        <is>
          <t>https://www.agenziaentrate.gov.it/portale/web/english/nsi/omi</t>
        </is>
      </c>
      <c r="J44" t="inlineStr">
        <is>
          <t>Agenzia delle Entrate | OMI</t>
        </is>
      </c>
      <c r="K44" t="inlineStr">
        <is>
          <t>2026-03-12</t>
        </is>
      </c>
      <c r="L44" t="inlineStr">
        <is>
          <t>high</t>
        </is>
      </c>
      <c r="M44" t="inlineStr">
        <is>
          <t>Use OMI housing-market tables for Bologna and pair them with official income data when a housing-burden ratio must be built manually.</t>
        </is>
      </c>
    </row>
    <row r="45">
      <c r="A45" t="inlineStr">
        <is>
          <t>it-bologna</t>
        </is>
      </c>
      <c r="B45" t="inlineStr">
        <is>
          <t>Bologna</t>
        </is>
      </c>
      <c r="C45" t="inlineStr">
        <is>
          <t>Italy</t>
        </is>
      </c>
      <c r="D45" t="inlineStr">
        <is>
          <t>utilities</t>
        </is>
      </c>
      <c r="E45" t="inlineStr">
        <is>
          <t>Utilities</t>
        </is>
      </c>
      <c r="F45" t="inlineStr">
        <is>
          <t>pressure</t>
        </is>
      </c>
      <c r="G45" t="inlineStr">
        <is>
          <t>gruppo_hera</t>
        </is>
      </c>
      <c r="H45" t="inlineStr">
        <is>
          <t>comune_bologna</t>
        </is>
      </c>
      <c r="I45" t="inlineStr">
        <is>
          <t>https://www.gruppohera.it/</t>
        </is>
      </c>
      <c r="J45" t="inlineStr">
        <is>
          <t>Gruppo Hera</t>
        </is>
      </c>
      <c r="K45" t="inlineStr">
        <is>
          <t>2026-03-12</t>
        </is>
      </c>
      <c r="L45" t="inlineStr">
        <is>
          <t>medium</t>
        </is>
      </c>
      <c r="M45" t="inlineStr">
        <is>
          <t>Use official utility tariffs or service-quality material for Bologna-area households.</t>
        </is>
      </c>
    </row>
    <row r="46">
      <c r="A46" t="inlineStr">
        <is>
          <t>it-bologna</t>
        </is>
      </c>
      <c r="B46" t="inlineStr">
        <is>
          <t>Bologna</t>
        </is>
      </c>
      <c r="C46" t="inlineStr">
        <is>
          <t>Italy</t>
        </is>
      </c>
      <c r="D46" t="inlineStr">
        <is>
          <t>water_sanitation_utility_raw</t>
        </is>
      </c>
      <c r="E46" t="inlineStr">
        <is>
          <t>Water, sanitation, and utility raw</t>
        </is>
      </c>
      <c r="F46" t="inlineStr">
        <is>
          <t>viability</t>
        </is>
      </c>
      <c r="G46" t="inlineStr">
        <is>
          <t>gruppo_hera</t>
        </is>
      </c>
      <c r="H46" t="inlineStr">
        <is>
          <t>comune_bologna</t>
        </is>
      </c>
      <c r="I46" t="inlineStr">
        <is>
          <t>https://www.gruppohera.it/</t>
        </is>
      </c>
      <c r="J46" t="inlineStr">
        <is>
          <t>Gruppo Hera</t>
        </is>
      </c>
      <c r="K46" t="inlineStr">
        <is>
          <t>2026-03-12</t>
        </is>
      </c>
      <c r="L46" t="inlineStr">
        <is>
          <t>medium</t>
        </is>
      </c>
      <c r="M46" t="inlineStr">
        <is>
          <t>Use official utility tariffs or service-quality material for Bologna-area households.</t>
        </is>
      </c>
    </row>
    <row r="47">
      <c r="A47" t="inlineStr">
        <is>
          <t>it-bologna</t>
        </is>
      </c>
      <c r="B47" t="inlineStr">
        <is>
          <t>Bologna</t>
        </is>
      </c>
      <c r="C47" t="inlineStr">
        <is>
          <t>Italy</t>
        </is>
      </c>
      <c r="D47" t="inlineStr">
        <is>
          <t>transit_cost</t>
        </is>
      </c>
      <c r="E47" t="inlineStr">
        <is>
          <t>Transit cost</t>
        </is>
      </c>
      <c r="F47" t="inlineStr">
        <is>
          <t>pressure</t>
        </is>
      </c>
      <c r="G47" t="inlineStr">
        <is>
          <t>tper_bologna</t>
        </is>
      </c>
      <c r="H47" t="inlineStr">
        <is>
          <t>comune_bologna_open_data</t>
        </is>
      </c>
      <c r="I47" t="inlineStr">
        <is>
          <t>https://www.tper.it/tariffe</t>
        </is>
      </c>
      <c r="J47" t="inlineStr">
        <is>
          <t>TPER | Fares</t>
        </is>
      </c>
      <c r="K47" t="inlineStr">
        <is>
          <t>2026-03-12</t>
        </is>
      </c>
      <c r="L47" t="inlineStr">
        <is>
          <t>high</t>
        </is>
      </c>
      <c r="M47" t="inlineStr">
        <is>
          <t>Use the standard recurring urban fare basis and note the pass type in City_Inputs.</t>
        </is>
      </c>
    </row>
    <row r="48">
      <c r="A48" t="inlineStr">
        <is>
          <t>it-bologna</t>
        </is>
      </c>
      <c r="B48" t="inlineStr">
        <is>
          <t>Bologna</t>
        </is>
      </c>
      <c r="C48" t="inlineStr">
        <is>
          <t>Italy</t>
        </is>
      </c>
      <c r="D48" t="inlineStr">
        <is>
          <t>transit_access_commute_raw</t>
        </is>
      </c>
      <c r="E48" t="inlineStr">
        <is>
          <t>Transit access and commute raw</t>
        </is>
      </c>
      <c r="F48" t="inlineStr">
        <is>
          <t>viability</t>
        </is>
      </c>
      <c r="G48" t="inlineStr">
        <is>
          <t>comune_bologna_open_data</t>
        </is>
      </c>
      <c r="H48" t="inlineStr">
        <is>
          <t>tper_bologna</t>
        </is>
      </c>
      <c r="I48" t="inlineStr">
        <is>
          <t>https://opendata.comune.bologna.it/</t>
        </is>
      </c>
      <c r="J48" t="inlineStr">
        <is>
          <t>Comune di Bologna Open Data</t>
        </is>
      </c>
      <c r="K48" t="inlineStr">
        <is>
          <t>2026-03-12</t>
        </is>
      </c>
      <c r="L48" t="inlineStr">
        <is>
          <t>high</t>
        </is>
      </c>
      <c r="M48" t="inlineStr">
        <is>
          <t>Look for official mobility and commuting datasets first, then use operator service data if necessary.</t>
        </is>
      </c>
    </row>
    <row r="49">
      <c r="A49" t="inlineStr">
        <is>
          <t>it-bologna</t>
        </is>
      </c>
      <c r="B49" t="inlineStr">
        <is>
          <t>Bologna</t>
        </is>
      </c>
      <c r="C49" t="inlineStr">
        <is>
          <t>Italy</t>
        </is>
      </c>
      <c r="D49" t="inlineStr">
        <is>
          <t>clean_air_raw</t>
        </is>
      </c>
      <c r="E49" t="inlineStr">
        <is>
          <t>Clean air raw</t>
        </is>
      </c>
      <c r="F49" t="inlineStr">
        <is>
          <t>viability</t>
        </is>
      </c>
      <c r="G49" t="inlineStr">
        <is>
          <t>arpae_emilia_romagna</t>
        </is>
      </c>
      <c r="H49" t="inlineStr">
        <is>
          <t>openaq</t>
        </is>
      </c>
      <c r="I49" t="inlineStr">
        <is>
          <t>https://www.arpae.it/it/temi-ambientali/aria</t>
        </is>
      </c>
      <c r="J49" t="inlineStr">
        <is>
          <t>ARPAE Emilia-Romagna | Air</t>
        </is>
      </c>
      <c r="K49" t="inlineStr">
        <is>
          <t>2026-03-12</t>
        </is>
      </c>
      <c r="L49" t="inlineStr">
        <is>
          <t>high</t>
        </is>
      </c>
      <c r="M49" t="inlineStr">
        <is>
          <t>Regional environmental monitoring remains the source of record for Bologna air-quality data.</t>
        </is>
      </c>
    </row>
    <row r="50">
      <c r="A50" t="inlineStr">
        <is>
          <t>it-bologna</t>
        </is>
      </c>
      <c r="B50" t="inlineStr">
        <is>
          <t>Bologna</t>
        </is>
      </c>
      <c r="C50" t="inlineStr">
        <is>
          <t>Italy</t>
        </is>
      </c>
      <c r="D50" t="inlineStr">
        <is>
          <t>internet_cost</t>
        </is>
      </c>
      <c r="E50" t="inlineStr">
        <is>
          <t>Internet cost</t>
        </is>
      </c>
      <c r="F50" t="inlineStr">
        <is>
          <t>pressure</t>
        </is>
      </c>
      <c r="G50" t="inlineStr">
        <is>
          <t>istat</t>
        </is>
      </c>
      <c r="H50" t="inlineStr">
        <is>
          <t>comune_bologna</t>
        </is>
      </c>
      <c r="I50" t="inlineStr">
        <is>
          <t>https://www.istat.it/en/</t>
        </is>
      </c>
      <c r="J50" t="inlineStr">
        <is>
          <t>ISTAT</t>
        </is>
      </c>
      <c r="K50" t="inlineStr">
        <is>
          <t>2026-03-12</t>
        </is>
      </c>
      <c r="L50" t="inlineStr">
        <is>
          <t>medium</t>
        </is>
      </c>
      <c r="M50" t="inlineStr">
        <is>
          <t>Use official national statistical releases with Bologna or metro breakdowns where available.</t>
        </is>
      </c>
    </row>
    <row r="51">
      <c r="A51" t="inlineStr">
        <is>
          <t>it-bologna</t>
        </is>
      </c>
      <c r="B51" t="inlineStr">
        <is>
          <t>Bologna</t>
        </is>
      </c>
      <c r="C51" t="inlineStr">
        <is>
          <t>Italy</t>
        </is>
      </c>
      <c r="D51" t="inlineStr">
        <is>
          <t>working_time_pressure_raw</t>
        </is>
      </c>
      <c r="E51" t="inlineStr">
        <is>
          <t>Working time pressure raw</t>
        </is>
      </c>
      <c r="F51" t="inlineStr">
        <is>
          <t>pressure</t>
        </is>
      </c>
      <c r="G51" t="inlineStr">
        <is>
          <t>istat</t>
        </is>
      </c>
      <c r="H51" t="inlineStr">
        <is>
          <t>comune_bologna</t>
        </is>
      </c>
      <c r="I51" t="inlineStr">
        <is>
          <t>https://www.istat.it/en/</t>
        </is>
      </c>
      <c r="J51" t="inlineStr">
        <is>
          <t>ISTAT</t>
        </is>
      </c>
      <c r="K51" t="inlineStr">
        <is>
          <t>2026-03-12</t>
        </is>
      </c>
      <c r="L51" t="inlineStr">
        <is>
          <t>medium</t>
        </is>
      </c>
      <c r="M51" t="inlineStr">
        <is>
          <t>Use official national statistical releases with Bologna or metro breakdowns where available.</t>
        </is>
      </c>
    </row>
    <row r="52">
      <c r="A52" t="inlineStr">
        <is>
          <t>it-bologna</t>
        </is>
      </c>
      <c r="B52" t="inlineStr">
        <is>
          <t>Bologna</t>
        </is>
      </c>
      <c r="C52" t="inlineStr">
        <is>
          <t>Italy</t>
        </is>
      </c>
      <c r="D52" t="inlineStr">
        <is>
          <t>suicide_mental_strain_raw</t>
        </is>
      </c>
      <c r="E52" t="inlineStr">
        <is>
          <t>Suicide or mental strain raw</t>
        </is>
      </c>
      <c r="F52" t="inlineStr">
        <is>
          <t>pressure</t>
        </is>
      </c>
      <c r="G52" t="inlineStr">
        <is>
          <t>istat</t>
        </is>
      </c>
      <c r="H52" t="inlineStr">
        <is>
          <t>comune_bologna</t>
        </is>
      </c>
      <c r="I52" t="inlineStr">
        <is>
          <t>https://www.istat.it/en/</t>
        </is>
      </c>
      <c r="J52" t="inlineStr">
        <is>
          <t>ISTAT</t>
        </is>
      </c>
      <c r="K52" t="inlineStr">
        <is>
          <t>2026-03-12</t>
        </is>
      </c>
      <c r="L52" t="inlineStr">
        <is>
          <t>medium</t>
        </is>
      </c>
      <c r="M52" t="inlineStr">
        <is>
          <t>Use official national statistical releases with Bologna or metro breakdowns where available.</t>
        </is>
      </c>
    </row>
    <row r="53">
      <c r="A53" t="inlineStr">
        <is>
          <t>it-bologna</t>
        </is>
      </c>
      <c r="B53" t="inlineStr">
        <is>
          <t>Bologna</t>
        </is>
      </c>
      <c r="C53" t="inlineStr">
        <is>
          <t>Italy</t>
        </is>
      </c>
      <c r="D53" t="inlineStr">
        <is>
          <t>household_debt_burden_raw</t>
        </is>
      </c>
      <c r="E53" t="inlineStr">
        <is>
          <t>Household debt burden raw</t>
        </is>
      </c>
      <c r="F53" t="inlineStr">
        <is>
          <t>pressure</t>
        </is>
      </c>
      <c r="G53" t="inlineStr">
        <is>
          <t>banca_d_italia</t>
        </is>
      </c>
      <c r="H53" t="inlineStr">
        <is>
          <t>istat</t>
        </is>
      </c>
      <c r="I53" t="inlineStr">
        <is>
          <t>https://www.bancaditalia.it/</t>
        </is>
      </c>
      <c r="J53" t="inlineStr">
        <is>
          <t>Banca d'Italia</t>
        </is>
      </c>
      <c r="K53" t="inlineStr">
        <is>
          <t>2026-03-12</t>
        </is>
      </c>
      <c r="L53" t="inlineStr">
        <is>
          <t>medium</t>
        </is>
      </c>
      <c r="M53" t="inlineStr">
        <is>
          <t>Prefer territorial household-finance or consumer-credit indicators and document any regional fallback used.</t>
        </is>
      </c>
    </row>
  </sheetData>
  <autoFilter ref="A1:M5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79"/>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32" customWidth="1" min="3" max="3"/>
    <col width="12" customWidth="1" min="4" max="4"/>
    <col width="22" customWidth="1" min="5" max="5"/>
    <col width="12" customWidth="1" min="6" max="6"/>
    <col width="13" customWidth="1" min="7" max="7"/>
    <col width="40" customWidth="1" min="8" max="8"/>
    <col width="40" customWidth="1" min="9" max="9"/>
    <col width="13" customWidth="1" min="10" max="10"/>
    <col width="40" customWidth="1" min="11" max="11"/>
  </cols>
  <sheetData>
    <row r="1">
      <c r="A1" s="19" t="inlineStr">
        <is>
          <t>country</t>
        </is>
      </c>
      <c r="B1" s="19" t="inlineStr">
        <is>
          <t>field</t>
        </is>
      </c>
      <c r="C1" s="19" t="inlineStr">
        <is>
          <t>label</t>
        </is>
      </c>
      <c r="D1" s="19" t="inlineStr">
        <is>
          <t>pillar</t>
        </is>
      </c>
      <c r="E1" s="19" t="inlineStr">
        <is>
          <t>required_for_ranking</t>
        </is>
      </c>
      <c r="F1" s="19" t="inlineStr">
        <is>
          <t>value</t>
        </is>
      </c>
      <c r="G1" s="19" t="inlineStr">
        <is>
          <t>provider_id</t>
        </is>
      </c>
      <c r="H1" s="19" t="inlineStr">
        <is>
          <t>source_url</t>
        </is>
      </c>
      <c r="I1" s="19" t="inlineStr">
        <is>
          <t>source_title</t>
        </is>
      </c>
      <c r="J1" s="19" t="inlineStr">
        <is>
          <t>source_date</t>
        </is>
      </c>
      <c r="K1" s="19" t="inlineStr">
        <is>
          <t>notes</t>
        </is>
      </c>
    </row>
    <row r="2">
      <c r="A2" t="inlineStr">
        <is>
          <t>Thailand</t>
        </is>
      </c>
      <c r="B2" t="inlineStr">
        <is>
          <t>gdp_per_capita_ppp</t>
        </is>
      </c>
      <c r="C2" t="inlineStr">
        <is>
          <t>GDP per capita (PPP)</t>
        </is>
      </c>
      <c r="D2" t="inlineStr">
        <is>
          <t>creative</t>
        </is>
      </c>
      <c r="E2" t="inlineStr">
        <is>
          <t>yes</t>
        </is>
      </c>
      <c r="F2" t="inlineStr">
        <is>
          <t>24712.07</t>
        </is>
      </c>
      <c r="G2" t="inlineStr">
        <is>
          <t>world_bank</t>
        </is>
      </c>
      <c r="H2" t="inlineStr">
        <is>
          <t>https://api.worldbank.org/v2/country/THA/indicator/NY.GDP.PCAP.PP.CD?format=json&amp;mrv=30</t>
        </is>
      </c>
      <c r="I2" t="inlineStr">
        <is>
          <t>World Bank WDI: GDP per capita, PPP (current international $)</t>
        </is>
      </c>
      <c r="J2" t="inlineStr">
        <is>
          <t>2024-12-31</t>
        </is>
      </c>
      <c r="K2" t="inlineStr">
        <is>
          <t>auto_seed=world_bank_wdi; indicator=NY.GDP.PCAP.PP.CD; observation_year=2024; dataset_lastupdated=2026-02-24; stale=no</t>
        </is>
      </c>
    </row>
    <row r="3">
      <c r="A3" t="inlineStr">
        <is>
          <t>Thailand</t>
        </is>
      </c>
      <c r="B3" t="inlineStr">
        <is>
          <t>gdp_growth</t>
        </is>
      </c>
      <c r="C3" t="inlineStr">
        <is>
          <t>GDP growth</t>
        </is>
      </c>
      <c r="D3" t="inlineStr">
        <is>
          <t>creative</t>
        </is>
      </c>
      <c r="E3" t="inlineStr">
        <is>
          <t>yes</t>
        </is>
      </c>
      <c r="F3" t="inlineStr">
        <is>
          <t>2.5418</t>
        </is>
      </c>
      <c r="G3" t="inlineStr">
        <is>
          <t>world_bank</t>
        </is>
      </c>
      <c r="H3" t="inlineStr">
        <is>
          <t>https://api.worldbank.org/v2/country/THA/indicator/NY.GDP.MKTP.KD.ZG?format=json&amp;mrv=30</t>
        </is>
      </c>
      <c r="I3" t="inlineStr">
        <is>
          <t>World Bank WDI: GDP growth (annual %)</t>
        </is>
      </c>
      <c r="J3" t="inlineStr">
        <is>
          <t>2024-12-31</t>
        </is>
      </c>
      <c r="K3" t="inlineStr">
        <is>
          <t>auto_seed=world_bank_wdi; indicator=NY.GDP.MKTP.KD.ZG; observation_year=2024; dataset_lastupdated=2026-02-24; stale=no</t>
        </is>
      </c>
    </row>
    <row r="4">
      <c r="A4" t="inlineStr">
        <is>
          <t>Thailand</t>
        </is>
      </c>
      <c r="B4" t="inlineStr">
        <is>
          <t>gini_coefficient</t>
        </is>
      </c>
      <c r="C4" t="inlineStr">
        <is>
          <t>Gini coefficient</t>
        </is>
      </c>
      <c r="D4" t="inlineStr">
        <is>
          <t>capability</t>
        </is>
      </c>
      <c r="E4" t="inlineStr">
        <is>
          <t>yes</t>
        </is>
      </c>
      <c r="F4" t="inlineStr">
        <is>
          <t>33.5</t>
        </is>
      </c>
      <c r="G4" t="inlineStr">
        <is>
          <t>world_bank</t>
        </is>
      </c>
      <c r="H4" t="inlineStr">
        <is>
          <t>https://api.worldbank.org/v2/country/THA/indicator/SI.POV.GINI?format=json&amp;mrv=30</t>
        </is>
      </c>
      <c r="I4" t="inlineStr">
        <is>
          <t>World Bank WDI: Gini index</t>
        </is>
      </c>
      <c r="J4" t="inlineStr">
        <is>
          <t>2023-12-31</t>
        </is>
      </c>
      <c r="K4" t="inlineStr">
        <is>
          <t>auto_seed=world_bank_wdi; indicator=SI.POV.GINI; observation_year=2023; dataset_lastupdated=2026-02-24; stale=no</t>
        </is>
      </c>
    </row>
    <row r="5">
      <c r="A5" t="inlineStr">
        <is>
          <t>Thailand</t>
        </is>
      </c>
      <c r="B5" t="inlineStr">
        <is>
          <t>ppp_private_consumption</t>
        </is>
      </c>
      <c r="C5" t="inlineStr">
        <is>
          <t>PPP private consumption factor</t>
        </is>
      </c>
      <c r="D5" t="inlineStr">
        <is>
          <t>pressure</t>
        </is>
      </c>
      <c r="E5" t="inlineStr">
        <is>
          <t>yes</t>
        </is>
      </c>
      <c r="F5" t="inlineStr">
        <is>
          <t>10.945576</t>
        </is>
      </c>
      <c r="G5" t="inlineStr">
        <is>
          <t>world_bank</t>
        </is>
      </c>
      <c r="H5" t="inlineStr">
        <is>
          <t>https://api.worldbank.org/v2/country/THA/indicator/PA.NUS.PRVT.PP?format=json&amp;mrv=30</t>
        </is>
      </c>
      <c r="I5" t="inlineStr">
        <is>
          <t>World Bank WDI: PPP conversion factor, private consumption (LCU per international $)</t>
        </is>
      </c>
      <c r="J5" t="inlineStr">
        <is>
          <t>2024-12-31</t>
        </is>
      </c>
      <c r="K5" t="inlineStr">
        <is>
          <t>auto_seed=world_bank_wdi; indicator=PA.NUS.PRVT.PP; observation_year=2024; dataset_lastupdated=2026-02-24; stale=no</t>
        </is>
      </c>
    </row>
    <row r="6">
      <c r="A6" t="inlineStr">
        <is>
          <t>Thailand</t>
        </is>
      </c>
      <c r="B6" t="inlineStr">
        <is>
          <t>tax_rate_assumption</t>
        </is>
      </c>
      <c r="C6" t="inlineStr">
        <is>
          <t>Tax rate assumption</t>
        </is>
      </c>
      <c r="D6" t="inlineStr">
        <is>
          <t>pressure</t>
        </is>
      </c>
      <c r="E6" t="inlineStr">
        <is>
          <t>yes</t>
        </is>
      </c>
      <c r="F6" t="inlineStr">
        <is>
          <t>0.152577</t>
        </is>
      </c>
      <c r="G6" t="inlineStr">
        <is>
          <t>world_bank</t>
        </is>
      </c>
      <c r="H6" t="inlineStr">
        <is>
          <t>https://api.worldbank.org/v2/country/THA/indicator/GC.TAX.TOTL.GD.ZS?format=json&amp;mrv=30</t>
        </is>
      </c>
      <c r="I6" t="inlineStr">
        <is>
          <t>World Bank WDI: Tax revenue (% of GDP) used as interim country average tax-take proxy</t>
        </is>
      </c>
      <c r="J6" t="inlineStr">
        <is>
          <t>2024-12-31</t>
        </is>
      </c>
      <c r="K6" t="inlineStr">
        <is>
          <t>auto_seed=world_bank_wdi; proxy=country_average_tax_take_from_tax_revenue_share; indicator=GC.TAX.TOTL.GD.ZS; observation_year=2024; dataset_lastupdated=2026-02-24; stale=no</t>
        </is>
      </c>
    </row>
    <row r="7">
      <c r="A7" t="inlineStr">
        <is>
          <t>Thailand</t>
        </is>
      </c>
      <c r="B7" t="inlineStr">
        <is>
          <t>household_debt_proxy</t>
        </is>
      </c>
      <c r="C7" t="inlineStr">
        <is>
          <t>Household debt proxy</t>
        </is>
      </c>
      <c r="D7" t="inlineStr">
        <is>
          <t>pressure</t>
        </is>
      </c>
      <c r="E7" t="inlineStr">
        <is>
          <t>yes</t>
        </is>
      </c>
      <c r="F7" t="inlineStr">
        <is>
          <t>115.1054</t>
        </is>
      </c>
      <c r="G7" t="inlineStr">
        <is>
          <t>world_bank</t>
        </is>
      </c>
      <c r="H7" t="inlineStr">
        <is>
          <t>https://api.worldbank.org/v2/country/THA/indicator/FD.AST.PRVT.GD.ZS?format=json&amp;mrv=30</t>
        </is>
      </c>
      <c r="I7" t="inlineStr">
        <is>
          <t>World Bank WDI: Domestic credit to private sector by banks (% of GDP) used as interim leverage proxy</t>
        </is>
      </c>
      <c r="J7" t="inlineStr">
        <is>
          <t>2024-12-31</t>
        </is>
      </c>
      <c r="K7" t="inlineStr">
        <is>
          <t>auto_seed=world_bank_wdi; proxy=broad_private_credit_not_household_only; indicator=FD.AST.PRVT.GD.ZS; observation_year=2024; dataset_lastupdated=2026-02-24; stale=no</t>
        </is>
      </c>
    </row>
    <row r="8">
      <c r="A8" t="inlineStr">
        <is>
          <t>Singapore</t>
        </is>
      </c>
      <c r="B8" t="inlineStr">
        <is>
          <t>gdp_per_capita_ppp</t>
        </is>
      </c>
      <c r="C8" t="inlineStr">
        <is>
          <t>GDP per capita (PPP)</t>
        </is>
      </c>
      <c r="D8" t="inlineStr">
        <is>
          <t>creative</t>
        </is>
      </c>
      <c r="E8" t="inlineStr">
        <is>
          <t>yes</t>
        </is>
      </c>
      <c r="F8" t="inlineStr">
        <is>
          <t>150689.3</t>
        </is>
      </c>
      <c r="G8" t="inlineStr">
        <is>
          <t>world_bank</t>
        </is>
      </c>
      <c r="H8" t="inlineStr">
        <is>
          <t>https://api.worldbank.org/v2/country/SGP/indicator/NY.GDP.PCAP.PP.CD?format=json&amp;mrv=30</t>
        </is>
      </c>
      <c r="I8" t="inlineStr">
        <is>
          <t>World Bank WDI: GDP per capita, PPP (current international $)</t>
        </is>
      </c>
      <c r="J8" t="inlineStr">
        <is>
          <t>2024-12-31</t>
        </is>
      </c>
      <c r="K8" t="inlineStr">
        <is>
          <t>auto_seed=world_bank_wdi; indicator=NY.GDP.PCAP.PP.CD; observation_year=2024; dataset_lastupdated=2026-02-24; stale=no</t>
        </is>
      </c>
    </row>
    <row r="9">
      <c r="A9" t="inlineStr">
        <is>
          <t>Singapore</t>
        </is>
      </c>
      <c r="B9" t="inlineStr">
        <is>
          <t>gdp_growth</t>
        </is>
      </c>
      <c r="C9" t="inlineStr">
        <is>
          <t>GDP growth</t>
        </is>
      </c>
      <c r="D9" t="inlineStr">
        <is>
          <t>creative</t>
        </is>
      </c>
      <c r="E9" t="inlineStr">
        <is>
          <t>yes</t>
        </is>
      </c>
      <c r="F9" t="inlineStr">
        <is>
          <t>4.388</t>
        </is>
      </c>
      <c r="G9" t="inlineStr">
        <is>
          <t>world_bank</t>
        </is>
      </c>
      <c r="H9" t="inlineStr">
        <is>
          <t>https://api.worldbank.org/v2/country/SGP/indicator/NY.GDP.MKTP.KD.ZG?format=json&amp;mrv=30</t>
        </is>
      </c>
      <c r="I9" t="inlineStr">
        <is>
          <t>World Bank WDI: GDP growth (annual %)</t>
        </is>
      </c>
      <c r="J9" t="inlineStr">
        <is>
          <t>2024-12-31</t>
        </is>
      </c>
      <c r="K9" t="inlineStr">
        <is>
          <t>auto_seed=world_bank_wdi; indicator=NY.GDP.MKTP.KD.ZG; observation_year=2024; dataset_lastupdated=2026-02-24; stale=no</t>
        </is>
      </c>
    </row>
    <row r="10">
      <c r="A10" t="inlineStr">
        <is>
          <t>Singapore</t>
        </is>
      </c>
      <c r="B10" t="inlineStr">
        <is>
          <t>gini_coefficient</t>
        </is>
      </c>
      <c r="C10" t="inlineStr">
        <is>
          <t>Gini coefficient</t>
        </is>
      </c>
      <c r="D10" t="inlineStr">
        <is>
          <t>capability</t>
        </is>
      </c>
      <c r="E10" t="inlineStr">
        <is>
          <t>yes</t>
        </is>
      </c>
      <c r="F10" t="inlineStr"/>
      <c r="G10" t="inlineStr"/>
      <c r="H10" t="inlineStr"/>
      <c r="I10" t="inlineStr"/>
      <c r="J10" t="inlineStr"/>
      <c r="K10" t="inlineStr"/>
    </row>
    <row r="11">
      <c r="A11" t="inlineStr">
        <is>
          <t>Singapore</t>
        </is>
      </c>
      <c r="B11" t="inlineStr">
        <is>
          <t>ppp_private_consumption</t>
        </is>
      </c>
      <c r="C11" t="inlineStr">
        <is>
          <t>PPP private consumption factor</t>
        </is>
      </c>
      <c r="D11" t="inlineStr">
        <is>
          <t>pressure</t>
        </is>
      </c>
      <c r="E11" t="inlineStr">
        <is>
          <t>yes</t>
        </is>
      </c>
      <c r="F11" t="inlineStr">
        <is>
          <t>1.04203</t>
        </is>
      </c>
      <c r="G11" t="inlineStr">
        <is>
          <t>world_bank</t>
        </is>
      </c>
      <c r="H11" t="inlineStr">
        <is>
          <t>https://api.worldbank.org/v2/country/SGP/indicator/PA.NUS.PRVT.PP?format=json&amp;mrv=30</t>
        </is>
      </c>
      <c r="I11" t="inlineStr">
        <is>
          <t>World Bank WDI: PPP conversion factor, private consumption (LCU per international $)</t>
        </is>
      </c>
      <c r="J11" t="inlineStr">
        <is>
          <t>2024-12-31</t>
        </is>
      </c>
      <c r="K11" t="inlineStr">
        <is>
          <t>auto_seed=world_bank_wdi; indicator=PA.NUS.PRVT.PP; observation_year=2024; dataset_lastupdated=2026-02-24; stale=no</t>
        </is>
      </c>
    </row>
    <row r="12">
      <c r="A12" t="inlineStr">
        <is>
          <t>Singapore</t>
        </is>
      </c>
      <c r="B12" t="inlineStr">
        <is>
          <t>tax_rate_assumption</t>
        </is>
      </c>
      <c r="C12" t="inlineStr">
        <is>
          <t>Tax rate assumption</t>
        </is>
      </c>
      <c r="D12" t="inlineStr">
        <is>
          <t>pressure</t>
        </is>
      </c>
      <c r="E12" t="inlineStr">
        <is>
          <t>yes</t>
        </is>
      </c>
      <c r="F12" t="inlineStr">
        <is>
          <t>0.141917</t>
        </is>
      </c>
      <c r="G12" t="inlineStr">
        <is>
          <t>world_bank</t>
        </is>
      </c>
      <c r="H12" t="inlineStr">
        <is>
          <t>https://api.worldbank.org/v2/country/SGP/indicator/GC.TAX.TOTL.GD.ZS?format=json&amp;mrv=30</t>
        </is>
      </c>
      <c r="I12" t="inlineStr">
        <is>
          <t>World Bank WDI: Tax revenue (% of GDP) used as interim country average tax-take proxy</t>
        </is>
      </c>
      <c r="J12" t="inlineStr">
        <is>
          <t>2024-12-31</t>
        </is>
      </c>
      <c r="K12" t="inlineStr">
        <is>
          <t>auto_seed=world_bank_wdi; proxy=country_average_tax_take_from_tax_revenue_share; indicator=GC.TAX.TOTL.GD.ZS; observation_year=2024; dataset_lastupdated=2026-02-24; stale=no</t>
        </is>
      </c>
    </row>
    <row r="13">
      <c r="A13" t="inlineStr">
        <is>
          <t>Singapore</t>
        </is>
      </c>
      <c r="B13" t="inlineStr">
        <is>
          <t>household_debt_proxy</t>
        </is>
      </c>
      <c r="C13" t="inlineStr">
        <is>
          <t>Household debt proxy</t>
        </is>
      </c>
      <c r="D13" t="inlineStr">
        <is>
          <t>pressure</t>
        </is>
      </c>
      <c r="E13" t="inlineStr">
        <is>
          <t>yes</t>
        </is>
      </c>
      <c r="F13" t="inlineStr">
        <is>
          <t>129.1908</t>
        </is>
      </c>
      <c r="G13" t="inlineStr">
        <is>
          <t>world_bank</t>
        </is>
      </c>
      <c r="H13" t="inlineStr">
        <is>
          <t>https://api.worldbank.org/v2/country/SGP/indicator/FD.AST.PRVT.GD.ZS?format=json&amp;mrv=30</t>
        </is>
      </c>
      <c r="I13" t="inlineStr">
        <is>
          <t>World Bank WDI: Domestic credit to private sector by banks (% of GDP) used as interim leverage proxy</t>
        </is>
      </c>
      <c r="J13" t="inlineStr">
        <is>
          <t>2020-12-31</t>
        </is>
      </c>
      <c r="K13" t="inlineStr">
        <is>
          <t>auto_seed=world_bank_wdi; proxy=broad_private_credit_not_household_only; indicator=FD.AST.PRVT.GD.ZS; observation_year=2020; dataset_lastupdated=2026-02-24; stale=no</t>
        </is>
      </c>
    </row>
    <row r="14">
      <c r="A14" t="inlineStr">
        <is>
          <t>Malaysia</t>
        </is>
      </c>
      <c r="B14" t="inlineStr">
        <is>
          <t>gdp_per_capita_ppp</t>
        </is>
      </c>
      <c r="C14" t="inlineStr">
        <is>
          <t>GDP per capita (PPP)</t>
        </is>
      </c>
      <c r="D14" t="inlineStr">
        <is>
          <t>creative</t>
        </is>
      </c>
      <c r="E14" t="inlineStr">
        <is>
          <t>yes</t>
        </is>
      </c>
      <c r="F14" t="inlineStr">
        <is>
          <t>38779.28</t>
        </is>
      </c>
      <c r="G14" t="inlineStr">
        <is>
          <t>world_bank</t>
        </is>
      </c>
      <c r="H14" t="inlineStr">
        <is>
          <t>https://api.worldbank.org/v2/country/MYS/indicator/NY.GDP.PCAP.PP.CD?format=json&amp;mrv=30</t>
        </is>
      </c>
      <c r="I14" t="inlineStr">
        <is>
          <t>World Bank WDI: GDP per capita, PPP (current international $)</t>
        </is>
      </c>
      <c r="J14" t="inlineStr">
        <is>
          <t>2024-12-31</t>
        </is>
      </c>
      <c r="K14" t="inlineStr">
        <is>
          <t>auto_seed=world_bank_wdi; indicator=NY.GDP.PCAP.PP.CD; observation_year=2024; dataset_lastupdated=2026-02-24; stale=no</t>
        </is>
      </c>
    </row>
    <row r="15">
      <c r="A15" t="inlineStr">
        <is>
          <t>Malaysia</t>
        </is>
      </c>
      <c r="B15" t="inlineStr">
        <is>
          <t>gdp_growth</t>
        </is>
      </c>
      <c r="C15" t="inlineStr">
        <is>
          <t>GDP growth</t>
        </is>
      </c>
      <c r="D15" t="inlineStr">
        <is>
          <t>creative</t>
        </is>
      </c>
      <c r="E15" t="inlineStr">
        <is>
          <t>yes</t>
        </is>
      </c>
      <c r="F15" t="inlineStr">
        <is>
          <t>5.1055</t>
        </is>
      </c>
      <c r="G15" t="inlineStr">
        <is>
          <t>world_bank</t>
        </is>
      </c>
      <c r="H15" t="inlineStr">
        <is>
          <t>https://api.worldbank.org/v2/country/MYS/indicator/NY.GDP.MKTP.KD.ZG?format=json&amp;mrv=30</t>
        </is>
      </c>
      <c r="I15" t="inlineStr">
        <is>
          <t>World Bank WDI: GDP growth (annual %)</t>
        </is>
      </c>
      <c r="J15" t="inlineStr">
        <is>
          <t>2024-12-31</t>
        </is>
      </c>
      <c r="K15" t="inlineStr">
        <is>
          <t>auto_seed=world_bank_wdi; indicator=NY.GDP.MKTP.KD.ZG; observation_year=2024; dataset_lastupdated=2026-02-24; stale=no</t>
        </is>
      </c>
    </row>
    <row r="16">
      <c r="A16" t="inlineStr">
        <is>
          <t>Malaysia</t>
        </is>
      </c>
      <c r="B16" t="inlineStr">
        <is>
          <t>gini_coefficient</t>
        </is>
      </c>
      <c r="C16" t="inlineStr">
        <is>
          <t>Gini coefficient</t>
        </is>
      </c>
      <c r="D16" t="inlineStr">
        <is>
          <t>capability</t>
        </is>
      </c>
      <c r="E16" t="inlineStr">
        <is>
          <t>yes</t>
        </is>
      </c>
      <c r="F16" t="inlineStr">
        <is>
          <t>40.7</t>
        </is>
      </c>
      <c r="G16" t="inlineStr">
        <is>
          <t>world_bank</t>
        </is>
      </c>
      <c r="H16" t="inlineStr">
        <is>
          <t>https://api.worldbank.org/v2/country/MYS/indicator/SI.POV.GINI?format=json&amp;mrv=30</t>
        </is>
      </c>
      <c r="I16" t="inlineStr">
        <is>
          <t>World Bank WDI: Gini index</t>
        </is>
      </c>
      <c r="J16" t="inlineStr">
        <is>
          <t>2021-12-31</t>
        </is>
      </c>
      <c r="K16" t="inlineStr">
        <is>
          <t>auto_seed=world_bank_wdi; indicator=SI.POV.GINI; observation_year=2021; dataset_lastupdated=2026-02-24; stale=no</t>
        </is>
      </c>
    </row>
    <row r="17">
      <c r="A17" t="inlineStr">
        <is>
          <t>Malaysia</t>
        </is>
      </c>
      <c r="B17" t="inlineStr">
        <is>
          <t>ppp_private_consumption</t>
        </is>
      </c>
      <c r="C17" t="inlineStr">
        <is>
          <t>PPP private consumption factor</t>
        </is>
      </c>
      <c r="D17" t="inlineStr">
        <is>
          <t>pressure</t>
        </is>
      </c>
      <c r="E17" t="inlineStr">
        <is>
          <t>yes</t>
        </is>
      </c>
      <c r="F17" t="inlineStr">
        <is>
          <t>1.449227</t>
        </is>
      </c>
      <c r="G17" t="inlineStr">
        <is>
          <t>world_bank</t>
        </is>
      </c>
      <c r="H17" t="inlineStr">
        <is>
          <t>https://api.worldbank.org/v2/country/MYS/indicator/PA.NUS.PRVT.PP?format=json&amp;mrv=30</t>
        </is>
      </c>
      <c r="I17" t="inlineStr">
        <is>
          <t>World Bank WDI: PPP conversion factor, private consumption (LCU per international $)</t>
        </is>
      </c>
      <c r="J17" t="inlineStr">
        <is>
          <t>2024-12-31</t>
        </is>
      </c>
      <c r="K17" t="inlineStr">
        <is>
          <t>auto_seed=world_bank_wdi; indicator=PA.NUS.PRVT.PP; observation_year=2024; dataset_lastupdated=2026-02-24; stale=no</t>
        </is>
      </c>
    </row>
    <row r="18">
      <c r="A18" t="inlineStr">
        <is>
          <t>Malaysia</t>
        </is>
      </c>
      <c r="B18" t="inlineStr">
        <is>
          <t>tax_rate_assumption</t>
        </is>
      </c>
      <c r="C18" t="inlineStr">
        <is>
          <t>Tax rate assumption</t>
        </is>
      </c>
      <c r="D18" t="inlineStr">
        <is>
          <t>pressure</t>
        </is>
      </c>
      <c r="E18" t="inlineStr">
        <is>
          <t>yes</t>
        </is>
      </c>
      <c r="F18" t="inlineStr">
        <is>
          <t>0.125648</t>
        </is>
      </c>
      <c r="G18" t="inlineStr">
        <is>
          <t>world_bank</t>
        </is>
      </c>
      <c r="H18" t="inlineStr">
        <is>
          <t>https://api.worldbank.org/v2/country/MYS/indicator/GC.TAX.TOTL.GD.ZS?format=json&amp;mrv=30</t>
        </is>
      </c>
      <c r="I18" t="inlineStr">
        <is>
          <t>World Bank WDI: Tax revenue (% of GDP) used as interim country average tax-take proxy</t>
        </is>
      </c>
      <c r="J18" t="inlineStr">
        <is>
          <t>2023-12-31</t>
        </is>
      </c>
      <c r="K18" t="inlineStr">
        <is>
          <t>auto_seed=world_bank_wdi; proxy=country_average_tax_take_from_tax_revenue_share; indicator=GC.TAX.TOTL.GD.ZS; observation_year=2023; dataset_lastupdated=2026-02-24; stale=no</t>
        </is>
      </c>
    </row>
    <row r="19">
      <c r="A19" t="inlineStr">
        <is>
          <t>Malaysia</t>
        </is>
      </c>
      <c r="B19" t="inlineStr">
        <is>
          <t>household_debt_proxy</t>
        </is>
      </c>
      <c r="C19" t="inlineStr">
        <is>
          <t>Household debt proxy</t>
        </is>
      </c>
      <c r="D19" t="inlineStr">
        <is>
          <t>pressure</t>
        </is>
      </c>
      <c r="E19" t="inlineStr">
        <is>
          <t>yes</t>
        </is>
      </c>
      <c r="F19" t="inlineStr">
        <is>
          <t>116.0773</t>
        </is>
      </c>
      <c r="G19" t="inlineStr">
        <is>
          <t>world_bank</t>
        </is>
      </c>
      <c r="H19" t="inlineStr">
        <is>
          <t>https://api.worldbank.org/v2/country/MYS/indicator/FD.AST.PRVT.GD.ZS?format=json&amp;mrv=30</t>
        </is>
      </c>
      <c r="I19" t="inlineStr">
        <is>
          <t>World Bank WDI: Domestic credit to private sector by banks (% of GDP) used as interim leverage proxy</t>
        </is>
      </c>
      <c r="J19" t="inlineStr">
        <is>
          <t>2024-12-31</t>
        </is>
      </c>
      <c r="K19" t="inlineStr">
        <is>
          <t>auto_seed=world_bank_wdi; proxy=broad_private_credit_not_household_only; indicator=FD.AST.PRVT.GD.ZS; observation_year=2024; dataset_lastupdated=2026-02-24; stale=no</t>
        </is>
      </c>
    </row>
    <row r="20">
      <c r="A20" t="inlineStr">
        <is>
          <t>Indonesia</t>
        </is>
      </c>
      <c r="B20" t="inlineStr">
        <is>
          <t>gdp_per_capita_ppp</t>
        </is>
      </c>
      <c r="C20" t="inlineStr">
        <is>
          <t>GDP per capita (PPP)</t>
        </is>
      </c>
      <c r="D20" t="inlineStr">
        <is>
          <t>creative</t>
        </is>
      </c>
      <c r="E20" t="inlineStr">
        <is>
          <t>yes</t>
        </is>
      </c>
      <c r="F20" t="inlineStr">
        <is>
          <t>16448.28</t>
        </is>
      </c>
      <c r="G20" t="inlineStr">
        <is>
          <t>world_bank</t>
        </is>
      </c>
      <c r="H20" t="inlineStr">
        <is>
          <t>https://api.worldbank.org/v2/country/IDN/indicator/NY.GDP.PCAP.PP.CD?format=json&amp;mrv=30</t>
        </is>
      </c>
      <c r="I20" t="inlineStr">
        <is>
          <t>World Bank WDI: GDP per capita, PPP (current international $)</t>
        </is>
      </c>
      <c r="J20" t="inlineStr">
        <is>
          <t>2024-12-31</t>
        </is>
      </c>
      <c r="K20" t="inlineStr">
        <is>
          <t>auto_seed=world_bank_wdi; indicator=NY.GDP.PCAP.PP.CD; observation_year=2024; dataset_lastupdated=2026-02-24; stale=no</t>
        </is>
      </c>
    </row>
    <row r="21">
      <c r="A21" t="inlineStr">
        <is>
          <t>Indonesia</t>
        </is>
      </c>
      <c r="B21" t="inlineStr">
        <is>
          <t>gdp_growth</t>
        </is>
      </c>
      <c r="C21" t="inlineStr">
        <is>
          <t>GDP growth</t>
        </is>
      </c>
      <c r="D21" t="inlineStr">
        <is>
          <t>creative</t>
        </is>
      </c>
      <c r="E21" t="inlineStr">
        <is>
          <t>yes</t>
        </is>
      </c>
      <c r="F21" t="inlineStr">
        <is>
          <t>5.0303</t>
        </is>
      </c>
      <c r="G21" t="inlineStr">
        <is>
          <t>world_bank</t>
        </is>
      </c>
      <c r="H21" t="inlineStr">
        <is>
          <t>https://api.worldbank.org/v2/country/IDN/indicator/NY.GDP.MKTP.KD.ZG?format=json&amp;mrv=30</t>
        </is>
      </c>
      <c r="I21" t="inlineStr">
        <is>
          <t>World Bank WDI: GDP growth (annual %)</t>
        </is>
      </c>
      <c r="J21" t="inlineStr">
        <is>
          <t>2024-12-31</t>
        </is>
      </c>
      <c r="K21" t="inlineStr">
        <is>
          <t>auto_seed=world_bank_wdi; indicator=NY.GDP.MKTP.KD.ZG; observation_year=2024; dataset_lastupdated=2026-02-24; stale=no</t>
        </is>
      </c>
    </row>
    <row r="22">
      <c r="A22" t="inlineStr">
        <is>
          <t>Indonesia</t>
        </is>
      </c>
      <c r="B22" t="inlineStr">
        <is>
          <t>gini_coefficient</t>
        </is>
      </c>
      <c r="C22" t="inlineStr">
        <is>
          <t>Gini coefficient</t>
        </is>
      </c>
      <c r="D22" t="inlineStr">
        <is>
          <t>capability</t>
        </is>
      </c>
      <c r="E22" t="inlineStr">
        <is>
          <t>yes</t>
        </is>
      </c>
      <c r="F22" t="inlineStr">
        <is>
          <t>34.9</t>
        </is>
      </c>
      <c r="G22" t="inlineStr">
        <is>
          <t>world_bank</t>
        </is>
      </c>
      <c r="H22" t="inlineStr">
        <is>
          <t>https://api.worldbank.org/v2/country/IDN/indicator/SI.POV.GINI?format=json&amp;mrv=30</t>
        </is>
      </c>
      <c r="I22" t="inlineStr">
        <is>
          <t>World Bank WDI: Gini index</t>
        </is>
      </c>
      <c r="J22" t="inlineStr">
        <is>
          <t>2024-12-31</t>
        </is>
      </c>
      <c r="K22" t="inlineStr">
        <is>
          <t>auto_seed=world_bank_wdi; indicator=SI.POV.GINI; observation_year=2024; dataset_lastupdated=2026-02-24; stale=no</t>
        </is>
      </c>
    </row>
    <row r="23">
      <c r="A23" t="inlineStr">
        <is>
          <t>Indonesia</t>
        </is>
      </c>
      <c r="B23" t="inlineStr">
        <is>
          <t>ppp_private_consumption</t>
        </is>
      </c>
      <c r="C23" t="inlineStr">
        <is>
          <t>PPP private consumption factor</t>
        </is>
      </c>
      <c r="D23" t="inlineStr">
        <is>
          <t>pressure</t>
        </is>
      </c>
      <c r="E23" t="inlineStr">
        <is>
          <t>yes</t>
        </is>
      </c>
      <c r="F23" t="inlineStr">
        <is>
          <t>5104.98432</t>
        </is>
      </c>
      <c r="G23" t="inlineStr">
        <is>
          <t>world_bank</t>
        </is>
      </c>
      <c r="H23" t="inlineStr">
        <is>
          <t>https://api.worldbank.org/v2/country/IDN/indicator/PA.NUS.PRVT.PP?format=json&amp;mrv=30</t>
        </is>
      </c>
      <c r="I23" t="inlineStr">
        <is>
          <t>World Bank WDI: PPP conversion factor, private consumption (LCU per international $)</t>
        </is>
      </c>
      <c r="J23" t="inlineStr">
        <is>
          <t>2024-12-31</t>
        </is>
      </c>
      <c r="K23" t="inlineStr">
        <is>
          <t>auto_seed=world_bank_wdi; indicator=PA.NUS.PRVT.PP; observation_year=2024; dataset_lastupdated=2026-02-24; stale=no</t>
        </is>
      </c>
    </row>
    <row r="24">
      <c r="A24" t="inlineStr">
        <is>
          <t>Indonesia</t>
        </is>
      </c>
      <c r="B24" t="inlineStr">
        <is>
          <t>tax_rate_assumption</t>
        </is>
      </c>
      <c r="C24" t="inlineStr">
        <is>
          <t>Tax rate assumption</t>
        </is>
      </c>
      <c r="D24" t="inlineStr">
        <is>
          <t>pressure</t>
        </is>
      </c>
      <c r="E24" t="inlineStr">
        <is>
          <t>yes</t>
        </is>
      </c>
      <c r="F24" t="inlineStr">
        <is>
          <t>0.110578</t>
        </is>
      </c>
      <c r="G24" t="inlineStr">
        <is>
          <t>world_bank</t>
        </is>
      </c>
      <c r="H24" t="inlineStr">
        <is>
          <t>https://api.worldbank.org/v2/country/IDN/indicator/GC.TAX.TOTL.GD.ZS?format=json&amp;mrv=30</t>
        </is>
      </c>
      <c r="I24" t="inlineStr">
        <is>
          <t>World Bank WDI: Tax revenue (% of GDP) used as interim country average tax-take proxy</t>
        </is>
      </c>
      <c r="J24" t="inlineStr">
        <is>
          <t>2009-12-31</t>
        </is>
      </c>
      <c r="K24" t="inlineStr">
        <is>
          <t>auto_seed=world_bank_wdi; proxy=country_average_tax_take_from_tax_revenue_share; indicator=GC.TAX.TOTL.GD.ZS; observation_year=2009; dataset_lastupdated=2026-02-24; stale=yes</t>
        </is>
      </c>
    </row>
    <row r="25">
      <c r="A25" t="inlineStr">
        <is>
          <t>Indonesia</t>
        </is>
      </c>
      <c r="B25" t="inlineStr">
        <is>
          <t>household_debt_proxy</t>
        </is>
      </c>
      <c r="C25" t="inlineStr">
        <is>
          <t>Household debt proxy</t>
        </is>
      </c>
      <c r="D25" t="inlineStr">
        <is>
          <t>pressure</t>
        </is>
      </c>
      <c r="E25" t="inlineStr">
        <is>
          <t>yes</t>
        </is>
      </c>
      <c r="F25" t="inlineStr">
        <is>
          <t>31.7861</t>
        </is>
      </c>
      <c r="G25" t="inlineStr">
        <is>
          <t>world_bank</t>
        </is>
      </c>
      <c r="H25" t="inlineStr">
        <is>
          <t>https://api.worldbank.org/v2/country/IDN/indicator/FD.AST.PRVT.GD.ZS?format=json&amp;mrv=30</t>
        </is>
      </c>
      <c r="I25" t="inlineStr">
        <is>
          <t>World Bank WDI: Domestic credit to private sector by banks (% of GDP) used as interim leverage proxy</t>
        </is>
      </c>
      <c r="J25" t="inlineStr">
        <is>
          <t>2024-12-31</t>
        </is>
      </c>
      <c r="K25" t="inlineStr">
        <is>
          <t>auto_seed=world_bank_wdi; proxy=broad_private_credit_not_household_only; indicator=FD.AST.PRVT.GD.ZS; observation_year=2024; dataset_lastupdated=2026-02-24; stale=no</t>
        </is>
      </c>
    </row>
    <row r="26">
      <c r="A26" t="inlineStr">
        <is>
          <t>Philippines</t>
        </is>
      </c>
      <c r="B26" t="inlineStr">
        <is>
          <t>gdp_per_capita_ppp</t>
        </is>
      </c>
      <c r="C26" t="inlineStr">
        <is>
          <t>GDP per capita (PPP)</t>
        </is>
      </c>
      <c r="D26" t="inlineStr">
        <is>
          <t>creative</t>
        </is>
      </c>
      <c r="E26" t="inlineStr">
        <is>
          <t>yes</t>
        </is>
      </c>
      <c r="F26" t="inlineStr">
        <is>
          <t>11794.14</t>
        </is>
      </c>
      <c r="G26" t="inlineStr">
        <is>
          <t>world_bank</t>
        </is>
      </c>
      <c r="H26" t="inlineStr">
        <is>
          <t>https://api.worldbank.org/v2/country/PHL/indicator/NY.GDP.PCAP.PP.CD?format=json&amp;mrv=30</t>
        </is>
      </c>
      <c r="I26" t="inlineStr">
        <is>
          <t>World Bank WDI: GDP per capita, PPP (current international $)</t>
        </is>
      </c>
      <c r="J26" t="inlineStr">
        <is>
          <t>2024-12-31</t>
        </is>
      </c>
      <c r="K26" t="inlineStr">
        <is>
          <t>auto_seed=world_bank_wdi; indicator=NY.GDP.PCAP.PP.CD; observation_year=2024; dataset_lastupdated=2026-02-24; stale=no</t>
        </is>
      </c>
    </row>
    <row r="27">
      <c r="A27" t="inlineStr">
        <is>
          <t>Philippines</t>
        </is>
      </c>
      <c r="B27" t="inlineStr">
        <is>
          <t>gdp_growth</t>
        </is>
      </c>
      <c r="C27" t="inlineStr">
        <is>
          <t>GDP growth</t>
        </is>
      </c>
      <c r="D27" t="inlineStr">
        <is>
          <t>creative</t>
        </is>
      </c>
      <c r="E27" t="inlineStr">
        <is>
          <t>yes</t>
        </is>
      </c>
      <c r="F27" t="inlineStr">
        <is>
          <t>5.692</t>
        </is>
      </c>
      <c r="G27" t="inlineStr">
        <is>
          <t>world_bank</t>
        </is>
      </c>
      <c r="H27" t="inlineStr">
        <is>
          <t>https://api.worldbank.org/v2/country/PHL/indicator/NY.GDP.MKTP.KD.ZG?format=json&amp;mrv=30</t>
        </is>
      </c>
      <c r="I27" t="inlineStr">
        <is>
          <t>World Bank WDI: GDP growth (annual %)</t>
        </is>
      </c>
      <c r="J27" t="inlineStr">
        <is>
          <t>2024-12-31</t>
        </is>
      </c>
      <c r="K27" t="inlineStr">
        <is>
          <t>auto_seed=world_bank_wdi; indicator=NY.GDP.MKTP.KD.ZG; observation_year=2024; dataset_lastupdated=2026-02-24; stale=no</t>
        </is>
      </c>
    </row>
    <row r="28">
      <c r="A28" t="inlineStr">
        <is>
          <t>Philippines</t>
        </is>
      </c>
      <c r="B28" t="inlineStr">
        <is>
          <t>gini_coefficient</t>
        </is>
      </c>
      <c r="C28" t="inlineStr">
        <is>
          <t>Gini coefficient</t>
        </is>
      </c>
      <c r="D28" t="inlineStr">
        <is>
          <t>capability</t>
        </is>
      </c>
      <c r="E28" t="inlineStr">
        <is>
          <t>yes</t>
        </is>
      </c>
      <c r="F28" t="inlineStr">
        <is>
          <t>39.3</t>
        </is>
      </c>
      <c r="G28" t="inlineStr">
        <is>
          <t>world_bank</t>
        </is>
      </c>
      <c r="H28" t="inlineStr">
        <is>
          <t>https://api.worldbank.org/v2/country/PHL/indicator/SI.POV.GINI?format=json&amp;mrv=30</t>
        </is>
      </c>
      <c r="I28" t="inlineStr">
        <is>
          <t>World Bank WDI: Gini index</t>
        </is>
      </c>
      <c r="J28" t="inlineStr">
        <is>
          <t>2023-12-31</t>
        </is>
      </c>
      <c r="K28" t="inlineStr">
        <is>
          <t>auto_seed=world_bank_wdi; indicator=SI.POV.GINI; observation_year=2023; dataset_lastupdated=2026-02-24; stale=no</t>
        </is>
      </c>
    </row>
    <row r="29">
      <c r="A29" t="inlineStr">
        <is>
          <t>Philippines</t>
        </is>
      </c>
      <c r="B29" t="inlineStr">
        <is>
          <t>ppp_private_consumption</t>
        </is>
      </c>
      <c r="C29" t="inlineStr">
        <is>
          <t>PPP private consumption factor</t>
        </is>
      </c>
      <c r="D29" t="inlineStr">
        <is>
          <t>pressure</t>
        </is>
      </c>
      <c r="E29" t="inlineStr">
        <is>
          <t>yes</t>
        </is>
      </c>
      <c r="F29" t="inlineStr">
        <is>
          <t>20.743506</t>
        </is>
      </c>
      <c r="G29" t="inlineStr">
        <is>
          <t>world_bank</t>
        </is>
      </c>
      <c r="H29" t="inlineStr">
        <is>
          <t>https://api.worldbank.org/v2/country/PHL/indicator/PA.NUS.PRVT.PP?format=json&amp;mrv=30</t>
        </is>
      </c>
      <c r="I29" t="inlineStr">
        <is>
          <t>World Bank WDI: PPP conversion factor, private consumption (LCU per international $)</t>
        </is>
      </c>
      <c r="J29" t="inlineStr">
        <is>
          <t>2024-12-31</t>
        </is>
      </c>
      <c r="K29" t="inlineStr">
        <is>
          <t>auto_seed=world_bank_wdi; indicator=PA.NUS.PRVT.PP; observation_year=2024; dataset_lastupdated=2026-02-24; stale=no</t>
        </is>
      </c>
    </row>
    <row r="30">
      <c r="A30" t="inlineStr">
        <is>
          <t>Philippines</t>
        </is>
      </c>
      <c r="B30" t="inlineStr">
        <is>
          <t>tax_rate_assumption</t>
        </is>
      </c>
      <c r="C30" t="inlineStr">
        <is>
          <t>Tax rate assumption</t>
        </is>
      </c>
      <c r="D30" t="inlineStr">
        <is>
          <t>pressure</t>
        </is>
      </c>
      <c r="E30" t="inlineStr">
        <is>
          <t>yes</t>
        </is>
      </c>
      <c r="F30" t="inlineStr">
        <is>
          <t>0.141044</t>
        </is>
      </c>
      <c r="G30" t="inlineStr">
        <is>
          <t>world_bank</t>
        </is>
      </c>
      <c r="H30" t="inlineStr">
        <is>
          <t>https://api.worldbank.org/v2/country/PHL/indicator/GC.TAX.TOTL.GD.ZS?format=json&amp;mrv=30</t>
        </is>
      </c>
      <c r="I30" t="inlineStr">
        <is>
          <t>World Bank WDI: Tax revenue (% of GDP) used as interim country average tax-take proxy</t>
        </is>
      </c>
      <c r="J30" t="inlineStr">
        <is>
          <t>2023-12-31</t>
        </is>
      </c>
      <c r="K30" t="inlineStr">
        <is>
          <t>auto_seed=world_bank_wdi; proxy=country_average_tax_take_from_tax_revenue_share; indicator=GC.TAX.TOTL.GD.ZS; observation_year=2023; dataset_lastupdated=2026-02-24; stale=no</t>
        </is>
      </c>
    </row>
    <row r="31">
      <c r="A31" t="inlineStr">
        <is>
          <t>Philippines</t>
        </is>
      </c>
      <c r="B31" t="inlineStr">
        <is>
          <t>household_debt_proxy</t>
        </is>
      </c>
      <c r="C31" t="inlineStr">
        <is>
          <t>Household debt proxy</t>
        </is>
      </c>
      <c r="D31" t="inlineStr">
        <is>
          <t>pressure</t>
        </is>
      </c>
      <c r="E31" t="inlineStr">
        <is>
          <t>yes</t>
        </is>
      </c>
      <c r="F31" t="inlineStr">
        <is>
          <t>49.8137</t>
        </is>
      </c>
      <c r="G31" t="inlineStr">
        <is>
          <t>world_bank</t>
        </is>
      </c>
      <c r="H31" t="inlineStr">
        <is>
          <t>https://api.worldbank.org/v2/country/PHL/indicator/FD.AST.PRVT.GD.ZS?format=json&amp;mrv=30</t>
        </is>
      </c>
      <c r="I31" t="inlineStr">
        <is>
          <t>World Bank WDI: Domestic credit to private sector by banks (% of GDP) used as interim leverage proxy</t>
        </is>
      </c>
      <c r="J31" t="inlineStr">
        <is>
          <t>2024-12-31</t>
        </is>
      </c>
      <c r="K31" t="inlineStr">
        <is>
          <t>auto_seed=world_bank_wdi; proxy=broad_private_credit_not_household_only; indicator=FD.AST.PRVT.GD.ZS; observation_year=2024; dataset_lastupdated=2026-02-24; stale=no</t>
        </is>
      </c>
    </row>
    <row r="32">
      <c r="A32" t="inlineStr">
        <is>
          <t>Taiwan</t>
        </is>
      </c>
      <c r="B32" t="inlineStr">
        <is>
          <t>gdp_per_capita_ppp</t>
        </is>
      </c>
      <c r="C32" t="inlineStr">
        <is>
          <t>GDP per capita (PPP)</t>
        </is>
      </c>
      <c r="D32" t="inlineStr">
        <is>
          <t>creative</t>
        </is>
      </c>
      <c r="E32" t="inlineStr">
        <is>
          <t>yes</t>
        </is>
      </c>
      <c r="F32" t="inlineStr"/>
      <c r="G32" t="inlineStr"/>
      <c r="H32" t="inlineStr"/>
      <c r="I32" t="inlineStr"/>
      <c r="J32" t="inlineStr"/>
      <c r="K32" t="inlineStr"/>
    </row>
    <row r="33">
      <c r="A33" t="inlineStr">
        <is>
          <t>Taiwan</t>
        </is>
      </c>
      <c r="B33" t="inlineStr">
        <is>
          <t>gdp_growth</t>
        </is>
      </c>
      <c r="C33" t="inlineStr">
        <is>
          <t>GDP growth</t>
        </is>
      </c>
      <c r="D33" t="inlineStr">
        <is>
          <t>creative</t>
        </is>
      </c>
      <c r="E33" t="inlineStr">
        <is>
          <t>yes</t>
        </is>
      </c>
      <c r="F33" t="inlineStr"/>
      <c r="G33" t="inlineStr"/>
      <c r="H33" t="inlineStr"/>
      <c r="I33" t="inlineStr"/>
      <c r="J33" t="inlineStr"/>
      <c r="K33" t="inlineStr"/>
    </row>
    <row r="34">
      <c r="A34" t="inlineStr">
        <is>
          <t>Taiwan</t>
        </is>
      </c>
      <c r="B34" t="inlineStr">
        <is>
          <t>gini_coefficient</t>
        </is>
      </c>
      <c r="C34" t="inlineStr">
        <is>
          <t>Gini coefficient</t>
        </is>
      </c>
      <c r="D34" t="inlineStr">
        <is>
          <t>capability</t>
        </is>
      </c>
      <c r="E34" t="inlineStr">
        <is>
          <t>yes</t>
        </is>
      </c>
      <c r="F34" t="inlineStr"/>
      <c r="G34" t="inlineStr"/>
      <c r="H34" t="inlineStr"/>
      <c r="I34" t="inlineStr"/>
      <c r="J34" t="inlineStr"/>
      <c r="K34" t="inlineStr"/>
    </row>
    <row r="35">
      <c r="A35" t="inlineStr">
        <is>
          <t>Taiwan</t>
        </is>
      </c>
      <c r="B35" t="inlineStr">
        <is>
          <t>ppp_private_consumption</t>
        </is>
      </c>
      <c r="C35" t="inlineStr">
        <is>
          <t>PPP private consumption factor</t>
        </is>
      </c>
      <c r="D35" t="inlineStr">
        <is>
          <t>pressure</t>
        </is>
      </c>
      <c r="E35" t="inlineStr">
        <is>
          <t>yes</t>
        </is>
      </c>
      <c r="F35" t="inlineStr"/>
      <c r="G35" t="inlineStr"/>
      <c r="H35" t="inlineStr"/>
      <c r="I35" t="inlineStr"/>
      <c r="J35" t="inlineStr"/>
      <c r="K35" t="inlineStr"/>
    </row>
    <row r="36">
      <c r="A36" t="inlineStr">
        <is>
          <t>Taiwan</t>
        </is>
      </c>
      <c r="B36" t="inlineStr">
        <is>
          <t>tax_rate_assumption</t>
        </is>
      </c>
      <c r="C36" t="inlineStr">
        <is>
          <t>Tax rate assumption</t>
        </is>
      </c>
      <c r="D36" t="inlineStr">
        <is>
          <t>pressure</t>
        </is>
      </c>
      <c r="E36" t="inlineStr">
        <is>
          <t>yes</t>
        </is>
      </c>
      <c r="F36" t="inlineStr"/>
      <c r="G36" t="inlineStr"/>
      <c r="H36" t="inlineStr"/>
      <c r="I36" t="inlineStr"/>
      <c r="J36" t="inlineStr"/>
      <c r="K36" t="inlineStr"/>
    </row>
    <row r="37">
      <c r="A37" t="inlineStr">
        <is>
          <t>Taiwan</t>
        </is>
      </c>
      <c r="B37" t="inlineStr">
        <is>
          <t>household_debt_proxy</t>
        </is>
      </c>
      <c r="C37" t="inlineStr">
        <is>
          <t>Household debt proxy</t>
        </is>
      </c>
      <c r="D37" t="inlineStr">
        <is>
          <t>pressure</t>
        </is>
      </c>
      <c r="E37" t="inlineStr">
        <is>
          <t>yes</t>
        </is>
      </c>
      <c r="F37" t="inlineStr"/>
      <c r="G37" t="inlineStr"/>
      <c r="H37" t="inlineStr"/>
      <c r="I37" t="inlineStr"/>
      <c r="J37" t="inlineStr"/>
      <c r="K37" t="inlineStr"/>
    </row>
    <row r="38">
      <c r="A38" t="inlineStr">
        <is>
          <t>South Korea</t>
        </is>
      </c>
      <c r="B38" t="inlineStr">
        <is>
          <t>gdp_per_capita_ppp</t>
        </is>
      </c>
      <c r="C38" t="inlineStr">
        <is>
          <t>GDP per capita (PPP)</t>
        </is>
      </c>
      <c r="D38" t="inlineStr">
        <is>
          <t>creative</t>
        </is>
      </c>
      <c r="E38" t="inlineStr">
        <is>
          <t>yes</t>
        </is>
      </c>
      <c r="F38" t="inlineStr">
        <is>
          <t>61051.35</t>
        </is>
      </c>
      <c r="G38" t="inlineStr">
        <is>
          <t>world_bank</t>
        </is>
      </c>
      <c r="H38" t="inlineStr">
        <is>
          <t>https://api.worldbank.org/v2/country/KOR/indicator/NY.GDP.PCAP.PP.CD?format=json&amp;mrv=30</t>
        </is>
      </c>
      <c r="I38" t="inlineStr">
        <is>
          <t>World Bank WDI: GDP per capita, PPP (current international $)</t>
        </is>
      </c>
      <c r="J38" t="inlineStr">
        <is>
          <t>2024-12-31</t>
        </is>
      </c>
      <c r="K38" t="inlineStr">
        <is>
          <t>auto_seed=world_bank_wdi; indicator=NY.GDP.PCAP.PP.CD; observation_year=2024; dataset_lastupdated=2026-02-24; stale=no</t>
        </is>
      </c>
    </row>
    <row r="39">
      <c r="A39" t="inlineStr">
        <is>
          <t>South Korea</t>
        </is>
      </c>
      <c r="B39" t="inlineStr">
        <is>
          <t>gdp_growth</t>
        </is>
      </c>
      <c r="C39" t="inlineStr">
        <is>
          <t>GDP growth</t>
        </is>
      </c>
      <c r="D39" t="inlineStr">
        <is>
          <t>creative</t>
        </is>
      </c>
      <c r="E39" t="inlineStr">
        <is>
          <t>yes</t>
        </is>
      </c>
      <c r="F39" t="inlineStr">
        <is>
          <t>2.0036</t>
        </is>
      </c>
      <c r="G39" t="inlineStr">
        <is>
          <t>world_bank</t>
        </is>
      </c>
      <c r="H39" t="inlineStr">
        <is>
          <t>https://api.worldbank.org/v2/country/KOR/indicator/NY.GDP.MKTP.KD.ZG?format=json&amp;mrv=30</t>
        </is>
      </c>
      <c r="I39" t="inlineStr">
        <is>
          <t>World Bank WDI: GDP growth (annual %)</t>
        </is>
      </c>
      <c r="J39" t="inlineStr">
        <is>
          <t>2024-12-31</t>
        </is>
      </c>
      <c r="K39" t="inlineStr">
        <is>
          <t>auto_seed=world_bank_wdi; indicator=NY.GDP.MKTP.KD.ZG; observation_year=2024; dataset_lastupdated=2026-02-24; stale=no</t>
        </is>
      </c>
    </row>
    <row r="40">
      <c r="A40" t="inlineStr">
        <is>
          <t>South Korea</t>
        </is>
      </c>
      <c r="B40" t="inlineStr">
        <is>
          <t>gini_coefficient</t>
        </is>
      </c>
      <c r="C40" t="inlineStr">
        <is>
          <t>Gini coefficient</t>
        </is>
      </c>
      <c r="D40" t="inlineStr">
        <is>
          <t>capability</t>
        </is>
      </c>
      <c r="E40" t="inlineStr">
        <is>
          <t>yes</t>
        </is>
      </c>
      <c r="F40" t="inlineStr">
        <is>
          <t>32.9</t>
        </is>
      </c>
      <c r="G40" t="inlineStr">
        <is>
          <t>world_bank</t>
        </is>
      </c>
      <c r="H40" t="inlineStr">
        <is>
          <t>https://api.worldbank.org/v2/country/KOR/indicator/SI.POV.GINI?format=json&amp;mrv=30</t>
        </is>
      </c>
      <c r="I40" t="inlineStr">
        <is>
          <t>World Bank WDI: Gini index</t>
        </is>
      </c>
      <c r="J40" t="inlineStr">
        <is>
          <t>2021-12-31</t>
        </is>
      </c>
      <c r="K40" t="inlineStr">
        <is>
          <t>auto_seed=world_bank_wdi; indicator=SI.POV.GINI; observation_year=2021; dataset_lastupdated=2026-02-24; stale=no</t>
        </is>
      </c>
    </row>
    <row r="41">
      <c r="A41" t="inlineStr">
        <is>
          <t>South Korea</t>
        </is>
      </c>
      <c r="B41" t="inlineStr">
        <is>
          <t>ppp_private_consumption</t>
        </is>
      </c>
      <c r="C41" t="inlineStr">
        <is>
          <t>PPP private consumption factor</t>
        </is>
      </c>
      <c r="D41" t="inlineStr">
        <is>
          <t>pressure</t>
        </is>
      </c>
      <c r="E41" t="inlineStr">
        <is>
          <t>yes</t>
        </is>
      </c>
      <c r="F41" t="inlineStr">
        <is>
          <t>872.468736</t>
        </is>
      </c>
      <c r="G41" t="inlineStr">
        <is>
          <t>world_bank</t>
        </is>
      </c>
      <c r="H41" t="inlineStr">
        <is>
          <t>https://api.worldbank.org/v2/country/KOR/indicator/PA.NUS.PRVT.PP?format=json&amp;mrv=30</t>
        </is>
      </c>
      <c r="I41" t="inlineStr">
        <is>
          <t>World Bank WDI: PPP conversion factor, private consumption (LCU per international $)</t>
        </is>
      </c>
      <c r="J41" t="inlineStr">
        <is>
          <t>2024-12-31</t>
        </is>
      </c>
      <c r="K41" t="inlineStr">
        <is>
          <t>auto_seed=world_bank_wdi; indicator=PA.NUS.PRVT.PP; observation_year=2024; dataset_lastupdated=2026-02-24; stale=no</t>
        </is>
      </c>
    </row>
    <row r="42">
      <c r="A42" t="inlineStr">
        <is>
          <t>South Korea</t>
        </is>
      </c>
      <c r="B42" t="inlineStr">
        <is>
          <t>tax_rate_assumption</t>
        </is>
      </c>
      <c r="C42" t="inlineStr">
        <is>
          <t>Tax rate assumption</t>
        </is>
      </c>
      <c r="D42" t="inlineStr">
        <is>
          <t>pressure</t>
        </is>
      </c>
      <c r="E42" t="inlineStr">
        <is>
          <t>yes</t>
        </is>
      </c>
      <c r="F42" t="inlineStr">
        <is>
          <t>0.145991</t>
        </is>
      </c>
      <c r="G42" t="inlineStr">
        <is>
          <t>world_bank</t>
        </is>
      </c>
      <c r="H42" t="inlineStr">
        <is>
          <t>https://api.worldbank.org/v2/country/KOR/indicator/GC.TAX.TOTL.GD.ZS?format=json&amp;mrv=30</t>
        </is>
      </c>
      <c r="I42" t="inlineStr">
        <is>
          <t>World Bank WDI: Tax revenue (% of GDP) used as interim country average tax-take proxy</t>
        </is>
      </c>
      <c r="J42" t="inlineStr">
        <is>
          <t>2023-12-31</t>
        </is>
      </c>
      <c r="K42" t="inlineStr">
        <is>
          <t>auto_seed=world_bank_wdi; proxy=country_average_tax_take_from_tax_revenue_share; indicator=GC.TAX.TOTL.GD.ZS; observation_year=2023; dataset_lastupdated=2026-02-24; stale=no</t>
        </is>
      </c>
    </row>
    <row r="43">
      <c r="A43" t="inlineStr">
        <is>
          <t>South Korea</t>
        </is>
      </c>
      <c r="B43" t="inlineStr">
        <is>
          <t>household_debt_proxy</t>
        </is>
      </c>
      <c r="C43" t="inlineStr">
        <is>
          <t>Household debt proxy</t>
        </is>
      </c>
      <c r="D43" t="inlineStr">
        <is>
          <t>pressure</t>
        </is>
      </c>
      <c r="E43" t="inlineStr">
        <is>
          <t>yes</t>
        </is>
      </c>
      <c r="F43" t="inlineStr">
        <is>
          <t>160.3472</t>
        </is>
      </c>
      <c r="G43" t="inlineStr">
        <is>
          <t>world_bank</t>
        </is>
      </c>
      <c r="H43" t="inlineStr">
        <is>
          <t>https://api.worldbank.org/v2/country/KOR/indicator/FD.AST.PRVT.GD.ZS?format=json&amp;mrv=30</t>
        </is>
      </c>
      <c r="I43" t="inlineStr">
        <is>
          <t>World Bank WDI: Domestic credit to private sector by banks (% of GDP) used as interim leverage proxy</t>
        </is>
      </c>
      <c r="J43" t="inlineStr">
        <is>
          <t>2024-12-31</t>
        </is>
      </c>
      <c r="K43" t="inlineStr">
        <is>
          <t>auto_seed=world_bank_wdi; proxy=broad_private_credit_not_household_only; indicator=FD.AST.PRVT.GD.ZS; observation_year=2024; dataset_lastupdated=2026-02-24; stale=no</t>
        </is>
      </c>
    </row>
    <row r="44">
      <c r="A44" t="inlineStr">
        <is>
          <t>China</t>
        </is>
      </c>
      <c r="B44" t="inlineStr">
        <is>
          <t>gdp_per_capita_ppp</t>
        </is>
      </c>
      <c r="C44" t="inlineStr">
        <is>
          <t>GDP per capita (PPP)</t>
        </is>
      </c>
      <c r="D44" t="inlineStr">
        <is>
          <t>creative</t>
        </is>
      </c>
      <c r="E44" t="inlineStr">
        <is>
          <t>yes</t>
        </is>
      </c>
      <c r="F44" t="inlineStr">
        <is>
          <t>27104.87</t>
        </is>
      </c>
      <c r="G44" t="inlineStr">
        <is>
          <t>world_bank</t>
        </is>
      </c>
      <c r="H44" t="inlineStr">
        <is>
          <t>https://api.worldbank.org/v2/country/CHN/indicator/NY.GDP.PCAP.PP.CD?format=json&amp;mrv=30</t>
        </is>
      </c>
      <c r="I44" t="inlineStr">
        <is>
          <t>World Bank WDI: GDP per capita, PPP (current international $)</t>
        </is>
      </c>
      <c r="J44" t="inlineStr">
        <is>
          <t>2024-12-31</t>
        </is>
      </c>
      <c r="K44" t="inlineStr">
        <is>
          <t>auto_seed=world_bank_wdi; indicator=NY.GDP.PCAP.PP.CD; observation_year=2024; dataset_lastupdated=2026-02-24; stale=no</t>
        </is>
      </c>
    </row>
    <row r="45">
      <c r="A45" t="inlineStr">
        <is>
          <t>China</t>
        </is>
      </c>
      <c r="B45" t="inlineStr">
        <is>
          <t>gdp_growth</t>
        </is>
      </c>
      <c r="C45" t="inlineStr">
        <is>
          <t>GDP growth</t>
        </is>
      </c>
      <c r="D45" t="inlineStr">
        <is>
          <t>creative</t>
        </is>
      </c>
      <c r="E45" t="inlineStr">
        <is>
          <t>yes</t>
        </is>
      </c>
      <c r="F45" t="inlineStr">
        <is>
          <t>4.9774</t>
        </is>
      </c>
      <c r="G45" t="inlineStr">
        <is>
          <t>world_bank</t>
        </is>
      </c>
      <c r="H45" t="inlineStr">
        <is>
          <t>https://api.worldbank.org/v2/country/CHN/indicator/NY.GDP.MKTP.KD.ZG?format=json&amp;mrv=30</t>
        </is>
      </c>
      <c r="I45" t="inlineStr">
        <is>
          <t>World Bank WDI: GDP growth (annual %)</t>
        </is>
      </c>
      <c r="J45" t="inlineStr">
        <is>
          <t>2024-12-31</t>
        </is>
      </c>
      <c r="K45" t="inlineStr">
        <is>
          <t>auto_seed=world_bank_wdi; indicator=NY.GDP.MKTP.KD.ZG; observation_year=2024; dataset_lastupdated=2026-02-24; stale=no</t>
        </is>
      </c>
    </row>
    <row r="46">
      <c r="A46" t="inlineStr">
        <is>
          <t>China</t>
        </is>
      </c>
      <c r="B46" t="inlineStr">
        <is>
          <t>gini_coefficient</t>
        </is>
      </c>
      <c r="C46" t="inlineStr">
        <is>
          <t>Gini coefficient</t>
        </is>
      </c>
      <c r="D46" t="inlineStr">
        <is>
          <t>capability</t>
        </is>
      </c>
      <c r="E46" t="inlineStr">
        <is>
          <t>yes</t>
        </is>
      </c>
      <c r="F46" t="inlineStr">
        <is>
          <t>36</t>
        </is>
      </c>
      <c r="G46" t="inlineStr">
        <is>
          <t>world_bank</t>
        </is>
      </c>
      <c r="H46" t="inlineStr">
        <is>
          <t>https://api.worldbank.org/v2/country/CHN/indicator/SI.POV.GINI?format=json&amp;mrv=30</t>
        </is>
      </c>
      <c r="I46" t="inlineStr">
        <is>
          <t>World Bank WDI: Gini index</t>
        </is>
      </c>
      <c r="J46" t="inlineStr">
        <is>
          <t>2022-12-31</t>
        </is>
      </c>
      <c r="K46" t="inlineStr">
        <is>
          <t>auto_seed=world_bank_wdi; indicator=SI.POV.GINI; observation_year=2022; dataset_lastupdated=2026-02-24; stale=no</t>
        </is>
      </c>
    </row>
    <row r="47">
      <c r="A47" t="inlineStr">
        <is>
          <t>China</t>
        </is>
      </c>
      <c r="B47" t="inlineStr">
        <is>
          <t>ppp_private_consumption</t>
        </is>
      </c>
      <c r="C47" t="inlineStr">
        <is>
          <t>PPP private consumption factor</t>
        </is>
      </c>
      <c r="D47" t="inlineStr">
        <is>
          <t>pressure</t>
        </is>
      </c>
      <c r="E47" t="inlineStr">
        <is>
          <t>yes</t>
        </is>
      </c>
      <c r="F47" t="inlineStr">
        <is>
          <t>3.550789</t>
        </is>
      </c>
      <c r="G47" t="inlineStr">
        <is>
          <t>world_bank</t>
        </is>
      </c>
      <c r="H47" t="inlineStr">
        <is>
          <t>https://api.worldbank.org/v2/country/CHN/indicator/PA.NUS.PRVT.PP?format=json&amp;mrv=30</t>
        </is>
      </c>
      <c r="I47" t="inlineStr">
        <is>
          <t>World Bank WDI: PPP conversion factor, private consumption (LCU per international $)</t>
        </is>
      </c>
      <c r="J47" t="inlineStr">
        <is>
          <t>2024-12-31</t>
        </is>
      </c>
      <c r="K47" t="inlineStr">
        <is>
          <t>auto_seed=world_bank_wdi; indicator=PA.NUS.PRVT.PP; observation_year=2024; dataset_lastupdated=2026-02-24; stale=no</t>
        </is>
      </c>
    </row>
    <row r="48">
      <c r="A48" t="inlineStr">
        <is>
          <t>China</t>
        </is>
      </c>
      <c r="B48" t="inlineStr">
        <is>
          <t>tax_rate_assumption</t>
        </is>
      </c>
      <c r="C48" t="inlineStr">
        <is>
          <t>Tax rate assumption</t>
        </is>
      </c>
      <c r="D48" t="inlineStr">
        <is>
          <t>pressure</t>
        </is>
      </c>
      <c r="E48" t="inlineStr">
        <is>
          <t>yes</t>
        </is>
      </c>
      <c r="F48" t="inlineStr">
        <is>
          <t>0.076382</t>
        </is>
      </c>
      <c r="G48" t="inlineStr">
        <is>
          <t>world_bank</t>
        </is>
      </c>
      <c r="H48" t="inlineStr">
        <is>
          <t>https://api.worldbank.org/v2/country/CHN/indicator/GC.TAX.TOTL.GD.ZS?format=json&amp;mrv=30</t>
        </is>
      </c>
      <c r="I48" t="inlineStr">
        <is>
          <t>World Bank WDI: Tax revenue (% of GDP) used as interim country average tax-take proxy</t>
        </is>
      </c>
      <c r="J48" t="inlineStr">
        <is>
          <t>2023-12-31</t>
        </is>
      </c>
      <c r="K48" t="inlineStr">
        <is>
          <t>auto_seed=world_bank_wdi; proxy=country_average_tax_take_from_tax_revenue_share; indicator=GC.TAX.TOTL.GD.ZS; observation_year=2023; dataset_lastupdated=2026-02-24; stale=no</t>
        </is>
      </c>
    </row>
    <row r="49">
      <c r="A49" t="inlineStr">
        <is>
          <t>China</t>
        </is>
      </c>
      <c r="B49" t="inlineStr">
        <is>
          <t>household_debt_proxy</t>
        </is>
      </c>
      <c r="C49" t="inlineStr">
        <is>
          <t>Household debt proxy</t>
        </is>
      </c>
      <c r="D49" t="inlineStr">
        <is>
          <t>pressure</t>
        </is>
      </c>
      <c r="E49" t="inlineStr">
        <is>
          <t>yes</t>
        </is>
      </c>
      <c r="F49" t="inlineStr">
        <is>
          <t>194.166</t>
        </is>
      </c>
      <c r="G49" t="inlineStr">
        <is>
          <t>world_bank</t>
        </is>
      </c>
      <c r="H49" t="inlineStr">
        <is>
          <t>https://api.worldbank.org/v2/country/CHN/indicator/FD.AST.PRVT.GD.ZS?format=json&amp;mrv=30</t>
        </is>
      </c>
      <c r="I49" t="inlineStr">
        <is>
          <t>World Bank WDI: Domestic credit to private sector by banks (% of GDP) used as interim leverage proxy</t>
        </is>
      </c>
      <c r="J49" t="inlineStr">
        <is>
          <t>2024-12-31</t>
        </is>
      </c>
      <c r="K49" t="inlineStr">
        <is>
          <t>auto_seed=world_bank_wdi; proxy=broad_private_credit_not_household_only; indicator=FD.AST.PRVT.GD.ZS; observation_year=2024; dataset_lastupdated=2026-02-24; stale=no</t>
        </is>
      </c>
    </row>
    <row r="50">
      <c r="A50" t="inlineStr">
        <is>
          <t>Japan</t>
        </is>
      </c>
      <c r="B50" t="inlineStr">
        <is>
          <t>gdp_per_capita_ppp</t>
        </is>
      </c>
      <c r="C50" t="inlineStr">
        <is>
          <t>GDP per capita (PPP)</t>
        </is>
      </c>
      <c r="D50" t="inlineStr">
        <is>
          <t>creative</t>
        </is>
      </c>
      <c r="E50" t="inlineStr">
        <is>
          <t>yes</t>
        </is>
      </c>
      <c r="F50" t="inlineStr">
        <is>
          <t>52039.17</t>
        </is>
      </c>
      <c r="G50" t="inlineStr">
        <is>
          <t>world_bank</t>
        </is>
      </c>
      <c r="H50" t="inlineStr">
        <is>
          <t>https://api.worldbank.org/v2/country/JPN/indicator/NY.GDP.PCAP.PP.CD?format=json&amp;mrv=30</t>
        </is>
      </c>
      <c r="I50" t="inlineStr">
        <is>
          <t>World Bank WDI: GDP per capita, PPP (current international $)</t>
        </is>
      </c>
      <c r="J50" t="inlineStr">
        <is>
          <t>2024-12-31</t>
        </is>
      </c>
      <c r="K50" t="inlineStr">
        <is>
          <t>auto_seed=world_bank_wdi; indicator=NY.GDP.PCAP.PP.CD; observation_year=2024; dataset_lastupdated=2026-02-24; stale=no</t>
        </is>
      </c>
    </row>
    <row r="51">
      <c r="A51" t="inlineStr">
        <is>
          <t>Japan</t>
        </is>
      </c>
      <c r="B51" t="inlineStr">
        <is>
          <t>gdp_growth</t>
        </is>
      </c>
      <c r="C51" t="inlineStr">
        <is>
          <t>GDP growth</t>
        </is>
      </c>
      <c r="D51" t="inlineStr">
        <is>
          <t>creative</t>
        </is>
      </c>
      <c r="E51" t="inlineStr">
        <is>
          <t>yes</t>
        </is>
      </c>
      <c r="F51" t="inlineStr">
        <is>
          <t>0.1043</t>
        </is>
      </c>
      <c r="G51" t="inlineStr">
        <is>
          <t>world_bank</t>
        </is>
      </c>
      <c r="H51" t="inlineStr">
        <is>
          <t>https://api.worldbank.org/v2/country/JPN/indicator/NY.GDP.MKTP.KD.ZG?format=json&amp;mrv=30</t>
        </is>
      </c>
      <c r="I51" t="inlineStr">
        <is>
          <t>World Bank WDI: GDP growth (annual %)</t>
        </is>
      </c>
      <c r="J51" t="inlineStr">
        <is>
          <t>2024-12-31</t>
        </is>
      </c>
      <c r="K51" t="inlineStr">
        <is>
          <t>auto_seed=world_bank_wdi; indicator=NY.GDP.MKTP.KD.ZG; observation_year=2024; dataset_lastupdated=2026-02-24; stale=no</t>
        </is>
      </c>
    </row>
    <row r="52">
      <c r="A52" t="inlineStr">
        <is>
          <t>Japan</t>
        </is>
      </c>
      <c r="B52" t="inlineStr">
        <is>
          <t>gini_coefficient</t>
        </is>
      </c>
      <c r="C52" t="inlineStr">
        <is>
          <t>Gini coefficient</t>
        </is>
      </c>
      <c r="D52" t="inlineStr">
        <is>
          <t>capability</t>
        </is>
      </c>
      <c r="E52" t="inlineStr">
        <is>
          <t>yes</t>
        </is>
      </c>
      <c r="F52" t="inlineStr">
        <is>
          <t>32.3</t>
        </is>
      </c>
      <c r="G52" t="inlineStr">
        <is>
          <t>world_bank</t>
        </is>
      </c>
      <c r="H52" t="inlineStr">
        <is>
          <t>https://api.worldbank.org/v2/country/JPN/indicator/SI.POV.GINI?format=json&amp;mrv=30</t>
        </is>
      </c>
      <c r="I52" t="inlineStr">
        <is>
          <t>World Bank WDI: Gini index</t>
        </is>
      </c>
      <c r="J52" t="inlineStr">
        <is>
          <t>2020-12-31</t>
        </is>
      </c>
      <c r="K52" t="inlineStr">
        <is>
          <t>auto_seed=world_bank_wdi; indicator=SI.POV.GINI; observation_year=2020; dataset_lastupdated=2026-02-24; stale=no</t>
        </is>
      </c>
    </row>
    <row r="53">
      <c r="A53" t="inlineStr">
        <is>
          <t>Japan</t>
        </is>
      </c>
      <c r="B53" t="inlineStr">
        <is>
          <t>ppp_private_consumption</t>
        </is>
      </c>
      <c r="C53" t="inlineStr">
        <is>
          <t>PPP private consumption factor</t>
        </is>
      </c>
      <c r="D53" t="inlineStr">
        <is>
          <t>pressure</t>
        </is>
      </c>
      <c r="E53" t="inlineStr">
        <is>
          <t>yes</t>
        </is>
      </c>
      <c r="F53" t="inlineStr">
        <is>
          <t>99.384798</t>
        </is>
      </c>
      <c r="G53" t="inlineStr">
        <is>
          <t>world_bank</t>
        </is>
      </c>
      <c r="H53" t="inlineStr">
        <is>
          <t>https://api.worldbank.org/v2/country/JPN/indicator/PA.NUS.PRVT.PP?format=json&amp;mrv=30</t>
        </is>
      </c>
      <c r="I53" t="inlineStr">
        <is>
          <t>World Bank WDI: PPP conversion factor, private consumption (LCU per international $)</t>
        </is>
      </c>
      <c r="J53" t="inlineStr">
        <is>
          <t>2024-12-31</t>
        </is>
      </c>
      <c r="K53" t="inlineStr">
        <is>
          <t>auto_seed=world_bank_wdi; indicator=PA.NUS.PRVT.PP; observation_year=2024; dataset_lastupdated=2026-02-24; stale=no</t>
        </is>
      </c>
    </row>
    <row r="54">
      <c r="A54" t="inlineStr">
        <is>
          <t>Japan</t>
        </is>
      </c>
      <c r="B54" t="inlineStr">
        <is>
          <t>tax_rate_assumption</t>
        </is>
      </c>
      <c r="C54" t="inlineStr">
        <is>
          <t>Tax rate assumption</t>
        </is>
      </c>
      <c r="D54" t="inlineStr">
        <is>
          <t>pressure</t>
        </is>
      </c>
      <c r="E54" t="inlineStr">
        <is>
          <t>yes</t>
        </is>
      </c>
      <c r="F54" t="inlineStr"/>
      <c r="G54" t="inlineStr"/>
      <c r="H54" t="inlineStr"/>
      <c r="I54" t="inlineStr"/>
      <c r="J54" t="inlineStr"/>
      <c r="K54" t="inlineStr"/>
    </row>
    <row r="55">
      <c r="A55" t="inlineStr">
        <is>
          <t>Japan</t>
        </is>
      </c>
      <c r="B55" t="inlineStr">
        <is>
          <t>household_debt_proxy</t>
        </is>
      </c>
      <c r="C55" t="inlineStr">
        <is>
          <t>Household debt proxy</t>
        </is>
      </c>
      <c r="D55" t="inlineStr">
        <is>
          <t>pressure</t>
        </is>
      </c>
      <c r="E55" t="inlineStr">
        <is>
          <t>yes</t>
        </is>
      </c>
      <c r="F55" t="inlineStr">
        <is>
          <t>123.1289</t>
        </is>
      </c>
      <c r="G55" t="inlineStr">
        <is>
          <t>world_bank</t>
        </is>
      </c>
      <c r="H55" t="inlineStr">
        <is>
          <t>https://api.worldbank.org/v2/country/JPN/indicator/FD.AST.PRVT.GD.ZS?format=json&amp;mrv=30</t>
        </is>
      </c>
      <c r="I55" t="inlineStr">
        <is>
          <t>World Bank WDI: Domestic credit to private sector by banks (% of GDP) used as interim leverage proxy</t>
        </is>
      </c>
      <c r="J55" t="inlineStr">
        <is>
          <t>2024-12-31</t>
        </is>
      </c>
      <c r="K55" t="inlineStr">
        <is>
          <t>auto_seed=world_bank_wdi; proxy=broad_private_credit_not_household_only; indicator=FD.AST.PRVT.GD.ZS; observation_year=2024; dataset_lastupdated=2026-02-24; stale=no</t>
        </is>
      </c>
    </row>
    <row r="56">
      <c r="A56" t="inlineStr">
        <is>
          <t>India</t>
        </is>
      </c>
      <c r="B56" t="inlineStr">
        <is>
          <t>gdp_per_capita_ppp</t>
        </is>
      </c>
      <c r="C56" t="inlineStr">
        <is>
          <t>GDP per capita (PPP)</t>
        </is>
      </c>
      <c r="D56" t="inlineStr">
        <is>
          <t>creative</t>
        </is>
      </c>
      <c r="E56" t="inlineStr">
        <is>
          <t>yes</t>
        </is>
      </c>
      <c r="F56" t="inlineStr">
        <is>
          <t>11159.99</t>
        </is>
      </c>
      <c r="G56" t="inlineStr">
        <is>
          <t>world_bank</t>
        </is>
      </c>
      <c r="H56" t="inlineStr">
        <is>
          <t>https://api.worldbank.org/v2/country/IND/indicator/NY.GDP.PCAP.PP.CD?format=json&amp;mrv=30</t>
        </is>
      </c>
      <c r="I56" t="inlineStr">
        <is>
          <t>World Bank WDI: GDP per capita, PPP (current international $)</t>
        </is>
      </c>
      <c r="J56" t="inlineStr">
        <is>
          <t>2024-12-31</t>
        </is>
      </c>
      <c r="K56" t="inlineStr">
        <is>
          <t>auto_seed=world_bank_wdi; indicator=NY.GDP.PCAP.PP.CD; observation_year=2024; dataset_lastupdated=2026-02-24; stale=no</t>
        </is>
      </c>
    </row>
    <row r="57">
      <c r="A57" t="inlineStr">
        <is>
          <t>India</t>
        </is>
      </c>
      <c r="B57" t="inlineStr">
        <is>
          <t>gdp_growth</t>
        </is>
      </c>
      <c r="C57" t="inlineStr">
        <is>
          <t>GDP growth</t>
        </is>
      </c>
      <c r="D57" t="inlineStr">
        <is>
          <t>creative</t>
        </is>
      </c>
      <c r="E57" t="inlineStr">
        <is>
          <t>yes</t>
        </is>
      </c>
      <c r="F57" t="inlineStr">
        <is>
          <t>6.4948</t>
        </is>
      </c>
      <c r="G57" t="inlineStr">
        <is>
          <t>world_bank</t>
        </is>
      </c>
      <c r="H57" t="inlineStr">
        <is>
          <t>https://api.worldbank.org/v2/country/IND/indicator/NY.GDP.MKTP.KD.ZG?format=json&amp;mrv=30</t>
        </is>
      </c>
      <c r="I57" t="inlineStr">
        <is>
          <t>World Bank WDI: GDP growth (annual %)</t>
        </is>
      </c>
      <c r="J57" t="inlineStr">
        <is>
          <t>2024-12-31</t>
        </is>
      </c>
      <c r="K57" t="inlineStr">
        <is>
          <t>auto_seed=world_bank_wdi; indicator=NY.GDP.MKTP.KD.ZG; observation_year=2024; dataset_lastupdated=2026-02-24; stale=no</t>
        </is>
      </c>
    </row>
    <row r="58">
      <c r="A58" t="inlineStr">
        <is>
          <t>India</t>
        </is>
      </c>
      <c r="B58" t="inlineStr">
        <is>
          <t>gini_coefficient</t>
        </is>
      </c>
      <c r="C58" t="inlineStr">
        <is>
          <t>Gini coefficient</t>
        </is>
      </c>
      <c r="D58" t="inlineStr">
        <is>
          <t>capability</t>
        </is>
      </c>
      <c r="E58" t="inlineStr">
        <is>
          <t>yes</t>
        </is>
      </c>
      <c r="F58" t="inlineStr">
        <is>
          <t>25.5</t>
        </is>
      </c>
      <c r="G58" t="inlineStr">
        <is>
          <t>world_bank</t>
        </is>
      </c>
      <c r="H58" t="inlineStr">
        <is>
          <t>https://api.worldbank.org/v2/country/IND/indicator/SI.POV.GINI?format=json&amp;mrv=30</t>
        </is>
      </c>
      <c r="I58" t="inlineStr">
        <is>
          <t>World Bank WDI: Gini index</t>
        </is>
      </c>
      <c r="J58" t="inlineStr">
        <is>
          <t>2022-12-31</t>
        </is>
      </c>
      <c r="K58" t="inlineStr">
        <is>
          <t>auto_seed=world_bank_wdi; indicator=SI.POV.GINI; observation_year=2022; dataset_lastupdated=2026-02-24; stale=no</t>
        </is>
      </c>
    </row>
    <row r="59">
      <c r="A59" t="inlineStr">
        <is>
          <t>India</t>
        </is>
      </c>
      <c r="B59" t="inlineStr">
        <is>
          <t>ppp_private_consumption</t>
        </is>
      </c>
      <c r="C59" t="inlineStr">
        <is>
          <t>PPP private consumption factor</t>
        </is>
      </c>
      <c r="D59" t="inlineStr">
        <is>
          <t>pressure</t>
        </is>
      </c>
      <c r="E59" t="inlineStr">
        <is>
          <t>yes</t>
        </is>
      </c>
      <c r="F59" t="inlineStr">
        <is>
          <t>19.896916</t>
        </is>
      </c>
      <c r="G59" t="inlineStr">
        <is>
          <t>world_bank</t>
        </is>
      </c>
      <c r="H59" t="inlineStr">
        <is>
          <t>https://api.worldbank.org/v2/country/IND/indicator/PA.NUS.PRVT.PP?format=json&amp;mrv=30</t>
        </is>
      </c>
      <c r="I59" t="inlineStr">
        <is>
          <t>World Bank WDI: PPP conversion factor, private consumption (LCU per international $)</t>
        </is>
      </c>
      <c r="J59" t="inlineStr">
        <is>
          <t>2024-12-31</t>
        </is>
      </c>
      <c r="K59" t="inlineStr">
        <is>
          <t>auto_seed=world_bank_wdi; indicator=PA.NUS.PRVT.PP; observation_year=2024; dataset_lastupdated=2026-02-24; stale=no</t>
        </is>
      </c>
    </row>
    <row r="60">
      <c r="A60" t="inlineStr">
        <is>
          <t>India</t>
        </is>
      </c>
      <c r="B60" t="inlineStr">
        <is>
          <t>tax_rate_assumption</t>
        </is>
      </c>
      <c r="C60" t="inlineStr">
        <is>
          <t>Tax rate assumption</t>
        </is>
      </c>
      <c r="D60" t="inlineStr">
        <is>
          <t>pressure</t>
        </is>
      </c>
      <c r="E60" t="inlineStr">
        <is>
          <t>yes</t>
        </is>
      </c>
      <c r="F60" t="inlineStr">
        <is>
          <t>0.067344</t>
        </is>
      </c>
      <c r="G60" t="inlineStr">
        <is>
          <t>world_bank</t>
        </is>
      </c>
      <c r="H60" t="inlineStr">
        <is>
          <t>https://api.worldbank.org/v2/country/IND/indicator/GC.TAX.TOTL.GD.ZS?format=json&amp;mrv=30</t>
        </is>
      </c>
      <c r="I60" t="inlineStr">
        <is>
          <t>World Bank WDI: Tax revenue (% of GDP) used as interim country average tax-take proxy</t>
        </is>
      </c>
      <c r="J60" t="inlineStr">
        <is>
          <t>2022-12-31</t>
        </is>
      </c>
      <c r="K60" t="inlineStr">
        <is>
          <t>auto_seed=world_bank_wdi; proxy=country_average_tax_take_from_tax_revenue_share; indicator=GC.TAX.TOTL.GD.ZS; observation_year=2022; dataset_lastupdated=2026-02-24; stale=no</t>
        </is>
      </c>
    </row>
    <row r="61">
      <c r="A61" t="inlineStr">
        <is>
          <t>India</t>
        </is>
      </c>
      <c r="B61" t="inlineStr">
        <is>
          <t>household_debt_proxy</t>
        </is>
      </c>
      <c r="C61" t="inlineStr">
        <is>
          <t>Household debt proxy</t>
        </is>
      </c>
      <c r="D61" t="inlineStr">
        <is>
          <t>pressure</t>
        </is>
      </c>
      <c r="E61" t="inlineStr">
        <is>
          <t>yes</t>
        </is>
      </c>
      <c r="F61" t="inlineStr">
        <is>
          <t>50.1422</t>
        </is>
      </c>
      <c r="G61" t="inlineStr">
        <is>
          <t>world_bank</t>
        </is>
      </c>
      <c r="H61" t="inlineStr">
        <is>
          <t>https://api.worldbank.org/v2/country/IND/indicator/FD.AST.PRVT.GD.ZS?format=json&amp;mrv=30</t>
        </is>
      </c>
      <c r="I61" t="inlineStr">
        <is>
          <t>World Bank WDI: Domestic credit to private sector by banks (% of GDP) used as interim leverage proxy</t>
        </is>
      </c>
      <c r="J61" t="inlineStr">
        <is>
          <t>2021-12-31</t>
        </is>
      </c>
      <c r="K61" t="inlineStr">
        <is>
          <t>auto_seed=world_bank_wdi; proxy=broad_private_credit_not_household_only; indicator=FD.AST.PRVT.GD.ZS; observation_year=2021; dataset_lastupdated=2026-02-24; stale=no</t>
        </is>
      </c>
    </row>
    <row r="62">
      <c r="A62" t="inlineStr">
        <is>
          <t>Sri Lanka</t>
        </is>
      </c>
      <c r="B62" t="inlineStr">
        <is>
          <t>gdp_per_capita_ppp</t>
        </is>
      </c>
      <c r="C62" t="inlineStr">
        <is>
          <t>GDP per capita (PPP)</t>
        </is>
      </c>
      <c r="D62" t="inlineStr">
        <is>
          <t>creative</t>
        </is>
      </c>
      <c r="E62" t="inlineStr">
        <is>
          <t>yes</t>
        </is>
      </c>
      <c r="F62" t="inlineStr">
        <is>
          <t>15632.59</t>
        </is>
      </c>
      <c r="G62" t="inlineStr">
        <is>
          <t>world_bank</t>
        </is>
      </c>
      <c r="H62" t="inlineStr">
        <is>
          <t>https://api.worldbank.org/v2/country/LKA/indicator/NY.GDP.PCAP.PP.CD?format=json&amp;mrv=30</t>
        </is>
      </c>
      <c r="I62" t="inlineStr">
        <is>
          <t>World Bank WDI: GDP per capita, PPP (current international $)</t>
        </is>
      </c>
      <c r="J62" t="inlineStr">
        <is>
          <t>2024-12-31</t>
        </is>
      </c>
      <c r="K62" t="inlineStr">
        <is>
          <t>auto_seed=world_bank_wdi; indicator=NY.GDP.PCAP.PP.CD; observation_year=2024; dataset_lastupdated=2026-02-24; stale=no</t>
        </is>
      </c>
    </row>
    <row r="63">
      <c r="A63" t="inlineStr">
        <is>
          <t>Sri Lanka</t>
        </is>
      </c>
      <c r="B63" t="inlineStr">
        <is>
          <t>gdp_growth</t>
        </is>
      </c>
      <c r="C63" t="inlineStr">
        <is>
          <t>GDP growth</t>
        </is>
      </c>
      <c r="D63" t="inlineStr">
        <is>
          <t>creative</t>
        </is>
      </c>
      <c r="E63" t="inlineStr">
        <is>
          <t>yes</t>
        </is>
      </c>
      <c r="F63" t="inlineStr">
        <is>
          <t>5.0087</t>
        </is>
      </c>
      <c r="G63" t="inlineStr">
        <is>
          <t>world_bank</t>
        </is>
      </c>
      <c r="H63" t="inlineStr">
        <is>
          <t>https://api.worldbank.org/v2/country/LKA/indicator/NY.GDP.MKTP.KD.ZG?format=json&amp;mrv=30</t>
        </is>
      </c>
      <c r="I63" t="inlineStr">
        <is>
          <t>World Bank WDI: GDP growth (annual %)</t>
        </is>
      </c>
      <c r="J63" t="inlineStr">
        <is>
          <t>2024-12-31</t>
        </is>
      </c>
      <c r="K63" t="inlineStr">
        <is>
          <t>auto_seed=world_bank_wdi; indicator=NY.GDP.MKTP.KD.ZG; observation_year=2024; dataset_lastupdated=2026-02-24; stale=no</t>
        </is>
      </c>
    </row>
    <row r="64">
      <c r="A64" t="inlineStr">
        <is>
          <t>Sri Lanka</t>
        </is>
      </c>
      <c r="B64" t="inlineStr">
        <is>
          <t>gini_coefficient</t>
        </is>
      </c>
      <c r="C64" t="inlineStr">
        <is>
          <t>Gini coefficient</t>
        </is>
      </c>
      <c r="D64" t="inlineStr">
        <is>
          <t>capability</t>
        </is>
      </c>
      <c r="E64" t="inlineStr">
        <is>
          <t>yes</t>
        </is>
      </c>
      <c r="F64" t="inlineStr">
        <is>
          <t>37.7</t>
        </is>
      </c>
      <c r="G64" t="inlineStr">
        <is>
          <t>world_bank</t>
        </is>
      </c>
      <c r="H64" t="inlineStr">
        <is>
          <t>https://api.worldbank.org/v2/country/LKA/indicator/SI.POV.GINI?format=json&amp;mrv=30</t>
        </is>
      </c>
      <c r="I64" t="inlineStr">
        <is>
          <t>World Bank WDI: Gini index</t>
        </is>
      </c>
      <c r="J64" t="inlineStr">
        <is>
          <t>2019-12-31</t>
        </is>
      </c>
      <c r="K64" t="inlineStr">
        <is>
          <t>auto_seed=world_bank_wdi; indicator=SI.POV.GINI; observation_year=2019; dataset_lastupdated=2026-02-24; stale=no</t>
        </is>
      </c>
    </row>
    <row r="65">
      <c r="A65" t="inlineStr">
        <is>
          <t>Sri Lanka</t>
        </is>
      </c>
      <c r="B65" t="inlineStr">
        <is>
          <t>ppp_private_consumption</t>
        </is>
      </c>
      <c r="C65" t="inlineStr">
        <is>
          <t>PPP private consumption factor</t>
        </is>
      </c>
      <c r="D65" t="inlineStr">
        <is>
          <t>pressure</t>
        </is>
      </c>
      <c r="E65" t="inlineStr">
        <is>
          <t>yes</t>
        </is>
      </c>
      <c r="F65" t="inlineStr">
        <is>
          <t>87.489315</t>
        </is>
      </c>
      <c r="G65" t="inlineStr">
        <is>
          <t>world_bank</t>
        </is>
      </c>
      <c r="H65" t="inlineStr">
        <is>
          <t>https://api.worldbank.org/v2/country/LKA/indicator/PA.NUS.PRVT.PP?format=json&amp;mrv=30</t>
        </is>
      </c>
      <c r="I65" t="inlineStr">
        <is>
          <t>World Bank WDI: PPP conversion factor, private consumption (LCU per international $)</t>
        </is>
      </c>
      <c r="J65" t="inlineStr">
        <is>
          <t>2024-12-31</t>
        </is>
      </c>
      <c r="K65" t="inlineStr">
        <is>
          <t>auto_seed=world_bank_wdi; indicator=PA.NUS.PRVT.PP; observation_year=2024; dataset_lastupdated=2026-02-24; stale=no</t>
        </is>
      </c>
    </row>
    <row r="66">
      <c r="A66" t="inlineStr">
        <is>
          <t>Sri Lanka</t>
        </is>
      </c>
      <c r="B66" t="inlineStr">
        <is>
          <t>tax_rate_assumption</t>
        </is>
      </c>
      <c r="C66" t="inlineStr">
        <is>
          <t>Tax rate assumption</t>
        </is>
      </c>
      <c r="D66" t="inlineStr">
        <is>
          <t>pressure</t>
        </is>
      </c>
      <c r="E66" t="inlineStr">
        <is>
          <t>yes</t>
        </is>
      </c>
      <c r="F66" t="inlineStr">
        <is>
          <t>0.099219</t>
        </is>
      </c>
      <c r="G66" t="inlineStr">
        <is>
          <t>world_bank</t>
        </is>
      </c>
      <c r="H66" t="inlineStr">
        <is>
          <t>https://api.worldbank.org/v2/country/LKA/indicator/GC.TAX.TOTL.GD.ZS?format=json&amp;mrv=30</t>
        </is>
      </c>
      <c r="I66" t="inlineStr">
        <is>
          <t>World Bank WDI: Tax revenue (% of GDP) used as interim country average tax-take proxy</t>
        </is>
      </c>
      <c r="J66" t="inlineStr">
        <is>
          <t>2023-12-31</t>
        </is>
      </c>
      <c r="K66" t="inlineStr">
        <is>
          <t>auto_seed=world_bank_wdi; proxy=country_average_tax_take_from_tax_revenue_share; indicator=GC.TAX.TOTL.GD.ZS; observation_year=2023; dataset_lastupdated=2026-02-24; stale=no</t>
        </is>
      </c>
    </row>
    <row r="67">
      <c r="A67" t="inlineStr">
        <is>
          <t>Sri Lanka</t>
        </is>
      </c>
      <c r="B67" t="inlineStr">
        <is>
          <t>household_debt_proxy</t>
        </is>
      </c>
      <c r="C67" t="inlineStr">
        <is>
          <t>Household debt proxy</t>
        </is>
      </c>
      <c r="D67" t="inlineStr">
        <is>
          <t>pressure</t>
        </is>
      </c>
      <c r="E67" t="inlineStr">
        <is>
          <t>yes</t>
        </is>
      </c>
      <c r="F67" t="inlineStr">
        <is>
          <t>46.8716</t>
        </is>
      </c>
      <c r="G67" t="inlineStr">
        <is>
          <t>world_bank</t>
        </is>
      </c>
      <c r="H67" t="inlineStr">
        <is>
          <t>https://api.worldbank.org/v2/country/LKA/indicator/FD.AST.PRVT.GD.ZS?format=json&amp;mrv=30</t>
        </is>
      </c>
      <c r="I67" t="inlineStr">
        <is>
          <t>World Bank WDI: Domestic credit to private sector by banks (% of GDP) used as interim leverage proxy</t>
        </is>
      </c>
      <c r="J67" t="inlineStr">
        <is>
          <t>2019-12-31</t>
        </is>
      </c>
      <c r="K67" t="inlineStr">
        <is>
          <t>auto_seed=world_bank_wdi; proxy=broad_private_credit_not_household_only; indicator=FD.AST.PRVT.GD.ZS; observation_year=2019; dataset_lastupdated=2026-02-24; stale=yes</t>
        </is>
      </c>
    </row>
    <row r="68">
      <c r="A68" t="inlineStr">
        <is>
          <t>Bangladesh</t>
        </is>
      </c>
      <c r="B68" t="inlineStr">
        <is>
          <t>gdp_per_capita_ppp</t>
        </is>
      </c>
      <c r="C68" t="inlineStr">
        <is>
          <t>GDP per capita (PPP)</t>
        </is>
      </c>
      <c r="D68" t="inlineStr">
        <is>
          <t>creative</t>
        </is>
      </c>
      <c r="E68" t="inlineStr">
        <is>
          <t>yes</t>
        </is>
      </c>
      <c r="F68" t="inlineStr">
        <is>
          <t>9646.77</t>
        </is>
      </c>
      <c r="G68" t="inlineStr">
        <is>
          <t>world_bank</t>
        </is>
      </c>
      <c r="H68" t="inlineStr">
        <is>
          <t>https://api.worldbank.org/v2/country/BGD/indicator/NY.GDP.PCAP.PP.CD?format=json&amp;mrv=30</t>
        </is>
      </c>
      <c r="I68" t="inlineStr">
        <is>
          <t>World Bank WDI: GDP per capita, PPP (current international $)</t>
        </is>
      </c>
      <c r="J68" t="inlineStr">
        <is>
          <t>2024-12-31</t>
        </is>
      </c>
      <c r="K68" t="inlineStr">
        <is>
          <t>auto_seed=world_bank_wdi; indicator=NY.GDP.PCAP.PP.CD; observation_year=2024; dataset_lastupdated=2026-02-24; stale=no</t>
        </is>
      </c>
    </row>
    <row r="69">
      <c r="A69" t="inlineStr">
        <is>
          <t>Bangladesh</t>
        </is>
      </c>
      <c r="B69" t="inlineStr">
        <is>
          <t>gdp_growth</t>
        </is>
      </c>
      <c r="C69" t="inlineStr">
        <is>
          <t>GDP growth</t>
        </is>
      </c>
      <c r="D69" t="inlineStr">
        <is>
          <t>creative</t>
        </is>
      </c>
      <c r="E69" t="inlineStr">
        <is>
          <t>yes</t>
        </is>
      </c>
      <c r="F69" t="inlineStr">
        <is>
          <t>4.2233</t>
        </is>
      </c>
      <c r="G69" t="inlineStr">
        <is>
          <t>world_bank</t>
        </is>
      </c>
      <c r="H69" t="inlineStr">
        <is>
          <t>https://api.worldbank.org/v2/country/BGD/indicator/NY.GDP.MKTP.KD.ZG?format=json&amp;mrv=30</t>
        </is>
      </c>
      <c r="I69" t="inlineStr">
        <is>
          <t>World Bank WDI: GDP growth (annual %)</t>
        </is>
      </c>
      <c r="J69" t="inlineStr">
        <is>
          <t>2024-12-31</t>
        </is>
      </c>
      <c r="K69" t="inlineStr">
        <is>
          <t>auto_seed=world_bank_wdi; indicator=NY.GDP.MKTP.KD.ZG; observation_year=2024; dataset_lastupdated=2026-02-24; stale=no</t>
        </is>
      </c>
    </row>
    <row r="70">
      <c r="A70" t="inlineStr">
        <is>
          <t>Bangladesh</t>
        </is>
      </c>
      <c r="B70" t="inlineStr">
        <is>
          <t>gini_coefficient</t>
        </is>
      </c>
      <c r="C70" t="inlineStr">
        <is>
          <t>Gini coefficient</t>
        </is>
      </c>
      <c r="D70" t="inlineStr">
        <is>
          <t>capability</t>
        </is>
      </c>
      <c r="E70" t="inlineStr">
        <is>
          <t>yes</t>
        </is>
      </c>
      <c r="F70" t="inlineStr">
        <is>
          <t>30.9</t>
        </is>
      </c>
      <c r="G70" t="inlineStr">
        <is>
          <t>world_bank</t>
        </is>
      </c>
      <c r="H70" t="inlineStr">
        <is>
          <t>https://api.worldbank.org/v2/country/BGD/indicator/SI.POV.GINI?format=json&amp;mrv=30</t>
        </is>
      </c>
      <c r="I70" t="inlineStr">
        <is>
          <t>World Bank WDI: Gini index</t>
        </is>
      </c>
      <c r="J70" t="inlineStr">
        <is>
          <t>2022-12-31</t>
        </is>
      </c>
      <c r="K70" t="inlineStr">
        <is>
          <t>auto_seed=world_bank_wdi; indicator=SI.POV.GINI; observation_year=2022; dataset_lastupdated=2026-02-24; stale=no</t>
        </is>
      </c>
    </row>
    <row r="71">
      <c r="A71" t="inlineStr">
        <is>
          <t>Bangladesh</t>
        </is>
      </c>
      <c r="B71" t="inlineStr">
        <is>
          <t>ppp_private_consumption</t>
        </is>
      </c>
      <c r="C71" t="inlineStr">
        <is>
          <t>PPP private consumption factor</t>
        </is>
      </c>
      <c r="D71" t="inlineStr">
        <is>
          <t>pressure</t>
        </is>
      </c>
      <c r="E71" t="inlineStr">
        <is>
          <t>yes</t>
        </is>
      </c>
      <c r="F71" t="inlineStr">
        <is>
          <t>32.990539</t>
        </is>
      </c>
      <c r="G71" t="inlineStr">
        <is>
          <t>world_bank</t>
        </is>
      </c>
      <c r="H71" t="inlineStr">
        <is>
          <t>https://api.worldbank.org/v2/country/BGD/indicator/PA.NUS.PRVT.PP?format=json&amp;mrv=30</t>
        </is>
      </c>
      <c r="I71" t="inlineStr">
        <is>
          <t>World Bank WDI: PPP conversion factor, private consumption (LCU per international $)</t>
        </is>
      </c>
      <c r="J71" t="inlineStr">
        <is>
          <t>2024-12-31</t>
        </is>
      </c>
      <c r="K71" t="inlineStr">
        <is>
          <t>auto_seed=world_bank_wdi; indicator=PA.NUS.PRVT.PP; observation_year=2024; dataset_lastupdated=2026-02-24; stale=no</t>
        </is>
      </c>
    </row>
    <row r="72">
      <c r="A72" t="inlineStr">
        <is>
          <t>Bangladesh</t>
        </is>
      </c>
      <c r="B72" t="inlineStr">
        <is>
          <t>tax_rate_assumption</t>
        </is>
      </c>
      <c r="C72" t="inlineStr">
        <is>
          <t>Tax rate assumption</t>
        </is>
      </c>
      <c r="D72" t="inlineStr">
        <is>
          <t>pressure</t>
        </is>
      </c>
      <c r="E72" t="inlineStr">
        <is>
          <t>yes</t>
        </is>
      </c>
      <c r="F72" t="inlineStr">
        <is>
          <t>0.076424</t>
        </is>
      </c>
      <c r="G72" t="inlineStr">
        <is>
          <t>world_bank</t>
        </is>
      </c>
      <c r="H72" t="inlineStr">
        <is>
          <t>https://api.worldbank.org/v2/country/BGD/indicator/GC.TAX.TOTL.GD.ZS?format=json&amp;mrv=30</t>
        </is>
      </c>
      <c r="I72" t="inlineStr">
        <is>
          <t>World Bank WDI: Tax revenue (% of GDP) used as interim country average tax-take proxy</t>
        </is>
      </c>
      <c r="J72" t="inlineStr">
        <is>
          <t>2021-12-31</t>
        </is>
      </c>
      <c r="K72" t="inlineStr">
        <is>
          <t>auto_seed=world_bank_wdi; proxy=country_average_tax_take_from_tax_revenue_share; indicator=GC.TAX.TOTL.GD.ZS; observation_year=2021; dataset_lastupdated=2026-02-24; stale=no</t>
        </is>
      </c>
    </row>
    <row r="73">
      <c r="A73" t="inlineStr">
        <is>
          <t>Bangladesh</t>
        </is>
      </c>
      <c r="B73" t="inlineStr">
        <is>
          <t>household_debt_proxy</t>
        </is>
      </c>
      <c r="C73" t="inlineStr">
        <is>
          <t>Household debt proxy</t>
        </is>
      </c>
      <c r="D73" t="inlineStr">
        <is>
          <t>pressure</t>
        </is>
      </c>
      <c r="E73" t="inlineStr">
        <is>
          <t>yes</t>
        </is>
      </c>
      <c r="F73" t="inlineStr">
        <is>
          <t>35.7061</t>
        </is>
      </c>
      <c r="G73" t="inlineStr">
        <is>
          <t>world_bank</t>
        </is>
      </c>
      <c r="H73" t="inlineStr">
        <is>
          <t>https://api.worldbank.org/v2/country/BGD/indicator/FD.AST.PRVT.GD.ZS?format=json&amp;mrv=30</t>
        </is>
      </c>
      <c r="I73" t="inlineStr">
        <is>
          <t>World Bank WDI: Domestic credit to private sector by banks (% of GDP) used as interim leverage proxy</t>
        </is>
      </c>
      <c r="J73" t="inlineStr">
        <is>
          <t>2024-12-31</t>
        </is>
      </c>
      <c r="K73" t="inlineStr">
        <is>
          <t>auto_seed=world_bank_wdi; proxy=broad_private_credit_not_household_only; indicator=FD.AST.PRVT.GD.ZS; observation_year=2024; dataset_lastupdated=2026-02-24; stale=no</t>
        </is>
      </c>
    </row>
    <row r="74">
      <c r="A74" t="inlineStr">
        <is>
          <t>Pakistan</t>
        </is>
      </c>
      <c r="B74" t="inlineStr">
        <is>
          <t>gdp_per_capita_ppp</t>
        </is>
      </c>
      <c r="C74" t="inlineStr">
        <is>
          <t>GDP per capita (PPP)</t>
        </is>
      </c>
      <c r="D74" t="inlineStr">
        <is>
          <t>creative</t>
        </is>
      </c>
      <c r="E74" t="inlineStr">
        <is>
          <t>yes</t>
        </is>
      </c>
      <c r="F74" t="inlineStr">
        <is>
          <t>6252.12</t>
        </is>
      </c>
      <c r="G74" t="inlineStr">
        <is>
          <t>world_bank</t>
        </is>
      </c>
      <c r="H74" t="inlineStr">
        <is>
          <t>https://api.worldbank.org/v2/country/PAK/indicator/NY.GDP.PCAP.PP.CD?format=json&amp;mrv=30</t>
        </is>
      </c>
      <c r="I74" t="inlineStr">
        <is>
          <t>World Bank WDI: GDP per capita, PPP (current international $)</t>
        </is>
      </c>
      <c r="J74" t="inlineStr">
        <is>
          <t>2024-12-31</t>
        </is>
      </c>
      <c r="K74" t="inlineStr">
        <is>
          <t>auto_seed=world_bank_wdi; indicator=NY.GDP.PCAP.PP.CD; observation_year=2024; dataset_lastupdated=2026-02-24; stale=no</t>
        </is>
      </c>
    </row>
    <row r="75">
      <c r="A75" t="inlineStr">
        <is>
          <t>Pakistan</t>
        </is>
      </c>
      <c r="B75" t="inlineStr">
        <is>
          <t>gdp_growth</t>
        </is>
      </c>
      <c r="C75" t="inlineStr">
        <is>
          <t>GDP growth</t>
        </is>
      </c>
      <c r="D75" t="inlineStr">
        <is>
          <t>creative</t>
        </is>
      </c>
      <c r="E75" t="inlineStr">
        <is>
          <t>yes</t>
        </is>
      </c>
      <c r="F75" t="inlineStr">
        <is>
          <t>3.049</t>
        </is>
      </c>
      <c r="G75" t="inlineStr">
        <is>
          <t>world_bank</t>
        </is>
      </c>
      <c r="H75" t="inlineStr">
        <is>
          <t>https://api.worldbank.org/v2/country/PAK/indicator/NY.GDP.MKTP.KD.ZG?format=json&amp;mrv=30</t>
        </is>
      </c>
      <c r="I75" t="inlineStr">
        <is>
          <t>World Bank WDI: GDP growth (annual %)</t>
        </is>
      </c>
      <c r="J75" t="inlineStr">
        <is>
          <t>2024-12-31</t>
        </is>
      </c>
      <c r="K75" t="inlineStr">
        <is>
          <t>auto_seed=world_bank_wdi; indicator=NY.GDP.MKTP.KD.ZG; observation_year=2024; dataset_lastupdated=2026-02-24; stale=no</t>
        </is>
      </c>
    </row>
    <row r="76">
      <c r="A76" t="inlineStr">
        <is>
          <t>Pakistan</t>
        </is>
      </c>
      <c r="B76" t="inlineStr">
        <is>
          <t>gini_coefficient</t>
        </is>
      </c>
      <c r="C76" t="inlineStr">
        <is>
          <t>Gini coefficient</t>
        </is>
      </c>
      <c r="D76" t="inlineStr">
        <is>
          <t>capability</t>
        </is>
      </c>
      <c r="E76" t="inlineStr">
        <is>
          <t>yes</t>
        </is>
      </c>
      <c r="F76" t="inlineStr">
        <is>
          <t>29.6</t>
        </is>
      </c>
      <c r="G76" t="inlineStr">
        <is>
          <t>world_bank</t>
        </is>
      </c>
      <c r="H76" t="inlineStr">
        <is>
          <t>https://api.worldbank.org/v2/country/PAK/indicator/SI.POV.GINI?format=json&amp;mrv=30</t>
        </is>
      </c>
      <c r="I76" t="inlineStr">
        <is>
          <t>World Bank WDI: Gini index</t>
        </is>
      </c>
      <c r="J76" t="inlineStr">
        <is>
          <t>2018-12-31</t>
        </is>
      </c>
      <c r="K76" t="inlineStr">
        <is>
          <t>auto_seed=world_bank_wdi; indicator=SI.POV.GINI; observation_year=2018; dataset_lastupdated=2026-02-24; stale=no</t>
        </is>
      </c>
    </row>
    <row r="77">
      <c r="A77" t="inlineStr">
        <is>
          <t>Pakistan</t>
        </is>
      </c>
      <c r="B77" t="inlineStr">
        <is>
          <t>ppp_private_consumption</t>
        </is>
      </c>
      <c r="C77" t="inlineStr">
        <is>
          <t>PPP private consumption factor</t>
        </is>
      </c>
      <c r="D77" t="inlineStr">
        <is>
          <t>pressure</t>
        </is>
      </c>
      <c r="E77" t="inlineStr">
        <is>
          <t>yes</t>
        </is>
      </c>
      <c r="F77" t="inlineStr">
        <is>
          <t>64.860994</t>
        </is>
      </c>
      <c r="G77" t="inlineStr">
        <is>
          <t>world_bank</t>
        </is>
      </c>
      <c r="H77" t="inlineStr">
        <is>
          <t>https://api.worldbank.org/v2/country/PAK/indicator/PA.NUS.PRVT.PP?format=json&amp;mrv=30</t>
        </is>
      </c>
      <c r="I77" t="inlineStr">
        <is>
          <t>World Bank WDI: PPP conversion factor, private consumption (LCU per international $)</t>
        </is>
      </c>
      <c r="J77" t="inlineStr">
        <is>
          <t>2024-12-31</t>
        </is>
      </c>
      <c r="K77" t="inlineStr">
        <is>
          <t>auto_seed=world_bank_wdi; indicator=PA.NUS.PRVT.PP; observation_year=2024; dataset_lastupdated=2026-02-24; stale=no</t>
        </is>
      </c>
    </row>
    <row r="78">
      <c r="A78" t="inlineStr">
        <is>
          <t>Pakistan</t>
        </is>
      </c>
      <c r="B78" t="inlineStr">
        <is>
          <t>tax_rate_assumption</t>
        </is>
      </c>
      <c r="C78" t="inlineStr">
        <is>
          <t>Tax rate assumption</t>
        </is>
      </c>
      <c r="D78" t="inlineStr">
        <is>
          <t>pressure</t>
        </is>
      </c>
      <c r="E78" t="inlineStr">
        <is>
          <t>yes</t>
        </is>
      </c>
      <c r="F78" t="inlineStr"/>
      <c r="G78" t="inlineStr"/>
      <c r="H78" t="inlineStr"/>
      <c r="I78" t="inlineStr"/>
      <c r="J78" t="inlineStr"/>
      <c r="K78" t="inlineStr"/>
    </row>
    <row r="79">
      <c r="A79" t="inlineStr">
        <is>
          <t>Pakistan</t>
        </is>
      </c>
      <c r="B79" t="inlineStr">
        <is>
          <t>household_debt_proxy</t>
        </is>
      </c>
      <c r="C79" t="inlineStr">
        <is>
          <t>Household debt proxy</t>
        </is>
      </c>
      <c r="D79" t="inlineStr">
        <is>
          <t>pressure</t>
        </is>
      </c>
      <c r="E79" t="inlineStr">
        <is>
          <t>yes</t>
        </is>
      </c>
      <c r="F79" t="inlineStr">
        <is>
          <t>11.3901</t>
        </is>
      </c>
      <c r="G79" t="inlineStr">
        <is>
          <t>world_bank</t>
        </is>
      </c>
      <c r="H79" t="inlineStr">
        <is>
          <t>https://api.worldbank.org/v2/country/PAK/indicator/FD.AST.PRVT.GD.ZS?format=json&amp;mrv=30</t>
        </is>
      </c>
      <c r="I79" t="inlineStr">
        <is>
          <t>World Bank WDI: Domestic credit to private sector by banks (% of GDP) used as interim leverage proxy</t>
        </is>
      </c>
      <c r="J79" t="inlineStr">
        <is>
          <t>2024-12-31</t>
        </is>
      </c>
      <c r="K79" t="inlineStr">
        <is>
          <t>auto_seed=world_bank_wdi; proxy=broad_private_credit_not_household_only; indicator=FD.AST.PRVT.GD.ZS; observation_year=2024; dataset_lastupdated=2026-02-24; stale=no</t>
        </is>
      </c>
    </row>
    <row r="80">
      <c r="A80" t="inlineStr">
        <is>
          <t>Nepal</t>
        </is>
      </c>
      <c r="B80" t="inlineStr">
        <is>
          <t>gdp_per_capita_ppp</t>
        </is>
      </c>
      <c r="C80" t="inlineStr">
        <is>
          <t>GDP per capita (PPP)</t>
        </is>
      </c>
      <c r="D80" t="inlineStr">
        <is>
          <t>creative</t>
        </is>
      </c>
      <c r="E80" t="inlineStr">
        <is>
          <t>yes</t>
        </is>
      </c>
      <c r="F80" t="inlineStr">
        <is>
          <t>5736.62</t>
        </is>
      </c>
      <c r="G80" t="inlineStr">
        <is>
          <t>world_bank</t>
        </is>
      </c>
      <c r="H80" t="inlineStr">
        <is>
          <t>https://api.worldbank.org/v2/country/NPL/indicator/NY.GDP.PCAP.PP.CD?format=json&amp;mrv=30</t>
        </is>
      </c>
      <c r="I80" t="inlineStr">
        <is>
          <t>World Bank WDI: GDP per capita, PPP (current international $)</t>
        </is>
      </c>
      <c r="J80" t="inlineStr">
        <is>
          <t>2024-12-31</t>
        </is>
      </c>
      <c r="K80" t="inlineStr">
        <is>
          <t>auto_seed=world_bank_wdi; indicator=NY.GDP.PCAP.PP.CD; observation_year=2024; dataset_lastupdated=2026-02-24; stale=no</t>
        </is>
      </c>
    </row>
    <row r="81">
      <c r="A81" t="inlineStr">
        <is>
          <t>Nepal</t>
        </is>
      </c>
      <c r="B81" t="inlineStr">
        <is>
          <t>gdp_growth</t>
        </is>
      </c>
      <c r="C81" t="inlineStr">
        <is>
          <t>GDP growth</t>
        </is>
      </c>
      <c r="D81" t="inlineStr">
        <is>
          <t>creative</t>
        </is>
      </c>
      <c r="E81" t="inlineStr">
        <is>
          <t>yes</t>
        </is>
      </c>
      <c r="F81" t="inlineStr">
        <is>
          <t>3.6654</t>
        </is>
      </c>
      <c r="G81" t="inlineStr">
        <is>
          <t>world_bank</t>
        </is>
      </c>
      <c r="H81" t="inlineStr">
        <is>
          <t>https://api.worldbank.org/v2/country/NPL/indicator/NY.GDP.MKTP.KD.ZG?format=json&amp;mrv=30</t>
        </is>
      </c>
      <c r="I81" t="inlineStr">
        <is>
          <t>World Bank WDI: GDP growth (annual %)</t>
        </is>
      </c>
      <c r="J81" t="inlineStr">
        <is>
          <t>2024-12-31</t>
        </is>
      </c>
      <c r="K81" t="inlineStr">
        <is>
          <t>auto_seed=world_bank_wdi; indicator=NY.GDP.MKTP.KD.ZG; observation_year=2024; dataset_lastupdated=2026-02-24; stale=no</t>
        </is>
      </c>
    </row>
    <row r="82">
      <c r="A82" t="inlineStr">
        <is>
          <t>Nepal</t>
        </is>
      </c>
      <c r="B82" t="inlineStr">
        <is>
          <t>gini_coefficient</t>
        </is>
      </c>
      <c r="C82" t="inlineStr">
        <is>
          <t>Gini coefficient</t>
        </is>
      </c>
      <c r="D82" t="inlineStr">
        <is>
          <t>capability</t>
        </is>
      </c>
      <c r="E82" t="inlineStr">
        <is>
          <t>yes</t>
        </is>
      </c>
      <c r="F82" t="inlineStr">
        <is>
          <t>30</t>
        </is>
      </c>
      <c r="G82" t="inlineStr">
        <is>
          <t>world_bank</t>
        </is>
      </c>
      <c r="H82" t="inlineStr">
        <is>
          <t>https://api.worldbank.org/v2/country/NPL/indicator/SI.POV.GINI?format=json&amp;mrv=30</t>
        </is>
      </c>
      <c r="I82" t="inlineStr">
        <is>
          <t>World Bank WDI: Gini index</t>
        </is>
      </c>
      <c r="J82" t="inlineStr">
        <is>
          <t>2022-12-31</t>
        </is>
      </c>
      <c r="K82" t="inlineStr">
        <is>
          <t>auto_seed=world_bank_wdi; indicator=SI.POV.GINI; observation_year=2022; dataset_lastupdated=2026-02-24; stale=no</t>
        </is>
      </c>
    </row>
    <row r="83">
      <c r="A83" t="inlineStr">
        <is>
          <t>Nepal</t>
        </is>
      </c>
      <c r="B83" t="inlineStr">
        <is>
          <t>ppp_private_consumption</t>
        </is>
      </c>
      <c r="C83" t="inlineStr">
        <is>
          <t>PPP private consumption factor</t>
        </is>
      </c>
      <c r="D83" t="inlineStr">
        <is>
          <t>pressure</t>
        </is>
      </c>
      <c r="E83" t="inlineStr">
        <is>
          <t>yes</t>
        </is>
      </c>
      <c r="F83" t="inlineStr">
        <is>
          <t>35.285741</t>
        </is>
      </c>
      <c r="G83" t="inlineStr">
        <is>
          <t>world_bank</t>
        </is>
      </c>
      <c r="H83" t="inlineStr">
        <is>
          <t>https://api.worldbank.org/v2/country/NPL/indicator/PA.NUS.PRVT.PP?format=json&amp;mrv=30</t>
        </is>
      </c>
      <c r="I83" t="inlineStr">
        <is>
          <t>World Bank WDI: PPP conversion factor, private consumption (LCU per international $)</t>
        </is>
      </c>
      <c r="J83" t="inlineStr">
        <is>
          <t>2024-12-31</t>
        </is>
      </c>
      <c r="K83" t="inlineStr">
        <is>
          <t>auto_seed=world_bank_wdi; indicator=PA.NUS.PRVT.PP; observation_year=2024; dataset_lastupdated=2026-02-24; stale=no</t>
        </is>
      </c>
    </row>
    <row r="84">
      <c r="A84" t="inlineStr">
        <is>
          <t>Nepal</t>
        </is>
      </c>
      <c r="B84" t="inlineStr">
        <is>
          <t>tax_rate_assumption</t>
        </is>
      </c>
      <c r="C84" t="inlineStr">
        <is>
          <t>Tax rate assumption</t>
        </is>
      </c>
      <c r="D84" t="inlineStr">
        <is>
          <t>pressure</t>
        </is>
      </c>
      <c r="E84" t="inlineStr">
        <is>
          <t>yes</t>
        </is>
      </c>
      <c r="F84" t="inlineStr">
        <is>
          <t>0.139449</t>
        </is>
      </c>
      <c r="G84" t="inlineStr">
        <is>
          <t>world_bank</t>
        </is>
      </c>
      <c r="H84" t="inlineStr">
        <is>
          <t>https://api.worldbank.org/v2/country/NPL/indicator/GC.TAX.TOTL.GD.ZS?format=json&amp;mrv=30</t>
        </is>
      </c>
      <c r="I84" t="inlineStr">
        <is>
          <t>World Bank WDI: Tax revenue (% of GDP) used as interim country average tax-take proxy</t>
        </is>
      </c>
      <c r="J84" t="inlineStr">
        <is>
          <t>2023-12-31</t>
        </is>
      </c>
      <c r="K84" t="inlineStr">
        <is>
          <t>auto_seed=world_bank_wdi; proxy=country_average_tax_take_from_tax_revenue_share; indicator=GC.TAX.TOTL.GD.ZS; observation_year=2023; dataset_lastupdated=2026-02-24; stale=no</t>
        </is>
      </c>
    </row>
    <row r="85">
      <c r="A85" t="inlineStr">
        <is>
          <t>Nepal</t>
        </is>
      </c>
      <c r="B85" t="inlineStr">
        <is>
          <t>household_debt_proxy</t>
        </is>
      </c>
      <c r="C85" t="inlineStr">
        <is>
          <t>Household debt proxy</t>
        </is>
      </c>
      <c r="D85" t="inlineStr">
        <is>
          <t>pressure</t>
        </is>
      </c>
      <c r="E85" t="inlineStr">
        <is>
          <t>yes</t>
        </is>
      </c>
      <c r="F85" t="inlineStr">
        <is>
          <t>91.9385</t>
        </is>
      </c>
      <c r="G85" t="inlineStr">
        <is>
          <t>world_bank</t>
        </is>
      </c>
      <c r="H85" t="inlineStr">
        <is>
          <t>https://api.worldbank.org/v2/country/NPL/indicator/FD.AST.PRVT.GD.ZS?format=json&amp;mrv=30</t>
        </is>
      </c>
      <c r="I85" t="inlineStr">
        <is>
          <t>World Bank WDI: Domestic credit to private sector by banks (% of GDP) used as interim leverage proxy</t>
        </is>
      </c>
      <c r="J85" t="inlineStr">
        <is>
          <t>2024-12-31</t>
        </is>
      </c>
      <c r="K85" t="inlineStr">
        <is>
          <t>auto_seed=world_bank_wdi; proxy=broad_private_credit_not_household_only; indicator=FD.AST.PRVT.GD.ZS; observation_year=2024; dataset_lastupdated=2026-02-24; stale=no</t>
        </is>
      </c>
    </row>
    <row r="86">
      <c r="A86" t="inlineStr">
        <is>
          <t>Bhutan</t>
        </is>
      </c>
      <c r="B86" t="inlineStr">
        <is>
          <t>gdp_per_capita_ppp</t>
        </is>
      </c>
      <c r="C86" t="inlineStr">
        <is>
          <t>GDP per capita (PPP)</t>
        </is>
      </c>
      <c r="D86" t="inlineStr">
        <is>
          <t>creative</t>
        </is>
      </c>
      <c r="E86" t="inlineStr">
        <is>
          <t>yes</t>
        </is>
      </c>
      <c r="F86" t="inlineStr">
        <is>
          <t>16215.15</t>
        </is>
      </c>
      <c r="G86" t="inlineStr">
        <is>
          <t>world_bank</t>
        </is>
      </c>
      <c r="H86" t="inlineStr">
        <is>
          <t>https://api.worldbank.org/v2/country/BTN/indicator/NY.GDP.PCAP.PP.CD?format=json&amp;mrv=30</t>
        </is>
      </c>
      <c r="I86" t="inlineStr">
        <is>
          <t>World Bank WDI: GDP per capita, PPP (current international $)</t>
        </is>
      </c>
      <c r="J86" t="inlineStr">
        <is>
          <t>2023-12-31</t>
        </is>
      </c>
      <c r="K86" t="inlineStr">
        <is>
          <t>auto_seed=world_bank_wdi; indicator=NY.GDP.PCAP.PP.CD; observation_year=2023; dataset_lastupdated=2026-02-24; stale=no</t>
        </is>
      </c>
    </row>
    <row r="87">
      <c r="A87" t="inlineStr">
        <is>
          <t>Bhutan</t>
        </is>
      </c>
      <c r="B87" t="inlineStr">
        <is>
          <t>gdp_growth</t>
        </is>
      </c>
      <c r="C87" t="inlineStr">
        <is>
          <t>GDP growth</t>
        </is>
      </c>
      <c r="D87" t="inlineStr">
        <is>
          <t>creative</t>
        </is>
      </c>
      <c r="E87" t="inlineStr">
        <is>
          <t>yes</t>
        </is>
      </c>
      <c r="F87" t="inlineStr">
        <is>
          <t>4.6322</t>
        </is>
      </c>
      <c r="G87" t="inlineStr">
        <is>
          <t>world_bank</t>
        </is>
      </c>
      <c r="H87" t="inlineStr">
        <is>
          <t>https://api.worldbank.org/v2/country/BTN/indicator/NY.GDP.MKTP.KD.ZG?format=json&amp;mrv=30</t>
        </is>
      </c>
      <c r="I87" t="inlineStr">
        <is>
          <t>World Bank WDI: GDP growth (annual %)</t>
        </is>
      </c>
      <c r="J87" t="inlineStr">
        <is>
          <t>2023-12-31</t>
        </is>
      </c>
      <c r="K87" t="inlineStr">
        <is>
          <t>auto_seed=world_bank_wdi; indicator=NY.GDP.MKTP.KD.ZG; observation_year=2023; dataset_lastupdated=2026-02-24; stale=no</t>
        </is>
      </c>
    </row>
    <row r="88">
      <c r="A88" t="inlineStr">
        <is>
          <t>Bhutan</t>
        </is>
      </c>
      <c r="B88" t="inlineStr">
        <is>
          <t>gini_coefficient</t>
        </is>
      </c>
      <c r="C88" t="inlineStr">
        <is>
          <t>Gini coefficient</t>
        </is>
      </c>
      <c r="D88" t="inlineStr">
        <is>
          <t>capability</t>
        </is>
      </c>
      <c r="E88" t="inlineStr">
        <is>
          <t>yes</t>
        </is>
      </c>
      <c r="F88" t="inlineStr">
        <is>
          <t>28.5</t>
        </is>
      </c>
      <c r="G88" t="inlineStr">
        <is>
          <t>world_bank</t>
        </is>
      </c>
      <c r="H88" t="inlineStr">
        <is>
          <t>https://api.worldbank.org/v2/country/BTN/indicator/SI.POV.GINI?format=json&amp;mrv=30</t>
        </is>
      </c>
      <c r="I88" t="inlineStr">
        <is>
          <t>World Bank WDI: Gini index</t>
        </is>
      </c>
      <c r="J88" t="inlineStr">
        <is>
          <t>2022-12-31</t>
        </is>
      </c>
      <c r="K88" t="inlineStr">
        <is>
          <t>auto_seed=world_bank_wdi; indicator=SI.POV.GINI; observation_year=2022; dataset_lastupdated=2026-02-24; stale=no</t>
        </is>
      </c>
    </row>
    <row r="89">
      <c r="A89" t="inlineStr">
        <is>
          <t>Bhutan</t>
        </is>
      </c>
      <c r="B89" t="inlineStr">
        <is>
          <t>ppp_private_consumption</t>
        </is>
      </c>
      <c r="C89" t="inlineStr">
        <is>
          <t>PPP private consumption factor</t>
        </is>
      </c>
      <c r="D89" t="inlineStr">
        <is>
          <t>pressure</t>
        </is>
      </c>
      <c r="E89" t="inlineStr">
        <is>
          <t>yes</t>
        </is>
      </c>
      <c r="F89" t="inlineStr">
        <is>
          <t>20.878112</t>
        </is>
      </c>
      <c r="G89" t="inlineStr">
        <is>
          <t>world_bank</t>
        </is>
      </c>
      <c r="H89" t="inlineStr">
        <is>
          <t>https://api.worldbank.org/v2/country/BTN/indicator/PA.NUS.PRVT.PP?format=json&amp;mrv=30</t>
        </is>
      </c>
      <c r="I89" t="inlineStr">
        <is>
          <t>World Bank WDI: PPP conversion factor, private consumption (LCU per international $)</t>
        </is>
      </c>
      <c r="J89" t="inlineStr">
        <is>
          <t>2024-12-31</t>
        </is>
      </c>
      <c r="K89" t="inlineStr">
        <is>
          <t>auto_seed=world_bank_wdi; indicator=PA.NUS.PRVT.PP; observation_year=2024; dataset_lastupdated=2026-02-24; stale=no</t>
        </is>
      </c>
    </row>
    <row r="90">
      <c r="A90" t="inlineStr">
        <is>
          <t>Bhutan</t>
        </is>
      </c>
      <c r="B90" t="inlineStr">
        <is>
          <t>tax_rate_assumption</t>
        </is>
      </c>
      <c r="C90" t="inlineStr">
        <is>
          <t>Tax rate assumption</t>
        </is>
      </c>
      <c r="D90" t="inlineStr">
        <is>
          <t>pressure</t>
        </is>
      </c>
      <c r="E90" t="inlineStr">
        <is>
          <t>yes</t>
        </is>
      </c>
      <c r="F90" t="inlineStr">
        <is>
          <t>0.122846</t>
        </is>
      </c>
      <c r="G90" t="inlineStr">
        <is>
          <t>world_bank</t>
        </is>
      </c>
      <c r="H90" t="inlineStr">
        <is>
          <t>https://api.worldbank.org/v2/country/BTN/indicator/GC.TAX.TOTL.GD.ZS?format=json&amp;mrv=30</t>
        </is>
      </c>
      <c r="I90" t="inlineStr">
        <is>
          <t>World Bank WDI: Tax revenue (% of GDP) used as interim country average tax-take proxy</t>
        </is>
      </c>
      <c r="J90" t="inlineStr">
        <is>
          <t>2020-12-31</t>
        </is>
      </c>
      <c r="K90" t="inlineStr">
        <is>
          <t>auto_seed=world_bank_wdi; proxy=country_average_tax_take_from_tax_revenue_share; indicator=GC.TAX.TOTL.GD.ZS; observation_year=2020; dataset_lastupdated=2026-02-24; stale=no</t>
        </is>
      </c>
    </row>
    <row r="91">
      <c r="A91" t="inlineStr">
        <is>
          <t>Bhutan</t>
        </is>
      </c>
      <c r="B91" t="inlineStr">
        <is>
          <t>household_debt_proxy</t>
        </is>
      </c>
      <c r="C91" t="inlineStr">
        <is>
          <t>Household debt proxy</t>
        </is>
      </c>
      <c r="D91" t="inlineStr">
        <is>
          <t>pressure</t>
        </is>
      </c>
      <c r="E91" t="inlineStr">
        <is>
          <t>yes</t>
        </is>
      </c>
      <c r="F91" t="inlineStr">
        <is>
          <t>51.8935</t>
        </is>
      </c>
      <c r="G91" t="inlineStr">
        <is>
          <t>world_bank</t>
        </is>
      </c>
      <c r="H91" t="inlineStr">
        <is>
          <t>https://api.worldbank.org/v2/country/BTN/indicator/FD.AST.PRVT.GD.ZS?format=json&amp;mrv=30</t>
        </is>
      </c>
      <c r="I91" t="inlineStr">
        <is>
          <t>World Bank WDI: Domestic credit to private sector by banks (% of GDP) used as interim leverage proxy</t>
        </is>
      </c>
      <c r="J91" t="inlineStr">
        <is>
          <t>2024-12-31</t>
        </is>
      </c>
      <c r="K91" t="inlineStr">
        <is>
          <t>auto_seed=world_bank_wdi; proxy=broad_private_credit_not_household_only; indicator=FD.AST.PRVT.GD.ZS; observation_year=2024; dataset_lastupdated=2026-02-24; stale=no</t>
        </is>
      </c>
    </row>
    <row r="92">
      <c r="A92" t="inlineStr">
        <is>
          <t>Maldives</t>
        </is>
      </c>
      <c r="B92" t="inlineStr">
        <is>
          <t>gdp_per_capita_ppp</t>
        </is>
      </c>
      <c r="C92" t="inlineStr">
        <is>
          <t>GDP per capita (PPP)</t>
        </is>
      </c>
      <c r="D92" t="inlineStr">
        <is>
          <t>creative</t>
        </is>
      </c>
      <c r="E92" t="inlineStr">
        <is>
          <t>yes</t>
        </is>
      </c>
      <c r="F92" t="inlineStr">
        <is>
          <t>26182.78</t>
        </is>
      </c>
      <c r="G92" t="inlineStr">
        <is>
          <t>world_bank</t>
        </is>
      </c>
      <c r="H92" t="inlineStr">
        <is>
          <t>https://api.worldbank.org/v2/country/MDV/indicator/NY.GDP.PCAP.PP.CD?format=json&amp;mrv=30</t>
        </is>
      </c>
      <c r="I92" t="inlineStr">
        <is>
          <t>World Bank WDI: GDP per capita, PPP (current international $)</t>
        </is>
      </c>
      <c r="J92" t="inlineStr">
        <is>
          <t>2024-12-31</t>
        </is>
      </c>
      <c r="K92" t="inlineStr">
        <is>
          <t>auto_seed=world_bank_wdi; indicator=NY.GDP.PCAP.PP.CD; observation_year=2024; dataset_lastupdated=2026-02-24; stale=no</t>
        </is>
      </c>
    </row>
    <row r="93">
      <c r="A93" t="inlineStr">
        <is>
          <t>Maldives</t>
        </is>
      </c>
      <c r="B93" t="inlineStr">
        <is>
          <t>gdp_growth</t>
        </is>
      </c>
      <c r="C93" t="inlineStr">
        <is>
          <t>GDP growth</t>
        </is>
      </c>
      <c r="D93" t="inlineStr">
        <is>
          <t>creative</t>
        </is>
      </c>
      <c r="E93" t="inlineStr">
        <is>
          <t>yes</t>
        </is>
      </c>
      <c r="F93" t="inlineStr">
        <is>
          <t>3.4944</t>
        </is>
      </c>
      <c r="G93" t="inlineStr">
        <is>
          <t>world_bank</t>
        </is>
      </c>
      <c r="H93" t="inlineStr">
        <is>
          <t>https://api.worldbank.org/v2/country/MDV/indicator/NY.GDP.MKTP.KD.ZG?format=json&amp;mrv=30</t>
        </is>
      </c>
      <c r="I93" t="inlineStr">
        <is>
          <t>World Bank WDI: GDP growth (annual %)</t>
        </is>
      </c>
      <c r="J93" t="inlineStr">
        <is>
          <t>2024-12-31</t>
        </is>
      </c>
      <c r="K93" t="inlineStr">
        <is>
          <t>auto_seed=world_bank_wdi; indicator=NY.GDP.MKTP.KD.ZG; observation_year=2024; dataset_lastupdated=2026-02-24; stale=no</t>
        </is>
      </c>
    </row>
    <row r="94">
      <c r="A94" t="inlineStr">
        <is>
          <t>Maldives</t>
        </is>
      </c>
      <c r="B94" t="inlineStr">
        <is>
          <t>gini_coefficient</t>
        </is>
      </c>
      <c r="C94" t="inlineStr">
        <is>
          <t>Gini coefficient</t>
        </is>
      </c>
      <c r="D94" t="inlineStr">
        <is>
          <t>capability</t>
        </is>
      </c>
      <c r="E94" t="inlineStr">
        <is>
          <t>yes</t>
        </is>
      </c>
      <c r="F94" t="inlineStr">
        <is>
          <t>29.3</t>
        </is>
      </c>
      <c r="G94" t="inlineStr">
        <is>
          <t>world_bank</t>
        </is>
      </c>
      <c r="H94" t="inlineStr">
        <is>
          <t>https://api.worldbank.org/v2/country/MDV/indicator/SI.POV.GINI?format=json&amp;mrv=30</t>
        </is>
      </c>
      <c r="I94" t="inlineStr">
        <is>
          <t>World Bank WDI: Gini index</t>
        </is>
      </c>
      <c r="J94" t="inlineStr">
        <is>
          <t>2019-12-31</t>
        </is>
      </c>
      <c r="K94" t="inlineStr">
        <is>
          <t>auto_seed=world_bank_wdi; indicator=SI.POV.GINI; observation_year=2019; dataset_lastupdated=2026-02-24; stale=no</t>
        </is>
      </c>
    </row>
    <row r="95">
      <c r="A95" t="inlineStr">
        <is>
          <t>Maldives</t>
        </is>
      </c>
      <c r="B95" t="inlineStr">
        <is>
          <t>ppp_private_consumption</t>
        </is>
      </c>
      <c r="C95" t="inlineStr">
        <is>
          <t>PPP private consumption factor</t>
        </is>
      </c>
      <c r="D95" t="inlineStr">
        <is>
          <t>pressure</t>
        </is>
      </c>
      <c r="E95" t="inlineStr">
        <is>
          <t>yes</t>
        </is>
      </c>
      <c r="F95" t="inlineStr">
        <is>
          <t>9.455282</t>
        </is>
      </c>
      <c r="G95" t="inlineStr">
        <is>
          <t>world_bank</t>
        </is>
      </c>
      <c r="H95" t="inlineStr">
        <is>
          <t>https://api.worldbank.org/v2/country/MDV/indicator/PA.NUS.PRVT.PP?format=json&amp;mrv=30</t>
        </is>
      </c>
      <c r="I95" t="inlineStr">
        <is>
          <t>World Bank WDI: PPP conversion factor, private consumption (LCU per international $)</t>
        </is>
      </c>
      <c r="J95" t="inlineStr">
        <is>
          <t>2024-12-31</t>
        </is>
      </c>
      <c r="K95" t="inlineStr">
        <is>
          <t>auto_seed=world_bank_wdi; indicator=PA.NUS.PRVT.PP; observation_year=2024; dataset_lastupdated=2026-02-24; stale=no</t>
        </is>
      </c>
    </row>
    <row r="96">
      <c r="A96" t="inlineStr">
        <is>
          <t>Maldives</t>
        </is>
      </c>
      <c r="B96" t="inlineStr">
        <is>
          <t>tax_rate_assumption</t>
        </is>
      </c>
      <c r="C96" t="inlineStr">
        <is>
          <t>Tax rate assumption</t>
        </is>
      </c>
      <c r="D96" t="inlineStr">
        <is>
          <t>pressure</t>
        </is>
      </c>
      <c r="E96" t="inlineStr">
        <is>
          <t>yes</t>
        </is>
      </c>
      <c r="F96" t="inlineStr">
        <is>
          <t>0.194532</t>
        </is>
      </c>
      <c r="G96" t="inlineStr">
        <is>
          <t>world_bank</t>
        </is>
      </c>
      <c r="H96" t="inlineStr">
        <is>
          <t>https://api.worldbank.org/v2/country/MDV/indicator/GC.TAX.TOTL.GD.ZS?format=json&amp;mrv=30</t>
        </is>
      </c>
      <c r="I96" t="inlineStr">
        <is>
          <t>World Bank WDI: Tax revenue (% of GDP) used as interim country average tax-take proxy</t>
        </is>
      </c>
      <c r="J96" t="inlineStr">
        <is>
          <t>2021-12-31</t>
        </is>
      </c>
      <c r="K96" t="inlineStr">
        <is>
          <t>auto_seed=world_bank_wdi; proxy=country_average_tax_take_from_tax_revenue_share; indicator=GC.TAX.TOTL.GD.ZS; observation_year=2021; dataset_lastupdated=2026-02-24; stale=no</t>
        </is>
      </c>
    </row>
    <row r="97">
      <c r="A97" t="inlineStr">
        <is>
          <t>Maldives</t>
        </is>
      </c>
      <c r="B97" t="inlineStr">
        <is>
          <t>household_debt_proxy</t>
        </is>
      </c>
      <c r="C97" t="inlineStr">
        <is>
          <t>Household debt proxy</t>
        </is>
      </c>
      <c r="D97" t="inlineStr">
        <is>
          <t>pressure</t>
        </is>
      </c>
      <c r="E97" t="inlineStr">
        <is>
          <t>yes</t>
        </is>
      </c>
      <c r="F97" t="inlineStr">
        <is>
          <t>31.5415</t>
        </is>
      </c>
      <c r="G97" t="inlineStr">
        <is>
          <t>world_bank</t>
        </is>
      </c>
      <c r="H97" t="inlineStr">
        <is>
          <t>https://api.worldbank.org/v2/country/MDV/indicator/FD.AST.PRVT.GD.ZS?format=json&amp;mrv=30</t>
        </is>
      </c>
      <c r="I97" t="inlineStr">
        <is>
          <t>World Bank WDI: Domestic credit to private sector by banks (% of GDP) used as interim leverage proxy</t>
        </is>
      </c>
      <c r="J97" t="inlineStr">
        <is>
          <t>2024-12-31</t>
        </is>
      </c>
      <c r="K97" t="inlineStr">
        <is>
          <t>auto_seed=world_bank_wdi; proxy=broad_private_credit_not_household_only; indicator=FD.AST.PRVT.GD.ZS; observation_year=2024; dataset_lastupdated=2026-02-24; stale=no</t>
        </is>
      </c>
    </row>
    <row r="98">
      <c r="A98" t="inlineStr">
        <is>
          <t>France</t>
        </is>
      </c>
      <c r="B98" t="inlineStr">
        <is>
          <t>gdp_per_capita_ppp</t>
        </is>
      </c>
      <c r="C98" t="inlineStr">
        <is>
          <t>GDP per capita (PPP)</t>
        </is>
      </c>
      <c r="D98" t="inlineStr">
        <is>
          <t>creative</t>
        </is>
      </c>
      <c r="E98" t="inlineStr">
        <is>
          <t>yes</t>
        </is>
      </c>
      <c r="F98" t="inlineStr">
        <is>
          <t>62556.92</t>
        </is>
      </c>
      <c r="G98" t="inlineStr">
        <is>
          <t>world_bank</t>
        </is>
      </c>
      <c r="H98" t="inlineStr">
        <is>
          <t>https://api.worldbank.org/v2/country/FRA/indicator/NY.GDP.PCAP.PP.CD?format=json&amp;mrv=30</t>
        </is>
      </c>
      <c r="I98" t="inlineStr">
        <is>
          <t>World Bank WDI: GDP per capita, PPP (current international $)</t>
        </is>
      </c>
      <c r="J98" t="inlineStr">
        <is>
          <t>2024-12-31</t>
        </is>
      </c>
      <c r="K98" t="inlineStr">
        <is>
          <t>auto_seed=world_bank_wdi; indicator=NY.GDP.PCAP.PP.CD; observation_year=2024; dataset_lastupdated=2026-02-24; stale=no</t>
        </is>
      </c>
    </row>
    <row r="99">
      <c r="A99" t="inlineStr">
        <is>
          <t>France</t>
        </is>
      </c>
      <c r="B99" t="inlineStr">
        <is>
          <t>gdp_growth</t>
        </is>
      </c>
      <c r="C99" t="inlineStr">
        <is>
          <t>GDP growth</t>
        </is>
      </c>
      <c r="D99" t="inlineStr">
        <is>
          <t>creative</t>
        </is>
      </c>
      <c r="E99" t="inlineStr">
        <is>
          <t>yes</t>
        </is>
      </c>
      <c r="F99" t="inlineStr">
        <is>
          <t>1.1905</t>
        </is>
      </c>
      <c r="G99" t="inlineStr">
        <is>
          <t>world_bank</t>
        </is>
      </c>
      <c r="H99" t="inlineStr">
        <is>
          <t>https://api.worldbank.org/v2/country/FRA/indicator/NY.GDP.MKTP.KD.ZG?format=json&amp;mrv=30</t>
        </is>
      </c>
      <c r="I99" t="inlineStr">
        <is>
          <t>World Bank WDI: GDP growth (annual %)</t>
        </is>
      </c>
      <c r="J99" t="inlineStr">
        <is>
          <t>2024-12-31</t>
        </is>
      </c>
      <c r="K99" t="inlineStr">
        <is>
          <t>auto_seed=world_bank_wdi; indicator=NY.GDP.MKTP.KD.ZG; observation_year=2024; dataset_lastupdated=2026-02-24; stale=no</t>
        </is>
      </c>
    </row>
    <row r="100">
      <c r="A100" t="inlineStr">
        <is>
          <t>France</t>
        </is>
      </c>
      <c r="B100" t="inlineStr">
        <is>
          <t>gini_coefficient</t>
        </is>
      </c>
      <c r="C100" t="inlineStr">
        <is>
          <t>Gini coefficient</t>
        </is>
      </c>
      <c r="D100" t="inlineStr">
        <is>
          <t>capability</t>
        </is>
      </c>
      <c r="E100" t="inlineStr">
        <is>
          <t>yes</t>
        </is>
      </c>
      <c r="F100" t="inlineStr">
        <is>
          <t>31.8</t>
        </is>
      </c>
      <c r="G100" t="inlineStr">
        <is>
          <t>world_bank</t>
        </is>
      </c>
      <c r="H100" t="inlineStr">
        <is>
          <t>https://api.worldbank.org/v2/country/FRA/indicator/SI.POV.GINI?format=json&amp;mrv=30</t>
        </is>
      </c>
      <c r="I100" t="inlineStr">
        <is>
          <t>World Bank WDI: Gini index</t>
        </is>
      </c>
      <c r="J100" t="inlineStr">
        <is>
          <t>2023-12-31</t>
        </is>
      </c>
      <c r="K100" t="inlineStr">
        <is>
          <t>auto_seed=world_bank_wdi; indicator=SI.POV.GINI; observation_year=2023; dataset_lastupdated=2026-02-24; stale=no</t>
        </is>
      </c>
    </row>
    <row r="101">
      <c r="A101" t="inlineStr">
        <is>
          <t>France</t>
        </is>
      </c>
      <c r="B101" t="inlineStr">
        <is>
          <t>ppp_private_consumption</t>
        </is>
      </c>
      <c r="C101" t="inlineStr">
        <is>
          <t>PPP private consumption factor</t>
        </is>
      </c>
      <c r="D101" t="inlineStr">
        <is>
          <t>pressure</t>
        </is>
      </c>
      <c r="E101" t="inlineStr">
        <is>
          <t>yes</t>
        </is>
      </c>
      <c r="F101" t="inlineStr">
        <is>
          <t>0.716934</t>
        </is>
      </c>
      <c r="G101" t="inlineStr">
        <is>
          <t>world_bank</t>
        </is>
      </c>
      <c r="H101" t="inlineStr">
        <is>
          <t>https://api.worldbank.org/v2/country/FRA/indicator/PA.NUS.PRVT.PP?format=json&amp;mrv=30</t>
        </is>
      </c>
      <c r="I101" t="inlineStr">
        <is>
          <t>World Bank WDI: PPP conversion factor, private consumption (LCU per international $)</t>
        </is>
      </c>
      <c r="J101" t="inlineStr">
        <is>
          <t>2024-12-31</t>
        </is>
      </c>
      <c r="K101" t="inlineStr">
        <is>
          <t>auto_seed=world_bank_wdi; indicator=PA.NUS.PRVT.PP; observation_year=2024; dataset_lastupdated=2026-02-24; stale=no</t>
        </is>
      </c>
    </row>
    <row r="102">
      <c r="A102" t="inlineStr">
        <is>
          <t>France</t>
        </is>
      </c>
      <c r="B102" t="inlineStr">
        <is>
          <t>tax_rate_assumption</t>
        </is>
      </c>
      <c r="C102" t="inlineStr">
        <is>
          <t>Tax rate assumption</t>
        </is>
      </c>
      <c r="D102" t="inlineStr">
        <is>
          <t>pressure</t>
        </is>
      </c>
      <c r="E102" t="inlineStr">
        <is>
          <t>yes</t>
        </is>
      </c>
      <c r="F102" t="inlineStr">
        <is>
          <t>0.23077</t>
        </is>
      </c>
      <c r="G102" t="inlineStr">
        <is>
          <t>world_bank</t>
        </is>
      </c>
      <c r="H102" t="inlineStr">
        <is>
          <t>https://api.worldbank.org/v2/country/FRA/indicator/GC.TAX.TOTL.GD.ZS?format=json&amp;mrv=30</t>
        </is>
      </c>
      <c r="I102" t="inlineStr">
        <is>
          <t>World Bank WDI: Tax revenue (% of GDP) used as interim country average tax-take proxy</t>
        </is>
      </c>
      <c r="J102" t="inlineStr">
        <is>
          <t>2023-12-31</t>
        </is>
      </c>
      <c r="K102" t="inlineStr">
        <is>
          <t>auto_seed=world_bank_wdi; proxy=country_average_tax_take_from_tax_revenue_share; indicator=GC.TAX.TOTL.GD.ZS; observation_year=2023; dataset_lastupdated=2026-02-24; stale=no</t>
        </is>
      </c>
    </row>
    <row r="103">
      <c r="A103" t="inlineStr">
        <is>
          <t>France</t>
        </is>
      </c>
      <c r="B103" t="inlineStr">
        <is>
          <t>household_debt_proxy</t>
        </is>
      </c>
      <c r="C103" t="inlineStr">
        <is>
          <t>Household debt proxy</t>
        </is>
      </c>
      <c r="D103" t="inlineStr">
        <is>
          <t>pressure</t>
        </is>
      </c>
      <c r="E103" t="inlineStr">
        <is>
          <t>yes</t>
        </is>
      </c>
      <c r="F103" t="inlineStr">
        <is>
          <t>103.9081</t>
        </is>
      </c>
      <c r="G103" t="inlineStr">
        <is>
          <t>world_bank</t>
        </is>
      </c>
      <c r="H103" t="inlineStr">
        <is>
          <t>https://api.worldbank.org/v2/country/FRA/indicator/FD.AST.PRVT.GD.ZS?format=json&amp;mrv=30</t>
        </is>
      </c>
      <c r="I103" t="inlineStr">
        <is>
          <t>World Bank WDI: Domestic credit to private sector by banks (% of GDP) used as interim leverage proxy</t>
        </is>
      </c>
      <c r="J103" t="inlineStr">
        <is>
          <t>2024-12-31</t>
        </is>
      </c>
      <c r="K103" t="inlineStr">
        <is>
          <t>auto_seed=world_bank_wdi; proxy=broad_private_credit_not_household_only; indicator=FD.AST.PRVT.GD.ZS; observation_year=2024; dataset_lastupdated=2026-02-24; stale=no</t>
        </is>
      </c>
    </row>
    <row r="104">
      <c r="A104" t="inlineStr">
        <is>
          <t>Austria</t>
        </is>
      </c>
      <c r="B104" t="inlineStr">
        <is>
          <t>gdp_per_capita_ppp</t>
        </is>
      </c>
      <c r="C104" t="inlineStr">
        <is>
          <t>GDP per capita (PPP)</t>
        </is>
      </c>
      <c r="D104" t="inlineStr">
        <is>
          <t>creative</t>
        </is>
      </c>
      <c r="E104" t="inlineStr">
        <is>
          <t>yes</t>
        </is>
      </c>
      <c r="F104" t="inlineStr">
        <is>
          <t>73911.44</t>
        </is>
      </c>
      <c r="G104" t="inlineStr">
        <is>
          <t>world_bank</t>
        </is>
      </c>
      <c r="H104" t="inlineStr">
        <is>
          <t>https://api.worldbank.org/v2/country/AUT/indicator/NY.GDP.PCAP.PP.CD?format=json&amp;mrv=30</t>
        </is>
      </c>
      <c r="I104" t="inlineStr">
        <is>
          <t>World Bank WDI: GDP per capita, PPP (current international $)</t>
        </is>
      </c>
      <c r="J104" t="inlineStr">
        <is>
          <t>2024-12-31</t>
        </is>
      </c>
      <c r="K104" t="inlineStr">
        <is>
          <t>auto_seed=world_bank_wdi; indicator=NY.GDP.PCAP.PP.CD; observation_year=2024; dataset_lastupdated=2026-02-24; stale=no</t>
        </is>
      </c>
    </row>
    <row r="105">
      <c r="A105" t="inlineStr">
        <is>
          <t>Austria</t>
        </is>
      </c>
      <c r="B105" t="inlineStr">
        <is>
          <t>gdp_growth</t>
        </is>
      </c>
      <c r="C105" t="inlineStr">
        <is>
          <t>GDP growth</t>
        </is>
      </c>
      <c r="D105" t="inlineStr">
        <is>
          <t>creative</t>
        </is>
      </c>
      <c r="E105" t="inlineStr">
        <is>
          <t>yes</t>
        </is>
      </c>
      <c r="F105" t="inlineStr">
        <is>
          <t>-0.6591</t>
        </is>
      </c>
      <c r="G105" t="inlineStr">
        <is>
          <t>world_bank</t>
        </is>
      </c>
      <c r="H105" t="inlineStr">
        <is>
          <t>https://api.worldbank.org/v2/country/AUT/indicator/NY.GDP.MKTP.KD.ZG?format=json&amp;mrv=30</t>
        </is>
      </c>
      <c r="I105" t="inlineStr">
        <is>
          <t>World Bank WDI: GDP growth (annual %)</t>
        </is>
      </c>
      <c r="J105" t="inlineStr">
        <is>
          <t>2024-12-31</t>
        </is>
      </c>
      <c r="K105" t="inlineStr">
        <is>
          <t>auto_seed=world_bank_wdi; indicator=NY.GDP.MKTP.KD.ZG; observation_year=2024; dataset_lastupdated=2026-02-24; stale=no</t>
        </is>
      </c>
    </row>
    <row r="106">
      <c r="A106" t="inlineStr">
        <is>
          <t>Austria</t>
        </is>
      </c>
      <c r="B106" t="inlineStr">
        <is>
          <t>gini_coefficient</t>
        </is>
      </c>
      <c r="C106" t="inlineStr">
        <is>
          <t>Gini coefficient</t>
        </is>
      </c>
      <c r="D106" t="inlineStr">
        <is>
          <t>capability</t>
        </is>
      </c>
      <c r="E106" t="inlineStr">
        <is>
          <t>yes</t>
        </is>
      </c>
      <c r="F106" t="inlineStr">
        <is>
          <t>31.2</t>
        </is>
      </c>
      <c r="G106" t="inlineStr">
        <is>
          <t>world_bank</t>
        </is>
      </c>
      <c r="H106" t="inlineStr">
        <is>
          <t>https://api.worldbank.org/v2/country/AUT/indicator/SI.POV.GINI?format=json&amp;mrv=30</t>
        </is>
      </c>
      <c r="I106" t="inlineStr">
        <is>
          <t>World Bank WDI: Gini index</t>
        </is>
      </c>
      <c r="J106" t="inlineStr">
        <is>
          <t>2023-12-31</t>
        </is>
      </c>
      <c r="K106" t="inlineStr">
        <is>
          <t>auto_seed=world_bank_wdi; indicator=SI.POV.GINI; observation_year=2023; dataset_lastupdated=2026-02-24; stale=no</t>
        </is>
      </c>
    </row>
    <row r="107">
      <c r="A107" t="inlineStr">
        <is>
          <t>Austria</t>
        </is>
      </c>
      <c r="B107" t="inlineStr">
        <is>
          <t>ppp_private_consumption</t>
        </is>
      </c>
      <c r="C107" t="inlineStr">
        <is>
          <t>PPP private consumption factor</t>
        </is>
      </c>
      <c r="D107" t="inlineStr">
        <is>
          <t>pressure</t>
        </is>
      </c>
      <c r="E107" t="inlineStr">
        <is>
          <t>yes</t>
        </is>
      </c>
      <c r="F107" t="inlineStr">
        <is>
          <t>0.720487</t>
        </is>
      </c>
      <c r="G107" t="inlineStr">
        <is>
          <t>world_bank</t>
        </is>
      </c>
      <c r="H107" t="inlineStr">
        <is>
          <t>https://api.worldbank.org/v2/country/AUT/indicator/PA.NUS.PRVT.PP?format=json&amp;mrv=30</t>
        </is>
      </c>
      <c r="I107" t="inlineStr">
        <is>
          <t>World Bank WDI: PPP conversion factor, private consumption (LCU per international $)</t>
        </is>
      </c>
      <c r="J107" t="inlineStr">
        <is>
          <t>2024-12-31</t>
        </is>
      </c>
      <c r="K107" t="inlineStr">
        <is>
          <t>auto_seed=world_bank_wdi; indicator=PA.NUS.PRVT.PP; observation_year=2024; dataset_lastupdated=2026-02-24; stale=no</t>
        </is>
      </c>
    </row>
    <row r="108">
      <c r="A108" t="inlineStr">
        <is>
          <t>Austria</t>
        </is>
      </c>
      <c r="B108" t="inlineStr">
        <is>
          <t>tax_rate_assumption</t>
        </is>
      </c>
      <c r="C108" t="inlineStr">
        <is>
          <t>Tax rate assumption</t>
        </is>
      </c>
      <c r="D108" t="inlineStr">
        <is>
          <t>pressure</t>
        </is>
      </c>
      <c r="E108" t="inlineStr">
        <is>
          <t>yes</t>
        </is>
      </c>
      <c r="F108" t="inlineStr">
        <is>
          <t>0.256407</t>
        </is>
      </c>
      <c r="G108" t="inlineStr">
        <is>
          <t>world_bank</t>
        </is>
      </c>
      <c r="H108" t="inlineStr">
        <is>
          <t>https://api.worldbank.org/v2/country/AUT/indicator/GC.TAX.TOTL.GD.ZS?format=json&amp;mrv=30</t>
        </is>
      </c>
      <c r="I108" t="inlineStr">
        <is>
          <t>World Bank WDI: Tax revenue (% of GDP) used as interim country average tax-take proxy</t>
        </is>
      </c>
      <c r="J108" t="inlineStr">
        <is>
          <t>2023-12-31</t>
        </is>
      </c>
      <c r="K108" t="inlineStr">
        <is>
          <t>auto_seed=world_bank_wdi; proxy=country_average_tax_take_from_tax_revenue_share; indicator=GC.TAX.TOTL.GD.ZS; observation_year=2023; dataset_lastupdated=2026-02-24; stale=no</t>
        </is>
      </c>
    </row>
    <row r="109">
      <c r="A109" t="inlineStr">
        <is>
          <t>Austria</t>
        </is>
      </c>
      <c r="B109" t="inlineStr">
        <is>
          <t>household_debt_proxy</t>
        </is>
      </c>
      <c r="C109" t="inlineStr">
        <is>
          <t>Household debt proxy</t>
        </is>
      </c>
      <c r="D109" t="inlineStr">
        <is>
          <t>pressure</t>
        </is>
      </c>
      <c r="E109" t="inlineStr">
        <is>
          <t>yes</t>
        </is>
      </c>
      <c r="F109" t="inlineStr">
        <is>
          <t>81.4953</t>
        </is>
      </c>
      <c r="G109" t="inlineStr">
        <is>
          <t>world_bank</t>
        </is>
      </c>
      <c r="H109" t="inlineStr">
        <is>
          <t>https://api.worldbank.org/v2/country/AUT/indicator/FD.AST.PRVT.GD.ZS?format=json&amp;mrv=30</t>
        </is>
      </c>
      <c r="I109" t="inlineStr">
        <is>
          <t>World Bank WDI: Domestic credit to private sector by banks (% of GDP) used as interim leverage proxy</t>
        </is>
      </c>
      <c r="J109" t="inlineStr">
        <is>
          <t>2024-12-31</t>
        </is>
      </c>
      <c r="K109" t="inlineStr">
        <is>
          <t>auto_seed=world_bank_wdi; proxy=broad_private_credit_not_household_only; indicator=FD.AST.PRVT.GD.ZS; observation_year=2024; dataset_lastupdated=2026-02-24; stale=no</t>
        </is>
      </c>
    </row>
    <row r="110">
      <c r="A110" t="inlineStr">
        <is>
          <t>Switzerland</t>
        </is>
      </c>
      <c r="B110" t="inlineStr">
        <is>
          <t>gdp_per_capita_ppp</t>
        </is>
      </c>
      <c r="C110" t="inlineStr">
        <is>
          <t>GDP per capita (PPP)</t>
        </is>
      </c>
      <c r="D110" t="inlineStr">
        <is>
          <t>creative</t>
        </is>
      </c>
      <c r="E110" t="inlineStr">
        <is>
          <t>yes</t>
        </is>
      </c>
      <c r="F110" t="inlineStr">
        <is>
          <t>96497.69</t>
        </is>
      </c>
      <c r="G110" t="inlineStr">
        <is>
          <t>world_bank</t>
        </is>
      </c>
      <c r="H110" t="inlineStr">
        <is>
          <t>https://api.worldbank.org/v2/country/CHE/indicator/NY.GDP.PCAP.PP.CD?format=json&amp;mrv=30</t>
        </is>
      </c>
      <c r="I110" t="inlineStr">
        <is>
          <t>World Bank WDI: GDP per capita, PPP (current international $)</t>
        </is>
      </c>
      <c r="J110" t="inlineStr">
        <is>
          <t>2024-12-31</t>
        </is>
      </c>
      <c r="K110" t="inlineStr">
        <is>
          <t>auto_seed=world_bank_wdi; indicator=NY.GDP.PCAP.PP.CD; observation_year=2024; dataset_lastupdated=2026-02-24; stale=no</t>
        </is>
      </c>
    </row>
    <row r="111">
      <c r="A111" t="inlineStr">
        <is>
          <t>Switzerland</t>
        </is>
      </c>
      <c r="B111" t="inlineStr">
        <is>
          <t>gdp_growth</t>
        </is>
      </c>
      <c r="C111" t="inlineStr">
        <is>
          <t>GDP growth</t>
        </is>
      </c>
      <c r="D111" t="inlineStr">
        <is>
          <t>creative</t>
        </is>
      </c>
      <c r="E111" t="inlineStr">
        <is>
          <t>yes</t>
        </is>
      </c>
      <c r="F111" t="inlineStr">
        <is>
          <t>1.3023</t>
        </is>
      </c>
      <c r="G111" t="inlineStr">
        <is>
          <t>world_bank</t>
        </is>
      </c>
      <c r="H111" t="inlineStr">
        <is>
          <t>https://api.worldbank.org/v2/country/CHE/indicator/NY.GDP.MKTP.KD.ZG?format=json&amp;mrv=30</t>
        </is>
      </c>
      <c r="I111" t="inlineStr">
        <is>
          <t>World Bank WDI: GDP growth (annual %)</t>
        </is>
      </c>
      <c r="J111" t="inlineStr">
        <is>
          <t>2024-12-31</t>
        </is>
      </c>
      <c r="K111" t="inlineStr">
        <is>
          <t>auto_seed=world_bank_wdi; indicator=NY.GDP.MKTP.KD.ZG; observation_year=2024; dataset_lastupdated=2026-02-24; stale=no</t>
        </is>
      </c>
    </row>
    <row r="112">
      <c r="A112" t="inlineStr">
        <is>
          <t>Switzerland</t>
        </is>
      </c>
      <c r="B112" t="inlineStr">
        <is>
          <t>gini_coefficient</t>
        </is>
      </c>
      <c r="C112" t="inlineStr">
        <is>
          <t>Gini coefficient</t>
        </is>
      </c>
      <c r="D112" t="inlineStr">
        <is>
          <t>capability</t>
        </is>
      </c>
      <c r="E112" t="inlineStr">
        <is>
          <t>yes</t>
        </is>
      </c>
      <c r="F112" t="inlineStr">
        <is>
          <t>33.8</t>
        </is>
      </c>
      <c r="G112" t="inlineStr">
        <is>
          <t>world_bank</t>
        </is>
      </c>
      <c r="H112" t="inlineStr">
        <is>
          <t>https://api.worldbank.org/v2/country/CHE/indicator/SI.POV.GINI?format=json&amp;mrv=30</t>
        </is>
      </c>
      <c r="I112" t="inlineStr">
        <is>
          <t>World Bank WDI: Gini index</t>
        </is>
      </c>
      <c r="J112" t="inlineStr">
        <is>
          <t>2022-12-31</t>
        </is>
      </c>
      <c r="K112" t="inlineStr">
        <is>
          <t>auto_seed=world_bank_wdi; indicator=SI.POV.GINI; observation_year=2022; dataset_lastupdated=2026-02-24; stale=no</t>
        </is>
      </c>
    </row>
    <row r="113">
      <c r="A113" t="inlineStr">
        <is>
          <t>Switzerland</t>
        </is>
      </c>
      <c r="B113" t="inlineStr">
        <is>
          <t>ppp_private_consumption</t>
        </is>
      </c>
      <c r="C113" t="inlineStr">
        <is>
          <t>PPP private consumption factor</t>
        </is>
      </c>
      <c r="D113" t="inlineStr">
        <is>
          <t>pressure</t>
        </is>
      </c>
      <c r="E113" t="inlineStr">
        <is>
          <t>yes</t>
        </is>
      </c>
      <c r="F113" t="inlineStr">
        <is>
          <t>1.062369</t>
        </is>
      </c>
      <c r="G113" t="inlineStr">
        <is>
          <t>world_bank</t>
        </is>
      </c>
      <c r="H113" t="inlineStr">
        <is>
          <t>https://api.worldbank.org/v2/country/CHE/indicator/PA.NUS.PRVT.PP?format=json&amp;mrv=30</t>
        </is>
      </c>
      <c r="I113" t="inlineStr">
        <is>
          <t>World Bank WDI: PPP conversion factor, private consumption (LCU per international $)</t>
        </is>
      </c>
      <c r="J113" t="inlineStr">
        <is>
          <t>2024-12-31</t>
        </is>
      </c>
      <c r="K113" t="inlineStr">
        <is>
          <t>auto_seed=world_bank_wdi; indicator=PA.NUS.PRVT.PP; observation_year=2024; dataset_lastupdated=2026-02-24; stale=no</t>
        </is>
      </c>
    </row>
    <row r="114">
      <c r="A114" t="inlineStr">
        <is>
          <t>Switzerland</t>
        </is>
      </c>
      <c r="B114" t="inlineStr">
        <is>
          <t>tax_rate_assumption</t>
        </is>
      </c>
      <c r="C114" t="inlineStr">
        <is>
          <t>Tax rate assumption</t>
        </is>
      </c>
      <c r="D114" t="inlineStr">
        <is>
          <t>pressure</t>
        </is>
      </c>
      <c r="E114" t="inlineStr">
        <is>
          <t>yes</t>
        </is>
      </c>
      <c r="F114" t="inlineStr">
        <is>
          <t>0.090036</t>
        </is>
      </c>
      <c r="G114" t="inlineStr">
        <is>
          <t>world_bank</t>
        </is>
      </c>
      <c r="H114" t="inlineStr">
        <is>
          <t>https://api.worldbank.org/v2/country/CHE/indicator/GC.TAX.TOTL.GD.ZS?format=json&amp;mrv=30</t>
        </is>
      </c>
      <c r="I114" t="inlineStr">
        <is>
          <t>World Bank WDI: Tax revenue (% of GDP) used as interim country average tax-take proxy</t>
        </is>
      </c>
      <c r="J114" t="inlineStr">
        <is>
          <t>2023-12-31</t>
        </is>
      </c>
      <c r="K114" t="inlineStr">
        <is>
          <t>auto_seed=world_bank_wdi; proxy=country_average_tax_take_from_tax_revenue_share; indicator=GC.TAX.TOTL.GD.ZS; observation_year=2023; dataset_lastupdated=2026-02-24; stale=no</t>
        </is>
      </c>
    </row>
    <row r="115">
      <c r="A115" t="inlineStr">
        <is>
          <t>Switzerland</t>
        </is>
      </c>
      <c r="B115" t="inlineStr">
        <is>
          <t>household_debt_proxy</t>
        </is>
      </c>
      <c r="C115" t="inlineStr">
        <is>
          <t>Household debt proxy</t>
        </is>
      </c>
      <c r="D115" t="inlineStr">
        <is>
          <t>pressure</t>
        </is>
      </c>
      <c r="E115" t="inlineStr">
        <is>
          <t>yes</t>
        </is>
      </c>
      <c r="F115" t="inlineStr">
        <is>
          <t>170.3782</t>
        </is>
      </c>
      <c r="G115" t="inlineStr">
        <is>
          <t>world_bank</t>
        </is>
      </c>
      <c r="H115" t="inlineStr">
        <is>
          <t>https://api.worldbank.org/v2/country/CHE/indicator/FD.AST.PRVT.GD.ZS?format=json&amp;mrv=30</t>
        </is>
      </c>
      <c r="I115" t="inlineStr">
        <is>
          <t>World Bank WDI: Domestic credit to private sector by banks (% of GDP) used as interim leverage proxy</t>
        </is>
      </c>
      <c r="J115" t="inlineStr">
        <is>
          <t>2016-12-31</t>
        </is>
      </c>
      <c r="K115" t="inlineStr">
        <is>
          <t>auto_seed=world_bank_wdi; proxy=broad_private_credit_not_household_only; indicator=FD.AST.PRVT.GD.ZS; observation_year=2016; dataset_lastupdated=2026-02-24; stale=yes</t>
        </is>
      </c>
    </row>
    <row r="116">
      <c r="A116" t="inlineStr">
        <is>
          <t>Netherlands</t>
        </is>
      </c>
      <c r="B116" t="inlineStr">
        <is>
          <t>gdp_per_capita_ppp</t>
        </is>
      </c>
      <c r="C116" t="inlineStr">
        <is>
          <t>GDP per capita (PPP)</t>
        </is>
      </c>
      <c r="D116" t="inlineStr">
        <is>
          <t>creative</t>
        </is>
      </c>
      <c r="E116" t="inlineStr">
        <is>
          <t>yes</t>
        </is>
      </c>
      <c r="F116" t="inlineStr">
        <is>
          <t>86173.63</t>
        </is>
      </c>
      <c r="G116" t="inlineStr">
        <is>
          <t>world_bank</t>
        </is>
      </c>
      <c r="H116" t="inlineStr">
        <is>
          <t>https://api.worldbank.org/v2/country/NLD/indicator/NY.GDP.PCAP.PP.CD?format=json&amp;mrv=30</t>
        </is>
      </c>
      <c r="I116" t="inlineStr">
        <is>
          <t>World Bank WDI: GDP per capita, PPP (current international $)</t>
        </is>
      </c>
      <c r="J116" t="inlineStr">
        <is>
          <t>2024-12-31</t>
        </is>
      </c>
      <c r="K116" t="inlineStr">
        <is>
          <t>auto_seed=world_bank_wdi; indicator=NY.GDP.PCAP.PP.CD; observation_year=2024; dataset_lastupdated=2026-02-24; stale=no</t>
        </is>
      </c>
    </row>
    <row r="117">
      <c r="A117" t="inlineStr">
        <is>
          <t>Netherlands</t>
        </is>
      </c>
      <c r="B117" t="inlineStr">
        <is>
          <t>gdp_growth</t>
        </is>
      </c>
      <c r="C117" t="inlineStr">
        <is>
          <t>GDP growth</t>
        </is>
      </c>
      <c r="D117" t="inlineStr">
        <is>
          <t>creative</t>
        </is>
      </c>
      <c r="E117" t="inlineStr">
        <is>
          <t>yes</t>
        </is>
      </c>
      <c r="F117" t="inlineStr">
        <is>
          <t>1.081</t>
        </is>
      </c>
      <c r="G117" t="inlineStr">
        <is>
          <t>world_bank</t>
        </is>
      </c>
      <c r="H117" t="inlineStr">
        <is>
          <t>https://api.worldbank.org/v2/country/NLD/indicator/NY.GDP.MKTP.KD.ZG?format=json&amp;mrv=30</t>
        </is>
      </c>
      <c r="I117" t="inlineStr">
        <is>
          <t>World Bank WDI: GDP growth (annual %)</t>
        </is>
      </c>
      <c r="J117" t="inlineStr">
        <is>
          <t>2024-12-31</t>
        </is>
      </c>
      <c r="K117" t="inlineStr">
        <is>
          <t>auto_seed=world_bank_wdi; indicator=NY.GDP.MKTP.KD.ZG; observation_year=2024; dataset_lastupdated=2026-02-24; stale=no</t>
        </is>
      </c>
    </row>
    <row r="118">
      <c r="A118" t="inlineStr">
        <is>
          <t>Netherlands</t>
        </is>
      </c>
      <c r="B118" t="inlineStr">
        <is>
          <t>gini_coefficient</t>
        </is>
      </c>
      <c r="C118" t="inlineStr">
        <is>
          <t>Gini coefficient</t>
        </is>
      </c>
      <c r="D118" t="inlineStr">
        <is>
          <t>capability</t>
        </is>
      </c>
      <c r="E118" t="inlineStr">
        <is>
          <t>yes</t>
        </is>
      </c>
      <c r="F118" t="inlineStr">
        <is>
          <t>25.7</t>
        </is>
      </c>
      <c r="G118" t="inlineStr">
        <is>
          <t>world_bank</t>
        </is>
      </c>
      <c r="H118" t="inlineStr">
        <is>
          <t>https://api.worldbank.org/v2/country/NLD/indicator/SI.POV.GINI?format=json&amp;mrv=30</t>
        </is>
      </c>
      <c r="I118" t="inlineStr">
        <is>
          <t>World Bank WDI: Gini index</t>
        </is>
      </c>
      <c r="J118" t="inlineStr">
        <is>
          <t>2021-12-31</t>
        </is>
      </c>
      <c r="K118" t="inlineStr">
        <is>
          <t>auto_seed=world_bank_wdi; indicator=SI.POV.GINI; observation_year=2021; dataset_lastupdated=2026-02-24; stale=no</t>
        </is>
      </c>
    </row>
    <row r="119">
      <c r="A119" t="inlineStr">
        <is>
          <t>Netherlands</t>
        </is>
      </c>
      <c r="B119" t="inlineStr">
        <is>
          <t>ppp_private_consumption</t>
        </is>
      </c>
      <c r="C119" t="inlineStr">
        <is>
          <t>PPP private consumption factor</t>
        </is>
      </c>
      <c r="D119" t="inlineStr">
        <is>
          <t>pressure</t>
        </is>
      </c>
      <c r="E119" t="inlineStr">
        <is>
          <t>yes</t>
        </is>
      </c>
      <c r="F119" t="inlineStr">
        <is>
          <t>0.74195</t>
        </is>
      </c>
      <c r="G119" t="inlineStr">
        <is>
          <t>world_bank</t>
        </is>
      </c>
      <c r="H119" t="inlineStr">
        <is>
          <t>https://api.worldbank.org/v2/country/NLD/indicator/PA.NUS.PRVT.PP?format=json&amp;mrv=30</t>
        </is>
      </c>
      <c r="I119" t="inlineStr">
        <is>
          <t>World Bank WDI: PPP conversion factor, private consumption (LCU per international $)</t>
        </is>
      </c>
      <c r="J119" t="inlineStr">
        <is>
          <t>2024-12-31</t>
        </is>
      </c>
      <c r="K119" t="inlineStr">
        <is>
          <t>auto_seed=world_bank_wdi; indicator=PA.NUS.PRVT.PP; observation_year=2024; dataset_lastupdated=2026-02-24; stale=no</t>
        </is>
      </c>
    </row>
    <row r="120">
      <c r="A120" t="inlineStr">
        <is>
          <t>Netherlands</t>
        </is>
      </c>
      <c r="B120" t="inlineStr">
        <is>
          <t>tax_rate_assumption</t>
        </is>
      </c>
      <c r="C120" t="inlineStr">
        <is>
          <t>Tax rate assumption</t>
        </is>
      </c>
      <c r="D120" t="inlineStr">
        <is>
          <t>pressure</t>
        </is>
      </c>
      <c r="E120" t="inlineStr">
        <is>
          <t>yes</t>
        </is>
      </c>
      <c r="F120" t="inlineStr">
        <is>
          <t>0.25254</t>
        </is>
      </c>
      <c r="G120" t="inlineStr">
        <is>
          <t>world_bank</t>
        </is>
      </c>
      <c r="H120" t="inlineStr">
        <is>
          <t>https://api.worldbank.org/v2/country/NLD/indicator/GC.TAX.TOTL.GD.ZS?format=json&amp;mrv=30</t>
        </is>
      </c>
      <c r="I120" t="inlineStr">
        <is>
          <t>World Bank WDI: Tax revenue (% of GDP) used as interim country average tax-take proxy</t>
        </is>
      </c>
      <c r="J120" t="inlineStr">
        <is>
          <t>2023-12-31</t>
        </is>
      </c>
      <c r="K120" t="inlineStr">
        <is>
          <t>auto_seed=world_bank_wdi; proxy=country_average_tax_take_from_tax_revenue_share; indicator=GC.TAX.TOTL.GD.ZS; observation_year=2023; dataset_lastupdated=2026-02-24; stale=no</t>
        </is>
      </c>
    </row>
    <row r="121">
      <c r="A121" t="inlineStr">
        <is>
          <t>Netherlands</t>
        </is>
      </c>
      <c r="B121" t="inlineStr">
        <is>
          <t>household_debt_proxy</t>
        </is>
      </c>
      <c r="C121" t="inlineStr">
        <is>
          <t>Household debt proxy</t>
        </is>
      </c>
      <c r="D121" t="inlineStr">
        <is>
          <t>pressure</t>
        </is>
      </c>
      <c r="E121" t="inlineStr">
        <is>
          <t>yes</t>
        </is>
      </c>
      <c r="F121" t="inlineStr">
        <is>
          <t>82.3297</t>
        </is>
      </c>
      <c r="G121" t="inlineStr">
        <is>
          <t>world_bank</t>
        </is>
      </c>
      <c r="H121" t="inlineStr">
        <is>
          <t>https://api.worldbank.org/v2/country/NLD/indicator/FD.AST.PRVT.GD.ZS?format=json&amp;mrv=30</t>
        </is>
      </c>
      <c r="I121" t="inlineStr">
        <is>
          <t>World Bank WDI: Domestic credit to private sector by banks (% of GDP) used as interim leverage proxy</t>
        </is>
      </c>
      <c r="J121" t="inlineStr">
        <is>
          <t>2024-12-31</t>
        </is>
      </c>
      <c r="K121" t="inlineStr">
        <is>
          <t>auto_seed=world_bank_wdi; proxy=broad_private_credit_not_household_only; indicator=FD.AST.PRVT.GD.ZS; observation_year=2024; dataset_lastupdated=2026-02-24; stale=no</t>
        </is>
      </c>
    </row>
    <row r="122">
      <c r="A122" t="inlineStr">
        <is>
          <t>Denmark</t>
        </is>
      </c>
      <c r="B122" t="inlineStr">
        <is>
          <t>gdp_per_capita_ppp</t>
        </is>
      </c>
      <c r="C122" t="inlineStr">
        <is>
          <t>GDP per capita (PPP)</t>
        </is>
      </c>
      <c r="D122" t="inlineStr">
        <is>
          <t>creative</t>
        </is>
      </c>
      <c r="E122" t="inlineStr">
        <is>
          <t>yes</t>
        </is>
      </c>
      <c r="F122" t="inlineStr">
        <is>
          <t>81878.23</t>
        </is>
      </c>
      <c r="G122" t="inlineStr">
        <is>
          <t>world_bank</t>
        </is>
      </c>
      <c r="H122" t="inlineStr">
        <is>
          <t>https://api.worldbank.org/v2/country/DNK/indicator/NY.GDP.PCAP.PP.CD?format=json&amp;mrv=30</t>
        </is>
      </c>
      <c r="I122" t="inlineStr">
        <is>
          <t>World Bank WDI: GDP per capita, PPP (current international $)</t>
        </is>
      </c>
      <c r="J122" t="inlineStr">
        <is>
          <t>2024-12-31</t>
        </is>
      </c>
      <c r="K122" t="inlineStr">
        <is>
          <t>auto_seed=world_bank_wdi; indicator=NY.GDP.PCAP.PP.CD; observation_year=2024; dataset_lastupdated=2026-02-24; stale=no</t>
        </is>
      </c>
    </row>
    <row r="123">
      <c r="A123" t="inlineStr">
        <is>
          <t>Denmark</t>
        </is>
      </c>
      <c r="B123" t="inlineStr">
        <is>
          <t>gdp_growth</t>
        </is>
      </c>
      <c r="C123" t="inlineStr">
        <is>
          <t>GDP growth</t>
        </is>
      </c>
      <c r="D123" t="inlineStr">
        <is>
          <t>creative</t>
        </is>
      </c>
      <c r="E123" t="inlineStr">
        <is>
          <t>yes</t>
        </is>
      </c>
      <c r="F123" t="inlineStr">
        <is>
          <t>3.4778</t>
        </is>
      </c>
      <c r="G123" t="inlineStr">
        <is>
          <t>world_bank</t>
        </is>
      </c>
      <c r="H123" t="inlineStr">
        <is>
          <t>https://api.worldbank.org/v2/country/DNK/indicator/NY.GDP.MKTP.KD.ZG?format=json&amp;mrv=30</t>
        </is>
      </c>
      <c r="I123" t="inlineStr">
        <is>
          <t>World Bank WDI: GDP growth (annual %)</t>
        </is>
      </c>
      <c r="J123" t="inlineStr">
        <is>
          <t>2024-12-31</t>
        </is>
      </c>
      <c r="K123" t="inlineStr">
        <is>
          <t>auto_seed=world_bank_wdi; indicator=NY.GDP.MKTP.KD.ZG; observation_year=2024; dataset_lastupdated=2026-02-24; stale=no</t>
        </is>
      </c>
    </row>
    <row r="124">
      <c r="A124" t="inlineStr">
        <is>
          <t>Denmark</t>
        </is>
      </c>
      <c r="B124" t="inlineStr">
        <is>
          <t>gini_coefficient</t>
        </is>
      </c>
      <c r="C124" t="inlineStr">
        <is>
          <t>Gini coefficient</t>
        </is>
      </c>
      <c r="D124" t="inlineStr">
        <is>
          <t>capability</t>
        </is>
      </c>
      <c r="E124" t="inlineStr">
        <is>
          <t>yes</t>
        </is>
      </c>
      <c r="F124" t="inlineStr">
        <is>
          <t>29.9</t>
        </is>
      </c>
      <c r="G124" t="inlineStr">
        <is>
          <t>world_bank</t>
        </is>
      </c>
      <c r="H124" t="inlineStr">
        <is>
          <t>https://api.worldbank.org/v2/country/DNK/indicator/SI.POV.GINI?format=json&amp;mrv=30</t>
        </is>
      </c>
      <c r="I124" t="inlineStr">
        <is>
          <t>World Bank WDI: Gini index</t>
        </is>
      </c>
      <c r="J124" t="inlineStr">
        <is>
          <t>2023-12-31</t>
        </is>
      </c>
      <c r="K124" t="inlineStr">
        <is>
          <t>auto_seed=world_bank_wdi; indicator=SI.POV.GINI; observation_year=2023; dataset_lastupdated=2026-02-24; stale=no</t>
        </is>
      </c>
    </row>
    <row r="125">
      <c r="A125" t="inlineStr">
        <is>
          <t>Denmark</t>
        </is>
      </c>
      <c r="B125" t="inlineStr">
        <is>
          <t>ppp_private_consumption</t>
        </is>
      </c>
      <c r="C125" t="inlineStr">
        <is>
          <t>PPP private consumption factor</t>
        </is>
      </c>
      <c r="D125" t="inlineStr">
        <is>
          <t>pressure</t>
        </is>
      </c>
      <c r="E125" t="inlineStr">
        <is>
          <t>yes</t>
        </is>
      </c>
      <c r="F125" t="inlineStr">
        <is>
          <t>6.764411</t>
        </is>
      </c>
      <c r="G125" t="inlineStr">
        <is>
          <t>world_bank</t>
        </is>
      </c>
      <c r="H125" t="inlineStr">
        <is>
          <t>https://api.worldbank.org/v2/country/DNK/indicator/PA.NUS.PRVT.PP?format=json&amp;mrv=30</t>
        </is>
      </c>
      <c r="I125" t="inlineStr">
        <is>
          <t>World Bank WDI: PPP conversion factor, private consumption (LCU per international $)</t>
        </is>
      </c>
      <c r="J125" t="inlineStr">
        <is>
          <t>2024-12-31</t>
        </is>
      </c>
      <c r="K125" t="inlineStr">
        <is>
          <t>auto_seed=world_bank_wdi; indicator=PA.NUS.PRVT.PP; observation_year=2024; dataset_lastupdated=2026-02-24; stale=no</t>
        </is>
      </c>
    </row>
    <row r="126">
      <c r="A126" t="inlineStr">
        <is>
          <t>Denmark</t>
        </is>
      </c>
      <c r="B126" t="inlineStr">
        <is>
          <t>tax_rate_assumption</t>
        </is>
      </c>
      <c r="C126" t="inlineStr">
        <is>
          <t>Tax rate assumption</t>
        </is>
      </c>
      <c r="D126" t="inlineStr">
        <is>
          <t>pressure</t>
        </is>
      </c>
      <c r="E126" t="inlineStr">
        <is>
          <t>yes</t>
        </is>
      </c>
      <c r="F126" t="inlineStr">
        <is>
          <t>0.315935</t>
        </is>
      </c>
      <c r="G126" t="inlineStr">
        <is>
          <t>world_bank</t>
        </is>
      </c>
      <c r="H126" t="inlineStr">
        <is>
          <t>https://api.worldbank.org/v2/country/DNK/indicator/GC.TAX.TOTL.GD.ZS?format=json&amp;mrv=30</t>
        </is>
      </c>
      <c r="I126" t="inlineStr">
        <is>
          <t>World Bank WDI: Tax revenue (% of GDP) used as interim country average tax-take proxy</t>
        </is>
      </c>
      <c r="J126" t="inlineStr">
        <is>
          <t>2023-12-31</t>
        </is>
      </c>
      <c r="K126" t="inlineStr">
        <is>
          <t>auto_seed=world_bank_wdi; proxy=country_average_tax_take_from_tax_revenue_share; indicator=GC.TAX.TOTL.GD.ZS; observation_year=2023; dataset_lastupdated=2026-02-24; stale=no</t>
        </is>
      </c>
    </row>
    <row r="127">
      <c r="A127" t="inlineStr">
        <is>
          <t>Denmark</t>
        </is>
      </c>
      <c r="B127" t="inlineStr">
        <is>
          <t>household_debt_proxy</t>
        </is>
      </c>
      <c r="C127" t="inlineStr">
        <is>
          <t>Household debt proxy</t>
        </is>
      </c>
      <c r="D127" t="inlineStr">
        <is>
          <t>pressure</t>
        </is>
      </c>
      <c r="E127" t="inlineStr">
        <is>
          <t>yes</t>
        </is>
      </c>
      <c r="F127" t="inlineStr">
        <is>
          <t>144.0931</t>
        </is>
      </c>
      <c r="G127" t="inlineStr">
        <is>
          <t>world_bank</t>
        </is>
      </c>
      <c r="H127" t="inlineStr">
        <is>
          <t>https://api.worldbank.org/v2/country/DNK/indicator/FD.AST.PRVT.GD.ZS?format=json&amp;mrv=30</t>
        </is>
      </c>
      <c r="I127" t="inlineStr">
        <is>
          <t>World Bank WDI: Domestic credit to private sector by banks (% of GDP) used as interim leverage proxy</t>
        </is>
      </c>
      <c r="J127" t="inlineStr">
        <is>
          <t>2024-12-31</t>
        </is>
      </c>
      <c r="K127" t="inlineStr">
        <is>
          <t>auto_seed=world_bank_wdi; proxy=broad_private_credit_not_household_only; indicator=FD.AST.PRVT.GD.ZS; observation_year=2024; dataset_lastupdated=2026-02-24; stale=no</t>
        </is>
      </c>
    </row>
    <row r="128">
      <c r="A128" t="inlineStr">
        <is>
          <t>Italy</t>
        </is>
      </c>
      <c r="B128" t="inlineStr">
        <is>
          <t>gdp_per_capita_ppp</t>
        </is>
      </c>
      <c r="C128" t="inlineStr">
        <is>
          <t>GDP per capita (PPP)</t>
        </is>
      </c>
      <c r="D128" t="inlineStr">
        <is>
          <t>creative</t>
        </is>
      </c>
      <c r="E128" t="inlineStr">
        <is>
          <t>yes</t>
        </is>
      </c>
      <c r="F128" t="inlineStr">
        <is>
          <t>62014.27</t>
        </is>
      </c>
      <c r="G128" t="inlineStr">
        <is>
          <t>world_bank</t>
        </is>
      </c>
      <c r="H128" t="inlineStr">
        <is>
          <t>https://api.worldbank.org/v2/country/ITA/indicator/NY.GDP.PCAP.PP.CD?format=json&amp;mrv=30</t>
        </is>
      </c>
      <c r="I128" t="inlineStr">
        <is>
          <t>World Bank WDI: GDP per capita, PPP (current international $)</t>
        </is>
      </c>
      <c r="J128" t="inlineStr">
        <is>
          <t>2024-12-31</t>
        </is>
      </c>
      <c r="K128" t="inlineStr">
        <is>
          <t>auto_seed=world_bank_wdi; indicator=NY.GDP.PCAP.PP.CD; observation_year=2024; dataset_lastupdated=2026-02-24; stale=no</t>
        </is>
      </c>
    </row>
    <row r="129">
      <c r="A129" t="inlineStr">
        <is>
          <t>Italy</t>
        </is>
      </c>
      <c r="B129" t="inlineStr">
        <is>
          <t>gdp_growth</t>
        </is>
      </c>
      <c r="C129" t="inlineStr">
        <is>
          <t>GDP growth</t>
        </is>
      </c>
      <c r="D129" t="inlineStr">
        <is>
          <t>creative</t>
        </is>
      </c>
      <c r="E129" t="inlineStr">
        <is>
          <t>yes</t>
        </is>
      </c>
      <c r="F129" t="inlineStr">
        <is>
          <t>0.6927</t>
        </is>
      </c>
      <c r="G129" t="inlineStr">
        <is>
          <t>world_bank</t>
        </is>
      </c>
      <c r="H129" t="inlineStr">
        <is>
          <t>https://api.worldbank.org/v2/country/ITA/indicator/NY.GDP.MKTP.KD.ZG?format=json&amp;mrv=30</t>
        </is>
      </c>
      <c r="I129" t="inlineStr">
        <is>
          <t>World Bank WDI: GDP growth (annual %)</t>
        </is>
      </c>
      <c r="J129" t="inlineStr">
        <is>
          <t>2024-12-31</t>
        </is>
      </c>
      <c r="K129" t="inlineStr">
        <is>
          <t>auto_seed=world_bank_wdi; indicator=NY.GDP.MKTP.KD.ZG; observation_year=2024; dataset_lastupdated=2026-02-24; stale=no</t>
        </is>
      </c>
    </row>
    <row r="130">
      <c r="A130" t="inlineStr">
        <is>
          <t>Italy</t>
        </is>
      </c>
      <c r="B130" t="inlineStr">
        <is>
          <t>gini_coefficient</t>
        </is>
      </c>
      <c r="C130" t="inlineStr">
        <is>
          <t>Gini coefficient</t>
        </is>
      </c>
      <c r="D130" t="inlineStr">
        <is>
          <t>capability</t>
        </is>
      </c>
      <c r="E130" t="inlineStr">
        <is>
          <t>yes</t>
        </is>
      </c>
      <c r="F130" t="inlineStr">
        <is>
          <t>34.3</t>
        </is>
      </c>
      <c r="G130" t="inlineStr">
        <is>
          <t>world_bank</t>
        </is>
      </c>
      <c r="H130" t="inlineStr">
        <is>
          <t>https://api.worldbank.org/v2/country/ITA/indicator/SI.POV.GINI?format=json&amp;mrv=30</t>
        </is>
      </c>
      <c r="I130" t="inlineStr">
        <is>
          <t>World Bank WDI: Gini index</t>
        </is>
      </c>
      <c r="J130" t="inlineStr">
        <is>
          <t>2023-12-31</t>
        </is>
      </c>
      <c r="K130" t="inlineStr">
        <is>
          <t>auto_seed=world_bank_wdi; indicator=SI.POV.GINI; observation_year=2023; dataset_lastupdated=2026-02-24; stale=no</t>
        </is>
      </c>
    </row>
    <row r="131">
      <c r="A131" t="inlineStr">
        <is>
          <t>Italy</t>
        </is>
      </c>
      <c r="B131" t="inlineStr">
        <is>
          <t>ppp_private_consumption</t>
        </is>
      </c>
      <c r="C131" t="inlineStr">
        <is>
          <t>PPP private consumption factor</t>
        </is>
      </c>
      <c r="D131" t="inlineStr">
        <is>
          <t>pressure</t>
        </is>
      </c>
      <c r="E131" t="inlineStr">
        <is>
          <t>yes</t>
        </is>
      </c>
      <c r="F131" t="inlineStr">
        <is>
          <t>0.625157</t>
        </is>
      </c>
      <c r="G131" t="inlineStr">
        <is>
          <t>world_bank</t>
        </is>
      </c>
      <c r="H131" t="inlineStr">
        <is>
          <t>https://api.worldbank.org/v2/country/ITA/indicator/PA.NUS.PRVT.PP?format=json&amp;mrv=30</t>
        </is>
      </c>
      <c r="I131" t="inlineStr">
        <is>
          <t>World Bank WDI: PPP conversion factor, private consumption (LCU per international $)</t>
        </is>
      </c>
      <c r="J131" t="inlineStr">
        <is>
          <t>2024-12-31</t>
        </is>
      </c>
      <c r="K131" t="inlineStr">
        <is>
          <t>auto_seed=world_bank_wdi; indicator=PA.NUS.PRVT.PP; observation_year=2024; dataset_lastupdated=2026-02-24; stale=no</t>
        </is>
      </c>
    </row>
    <row r="132">
      <c r="A132" t="inlineStr">
        <is>
          <t>Italy</t>
        </is>
      </c>
      <c r="B132" t="inlineStr">
        <is>
          <t>tax_rate_assumption</t>
        </is>
      </c>
      <c r="C132" t="inlineStr">
        <is>
          <t>Tax rate assumption</t>
        </is>
      </c>
      <c r="D132" t="inlineStr">
        <is>
          <t>pressure</t>
        </is>
      </c>
      <c r="E132" t="inlineStr">
        <is>
          <t>yes</t>
        </is>
      </c>
      <c r="F132" t="inlineStr">
        <is>
          <t>0.24708</t>
        </is>
      </c>
      <c r="G132" t="inlineStr">
        <is>
          <t>world_bank</t>
        </is>
      </c>
      <c r="H132" t="inlineStr">
        <is>
          <t>https://api.worldbank.org/v2/country/ITA/indicator/GC.TAX.TOTL.GD.ZS?format=json&amp;mrv=30</t>
        </is>
      </c>
      <c r="I132" t="inlineStr">
        <is>
          <t>World Bank WDI: Tax revenue (% of GDP) used as interim country average tax-take proxy</t>
        </is>
      </c>
      <c r="J132" t="inlineStr">
        <is>
          <t>2023-12-31</t>
        </is>
      </c>
      <c r="K132" t="inlineStr">
        <is>
          <t>auto_seed=world_bank_wdi; proxy=country_average_tax_take_from_tax_revenue_share; indicator=GC.TAX.TOTL.GD.ZS; observation_year=2023; dataset_lastupdated=2026-02-24; stale=no</t>
        </is>
      </c>
    </row>
    <row r="133">
      <c r="A133" t="inlineStr">
        <is>
          <t>Italy</t>
        </is>
      </c>
      <c r="B133" t="inlineStr">
        <is>
          <t>household_debt_proxy</t>
        </is>
      </c>
      <c r="C133" t="inlineStr">
        <is>
          <t>Household debt proxy</t>
        </is>
      </c>
      <c r="D133" t="inlineStr">
        <is>
          <t>pressure</t>
        </is>
      </c>
      <c r="E133" t="inlineStr">
        <is>
          <t>yes</t>
        </is>
      </c>
      <c r="F133" t="inlineStr">
        <is>
          <t>59.3116</t>
        </is>
      </c>
      <c r="G133" t="inlineStr">
        <is>
          <t>world_bank</t>
        </is>
      </c>
      <c r="H133" t="inlineStr">
        <is>
          <t>https://api.worldbank.org/v2/country/ITA/indicator/FD.AST.PRVT.GD.ZS?format=json&amp;mrv=30</t>
        </is>
      </c>
      <c r="I133" t="inlineStr">
        <is>
          <t>World Bank WDI: Domestic credit to private sector by banks (% of GDP) used as interim leverage proxy</t>
        </is>
      </c>
      <c r="J133" t="inlineStr">
        <is>
          <t>2024-12-31</t>
        </is>
      </c>
      <c r="K133" t="inlineStr">
        <is>
          <t>auto_seed=world_bank_wdi; proxy=broad_private_credit_not_household_only; indicator=FD.AST.PRVT.GD.ZS; observation_year=2024; dataset_lastupdated=2026-02-24; stale=no</t>
        </is>
      </c>
    </row>
    <row r="134">
      <c r="A134" t="inlineStr">
        <is>
          <t>Portugal</t>
        </is>
      </c>
      <c r="B134" t="inlineStr">
        <is>
          <t>gdp_per_capita_ppp</t>
        </is>
      </c>
      <c r="C134" t="inlineStr">
        <is>
          <t>GDP per capita (PPP)</t>
        </is>
      </c>
      <c r="D134" t="inlineStr">
        <is>
          <t>creative</t>
        </is>
      </c>
      <c r="E134" t="inlineStr">
        <is>
          <t>yes</t>
        </is>
      </c>
      <c r="F134" t="inlineStr">
        <is>
          <t>51679.89</t>
        </is>
      </c>
      <c r="G134" t="inlineStr">
        <is>
          <t>world_bank</t>
        </is>
      </c>
      <c r="H134" t="inlineStr">
        <is>
          <t>https://api.worldbank.org/v2/country/PRT/indicator/NY.GDP.PCAP.PP.CD?format=json&amp;mrv=30</t>
        </is>
      </c>
      <c r="I134" t="inlineStr">
        <is>
          <t>World Bank WDI: GDP per capita, PPP (current international $)</t>
        </is>
      </c>
      <c r="J134" t="inlineStr">
        <is>
          <t>2024-12-31</t>
        </is>
      </c>
      <c r="K134" t="inlineStr">
        <is>
          <t>auto_seed=world_bank_wdi; indicator=NY.GDP.PCAP.PP.CD; observation_year=2024; dataset_lastupdated=2026-02-24; stale=no</t>
        </is>
      </c>
    </row>
    <row r="135">
      <c r="A135" t="inlineStr">
        <is>
          <t>Portugal</t>
        </is>
      </c>
      <c r="B135" t="inlineStr">
        <is>
          <t>gdp_growth</t>
        </is>
      </c>
      <c r="C135" t="inlineStr">
        <is>
          <t>GDP growth</t>
        </is>
      </c>
      <c r="D135" t="inlineStr">
        <is>
          <t>creative</t>
        </is>
      </c>
      <c r="E135" t="inlineStr">
        <is>
          <t>yes</t>
        </is>
      </c>
      <c r="F135" t="inlineStr">
        <is>
          <t>2.1397</t>
        </is>
      </c>
      <c r="G135" t="inlineStr">
        <is>
          <t>world_bank</t>
        </is>
      </c>
      <c r="H135" t="inlineStr">
        <is>
          <t>https://api.worldbank.org/v2/country/PRT/indicator/NY.GDP.MKTP.KD.ZG?format=json&amp;mrv=30</t>
        </is>
      </c>
      <c r="I135" t="inlineStr">
        <is>
          <t>World Bank WDI: GDP growth (annual %)</t>
        </is>
      </c>
      <c r="J135" t="inlineStr">
        <is>
          <t>2024-12-31</t>
        </is>
      </c>
      <c r="K135" t="inlineStr">
        <is>
          <t>auto_seed=world_bank_wdi; indicator=NY.GDP.MKTP.KD.ZG; observation_year=2024; dataset_lastupdated=2026-02-24; stale=no</t>
        </is>
      </c>
    </row>
    <row r="136">
      <c r="A136" t="inlineStr">
        <is>
          <t>Portugal</t>
        </is>
      </c>
      <c r="B136" t="inlineStr">
        <is>
          <t>gini_coefficient</t>
        </is>
      </c>
      <c r="C136" t="inlineStr">
        <is>
          <t>Gini coefficient</t>
        </is>
      </c>
      <c r="D136" t="inlineStr">
        <is>
          <t>capability</t>
        </is>
      </c>
      <c r="E136" t="inlineStr">
        <is>
          <t>yes</t>
        </is>
      </c>
      <c r="F136" t="inlineStr">
        <is>
          <t>33.9</t>
        </is>
      </c>
      <c r="G136" t="inlineStr">
        <is>
          <t>world_bank</t>
        </is>
      </c>
      <c r="H136" t="inlineStr">
        <is>
          <t>https://api.worldbank.org/v2/country/PRT/indicator/SI.POV.GINI?format=json&amp;mrv=30</t>
        </is>
      </c>
      <c r="I136" t="inlineStr">
        <is>
          <t>World Bank WDI: Gini index</t>
        </is>
      </c>
      <c r="J136" t="inlineStr">
        <is>
          <t>2023-12-31</t>
        </is>
      </c>
      <c r="K136" t="inlineStr">
        <is>
          <t>auto_seed=world_bank_wdi; indicator=SI.POV.GINI; observation_year=2023; dataset_lastupdated=2026-02-24; stale=no</t>
        </is>
      </c>
    </row>
    <row r="137">
      <c r="A137" t="inlineStr">
        <is>
          <t>Portugal</t>
        </is>
      </c>
      <c r="B137" t="inlineStr">
        <is>
          <t>ppp_private_consumption</t>
        </is>
      </c>
      <c r="C137" t="inlineStr">
        <is>
          <t>PPP private consumption factor</t>
        </is>
      </c>
      <c r="D137" t="inlineStr">
        <is>
          <t>pressure</t>
        </is>
      </c>
      <c r="E137" t="inlineStr">
        <is>
          <t>yes</t>
        </is>
      </c>
      <c r="F137" t="inlineStr">
        <is>
          <t>0.558749</t>
        </is>
      </c>
      <c r="G137" t="inlineStr">
        <is>
          <t>world_bank</t>
        </is>
      </c>
      <c r="H137" t="inlineStr">
        <is>
          <t>https://api.worldbank.org/v2/country/PRT/indicator/PA.NUS.PRVT.PP?format=json&amp;mrv=30</t>
        </is>
      </c>
      <c r="I137" t="inlineStr">
        <is>
          <t>World Bank WDI: PPP conversion factor, private consumption (LCU per international $)</t>
        </is>
      </c>
      <c r="J137" t="inlineStr">
        <is>
          <t>2024-12-31</t>
        </is>
      </c>
      <c r="K137" t="inlineStr">
        <is>
          <t>auto_seed=world_bank_wdi; indicator=PA.NUS.PRVT.PP; observation_year=2024; dataset_lastupdated=2026-02-24; stale=no</t>
        </is>
      </c>
    </row>
    <row r="138">
      <c r="A138" t="inlineStr">
        <is>
          <t>Portugal</t>
        </is>
      </c>
      <c r="B138" t="inlineStr">
        <is>
          <t>tax_rate_assumption</t>
        </is>
      </c>
      <c r="C138" t="inlineStr">
        <is>
          <t>Tax rate assumption</t>
        </is>
      </c>
      <c r="D138" t="inlineStr">
        <is>
          <t>pressure</t>
        </is>
      </c>
      <c r="E138" t="inlineStr">
        <is>
          <t>yes</t>
        </is>
      </c>
      <c r="F138" t="inlineStr">
        <is>
          <t>0.226188</t>
        </is>
      </c>
      <c r="G138" t="inlineStr">
        <is>
          <t>world_bank</t>
        </is>
      </c>
      <c r="H138" t="inlineStr">
        <is>
          <t>https://api.worldbank.org/v2/country/PRT/indicator/GC.TAX.TOTL.GD.ZS?format=json&amp;mrv=30</t>
        </is>
      </c>
      <c r="I138" t="inlineStr">
        <is>
          <t>World Bank WDI: Tax revenue (% of GDP) used as interim country average tax-take proxy</t>
        </is>
      </c>
      <c r="J138" t="inlineStr">
        <is>
          <t>2023-12-31</t>
        </is>
      </c>
      <c r="K138" t="inlineStr">
        <is>
          <t>auto_seed=world_bank_wdi; proxy=country_average_tax_take_from_tax_revenue_share; indicator=GC.TAX.TOTL.GD.ZS; observation_year=2023; dataset_lastupdated=2026-02-24; stale=no</t>
        </is>
      </c>
    </row>
    <row r="139">
      <c r="A139" t="inlineStr">
        <is>
          <t>Portugal</t>
        </is>
      </c>
      <c r="B139" t="inlineStr">
        <is>
          <t>household_debt_proxy</t>
        </is>
      </c>
      <c r="C139" t="inlineStr">
        <is>
          <t>Household debt proxy</t>
        </is>
      </c>
      <c r="D139" t="inlineStr">
        <is>
          <t>pressure</t>
        </is>
      </c>
      <c r="E139" t="inlineStr">
        <is>
          <t>yes</t>
        </is>
      </c>
      <c r="F139" t="inlineStr">
        <is>
          <t>77.1375</t>
        </is>
      </c>
      <c r="G139" t="inlineStr">
        <is>
          <t>world_bank</t>
        </is>
      </c>
      <c r="H139" t="inlineStr">
        <is>
          <t>https://api.worldbank.org/v2/country/PRT/indicator/FD.AST.PRVT.GD.ZS?format=json&amp;mrv=30</t>
        </is>
      </c>
      <c r="I139" t="inlineStr">
        <is>
          <t>World Bank WDI: Domestic credit to private sector by banks (% of GDP) used as interim leverage proxy</t>
        </is>
      </c>
      <c r="J139" t="inlineStr">
        <is>
          <t>2024-12-31</t>
        </is>
      </c>
      <c r="K139" t="inlineStr">
        <is>
          <t>auto_seed=world_bank_wdi; proxy=broad_private_credit_not_household_only; indicator=FD.AST.PRVT.GD.ZS; observation_year=2024; dataset_lastupdated=2026-02-24; stale=no</t>
        </is>
      </c>
    </row>
    <row r="140">
      <c r="A140" t="inlineStr">
        <is>
          <t>Estonia</t>
        </is>
      </c>
      <c r="B140" t="inlineStr">
        <is>
          <t>gdp_per_capita_ppp</t>
        </is>
      </c>
      <c r="C140" t="inlineStr">
        <is>
          <t>GDP per capita (PPP)</t>
        </is>
      </c>
      <c r="D140" t="inlineStr">
        <is>
          <t>creative</t>
        </is>
      </c>
      <c r="E140" t="inlineStr">
        <is>
          <t>yes</t>
        </is>
      </c>
      <c r="F140" t="inlineStr">
        <is>
          <t>49968.71</t>
        </is>
      </c>
      <c r="G140" t="inlineStr">
        <is>
          <t>world_bank</t>
        </is>
      </c>
      <c r="H140" t="inlineStr">
        <is>
          <t>https://api.worldbank.org/v2/country/EST/indicator/NY.GDP.PCAP.PP.CD?format=json&amp;mrv=30</t>
        </is>
      </c>
      <c r="I140" t="inlineStr">
        <is>
          <t>World Bank WDI: GDP per capita, PPP (current international $)</t>
        </is>
      </c>
      <c r="J140" t="inlineStr">
        <is>
          <t>2024-12-31</t>
        </is>
      </c>
      <c r="K140" t="inlineStr">
        <is>
          <t>auto_seed=world_bank_wdi; indicator=NY.GDP.PCAP.PP.CD; observation_year=2024; dataset_lastupdated=2026-02-24; stale=no</t>
        </is>
      </c>
    </row>
    <row r="141">
      <c r="A141" t="inlineStr">
        <is>
          <t>Estonia</t>
        </is>
      </c>
      <c r="B141" t="inlineStr">
        <is>
          <t>gdp_growth</t>
        </is>
      </c>
      <c r="C141" t="inlineStr">
        <is>
          <t>GDP growth</t>
        </is>
      </c>
      <c r="D141" t="inlineStr">
        <is>
          <t>creative</t>
        </is>
      </c>
      <c r="E141" t="inlineStr">
        <is>
          <t>yes</t>
        </is>
      </c>
      <c r="F141" t="inlineStr">
        <is>
          <t>-0.09</t>
        </is>
      </c>
      <c r="G141" t="inlineStr">
        <is>
          <t>world_bank</t>
        </is>
      </c>
      <c r="H141" t="inlineStr">
        <is>
          <t>https://api.worldbank.org/v2/country/EST/indicator/NY.GDP.MKTP.KD.ZG?format=json&amp;mrv=30</t>
        </is>
      </c>
      <c r="I141" t="inlineStr">
        <is>
          <t>World Bank WDI: GDP growth (annual %)</t>
        </is>
      </c>
      <c r="J141" t="inlineStr">
        <is>
          <t>2024-12-31</t>
        </is>
      </c>
      <c r="K141" t="inlineStr">
        <is>
          <t>auto_seed=world_bank_wdi; indicator=NY.GDP.MKTP.KD.ZG; observation_year=2024; dataset_lastupdated=2026-02-24; stale=no</t>
        </is>
      </c>
    </row>
    <row r="142">
      <c r="A142" t="inlineStr">
        <is>
          <t>Estonia</t>
        </is>
      </c>
      <c r="B142" t="inlineStr">
        <is>
          <t>gini_coefficient</t>
        </is>
      </c>
      <c r="C142" t="inlineStr">
        <is>
          <t>Gini coefficient</t>
        </is>
      </c>
      <c r="D142" t="inlineStr">
        <is>
          <t>capability</t>
        </is>
      </c>
      <c r="E142" t="inlineStr">
        <is>
          <t>yes</t>
        </is>
      </c>
      <c r="F142" t="inlineStr">
        <is>
          <t>30.7</t>
        </is>
      </c>
      <c r="G142" t="inlineStr">
        <is>
          <t>world_bank</t>
        </is>
      </c>
      <c r="H142" t="inlineStr">
        <is>
          <t>https://api.worldbank.org/v2/country/EST/indicator/SI.POV.GINI?format=json&amp;mrv=30</t>
        </is>
      </c>
      <c r="I142" t="inlineStr">
        <is>
          <t>World Bank WDI: Gini index</t>
        </is>
      </c>
      <c r="J142" t="inlineStr">
        <is>
          <t>2023-12-31</t>
        </is>
      </c>
      <c r="K142" t="inlineStr">
        <is>
          <t>auto_seed=world_bank_wdi; indicator=SI.POV.GINI; observation_year=2023; dataset_lastupdated=2026-02-24; stale=no</t>
        </is>
      </c>
    </row>
    <row r="143">
      <c r="A143" t="inlineStr">
        <is>
          <t>Estonia</t>
        </is>
      </c>
      <c r="B143" t="inlineStr">
        <is>
          <t>ppp_private_consumption</t>
        </is>
      </c>
      <c r="C143" t="inlineStr">
        <is>
          <t>PPP private consumption factor</t>
        </is>
      </c>
      <c r="D143" t="inlineStr">
        <is>
          <t>pressure</t>
        </is>
      </c>
      <c r="E143" t="inlineStr">
        <is>
          <t>yes</t>
        </is>
      </c>
      <c r="F143" t="inlineStr">
        <is>
          <t>0.646078</t>
        </is>
      </c>
      <c r="G143" t="inlineStr">
        <is>
          <t>world_bank</t>
        </is>
      </c>
      <c r="H143" t="inlineStr">
        <is>
          <t>https://api.worldbank.org/v2/country/EST/indicator/PA.NUS.PRVT.PP?format=json&amp;mrv=30</t>
        </is>
      </c>
      <c r="I143" t="inlineStr">
        <is>
          <t>World Bank WDI: PPP conversion factor, private consumption (LCU per international $)</t>
        </is>
      </c>
      <c r="J143" t="inlineStr">
        <is>
          <t>2024-12-31</t>
        </is>
      </c>
      <c r="K143" t="inlineStr">
        <is>
          <t>auto_seed=world_bank_wdi; indicator=PA.NUS.PRVT.PP; observation_year=2024; dataset_lastupdated=2026-02-24; stale=no</t>
        </is>
      </c>
    </row>
    <row r="144">
      <c r="A144" t="inlineStr">
        <is>
          <t>Estonia</t>
        </is>
      </c>
      <c r="B144" t="inlineStr">
        <is>
          <t>tax_rate_assumption</t>
        </is>
      </c>
      <c r="C144" t="inlineStr">
        <is>
          <t>Tax rate assumption</t>
        </is>
      </c>
      <c r="D144" t="inlineStr">
        <is>
          <t>pressure</t>
        </is>
      </c>
      <c r="E144" t="inlineStr">
        <is>
          <t>yes</t>
        </is>
      </c>
      <c r="F144" t="inlineStr">
        <is>
          <t>0.21329</t>
        </is>
      </c>
      <c r="G144" t="inlineStr">
        <is>
          <t>world_bank</t>
        </is>
      </c>
      <c r="H144" t="inlineStr">
        <is>
          <t>https://api.worldbank.org/v2/country/EST/indicator/GC.TAX.TOTL.GD.ZS?format=json&amp;mrv=30</t>
        </is>
      </c>
      <c r="I144" t="inlineStr">
        <is>
          <t>World Bank WDI: Tax revenue (% of GDP) used as interim country average tax-take proxy</t>
        </is>
      </c>
      <c r="J144" t="inlineStr">
        <is>
          <t>2023-12-31</t>
        </is>
      </c>
      <c r="K144" t="inlineStr">
        <is>
          <t>auto_seed=world_bank_wdi; proxy=country_average_tax_take_from_tax_revenue_share; indicator=GC.TAX.TOTL.GD.ZS; observation_year=2023; dataset_lastupdated=2026-02-24; stale=no</t>
        </is>
      </c>
    </row>
    <row r="145">
      <c r="A145" t="inlineStr">
        <is>
          <t>Estonia</t>
        </is>
      </c>
      <c r="B145" t="inlineStr">
        <is>
          <t>household_debt_proxy</t>
        </is>
      </c>
      <c r="C145" t="inlineStr">
        <is>
          <t>Household debt proxy</t>
        </is>
      </c>
      <c r="D145" t="inlineStr">
        <is>
          <t>pressure</t>
        </is>
      </c>
      <c r="E145" t="inlineStr">
        <is>
          <t>yes</t>
        </is>
      </c>
      <c r="F145" t="inlineStr">
        <is>
          <t>60.5329</t>
        </is>
      </c>
      <c r="G145" t="inlineStr">
        <is>
          <t>world_bank</t>
        </is>
      </c>
      <c r="H145" t="inlineStr">
        <is>
          <t>https://api.worldbank.org/v2/country/EST/indicator/FD.AST.PRVT.GD.ZS?format=json&amp;mrv=30</t>
        </is>
      </c>
      <c r="I145" t="inlineStr">
        <is>
          <t>World Bank WDI: Domestic credit to private sector by banks (% of GDP) used as interim leverage proxy</t>
        </is>
      </c>
      <c r="J145" t="inlineStr">
        <is>
          <t>2024-12-31</t>
        </is>
      </c>
      <c r="K145" t="inlineStr">
        <is>
          <t>auto_seed=world_bank_wdi; proxy=broad_private_credit_not_household_only; indicator=FD.AST.PRVT.GD.ZS; observation_year=2024; dataset_lastupdated=2026-02-24; stale=no</t>
        </is>
      </c>
    </row>
    <row r="146">
      <c r="A146" t="inlineStr">
        <is>
          <t>Finland</t>
        </is>
      </c>
      <c r="B146" t="inlineStr">
        <is>
          <t>gdp_per_capita_ppp</t>
        </is>
      </c>
      <c r="C146" t="inlineStr">
        <is>
          <t>GDP per capita (PPP)</t>
        </is>
      </c>
      <c r="D146" t="inlineStr">
        <is>
          <t>creative</t>
        </is>
      </c>
      <c r="E146" t="inlineStr">
        <is>
          <t>yes</t>
        </is>
      </c>
      <c r="F146" t="inlineStr">
        <is>
          <t>65378.38</t>
        </is>
      </c>
      <c r="G146" t="inlineStr">
        <is>
          <t>world_bank</t>
        </is>
      </c>
      <c r="H146" t="inlineStr">
        <is>
          <t>https://api.worldbank.org/v2/country/FIN/indicator/NY.GDP.PCAP.PP.CD?format=json&amp;mrv=30</t>
        </is>
      </c>
      <c r="I146" t="inlineStr">
        <is>
          <t>World Bank WDI: GDP per capita, PPP (current international $)</t>
        </is>
      </c>
      <c r="J146" t="inlineStr">
        <is>
          <t>2024-12-31</t>
        </is>
      </c>
      <c r="K146" t="inlineStr">
        <is>
          <t>auto_seed=world_bank_wdi; indicator=NY.GDP.PCAP.PP.CD; observation_year=2024; dataset_lastupdated=2026-02-24; stale=no</t>
        </is>
      </c>
    </row>
    <row r="147">
      <c r="A147" t="inlineStr">
        <is>
          <t>Finland</t>
        </is>
      </c>
      <c r="B147" t="inlineStr">
        <is>
          <t>gdp_growth</t>
        </is>
      </c>
      <c r="C147" t="inlineStr">
        <is>
          <t>GDP growth</t>
        </is>
      </c>
      <c r="D147" t="inlineStr">
        <is>
          <t>creative</t>
        </is>
      </c>
      <c r="E147" t="inlineStr">
        <is>
          <t>yes</t>
        </is>
      </c>
      <c r="F147" t="inlineStr">
        <is>
          <t>0.4162</t>
        </is>
      </c>
      <c r="G147" t="inlineStr">
        <is>
          <t>world_bank</t>
        </is>
      </c>
      <c r="H147" t="inlineStr">
        <is>
          <t>https://api.worldbank.org/v2/country/FIN/indicator/NY.GDP.MKTP.KD.ZG?format=json&amp;mrv=30</t>
        </is>
      </c>
      <c r="I147" t="inlineStr">
        <is>
          <t>World Bank WDI: GDP growth (annual %)</t>
        </is>
      </c>
      <c r="J147" t="inlineStr">
        <is>
          <t>2024-12-31</t>
        </is>
      </c>
      <c r="K147" t="inlineStr">
        <is>
          <t>auto_seed=world_bank_wdi; indicator=NY.GDP.MKTP.KD.ZG; observation_year=2024; dataset_lastupdated=2026-02-24; stale=no</t>
        </is>
      </c>
    </row>
    <row r="148">
      <c r="A148" t="inlineStr">
        <is>
          <t>Finland</t>
        </is>
      </c>
      <c r="B148" t="inlineStr">
        <is>
          <t>gini_coefficient</t>
        </is>
      </c>
      <c r="C148" t="inlineStr">
        <is>
          <t>Gini coefficient</t>
        </is>
      </c>
      <c r="D148" t="inlineStr">
        <is>
          <t>capability</t>
        </is>
      </c>
      <c r="E148" t="inlineStr">
        <is>
          <t>yes</t>
        </is>
      </c>
      <c r="F148" t="inlineStr">
        <is>
          <t>27.4</t>
        </is>
      </c>
      <c r="G148" t="inlineStr">
        <is>
          <t>world_bank</t>
        </is>
      </c>
      <c r="H148" t="inlineStr">
        <is>
          <t>https://api.worldbank.org/v2/country/FIN/indicator/SI.POV.GINI?format=json&amp;mrv=30</t>
        </is>
      </c>
      <c r="I148" t="inlineStr">
        <is>
          <t>World Bank WDI: Gini index</t>
        </is>
      </c>
      <c r="J148" t="inlineStr">
        <is>
          <t>2023-12-31</t>
        </is>
      </c>
      <c r="K148" t="inlineStr">
        <is>
          <t>auto_seed=world_bank_wdi; indicator=SI.POV.GINI; observation_year=2023; dataset_lastupdated=2026-02-24; stale=no</t>
        </is>
      </c>
    </row>
    <row r="149">
      <c r="A149" t="inlineStr">
        <is>
          <t>Finland</t>
        </is>
      </c>
      <c r="B149" t="inlineStr">
        <is>
          <t>ppp_private_consumption</t>
        </is>
      </c>
      <c r="C149" t="inlineStr">
        <is>
          <t>PPP private consumption factor</t>
        </is>
      </c>
      <c r="D149" t="inlineStr">
        <is>
          <t>pressure</t>
        </is>
      </c>
      <c r="E149" t="inlineStr">
        <is>
          <t>yes</t>
        </is>
      </c>
      <c r="F149" t="inlineStr">
        <is>
          <t>0.788236</t>
        </is>
      </c>
      <c r="G149" t="inlineStr">
        <is>
          <t>world_bank</t>
        </is>
      </c>
      <c r="H149" t="inlineStr">
        <is>
          <t>https://api.worldbank.org/v2/country/FIN/indicator/PA.NUS.PRVT.PP?format=json&amp;mrv=30</t>
        </is>
      </c>
      <c r="I149" t="inlineStr">
        <is>
          <t>World Bank WDI: PPP conversion factor, private consumption (LCU per international $)</t>
        </is>
      </c>
      <c r="J149" t="inlineStr">
        <is>
          <t>2024-12-31</t>
        </is>
      </c>
      <c r="K149" t="inlineStr">
        <is>
          <t>auto_seed=world_bank_wdi; indicator=PA.NUS.PRVT.PP; observation_year=2024; dataset_lastupdated=2026-02-24; stale=no</t>
        </is>
      </c>
    </row>
    <row r="150">
      <c r="A150" t="inlineStr">
        <is>
          <t>Finland</t>
        </is>
      </c>
      <c r="B150" t="inlineStr">
        <is>
          <t>tax_rate_assumption</t>
        </is>
      </c>
      <c r="C150" t="inlineStr">
        <is>
          <t>Tax rate assumption</t>
        </is>
      </c>
      <c r="D150" t="inlineStr">
        <is>
          <t>pressure</t>
        </is>
      </c>
      <c r="E150" t="inlineStr">
        <is>
          <t>yes</t>
        </is>
      </c>
      <c r="F150" t="inlineStr">
        <is>
          <t>0.253757</t>
        </is>
      </c>
      <c r="G150" t="inlineStr">
        <is>
          <t>world_bank</t>
        </is>
      </c>
      <c r="H150" t="inlineStr">
        <is>
          <t>https://api.worldbank.org/v2/country/FIN/indicator/GC.TAX.TOTL.GD.ZS?format=json&amp;mrv=30</t>
        </is>
      </c>
      <c r="I150" t="inlineStr">
        <is>
          <t>World Bank WDI: Tax revenue (% of GDP) used as interim country average tax-take proxy</t>
        </is>
      </c>
      <c r="J150" t="inlineStr">
        <is>
          <t>2023-12-31</t>
        </is>
      </c>
      <c r="K150" t="inlineStr">
        <is>
          <t>auto_seed=world_bank_wdi; proxy=country_average_tax_take_from_tax_revenue_share; indicator=GC.TAX.TOTL.GD.ZS; observation_year=2023; dataset_lastupdated=2026-02-24; stale=no</t>
        </is>
      </c>
    </row>
    <row r="151">
      <c r="A151" t="inlineStr">
        <is>
          <t>Finland</t>
        </is>
      </c>
      <c r="B151" t="inlineStr">
        <is>
          <t>household_debt_proxy</t>
        </is>
      </c>
      <c r="C151" t="inlineStr">
        <is>
          <t>Household debt proxy</t>
        </is>
      </c>
      <c r="D151" t="inlineStr">
        <is>
          <t>pressure</t>
        </is>
      </c>
      <c r="E151" t="inlineStr">
        <is>
          <t>yes</t>
        </is>
      </c>
      <c r="F151" t="inlineStr">
        <is>
          <t>90.8647</t>
        </is>
      </c>
      <c r="G151" t="inlineStr">
        <is>
          <t>world_bank</t>
        </is>
      </c>
      <c r="H151" t="inlineStr">
        <is>
          <t>https://api.worldbank.org/v2/country/FIN/indicator/FD.AST.PRVT.GD.ZS?format=json&amp;mrv=30</t>
        </is>
      </c>
      <c r="I151" t="inlineStr">
        <is>
          <t>World Bank WDI: Domestic credit to private sector by banks (% of GDP) used as interim leverage proxy</t>
        </is>
      </c>
      <c r="J151" t="inlineStr">
        <is>
          <t>2024-12-31</t>
        </is>
      </c>
      <c r="K151" t="inlineStr">
        <is>
          <t>auto_seed=world_bank_wdi; proxy=broad_private_credit_not_household_only; indicator=FD.AST.PRVT.GD.ZS; observation_year=2024; dataset_lastupdated=2026-02-24; stale=no</t>
        </is>
      </c>
    </row>
    <row r="152">
      <c r="A152" t="inlineStr">
        <is>
          <t>Russia</t>
        </is>
      </c>
      <c r="B152" t="inlineStr">
        <is>
          <t>gdp_per_capita_ppp</t>
        </is>
      </c>
      <c r="C152" t="inlineStr">
        <is>
          <t>GDP per capita (PPP)</t>
        </is>
      </c>
      <c r="D152" t="inlineStr">
        <is>
          <t>creative</t>
        </is>
      </c>
      <c r="E152" t="inlineStr">
        <is>
          <t>yes</t>
        </is>
      </c>
      <c r="F152" t="inlineStr">
        <is>
          <t>47404.96</t>
        </is>
      </c>
      <c r="G152" t="inlineStr">
        <is>
          <t>world_bank</t>
        </is>
      </c>
      <c r="H152" t="inlineStr">
        <is>
          <t>https://api.worldbank.org/v2/country/RUS/indicator/NY.GDP.PCAP.PP.CD?format=json&amp;mrv=30</t>
        </is>
      </c>
      <c r="I152" t="inlineStr">
        <is>
          <t>World Bank WDI: GDP per capita, PPP (current international $)</t>
        </is>
      </c>
      <c r="J152" t="inlineStr">
        <is>
          <t>2024-12-31</t>
        </is>
      </c>
      <c r="K152" t="inlineStr">
        <is>
          <t>auto_seed=world_bank_wdi; indicator=NY.GDP.PCAP.PP.CD; observation_year=2024; dataset_lastupdated=2026-02-24; stale=no</t>
        </is>
      </c>
    </row>
    <row r="153">
      <c r="A153" t="inlineStr">
        <is>
          <t>Russia</t>
        </is>
      </c>
      <c r="B153" t="inlineStr">
        <is>
          <t>gdp_growth</t>
        </is>
      </c>
      <c r="C153" t="inlineStr">
        <is>
          <t>GDP growth</t>
        </is>
      </c>
      <c r="D153" t="inlineStr">
        <is>
          <t>creative</t>
        </is>
      </c>
      <c r="E153" t="inlineStr">
        <is>
          <t>yes</t>
        </is>
      </c>
      <c r="F153" t="inlineStr">
        <is>
          <t>4.3444</t>
        </is>
      </c>
      <c r="G153" t="inlineStr">
        <is>
          <t>world_bank</t>
        </is>
      </c>
      <c r="H153" t="inlineStr">
        <is>
          <t>https://api.worldbank.org/v2/country/RUS/indicator/NY.GDP.MKTP.KD.ZG?format=json&amp;mrv=30</t>
        </is>
      </c>
      <c r="I153" t="inlineStr">
        <is>
          <t>World Bank WDI: GDP growth (annual %)</t>
        </is>
      </c>
      <c r="J153" t="inlineStr">
        <is>
          <t>2024-12-31</t>
        </is>
      </c>
      <c r="K153" t="inlineStr">
        <is>
          <t>auto_seed=world_bank_wdi; indicator=NY.GDP.MKTP.KD.ZG; observation_year=2024; dataset_lastupdated=2026-02-24; stale=no</t>
        </is>
      </c>
    </row>
    <row r="154">
      <c r="A154" t="inlineStr">
        <is>
          <t>Russia</t>
        </is>
      </c>
      <c r="B154" t="inlineStr">
        <is>
          <t>gini_coefficient</t>
        </is>
      </c>
      <c r="C154" t="inlineStr">
        <is>
          <t>Gini coefficient</t>
        </is>
      </c>
      <c r="D154" t="inlineStr">
        <is>
          <t>capability</t>
        </is>
      </c>
      <c r="E154" t="inlineStr">
        <is>
          <t>yes</t>
        </is>
      </c>
      <c r="F154" t="inlineStr">
        <is>
          <t>33</t>
        </is>
      </c>
      <c r="G154" t="inlineStr">
        <is>
          <t>world_bank</t>
        </is>
      </c>
      <c r="H154" t="inlineStr">
        <is>
          <t>https://api.worldbank.org/v2/country/RUS/indicator/SI.POV.GINI?format=json&amp;mrv=30</t>
        </is>
      </c>
      <c r="I154" t="inlineStr">
        <is>
          <t>World Bank WDI: Gini index</t>
        </is>
      </c>
      <c r="J154" t="inlineStr">
        <is>
          <t>2023-12-31</t>
        </is>
      </c>
      <c r="K154" t="inlineStr">
        <is>
          <t>auto_seed=world_bank_wdi; indicator=SI.POV.GINI; observation_year=2023; dataset_lastupdated=2026-02-24; stale=no</t>
        </is>
      </c>
    </row>
    <row r="155">
      <c r="A155" t="inlineStr">
        <is>
          <t>Russia</t>
        </is>
      </c>
      <c r="B155" t="inlineStr">
        <is>
          <t>ppp_private_consumption</t>
        </is>
      </c>
      <c r="C155" t="inlineStr">
        <is>
          <t>PPP private consumption factor</t>
        </is>
      </c>
      <c r="D155" t="inlineStr">
        <is>
          <t>pressure</t>
        </is>
      </c>
      <c r="E155" t="inlineStr">
        <is>
          <t>yes</t>
        </is>
      </c>
      <c r="F155" t="inlineStr">
        <is>
          <t>29.049846</t>
        </is>
      </c>
      <c r="G155" t="inlineStr">
        <is>
          <t>world_bank</t>
        </is>
      </c>
      <c r="H155" t="inlineStr">
        <is>
          <t>https://api.worldbank.org/v2/country/RUS/indicator/PA.NUS.PRVT.PP?format=json&amp;mrv=30</t>
        </is>
      </c>
      <c r="I155" t="inlineStr">
        <is>
          <t>World Bank WDI: PPP conversion factor, private consumption (LCU per international $)</t>
        </is>
      </c>
      <c r="J155" t="inlineStr">
        <is>
          <t>2024-12-31</t>
        </is>
      </c>
      <c r="K155" t="inlineStr">
        <is>
          <t>auto_seed=world_bank_wdi; indicator=PA.NUS.PRVT.PP; observation_year=2024; dataset_lastupdated=2026-02-24; stale=no</t>
        </is>
      </c>
    </row>
    <row r="156">
      <c r="A156" t="inlineStr">
        <is>
          <t>Russia</t>
        </is>
      </c>
      <c r="B156" t="inlineStr">
        <is>
          <t>tax_rate_assumption</t>
        </is>
      </c>
      <c r="C156" t="inlineStr">
        <is>
          <t>Tax rate assumption</t>
        </is>
      </c>
      <c r="D156" t="inlineStr">
        <is>
          <t>pressure</t>
        </is>
      </c>
      <c r="E156" t="inlineStr">
        <is>
          <t>yes</t>
        </is>
      </c>
      <c r="F156" t="inlineStr">
        <is>
          <t>0.120728</t>
        </is>
      </c>
      <c r="G156" t="inlineStr">
        <is>
          <t>world_bank</t>
        </is>
      </c>
      <c r="H156" t="inlineStr">
        <is>
          <t>https://api.worldbank.org/v2/country/RUS/indicator/GC.TAX.TOTL.GD.ZS?format=json&amp;mrv=30</t>
        </is>
      </c>
      <c r="I156" t="inlineStr">
        <is>
          <t>World Bank WDI: Tax revenue (% of GDP) used as interim country average tax-take proxy</t>
        </is>
      </c>
      <c r="J156" t="inlineStr">
        <is>
          <t>2023-12-31</t>
        </is>
      </c>
      <c r="K156" t="inlineStr">
        <is>
          <t>auto_seed=world_bank_wdi; proxy=country_average_tax_take_from_tax_revenue_share; indicator=GC.TAX.TOTL.GD.ZS; observation_year=2023; dataset_lastupdated=2026-02-24; stale=no</t>
        </is>
      </c>
    </row>
    <row r="157">
      <c r="A157" t="inlineStr">
        <is>
          <t>Russia</t>
        </is>
      </c>
      <c r="B157" t="inlineStr">
        <is>
          <t>household_debt_proxy</t>
        </is>
      </c>
      <c r="C157" t="inlineStr">
        <is>
          <t>Household debt proxy</t>
        </is>
      </c>
      <c r="D157" t="inlineStr">
        <is>
          <t>pressure</t>
        </is>
      </c>
      <c r="E157" t="inlineStr">
        <is>
          <t>yes</t>
        </is>
      </c>
      <c r="F157" t="inlineStr">
        <is>
          <t>54.6413</t>
        </is>
      </c>
      <c r="G157" t="inlineStr">
        <is>
          <t>world_bank</t>
        </is>
      </c>
      <c r="H157" t="inlineStr">
        <is>
          <t>https://api.worldbank.org/v2/country/RUS/indicator/FD.AST.PRVT.GD.ZS?format=json&amp;mrv=30</t>
        </is>
      </c>
      <c r="I157" t="inlineStr">
        <is>
          <t>World Bank WDI: Domestic credit to private sector by banks (% of GDP) used as interim leverage proxy</t>
        </is>
      </c>
      <c r="J157" t="inlineStr">
        <is>
          <t>2021-12-31</t>
        </is>
      </c>
      <c r="K157" t="inlineStr">
        <is>
          <t>auto_seed=world_bank_wdi; proxy=broad_private_credit_not_household_only; indicator=FD.AST.PRVT.GD.ZS; observation_year=2021; dataset_lastupdated=2026-02-24; stale=no</t>
        </is>
      </c>
    </row>
    <row r="158">
      <c r="A158" t="inlineStr">
        <is>
          <t>Hungary</t>
        </is>
      </c>
      <c r="B158" t="inlineStr">
        <is>
          <t>gdp_per_capita_ppp</t>
        </is>
      </c>
      <c r="C158" t="inlineStr">
        <is>
          <t>GDP per capita (PPP)</t>
        </is>
      </c>
      <c r="D158" t="inlineStr">
        <is>
          <t>creative</t>
        </is>
      </c>
      <c r="E158" t="inlineStr">
        <is>
          <t>yes</t>
        </is>
      </c>
      <c r="F158" t="inlineStr">
        <is>
          <t>48552.47</t>
        </is>
      </c>
      <c r="G158" t="inlineStr">
        <is>
          <t>world_bank</t>
        </is>
      </c>
      <c r="H158" t="inlineStr">
        <is>
          <t>https://api.worldbank.org/v2/country/HUN/indicator/NY.GDP.PCAP.PP.CD?format=json&amp;mrv=30</t>
        </is>
      </c>
      <c r="I158" t="inlineStr">
        <is>
          <t>World Bank WDI: GDP per capita, PPP (current international $)</t>
        </is>
      </c>
      <c r="J158" t="inlineStr">
        <is>
          <t>2024-12-31</t>
        </is>
      </c>
      <c r="K158" t="inlineStr">
        <is>
          <t>auto_seed=world_bank_wdi; indicator=NY.GDP.PCAP.PP.CD; observation_year=2024; dataset_lastupdated=2026-02-24; stale=no</t>
        </is>
      </c>
    </row>
    <row r="159">
      <c r="A159" t="inlineStr">
        <is>
          <t>Hungary</t>
        </is>
      </c>
      <c r="B159" t="inlineStr">
        <is>
          <t>gdp_growth</t>
        </is>
      </c>
      <c r="C159" t="inlineStr">
        <is>
          <t>GDP growth</t>
        </is>
      </c>
      <c r="D159" t="inlineStr">
        <is>
          <t>creative</t>
        </is>
      </c>
      <c r="E159" t="inlineStr">
        <is>
          <t>yes</t>
        </is>
      </c>
      <c r="F159" t="inlineStr">
        <is>
          <t>0.5601</t>
        </is>
      </c>
      <c r="G159" t="inlineStr">
        <is>
          <t>world_bank</t>
        </is>
      </c>
      <c r="H159" t="inlineStr">
        <is>
          <t>https://api.worldbank.org/v2/country/HUN/indicator/NY.GDP.MKTP.KD.ZG?format=json&amp;mrv=30</t>
        </is>
      </c>
      <c r="I159" t="inlineStr">
        <is>
          <t>World Bank WDI: GDP growth (annual %)</t>
        </is>
      </c>
      <c r="J159" t="inlineStr">
        <is>
          <t>2024-12-31</t>
        </is>
      </c>
      <c r="K159" t="inlineStr">
        <is>
          <t>auto_seed=world_bank_wdi; indicator=NY.GDP.MKTP.KD.ZG; observation_year=2024; dataset_lastupdated=2026-02-24; stale=no</t>
        </is>
      </c>
    </row>
    <row r="160">
      <c r="A160" t="inlineStr">
        <is>
          <t>Hungary</t>
        </is>
      </c>
      <c r="B160" t="inlineStr">
        <is>
          <t>gini_coefficient</t>
        </is>
      </c>
      <c r="C160" t="inlineStr">
        <is>
          <t>Gini coefficient</t>
        </is>
      </c>
      <c r="D160" t="inlineStr">
        <is>
          <t>capability</t>
        </is>
      </c>
      <c r="E160" t="inlineStr">
        <is>
          <t>yes</t>
        </is>
      </c>
      <c r="F160" t="inlineStr">
        <is>
          <t>30.6</t>
        </is>
      </c>
      <c r="G160" t="inlineStr">
        <is>
          <t>world_bank</t>
        </is>
      </c>
      <c r="H160" t="inlineStr">
        <is>
          <t>https://api.worldbank.org/v2/country/HUN/indicator/SI.POV.GINI?format=json&amp;mrv=30</t>
        </is>
      </c>
      <c r="I160" t="inlineStr">
        <is>
          <t>World Bank WDI: Gini index</t>
        </is>
      </c>
      <c r="J160" t="inlineStr">
        <is>
          <t>2017-12-31</t>
        </is>
      </c>
      <c r="K160" t="inlineStr">
        <is>
          <t>auto_seed=world_bank_wdi; indicator=SI.POV.GINI; observation_year=2017; dataset_lastupdated=2026-02-24; stale=yes</t>
        </is>
      </c>
    </row>
    <row r="161">
      <c r="A161" t="inlineStr">
        <is>
          <t>Hungary</t>
        </is>
      </c>
      <c r="B161" t="inlineStr">
        <is>
          <t>ppp_private_consumption</t>
        </is>
      </c>
      <c r="C161" t="inlineStr">
        <is>
          <t>PPP private consumption factor</t>
        </is>
      </c>
      <c r="D161" t="inlineStr">
        <is>
          <t>pressure</t>
        </is>
      </c>
      <c r="E161" t="inlineStr">
        <is>
          <t>yes</t>
        </is>
      </c>
      <c r="F161" t="inlineStr">
        <is>
          <t>189.314181</t>
        </is>
      </c>
      <c r="G161" t="inlineStr">
        <is>
          <t>world_bank</t>
        </is>
      </c>
      <c r="H161" t="inlineStr">
        <is>
          <t>https://api.worldbank.org/v2/country/HUN/indicator/PA.NUS.PRVT.PP?format=json&amp;mrv=30</t>
        </is>
      </c>
      <c r="I161" t="inlineStr">
        <is>
          <t>World Bank WDI: PPP conversion factor, private consumption (LCU per international $)</t>
        </is>
      </c>
      <c r="J161" t="inlineStr">
        <is>
          <t>2024-12-31</t>
        </is>
      </c>
      <c r="K161" t="inlineStr">
        <is>
          <t>auto_seed=world_bank_wdi; indicator=PA.NUS.PRVT.PP; observation_year=2024; dataset_lastupdated=2026-02-24; stale=no</t>
        </is>
      </c>
    </row>
    <row r="162">
      <c r="A162" t="inlineStr">
        <is>
          <t>Hungary</t>
        </is>
      </c>
      <c r="B162" t="inlineStr">
        <is>
          <t>tax_rate_assumption</t>
        </is>
      </c>
      <c r="C162" t="inlineStr">
        <is>
          <t>Tax rate assumption</t>
        </is>
      </c>
      <c r="D162" t="inlineStr">
        <is>
          <t>pressure</t>
        </is>
      </c>
      <c r="E162" t="inlineStr">
        <is>
          <t>yes</t>
        </is>
      </c>
      <c r="F162" t="inlineStr">
        <is>
          <t>0.234286</t>
        </is>
      </c>
      <c r="G162" t="inlineStr">
        <is>
          <t>world_bank</t>
        </is>
      </c>
      <c r="H162" t="inlineStr">
        <is>
          <t>https://api.worldbank.org/v2/country/HUN/indicator/GC.TAX.TOTL.GD.ZS?format=json&amp;mrv=30</t>
        </is>
      </c>
      <c r="I162" t="inlineStr">
        <is>
          <t>World Bank WDI: Tax revenue (% of GDP) used as interim country average tax-take proxy</t>
        </is>
      </c>
      <c r="J162" t="inlineStr">
        <is>
          <t>2022-12-31</t>
        </is>
      </c>
      <c r="K162" t="inlineStr">
        <is>
          <t>auto_seed=world_bank_wdi; proxy=country_average_tax_take_from_tax_revenue_share; indicator=GC.TAX.TOTL.GD.ZS; observation_year=2022; dataset_lastupdated=2026-02-24; stale=no</t>
        </is>
      </c>
    </row>
    <row r="163">
      <c r="A163" t="inlineStr">
        <is>
          <t>Hungary</t>
        </is>
      </c>
      <c r="B163" t="inlineStr">
        <is>
          <t>household_debt_proxy</t>
        </is>
      </c>
      <c r="C163" t="inlineStr">
        <is>
          <t>Household debt proxy</t>
        </is>
      </c>
      <c r="D163" t="inlineStr">
        <is>
          <t>pressure</t>
        </is>
      </c>
      <c r="E163" t="inlineStr">
        <is>
          <t>yes</t>
        </is>
      </c>
      <c r="F163" t="inlineStr">
        <is>
          <t>32.1191</t>
        </is>
      </c>
      <c r="G163" t="inlineStr">
        <is>
          <t>world_bank</t>
        </is>
      </c>
      <c r="H163" t="inlineStr">
        <is>
          <t>https://api.worldbank.org/v2/country/HUN/indicator/FD.AST.PRVT.GD.ZS?format=json&amp;mrv=30</t>
        </is>
      </c>
      <c r="I163" t="inlineStr">
        <is>
          <t>World Bank WDI: Domestic credit to private sector by banks (% of GDP) used as interim leverage proxy</t>
        </is>
      </c>
      <c r="J163" t="inlineStr">
        <is>
          <t>2024-12-31</t>
        </is>
      </c>
      <c r="K163" t="inlineStr">
        <is>
          <t>auto_seed=world_bank_wdi; proxy=broad_private_credit_not_household_only; indicator=FD.AST.PRVT.GD.ZS; observation_year=2024; dataset_lastupdated=2026-02-24; stale=no</t>
        </is>
      </c>
    </row>
    <row r="164">
      <c r="A164" t="inlineStr">
        <is>
          <t>Poland</t>
        </is>
      </c>
      <c r="B164" t="inlineStr">
        <is>
          <t>gdp_per_capita_ppp</t>
        </is>
      </c>
      <c r="C164" t="inlineStr">
        <is>
          <t>GDP per capita (PPP)</t>
        </is>
      </c>
      <c r="D164" t="inlineStr">
        <is>
          <t>creative</t>
        </is>
      </c>
      <c r="E164" t="inlineStr">
        <is>
          <t>yes</t>
        </is>
      </c>
      <c r="F164" t="inlineStr">
        <is>
          <t>51262.51</t>
        </is>
      </c>
      <c r="G164" t="inlineStr">
        <is>
          <t>world_bank</t>
        </is>
      </c>
      <c r="H164" t="inlineStr">
        <is>
          <t>https://api.worldbank.org/v2/country/POL/indicator/NY.GDP.PCAP.PP.CD?format=json&amp;mrv=30</t>
        </is>
      </c>
      <c r="I164" t="inlineStr">
        <is>
          <t>World Bank WDI: GDP per capita, PPP (current international $)</t>
        </is>
      </c>
      <c r="J164" t="inlineStr">
        <is>
          <t>2024-12-31</t>
        </is>
      </c>
      <c r="K164" t="inlineStr">
        <is>
          <t>auto_seed=world_bank_wdi; indicator=NY.GDP.PCAP.PP.CD; observation_year=2024; dataset_lastupdated=2026-02-24; stale=no</t>
        </is>
      </c>
    </row>
    <row r="165">
      <c r="A165" t="inlineStr">
        <is>
          <t>Poland</t>
        </is>
      </c>
      <c r="B165" t="inlineStr">
        <is>
          <t>gdp_growth</t>
        </is>
      </c>
      <c r="C165" t="inlineStr">
        <is>
          <t>GDP growth</t>
        </is>
      </c>
      <c r="D165" t="inlineStr">
        <is>
          <t>creative</t>
        </is>
      </c>
      <c r="E165" t="inlineStr">
        <is>
          <t>yes</t>
        </is>
      </c>
      <c r="F165" t="inlineStr">
        <is>
          <t>3.0284</t>
        </is>
      </c>
      <c r="G165" t="inlineStr">
        <is>
          <t>world_bank</t>
        </is>
      </c>
      <c r="H165" t="inlineStr">
        <is>
          <t>https://api.worldbank.org/v2/country/POL/indicator/NY.GDP.MKTP.KD.ZG?format=json&amp;mrv=30</t>
        </is>
      </c>
      <c r="I165" t="inlineStr">
        <is>
          <t>World Bank WDI: GDP growth (annual %)</t>
        </is>
      </c>
      <c r="J165" t="inlineStr">
        <is>
          <t>2024-12-31</t>
        </is>
      </c>
      <c r="K165" t="inlineStr">
        <is>
          <t>auto_seed=world_bank_wdi; indicator=NY.GDP.MKTP.KD.ZG; observation_year=2024; dataset_lastupdated=2026-02-24; stale=no</t>
        </is>
      </c>
    </row>
    <row r="166">
      <c r="A166" t="inlineStr">
        <is>
          <t>Poland</t>
        </is>
      </c>
      <c r="B166" t="inlineStr">
        <is>
          <t>gini_coefficient</t>
        </is>
      </c>
      <c r="C166" t="inlineStr">
        <is>
          <t>Gini coefficient</t>
        </is>
      </c>
      <c r="D166" t="inlineStr">
        <is>
          <t>capability</t>
        </is>
      </c>
      <c r="E166" t="inlineStr">
        <is>
          <t>yes</t>
        </is>
      </c>
      <c r="F166" t="inlineStr">
        <is>
          <t>28.5</t>
        </is>
      </c>
      <c r="G166" t="inlineStr">
        <is>
          <t>world_bank</t>
        </is>
      </c>
      <c r="H166" t="inlineStr">
        <is>
          <t>https://api.worldbank.org/v2/country/POL/indicator/SI.POV.GINI?format=json&amp;mrv=30</t>
        </is>
      </c>
      <c r="I166" t="inlineStr">
        <is>
          <t>World Bank WDI: Gini index</t>
        </is>
      </c>
      <c r="J166" t="inlineStr">
        <is>
          <t>2023-12-31</t>
        </is>
      </c>
      <c r="K166" t="inlineStr">
        <is>
          <t>auto_seed=world_bank_wdi; indicator=SI.POV.GINI; observation_year=2023; dataset_lastupdated=2026-02-24; stale=no</t>
        </is>
      </c>
    </row>
    <row r="167">
      <c r="A167" t="inlineStr">
        <is>
          <t>Poland</t>
        </is>
      </c>
      <c r="B167" t="inlineStr">
        <is>
          <t>ppp_private_consumption</t>
        </is>
      </c>
      <c r="C167" t="inlineStr">
        <is>
          <t>PPP private consumption factor</t>
        </is>
      </c>
      <c r="D167" t="inlineStr">
        <is>
          <t>pressure</t>
        </is>
      </c>
      <c r="E167" t="inlineStr">
        <is>
          <t>yes</t>
        </is>
      </c>
      <c r="F167" t="inlineStr">
        <is>
          <t>2.008043</t>
        </is>
      </c>
      <c r="G167" t="inlineStr">
        <is>
          <t>world_bank</t>
        </is>
      </c>
      <c r="H167" t="inlineStr">
        <is>
          <t>https://api.worldbank.org/v2/country/POL/indicator/PA.NUS.PRVT.PP?format=json&amp;mrv=30</t>
        </is>
      </c>
      <c r="I167" t="inlineStr">
        <is>
          <t>World Bank WDI: PPP conversion factor, private consumption (LCU per international $)</t>
        </is>
      </c>
      <c r="J167" t="inlineStr">
        <is>
          <t>2024-12-31</t>
        </is>
      </c>
      <c r="K167" t="inlineStr">
        <is>
          <t>auto_seed=world_bank_wdi; indicator=PA.NUS.PRVT.PP; observation_year=2024; dataset_lastupdated=2026-02-24; stale=no</t>
        </is>
      </c>
    </row>
    <row r="168">
      <c r="A168" t="inlineStr">
        <is>
          <t>Poland</t>
        </is>
      </c>
      <c r="B168" t="inlineStr">
        <is>
          <t>tax_rate_assumption</t>
        </is>
      </c>
      <c r="C168" t="inlineStr">
        <is>
          <t>Tax rate assumption</t>
        </is>
      </c>
      <c r="D168" t="inlineStr">
        <is>
          <t>pressure</t>
        </is>
      </c>
      <c r="E168" t="inlineStr">
        <is>
          <t>yes</t>
        </is>
      </c>
      <c r="F168" t="inlineStr">
        <is>
          <t>0.179988</t>
        </is>
      </c>
      <c r="G168" t="inlineStr">
        <is>
          <t>world_bank</t>
        </is>
      </c>
      <c r="H168" t="inlineStr">
        <is>
          <t>https://api.worldbank.org/v2/country/POL/indicator/GC.TAX.TOTL.GD.ZS?format=json&amp;mrv=30</t>
        </is>
      </c>
      <c r="I168" t="inlineStr">
        <is>
          <t>World Bank WDI: Tax revenue (% of GDP) used as interim country average tax-take proxy</t>
        </is>
      </c>
      <c r="J168" t="inlineStr">
        <is>
          <t>2023-12-31</t>
        </is>
      </c>
      <c r="K168" t="inlineStr">
        <is>
          <t>auto_seed=world_bank_wdi; proxy=country_average_tax_take_from_tax_revenue_share; indicator=GC.TAX.TOTL.GD.ZS; observation_year=2023; dataset_lastupdated=2026-02-24; stale=no</t>
        </is>
      </c>
    </row>
    <row r="169">
      <c r="A169" t="inlineStr">
        <is>
          <t>Poland</t>
        </is>
      </c>
      <c r="B169" t="inlineStr">
        <is>
          <t>household_debt_proxy</t>
        </is>
      </c>
      <c r="C169" t="inlineStr">
        <is>
          <t>Household debt proxy</t>
        </is>
      </c>
      <c r="D169" t="inlineStr">
        <is>
          <t>pressure</t>
        </is>
      </c>
      <c r="E169" t="inlineStr">
        <is>
          <t>yes</t>
        </is>
      </c>
      <c r="F169" t="inlineStr">
        <is>
          <t>33.5851</t>
        </is>
      </c>
      <c r="G169" t="inlineStr">
        <is>
          <t>world_bank</t>
        </is>
      </c>
      <c r="H169" t="inlineStr">
        <is>
          <t>https://api.worldbank.org/v2/country/POL/indicator/FD.AST.PRVT.GD.ZS?format=json&amp;mrv=30</t>
        </is>
      </c>
      <c r="I169" t="inlineStr">
        <is>
          <t>World Bank WDI: Domestic credit to private sector by banks (% of GDP) used as interim leverage proxy</t>
        </is>
      </c>
      <c r="J169" t="inlineStr">
        <is>
          <t>2024-12-31</t>
        </is>
      </c>
      <c r="K169" t="inlineStr">
        <is>
          <t>auto_seed=world_bank_wdi; proxy=broad_private_credit_not_household_only; indicator=FD.AST.PRVT.GD.ZS; observation_year=2024; dataset_lastupdated=2026-02-24; stale=no</t>
        </is>
      </c>
    </row>
    <row r="170">
      <c r="A170" t="inlineStr">
        <is>
          <t>Romania</t>
        </is>
      </c>
      <c r="B170" t="inlineStr">
        <is>
          <t>gdp_per_capita_ppp</t>
        </is>
      </c>
      <c r="C170" t="inlineStr">
        <is>
          <t>GDP per capita (PPP)</t>
        </is>
      </c>
      <c r="D170" t="inlineStr">
        <is>
          <t>creative</t>
        </is>
      </c>
      <c r="E170" t="inlineStr">
        <is>
          <t>yes</t>
        </is>
      </c>
      <c r="F170" t="inlineStr">
        <is>
          <t>49076.54</t>
        </is>
      </c>
      <c r="G170" t="inlineStr">
        <is>
          <t>world_bank</t>
        </is>
      </c>
      <c r="H170" t="inlineStr">
        <is>
          <t>https://api.worldbank.org/v2/country/ROU/indicator/NY.GDP.PCAP.PP.CD?format=json&amp;mrv=30</t>
        </is>
      </c>
      <c r="I170" t="inlineStr">
        <is>
          <t>World Bank WDI: GDP per capita, PPP (current international $)</t>
        </is>
      </c>
      <c r="J170" t="inlineStr">
        <is>
          <t>2024-12-31</t>
        </is>
      </c>
      <c r="K170" t="inlineStr">
        <is>
          <t>auto_seed=world_bank_wdi; indicator=NY.GDP.PCAP.PP.CD; observation_year=2024; dataset_lastupdated=2026-02-24; stale=no</t>
        </is>
      </c>
    </row>
    <row r="171">
      <c r="A171" t="inlineStr">
        <is>
          <t>Romania</t>
        </is>
      </c>
      <c r="B171" t="inlineStr">
        <is>
          <t>gdp_growth</t>
        </is>
      </c>
      <c r="C171" t="inlineStr">
        <is>
          <t>GDP growth</t>
        </is>
      </c>
      <c r="D171" t="inlineStr">
        <is>
          <t>creative</t>
        </is>
      </c>
      <c r="E171" t="inlineStr">
        <is>
          <t>yes</t>
        </is>
      </c>
      <c r="F171" t="inlineStr">
        <is>
          <t>0.916</t>
        </is>
      </c>
      <c r="G171" t="inlineStr">
        <is>
          <t>world_bank</t>
        </is>
      </c>
      <c r="H171" t="inlineStr">
        <is>
          <t>https://api.worldbank.org/v2/country/ROU/indicator/NY.GDP.MKTP.KD.ZG?format=json&amp;mrv=30</t>
        </is>
      </c>
      <c r="I171" t="inlineStr">
        <is>
          <t>World Bank WDI: GDP growth (annual %)</t>
        </is>
      </c>
      <c r="J171" t="inlineStr">
        <is>
          <t>2024-12-31</t>
        </is>
      </c>
      <c r="K171" t="inlineStr">
        <is>
          <t>auto_seed=world_bank_wdi; indicator=NY.GDP.MKTP.KD.ZG; observation_year=2024; dataset_lastupdated=2026-02-24; stale=no</t>
        </is>
      </c>
    </row>
    <row r="172">
      <c r="A172" t="inlineStr">
        <is>
          <t>Romania</t>
        </is>
      </c>
      <c r="B172" t="inlineStr">
        <is>
          <t>gini_coefficient</t>
        </is>
      </c>
      <c r="C172" t="inlineStr">
        <is>
          <t>Gini coefficient</t>
        </is>
      </c>
      <c r="D172" t="inlineStr">
        <is>
          <t>capability</t>
        </is>
      </c>
      <c r="E172" t="inlineStr">
        <is>
          <t>yes</t>
        </is>
      </c>
      <c r="F172" t="inlineStr">
        <is>
          <t>29.8</t>
        </is>
      </c>
      <c r="G172" t="inlineStr">
        <is>
          <t>world_bank</t>
        </is>
      </c>
      <c r="H172" t="inlineStr">
        <is>
          <t>https://api.worldbank.org/v2/country/ROU/indicator/SI.POV.GINI?format=json&amp;mrv=30</t>
        </is>
      </c>
      <c r="I172" t="inlineStr">
        <is>
          <t>World Bank WDI: Gini index</t>
        </is>
      </c>
      <c r="J172" t="inlineStr">
        <is>
          <t>2023-12-31</t>
        </is>
      </c>
      <c r="K172" t="inlineStr">
        <is>
          <t>auto_seed=world_bank_wdi; indicator=SI.POV.GINI; observation_year=2023; dataset_lastupdated=2026-02-24; stale=no</t>
        </is>
      </c>
    </row>
    <row r="173">
      <c r="A173" t="inlineStr">
        <is>
          <t>Romania</t>
        </is>
      </c>
      <c r="B173" t="inlineStr">
        <is>
          <t>ppp_private_consumption</t>
        </is>
      </c>
      <c r="C173" t="inlineStr">
        <is>
          <t>PPP private consumption factor</t>
        </is>
      </c>
      <c r="D173" t="inlineStr">
        <is>
          <t>pressure</t>
        </is>
      </c>
      <c r="E173" t="inlineStr">
        <is>
          <t>yes</t>
        </is>
      </c>
      <c r="F173" t="inlineStr">
        <is>
          <t>2.056572</t>
        </is>
      </c>
      <c r="G173" t="inlineStr">
        <is>
          <t>world_bank</t>
        </is>
      </c>
      <c r="H173" t="inlineStr">
        <is>
          <t>https://api.worldbank.org/v2/country/ROU/indicator/PA.NUS.PRVT.PP?format=json&amp;mrv=30</t>
        </is>
      </c>
      <c r="I173" t="inlineStr">
        <is>
          <t>World Bank WDI: PPP conversion factor, private consumption (LCU per international $)</t>
        </is>
      </c>
      <c r="J173" t="inlineStr">
        <is>
          <t>2024-12-31</t>
        </is>
      </c>
      <c r="K173" t="inlineStr">
        <is>
          <t>auto_seed=world_bank_wdi; indicator=PA.NUS.PRVT.PP; observation_year=2024; dataset_lastupdated=2026-02-24; stale=no</t>
        </is>
      </c>
    </row>
    <row r="174">
      <c r="A174" t="inlineStr">
        <is>
          <t>Romania</t>
        </is>
      </c>
      <c r="B174" t="inlineStr">
        <is>
          <t>tax_rate_assumption</t>
        </is>
      </c>
      <c r="C174" t="inlineStr">
        <is>
          <t>Tax rate assumption</t>
        </is>
      </c>
      <c r="D174" t="inlineStr">
        <is>
          <t>pressure</t>
        </is>
      </c>
      <c r="E174" t="inlineStr">
        <is>
          <t>yes</t>
        </is>
      </c>
      <c r="F174" t="inlineStr">
        <is>
          <t>0.162142</t>
        </is>
      </c>
      <c r="G174" t="inlineStr">
        <is>
          <t>world_bank</t>
        </is>
      </c>
      <c r="H174" t="inlineStr">
        <is>
          <t>https://api.worldbank.org/v2/country/ROU/indicator/GC.TAX.TOTL.GD.ZS?format=json&amp;mrv=30</t>
        </is>
      </c>
      <c r="I174" t="inlineStr">
        <is>
          <t>World Bank WDI: Tax revenue (% of GDP) used as interim country average tax-take proxy</t>
        </is>
      </c>
      <c r="J174" t="inlineStr">
        <is>
          <t>2022-12-31</t>
        </is>
      </c>
      <c r="K174" t="inlineStr">
        <is>
          <t>auto_seed=world_bank_wdi; proxy=country_average_tax_take_from_tax_revenue_share; indicator=GC.TAX.TOTL.GD.ZS; observation_year=2022; dataset_lastupdated=2026-02-24; stale=no</t>
        </is>
      </c>
    </row>
    <row r="175">
      <c r="A175" t="inlineStr">
        <is>
          <t>Romania</t>
        </is>
      </c>
      <c r="B175" t="inlineStr">
        <is>
          <t>household_debt_proxy</t>
        </is>
      </c>
      <c r="C175" t="inlineStr">
        <is>
          <t>Household debt proxy</t>
        </is>
      </c>
      <c r="D175" t="inlineStr">
        <is>
          <t>pressure</t>
        </is>
      </c>
      <c r="E175" t="inlineStr">
        <is>
          <t>yes</t>
        </is>
      </c>
      <c r="F175" t="inlineStr">
        <is>
          <t>22.7281</t>
        </is>
      </c>
      <c r="G175" t="inlineStr">
        <is>
          <t>world_bank</t>
        </is>
      </c>
      <c r="H175" t="inlineStr">
        <is>
          <t>https://api.worldbank.org/v2/country/ROU/indicator/FD.AST.PRVT.GD.ZS?format=json&amp;mrv=30</t>
        </is>
      </c>
      <c r="I175" t="inlineStr">
        <is>
          <t>World Bank WDI: Domestic credit to private sector by banks (% of GDP) used as interim leverage proxy</t>
        </is>
      </c>
      <c r="J175" t="inlineStr">
        <is>
          <t>2024-12-31</t>
        </is>
      </c>
      <c r="K175" t="inlineStr">
        <is>
          <t>auto_seed=world_bank_wdi; proxy=broad_private_credit_not_household_only; indicator=FD.AST.PRVT.GD.ZS; observation_year=2024; dataset_lastupdated=2026-02-24; stale=no</t>
        </is>
      </c>
    </row>
    <row r="176">
      <c r="A176" t="inlineStr">
        <is>
          <t>Serbia</t>
        </is>
      </c>
      <c r="B176" t="inlineStr">
        <is>
          <t>gdp_per_capita_ppp</t>
        </is>
      </c>
      <c r="C176" t="inlineStr">
        <is>
          <t>GDP per capita (PPP)</t>
        </is>
      </c>
      <c r="D176" t="inlineStr">
        <is>
          <t>creative</t>
        </is>
      </c>
      <c r="E176" t="inlineStr">
        <is>
          <t>yes</t>
        </is>
      </c>
      <c r="F176" t="inlineStr">
        <is>
          <t>32832.18</t>
        </is>
      </c>
      <c r="G176" t="inlineStr">
        <is>
          <t>world_bank</t>
        </is>
      </c>
      <c r="H176" t="inlineStr">
        <is>
          <t>https://api.worldbank.org/v2/country/SRB/indicator/NY.GDP.PCAP.PP.CD?format=json&amp;mrv=30</t>
        </is>
      </c>
      <c r="I176" t="inlineStr">
        <is>
          <t>World Bank WDI: GDP per capita, PPP (current international $)</t>
        </is>
      </c>
      <c r="J176" t="inlineStr">
        <is>
          <t>2024-12-31</t>
        </is>
      </c>
      <c r="K176" t="inlineStr">
        <is>
          <t>auto_seed=world_bank_wdi; indicator=NY.GDP.PCAP.PP.CD; observation_year=2024; dataset_lastupdated=2026-02-24; stale=no</t>
        </is>
      </c>
    </row>
    <row r="177">
      <c r="A177" t="inlineStr">
        <is>
          <t>Serbia</t>
        </is>
      </c>
      <c r="B177" t="inlineStr">
        <is>
          <t>gdp_growth</t>
        </is>
      </c>
      <c r="C177" t="inlineStr">
        <is>
          <t>GDP growth</t>
        </is>
      </c>
      <c r="D177" t="inlineStr">
        <is>
          <t>creative</t>
        </is>
      </c>
      <c r="E177" t="inlineStr">
        <is>
          <t>yes</t>
        </is>
      </c>
      <c r="F177" t="inlineStr">
        <is>
          <t>3.9499</t>
        </is>
      </c>
      <c r="G177" t="inlineStr">
        <is>
          <t>world_bank</t>
        </is>
      </c>
      <c r="H177" t="inlineStr">
        <is>
          <t>https://api.worldbank.org/v2/country/SRB/indicator/NY.GDP.MKTP.KD.ZG?format=json&amp;mrv=30</t>
        </is>
      </c>
      <c r="I177" t="inlineStr">
        <is>
          <t>World Bank WDI: GDP growth (annual %)</t>
        </is>
      </c>
      <c r="J177" t="inlineStr">
        <is>
          <t>2024-12-31</t>
        </is>
      </c>
      <c r="K177" t="inlineStr">
        <is>
          <t>auto_seed=world_bank_wdi; indicator=NY.GDP.MKTP.KD.ZG; observation_year=2024; dataset_lastupdated=2026-02-24; stale=no</t>
        </is>
      </c>
    </row>
    <row r="178">
      <c r="A178" t="inlineStr">
        <is>
          <t>Serbia</t>
        </is>
      </c>
      <c r="B178" t="inlineStr">
        <is>
          <t>gini_coefficient</t>
        </is>
      </c>
      <c r="C178" t="inlineStr">
        <is>
          <t>Gini coefficient</t>
        </is>
      </c>
      <c r="D178" t="inlineStr">
        <is>
          <t>capability</t>
        </is>
      </c>
      <c r="E178" t="inlineStr">
        <is>
          <t>yes</t>
        </is>
      </c>
      <c r="F178" t="inlineStr">
        <is>
          <t>32.8</t>
        </is>
      </c>
      <c r="G178" t="inlineStr">
        <is>
          <t>world_bank</t>
        </is>
      </c>
      <c r="H178" t="inlineStr">
        <is>
          <t>https://api.worldbank.org/v2/country/SRB/indicator/SI.POV.GINI?format=json&amp;mrv=30</t>
        </is>
      </c>
      <c r="I178" t="inlineStr">
        <is>
          <t>World Bank WDI: Gini index</t>
        </is>
      </c>
      <c r="J178" t="inlineStr">
        <is>
          <t>2022-12-31</t>
        </is>
      </c>
      <c r="K178" t="inlineStr">
        <is>
          <t>auto_seed=world_bank_wdi; indicator=SI.POV.GINI; observation_year=2022; dataset_lastupdated=2026-02-24; stale=no</t>
        </is>
      </c>
    </row>
    <row r="179">
      <c r="A179" t="inlineStr">
        <is>
          <t>Serbia</t>
        </is>
      </c>
      <c r="B179" t="inlineStr">
        <is>
          <t>ppp_private_consumption</t>
        </is>
      </c>
      <c r="C179" t="inlineStr">
        <is>
          <t>PPP private consumption factor</t>
        </is>
      </c>
      <c r="D179" t="inlineStr">
        <is>
          <t>pressure</t>
        </is>
      </c>
      <c r="E179" t="inlineStr">
        <is>
          <t>yes</t>
        </is>
      </c>
      <c r="F179" t="inlineStr">
        <is>
          <t>50.584223</t>
        </is>
      </c>
      <c r="G179" t="inlineStr">
        <is>
          <t>world_bank</t>
        </is>
      </c>
      <c r="H179" t="inlineStr">
        <is>
          <t>https://api.worldbank.org/v2/country/SRB/indicator/PA.NUS.PRVT.PP?format=json&amp;mrv=30</t>
        </is>
      </c>
      <c r="I179" t="inlineStr">
        <is>
          <t>World Bank WDI: PPP conversion factor, private consumption (LCU per international $)</t>
        </is>
      </c>
      <c r="J179" t="inlineStr">
        <is>
          <t>2024-12-31</t>
        </is>
      </c>
      <c r="K179" t="inlineStr">
        <is>
          <t>auto_seed=world_bank_wdi; indicator=PA.NUS.PRVT.PP; observation_year=2024; dataset_lastupdated=2026-02-24; stale=no</t>
        </is>
      </c>
    </row>
    <row r="180">
      <c r="A180" t="inlineStr">
        <is>
          <t>Serbia</t>
        </is>
      </c>
      <c r="B180" t="inlineStr">
        <is>
          <t>tax_rate_assumption</t>
        </is>
      </c>
      <c r="C180" t="inlineStr">
        <is>
          <t>Tax rate assumption</t>
        </is>
      </c>
      <c r="D180" t="inlineStr">
        <is>
          <t>pressure</t>
        </is>
      </c>
      <c r="E180" t="inlineStr">
        <is>
          <t>yes</t>
        </is>
      </c>
      <c r="F180" t="inlineStr">
        <is>
          <t>0.23893</t>
        </is>
      </c>
      <c r="G180" t="inlineStr">
        <is>
          <t>world_bank</t>
        </is>
      </c>
      <c r="H180" t="inlineStr">
        <is>
          <t>https://api.worldbank.org/v2/country/SRB/indicator/GC.TAX.TOTL.GD.ZS?format=json&amp;mrv=30</t>
        </is>
      </c>
      <c r="I180" t="inlineStr">
        <is>
          <t>World Bank WDI: Tax revenue (% of GDP) used as interim country average tax-take proxy</t>
        </is>
      </c>
      <c r="J180" t="inlineStr">
        <is>
          <t>2022-12-31</t>
        </is>
      </c>
      <c r="K180" t="inlineStr">
        <is>
          <t>auto_seed=world_bank_wdi; proxy=country_average_tax_take_from_tax_revenue_share; indicator=GC.TAX.TOTL.GD.ZS; observation_year=2022; dataset_lastupdated=2026-02-24; stale=no</t>
        </is>
      </c>
    </row>
    <row r="181">
      <c r="A181" t="inlineStr">
        <is>
          <t>Serbia</t>
        </is>
      </c>
      <c r="B181" t="inlineStr">
        <is>
          <t>household_debt_proxy</t>
        </is>
      </c>
      <c r="C181" t="inlineStr">
        <is>
          <t>Household debt proxy</t>
        </is>
      </c>
      <c r="D181" t="inlineStr">
        <is>
          <t>pressure</t>
        </is>
      </c>
      <c r="E181" t="inlineStr">
        <is>
          <t>yes</t>
        </is>
      </c>
      <c r="F181" t="inlineStr">
        <is>
          <t>32.6048</t>
        </is>
      </c>
      <c r="G181" t="inlineStr">
        <is>
          <t>world_bank</t>
        </is>
      </c>
      <c r="H181" t="inlineStr">
        <is>
          <t>https://api.worldbank.org/v2/country/SRB/indicator/FD.AST.PRVT.GD.ZS?format=json&amp;mrv=30</t>
        </is>
      </c>
      <c r="I181" t="inlineStr">
        <is>
          <t>World Bank WDI: Domestic credit to private sector by banks (% of GDP) used as interim leverage proxy</t>
        </is>
      </c>
      <c r="J181" t="inlineStr">
        <is>
          <t>2024-12-31</t>
        </is>
      </c>
      <c r="K181" t="inlineStr">
        <is>
          <t>auto_seed=world_bank_wdi; proxy=broad_private_credit_not_household_only; indicator=FD.AST.PRVT.GD.ZS; observation_year=2024; dataset_lastupdated=2026-02-24; stale=no</t>
        </is>
      </c>
    </row>
    <row r="182">
      <c r="A182" t="inlineStr">
        <is>
          <t>Slovakia</t>
        </is>
      </c>
      <c r="B182" t="inlineStr">
        <is>
          <t>gdp_per_capita_ppp</t>
        </is>
      </c>
      <c r="C182" t="inlineStr">
        <is>
          <t>GDP per capita (PPP)</t>
        </is>
      </c>
      <c r="D182" t="inlineStr">
        <is>
          <t>creative</t>
        </is>
      </c>
      <c r="E182" t="inlineStr">
        <is>
          <t>yes</t>
        </is>
      </c>
      <c r="F182" t="inlineStr">
        <is>
          <t>48132.36</t>
        </is>
      </c>
      <c r="G182" t="inlineStr">
        <is>
          <t>world_bank</t>
        </is>
      </c>
      <c r="H182" t="inlineStr">
        <is>
          <t>https://api.worldbank.org/v2/country/SVK/indicator/NY.GDP.PCAP.PP.CD?format=json&amp;mrv=30</t>
        </is>
      </c>
      <c r="I182" t="inlineStr">
        <is>
          <t>World Bank WDI: GDP per capita, PPP (current international $)</t>
        </is>
      </c>
      <c r="J182" t="inlineStr">
        <is>
          <t>2024-12-31</t>
        </is>
      </c>
      <c r="K182" t="inlineStr">
        <is>
          <t>auto_seed=world_bank_wdi; indicator=NY.GDP.PCAP.PP.CD; observation_year=2024; dataset_lastupdated=2026-02-24; stale=no</t>
        </is>
      </c>
    </row>
    <row r="183">
      <c r="A183" t="inlineStr">
        <is>
          <t>Slovakia</t>
        </is>
      </c>
      <c r="B183" t="inlineStr">
        <is>
          <t>gdp_growth</t>
        </is>
      </c>
      <c r="C183" t="inlineStr">
        <is>
          <t>GDP growth</t>
        </is>
      </c>
      <c r="D183" t="inlineStr">
        <is>
          <t>creative</t>
        </is>
      </c>
      <c r="E183" t="inlineStr">
        <is>
          <t>yes</t>
        </is>
      </c>
      <c r="F183" t="inlineStr">
        <is>
          <t>1.9387</t>
        </is>
      </c>
      <c r="G183" t="inlineStr">
        <is>
          <t>world_bank</t>
        </is>
      </c>
      <c r="H183" t="inlineStr">
        <is>
          <t>https://api.worldbank.org/v2/country/SVK/indicator/NY.GDP.MKTP.KD.ZG?format=json&amp;mrv=30</t>
        </is>
      </c>
      <c r="I183" t="inlineStr">
        <is>
          <t>World Bank WDI: GDP growth (annual %)</t>
        </is>
      </c>
      <c r="J183" t="inlineStr">
        <is>
          <t>2024-12-31</t>
        </is>
      </c>
      <c r="K183" t="inlineStr">
        <is>
          <t>auto_seed=world_bank_wdi; indicator=NY.GDP.MKTP.KD.ZG; observation_year=2024; dataset_lastupdated=2026-02-24; stale=no</t>
        </is>
      </c>
    </row>
    <row r="184">
      <c r="A184" t="inlineStr">
        <is>
          <t>Slovakia</t>
        </is>
      </c>
      <c r="B184" t="inlineStr">
        <is>
          <t>gini_coefficient</t>
        </is>
      </c>
      <c r="C184" t="inlineStr">
        <is>
          <t>Gini coefficient</t>
        </is>
      </c>
      <c r="D184" t="inlineStr">
        <is>
          <t>capability</t>
        </is>
      </c>
      <c r="E184" t="inlineStr">
        <is>
          <t>yes</t>
        </is>
      </c>
      <c r="F184" t="inlineStr">
        <is>
          <t>23.8</t>
        </is>
      </c>
      <c r="G184" t="inlineStr">
        <is>
          <t>world_bank</t>
        </is>
      </c>
      <c r="H184" t="inlineStr">
        <is>
          <t>https://api.worldbank.org/v2/country/SVK/indicator/SI.POV.GINI?format=json&amp;mrv=30</t>
        </is>
      </c>
      <c r="I184" t="inlineStr">
        <is>
          <t>World Bank WDI: Gini index</t>
        </is>
      </c>
      <c r="J184" t="inlineStr">
        <is>
          <t>2023-12-31</t>
        </is>
      </c>
      <c r="K184" t="inlineStr">
        <is>
          <t>auto_seed=world_bank_wdi; indicator=SI.POV.GINI; observation_year=2023; dataset_lastupdated=2026-02-24; stale=no</t>
        </is>
      </c>
    </row>
    <row r="185">
      <c r="A185" t="inlineStr">
        <is>
          <t>Slovakia</t>
        </is>
      </c>
      <c r="B185" t="inlineStr">
        <is>
          <t>ppp_private_consumption</t>
        </is>
      </c>
      <c r="C185" t="inlineStr">
        <is>
          <t>PPP private consumption factor</t>
        </is>
      </c>
      <c r="D185" t="inlineStr">
        <is>
          <t>pressure</t>
        </is>
      </c>
      <c r="E185" t="inlineStr">
        <is>
          <t>yes</t>
        </is>
      </c>
      <c r="F185" t="inlineStr">
        <is>
          <t>0.545311</t>
        </is>
      </c>
      <c r="G185" t="inlineStr">
        <is>
          <t>world_bank</t>
        </is>
      </c>
      <c r="H185" t="inlineStr">
        <is>
          <t>https://api.worldbank.org/v2/country/SVK/indicator/PA.NUS.PRVT.PP?format=json&amp;mrv=30</t>
        </is>
      </c>
      <c r="I185" t="inlineStr">
        <is>
          <t>World Bank WDI: PPP conversion factor, private consumption (LCU per international $)</t>
        </is>
      </c>
      <c r="J185" t="inlineStr">
        <is>
          <t>2024-12-31</t>
        </is>
      </c>
      <c r="K185" t="inlineStr">
        <is>
          <t>auto_seed=world_bank_wdi; indicator=PA.NUS.PRVT.PP; observation_year=2024; dataset_lastupdated=2026-02-24; stale=no</t>
        </is>
      </c>
    </row>
    <row r="186">
      <c r="A186" t="inlineStr">
        <is>
          <t>Slovakia</t>
        </is>
      </c>
      <c r="B186" t="inlineStr">
        <is>
          <t>tax_rate_assumption</t>
        </is>
      </c>
      <c r="C186" t="inlineStr">
        <is>
          <t>Tax rate assumption</t>
        </is>
      </c>
      <c r="D186" t="inlineStr">
        <is>
          <t>pressure</t>
        </is>
      </c>
      <c r="E186" t="inlineStr">
        <is>
          <t>yes</t>
        </is>
      </c>
      <c r="F186" t="inlineStr">
        <is>
          <t>0.193079</t>
        </is>
      </c>
      <c r="G186" t="inlineStr">
        <is>
          <t>world_bank</t>
        </is>
      </c>
      <c r="H186" t="inlineStr">
        <is>
          <t>https://api.worldbank.org/v2/country/SVK/indicator/GC.TAX.TOTL.GD.ZS?format=json&amp;mrv=30</t>
        </is>
      </c>
      <c r="I186" t="inlineStr">
        <is>
          <t>World Bank WDI: Tax revenue (% of GDP) used as interim country average tax-take proxy</t>
        </is>
      </c>
      <c r="J186" t="inlineStr">
        <is>
          <t>2023-12-31</t>
        </is>
      </c>
      <c r="K186" t="inlineStr">
        <is>
          <t>auto_seed=world_bank_wdi; proxy=country_average_tax_take_from_tax_revenue_share; indicator=GC.TAX.TOTL.GD.ZS; observation_year=2023; dataset_lastupdated=2026-02-24; stale=no</t>
        </is>
      </c>
    </row>
    <row r="187">
      <c r="A187" t="inlineStr">
        <is>
          <t>Slovakia</t>
        </is>
      </c>
      <c r="B187" t="inlineStr">
        <is>
          <t>household_debt_proxy</t>
        </is>
      </c>
      <c r="C187" t="inlineStr">
        <is>
          <t>Household debt proxy</t>
        </is>
      </c>
      <c r="D187" t="inlineStr">
        <is>
          <t>pressure</t>
        </is>
      </c>
      <c r="E187" t="inlineStr">
        <is>
          <t>yes</t>
        </is>
      </c>
      <c r="F187" t="inlineStr">
        <is>
          <t>59.6386</t>
        </is>
      </c>
      <c r="G187" t="inlineStr">
        <is>
          <t>world_bank</t>
        </is>
      </c>
      <c r="H187" t="inlineStr">
        <is>
          <t>https://api.worldbank.org/v2/country/SVK/indicator/FD.AST.PRVT.GD.ZS?format=json&amp;mrv=30</t>
        </is>
      </c>
      <c r="I187" t="inlineStr">
        <is>
          <t>World Bank WDI: Domestic credit to private sector by banks (% of GDP) used as interim leverage proxy</t>
        </is>
      </c>
      <c r="J187" t="inlineStr">
        <is>
          <t>2024-12-31</t>
        </is>
      </c>
      <c r="K187" t="inlineStr">
        <is>
          <t>auto_seed=world_bank_wdi; proxy=broad_private_credit_not_household_only; indicator=FD.AST.PRVT.GD.ZS; observation_year=2024; dataset_lastupdated=2026-02-24; stale=no</t>
        </is>
      </c>
    </row>
    <row r="188">
      <c r="A188" t="inlineStr">
        <is>
          <t>United States</t>
        </is>
      </c>
      <c r="B188" t="inlineStr">
        <is>
          <t>gdp_per_capita_ppp</t>
        </is>
      </c>
      <c r="C188" t="inlineStr">
        <is>
          <t>GDP per capita (PPP)</t>
        </is>
      </c>
      <c r="D188" t="inlineStr">
        <is>
          <t>creative</t>
        </is>
      </c>
      <c r="E188" t="inlineStr">
        <is>
          <t>yes</t>
        </is>
      </c>
      <c r="F188" t="inlineStr">
        <is>
          <t>85809.9</t>
        </is>
      </c>
      <c r="G188" t="inlineStr">
        <is>
          <t>world_bank</t>
        </is>
      </c>
      <c r="H188" t="inlineStr">
        <is>
          <t>https://api.worldbank.org/v2/country/USA/indicator/NY.GDP.PCAP.PP.CD?format=json&amp;mrv=30</t>
        </is>
      </c>
      <c r="I188" t="inlineStr">
        <is>
          <t>World Bank WDI: GDP per capita, PPP (current international $)</t>
        </is>
      </c>
      <c r="J188" t="inlineStr">
        <is>
          <t>2024-12-31</t>
        </is>
      </c>
      <c r="K188" t="inlineStr">
        <is>
          <t>auto_seed=world_bank_wdi; indicator=NY.GDP.PCAP.PP.CD; observation_year=2024; dataset_lastupdated=2026-02-24; stale=no</t>
        </is>
      </c>
    </row>
    <row r="189">
      <c r="A189" t="inlineStr">
        <is>
          <t>United States</t>
        </is>
      </c>
      <c r="B189" t="inlineStr">
        <is>
          <t>gdp_growth</t>
        </is>
      </c>
      <c r="C189" t="inlineStr">
        <is>
          <t>GDP growth</t>
        </is>
      </c>
      <c r="D189" t="inlineStr">
        <is>
          <t>creative</t>
        </is>
      </c>
      <c r="E189" t="inlineStr">
        <is>
          <t>yes</t>
        </is>
      </c>
      <c r="F189" t="inlineStr">
        <is>
          <t>2.793</t>
        </is>
      </c>
      <c r="G189" t="inlineStr">
        <is>
          <t>world_bank</t>
        </is>
      </c>
      <c r="H189" t="inlineStr">
        <is>
          <t>https://api.worldbank.org/v2/country/USA/indicator/NY.GDP.MKTP.KD.ZG?format=json&amp;mrv=30</t>
        </is>
      </c>
      <c r="I189" t="inlineStr">
        <is>
          <t>World Bank WDI: GDP growth (annual %)</t>
        </is>
      </c>
      <c r="J189" t="inlineStr">
        <is>
          <t>2024-12-31</t>
        </is>
      </c>
      <c r="K189" t="inlineStr">
        <is>
          <t>auto_seed=world_bank_wdi; indicator=NY.GDP.MKTP.KD.ZG; observation_year=2024; dataset_lastupdated=2026-02-24; stale=no</t>
        </is>
      </c>
    </row>
    <row r="190">
      <c r="A190" t="inlineStr">
        <is>
          <t>United States</t>
        </is>
      </c>
      <c r="B190" t="inlineStr">
        <is>
          <t>gini_coefficient</t>
        </is>
      </c>
      <c r="C190" t="inlineStr">
        <is>
          <t>Gini coefficient</t>
        </is>
      </c>
      <c r="D190" t="inlineStr">
        <is>
          <t>capability</t>
        </is>
      </c>
      <c r="E190" t="inlineStr">
        <is>
          <t>yes</t>
        </is>
      </c>
      <c r="F190" t="inlineStr">
        <is>
          <t>41.8</t>
        </is>
      </c>
      <c r="G190" t="inlineStr">
        <is>
          <t>world_bank</t>
        </is>
      </c>
      <c r="H190" t="inlineStr">
        <is>
          <t>https://api.worldbank.org/v2/country/USA/indicator/SI.POV.GINI?format=json&amp;mrv=30</t>
        </is>
      </c>
      <c r="I190" t="inlineStr">
        <is>
          <t>World Bank WDI: Gini index</t>
        </is>
      </c>
      <c r="J190" t="inlineStr">
        <is>
          <t>2023-12-31</t>
        </is>
      </c>
      <c r="K190" t="inlineStr">
        <is>
          <t>auto_seed=world_bank_wdi; indicator=SI.POV.GINI; observation_year=2023; dataset_lastupdated=2026-02-24; stale=no</t>
        </is>
      </c>
    </row>
    <row r="191">
      <c r="A191" t="inlineStr">
        <is>
          <t>United States</t>
        </is>
      </c>
      <c r="B191" t="inlineStr">
        <is>
          <t>ppp_private_consumption</t>
        </is>
      </c>
      <c r="C191" t="inlineStr">
        <is>
          <t>PPP private consumption factor</t>
        </is>
      </c>
      <c r="D191" t="inlineStr">
        <is>
          <t>pressure</t>
        </is>
      </c>
      <c r="E191" t="inlineStr">
        <is>
          <t>yes</t>
        </is>
      </c>
      <c r="F191" t="inlineStr">
        <is>
          <t>1</t>
        </is>
      </c>
      <c r="G191" t="inlineStr">
        <is>
          <t>world_bank</t>
        </is>
      </c>
      <c r="H191" t="inlineStr">
        <is>
          <t>https://api.worldbank.org/v2/country/USA/indicator/PA.NUS.PRVT.PP?format=json&amp;mrv=30</t>
        </is>
      </c>
      <c r="I191" t="inlineStr">
        <is>
          <t>World Bank WDI: PPP conversion factor, private consumption (LCU per international $)</t>
        </is>
      </c>
      <c r="J191" t="inlineStr">
        <is>
          <t>2024-12-31</t>
        </is>
      </c>
      <c r="K191" t="inlineStr">
        <is>
          <t>auto_seed=world_bank_wdi; indicator=PA.NUS.PRVT.PP; observation_year=2024; dataset_lastupdated=2026-02-24; stale=no</t>
        </is>
      </c>
    </row>
    <row r="192">
      <c r="A192" t="inlineStr">
        <is>
          <t>United States</t>
        </is>
      </c>
      <c r="B192" t="inlineStr">
        <is>
          <t>tax_rate_assumption</t>
        </is>
      </c>
      <c r="C192" t="inlineStr">
        <is>
          <t>Tax rate assumption</t>
        </is>
      </c>
      <c r="D192" t="inlineStr">
        <is>
          <t>pressure</t>
        </is>
      </c>
      <c r="E192" t="inlineStr">
        <is>
          <t>yes</t>
        </is>
      </c>
      <c r="F192" t="inlineStr">
        <is>
          <t>0.108905</t>
        </is>
      </c>
      <c r="G192" t="inlineStr">
        <is>
          <t>world_bank</t>
        </is>
      </c>
      <c r="H192" t="inlineStr">
        <is>
          <t>https://api.worldbank.org/v2/country/USA/indicator/GC.TAX.TOTL.GD.ZS?format=json&amp;mrv=30</t>
        </is>
      </c>
      <c r="I192" t="inlineStr">
        <is>
          <t>World Bank WDI: Tax revenue (% of GDP) used as interim country average tax-take proxy</t>
        </is>
      </c>
      <c r="J192" t="inlineStr">
        <is>
          <t>2024-12-31</t>
        </is>
      </c>
      <c r="K192" t="inlineStr">
        <is>
          <t>auto_seed=world_bank_wdi; proxy=country_average_tax_take_from_tax_revenue_share; indicator=GC.TAX.TOTL.GD.ZS; observation_year=2024; dataset_lastupdated=2026-02-24; stale=no</t>
        </is>
      </c>
    </row>
    <row r="193">
      <c r="A193" t="inlineStr">
        <is>
          <t>United States</t>
        </is>
      </c>
      <c r="B193" t="inlineStr">
        <is>
          <t>household_debt_proxy</t>
        </is>
      </c>
      <c r="C193" t="inlineStr">
        <is>
          <t>Household debt proxy</t>
        </is>
      </c>
      <c r="D193" t="inlineStr">
        <is>
          <t>pressure</t>
        </is>
      </c>
      <c r="E193" t="inlineStr">
        <is>
          <t>yes</t>
        </is>
      </c>
      <c r="F193" t="inlineStr">
        <is>
          <t>46.8411</t>
        </is>
      </c>
      <c r="G193" t="inlineStr">
        <is>
          <t>world_bank</t>
        </is>
      </c>
      <c r="H193" t="inlineStr">
        <is>
          <t>https://api.worldbank.org/v2/country/USA/indicator/FD.AST.PRVT.GD.ZS?format=json&amp;mrv=30</t>
        </is>
      </c>
      <c r="I193" t="inlineStr">
        <is>
          <t>World Bank WDI: Domestic credit to private sector by banks (% of GDP) used as interim leverage proxy</t>
        </is>
      </c>
      <c r="J193" t="inlineStr">
        <is>
          <t>2024-12-31</t>
        </is>
      </c>
      <c r="K193" t="inlineStr">
        <is>
          <t>auto_seed=world_bank_wdi; proxy=broad_private_credit_not_household_only; indicator=FD.AST.PRVT.GD.ZS; observation_year=2024; dataset_lastupdated=2026-02-24; stale=no</t>
        </is>
      </c>
    </row>
    <row r="194">
      <c r="A194" t="inlineStr">
        <is>
          <t>Mexico</t>
        </is>
      </c>
      <c r="B194" t="inlineStr">
        <is>
          <t>gdp_per_capita_ppp</t>
        </is>
      </c>
      <c r="C194" t="inlineStr">
        <is>
          <t>GDP per capita (PPP)</t>
        </is>
      </c>
      <c r="D194" t="inlineStr">
        <is>
          <t>creative</t>
        </is>
      </c>
      <c r="E194" t="inlineStr">
        <is>
          <t>yes</t>
        </is>
      </c>
      <c r="F194" t="inlineStr">
        <is>
          <t>26185.36</t>
        </is>
      </c>
      <c r="G194" t="inlineStr">
        <is>
          <t>world_bank</t>
        </is>
      </c>
      <c r="H194" t="inlineStr">
        <is>
          <t>https://api.worldbank.org/v2/country/MEX/indicator/NY.GDP.PCAP.PP.CD?format=json&amp;mrv=30</t>
        </is>
      </c>
      <c r="I194" t="inlineStr">
        <is>
          <t>World Bank WDI: GDP per capita, PPP (current international $)</t>
        </is>
      </c>
      <c r="J194" t="inlineStr">
        <is>
          <t>2024-12-31</t>
        </is>
      </c>
      <c r="K194" t="inlineStr">
        <is>
          <t>auto_seed=world_bank_wdi; indicator=NY.GDP.PCAP.PP.CD; observation_year=2024; dataset_lastupdated=2026-02-24; stale=no</t>
        </is>
      </c>
    </row>
    <row r="195">
      <c r="A195" t="inlineStr">
        <is>
          <t>Mexico</t>
        </is>
      </c>
      <c r="B195" t="inlineStr">
        <is>
          <t>gdp_growth</t>
        </is>
      </c>
      <c r="C195" t="inlineStr">
        <is>
          <t>GDP growth</t>
        </is>
      </c>
      <c r="D195" t="inlineStr">
        <is>
          <t>creative</t>
        </is>
      </c>
      <c r="E195" t="inlineStr">
        <is>
          <t>yes</t>
        </is>
      </c>
      <c r="F195" t="inlineStr">
        <is>
          <t>1.4274</t>
        </is>
      </c>
      <c r="G195" t="inlineStr">
        <is>
          <t>world_bank</t>
        </is>
      </c>
      <c r="H195" t="inlineStr">
        <is>
          <t>https://api.worldbank.org/v2/country/MEX/indicator/NY.GDP.MKTP.KD.ZG?format=json&amp;mrv=30</t>
        </is>
      </c>
      <c r="I195" t="inlineStr">
        <is>
          <t>World Bank WDI: GDP growth (annual %)</t>
        </is>
      </c>
      <c r="J195" t="inlineStr">
        <is>
          <t>2024-12-31</t>
        </is>
      </c>
      <c r="K195" t="inlineStr">
        <is>
          <t>auto_seed=world_bank_wdi; indicator=NY.GDP.MKTP.KD.ZG; observation_year=2024; dataset_lastupdated=2026-02-24; stale=no</t>
        </is>
      </c>
    </row>
    <row r="196">
      <c r="A196" t="inlineStr">
        <is>
          <t>Mexico</t>
        </is>
      </c>
      <c r="B196" t="inlineStr">
        <is>
          <t>gini_coefficient</t>
        </is>
      </c>
      <c r="C196" t="inlineStr">
        <is>
          <t>Gini coefficient</t>
        </is>
      </c>
      <c r="D196" t="inlineStr">
        <is>
          <t>capability</t>
        </is>
      </c>
      <c r="E196" t="inlineStr">
        <is>
          <t>yes</t>
        </is>
      </c>
      <c r="F196" t="inlineStr">
        <is>
          <t>43.5</t>
        </is>
      </c>
      <c r="G196" t="inlineStr">
        <is>
          <t>world_bank</t>
        </is>
      </c>
      <c r="H196" t="inlineStr">
        <is>
          <t>https://api.worldbank.org/v2/country/MEX/indicator/SI.POV.GINI?format=json&amp;mrv=30</t>
        </is>
      </c>
      <c r="I196" t="inlineStr">
        <is>
          <t>World Bank WDI: Gini index</t>
        </is>
      </c>
      <c r="J196" t="inlineStr">
        <is>
          <t>2022-12-31</t>
        </is>
      </c>
      <c r="K196" t="inlineStr">
        <is>
          <t>auto_seed=world_bank_wdi; indicator=SI.POV.GINI; observation_year=2022; dataset_lastupdated=2026-02-24; stale=no</t>
        </is>
      </c>
    </row>
    <row r="197">
      <c r="A197" t="inlineStr">
        <is>
          <t>Mexico</t>
        </is>
      </c>
      <c r="B197" t="inlineStr">
        <is>
          <t>ppp_private_consumption</t>
        </is>
      </c>
      <c r="C197" t="inlineStr">
        <is>
          <t>PPP private consumption factor</t>
        </is>
      </c>
      <c r="D197" t="inlineStr">
        <is>
          <t>pressure</t>
        </is>
      </c>
      <c r="E197" t="inlineStr">
        <is>
          <t>yes</t>
        </is>
      </c>
      <c r="F197" t="inlineStr">
        <is>
          <t>10.801299</t>
        </is>
      </c>
      <c r="G197" t="inlineStr">
        <is>
          <t>world_bank</t>
        </is>
      </c>
      <c r="H197" t="inlineStr">
        <is>
          <t>https://api.worldbank.org/v2/country/MEX/indicator/PA.NUS.PRVT.PP?format=json&amp;mrv=30</t>
        </is>
      </c>
      <c r="I197" t="inlineStr">
        <is>
          <t>World Bank WDI: PPP conversion factor, private consumption (LCU per international $)</t>
        </is>
      </c>
      <c r="J197" t="inlineStr">
        <is>
          <t>2024-12-31</t>
        </is>
      </c>
      <c r="K197" t="inlineStr">
        <is>
          <t>auto_seed=world_bank_wdi; indicator=PA.NUS.PRVT.PP; observation_year=2024; dataset_lastupdated=2026-02-24; stale=no</t>
        </is>
      </c>
    </row>
    <row r="198">
      <c r="A198" t="inlineStr">
        <is>
          <t>Mexico</t>
        </is>
      </c>
      <c r="B198" t="inlineStr">
        <is>
          <t>tax_rate_assumption</t>
        </is>
      </c>
      <c r="C198" t="inlineStr">
        <is>
          <t>Tax rate assumption</t>
        </is>
      </c>
      <c r="D198" t="inlineStr">
        <is>
          <t>pressure</t>
        </is>
      </c>
      <c r="E198" t="inlineStr">
        <is>
          <t>yes</t>
        </is>
      </c>
      <c r="F198" t="inlineStr">
        <is>
          <t>0.141936</t>
        </is>
      </c>
      <c r="G198" t="inlineStr">
        <is>
          <t>world_bank</t>
        </is>
      </c>
      <c r="H198" t="inlineStr">
        <is>
          <t>https://api.worldbank.org/v2/country/MEX/indicator/GC.TAX.TOTL.GD.ZS?format=json&amp;mrv=30</t>
        </is>
      </c>
      <c r="I198" t="inlineStr">
        <is>
          <t>World Bank WDI: Tax revenue (% of GDP) used as interim country average tax-take proxy</t>
        </is>
      </c>
      <c r="J198" t="inlineStr">
        <is>
          <t>2023-12-31</t>
        </is>
      </c>
      <c r="K198" t="inlineStr">
        <is>
          <t>auto_seed=world_bank_wdi; proxy=country_average_tax_take_from_tax_revenue_share; indicator=GC.TAX.TOTL.GD.ZS; observation_year=2023; dataset_lastupdated=2026-02-24; stale=no</t>
        </is>
      </c>
    </row>
    <row r="199">
      <c r="A199" t="inlineStr">
        <is>
          <t>Mexico</t>
        </is>
      </c>
      <c r="B199" t="inlineStr">
        <is>
          <t>household_debt_proxy</t>
        </is>
      </c>
      <c r="C199" t="inlineStr">
        <is>
          <t>Household debt proxy</t>
        </is>
      </c>
      <c r="D199" t="inlineStr">
        <is>
          <t>pressure</t>
        </is>
      </c>
      <c r="E199" t="inlineStr">
        <is>
          <t>yes</t>
        </is>
      </c>
      <c r="F199" t="inlineStr">
        <is>
          <t>26.5628</t>
        </is>
      </c>
      <c r="G199" t="inlineStr">
        <is>
          <t>world_bank</t>
        </is>
      </c>
      <c r="H199" t="inlineStr">
        <is>
          <t>https://api.worldbank.org/v2/country/MEX/indicator/FD.AST.PRVT.GD.ZS?format=json&amp;mrv=30</t>
        </is>
      </c>
      <c r="I199" t="inlineStr">
        <is>
          <t>World Bank WDI: Domestic credit to private sector by banks (% of GDP) used as interim leverage proxy</t>
        </is>
      </c>
      <c r="J199" t="inlineStr">
        <is>
          <t>2024-12-31</t>
        </is>
      </c>
      <c r="K199" t="inlineStr">
        <is>
          <t>auto_seed=world_bank_wdi; proxy=broad_private_credit_not_household_only; indicator=FD.AST.PRVT.GD.ZS; observation_year=2024; dataset_lastupdated=2026-02-24; stale=no</t>
        </is>
      </c>
    </row>
    <row r="200">
      <c r="A200" t="inlineStr">
        <is>
          <t>Canada</t>
        </is>
      </c>
      <c r="B200" t="inlineStr">
        <is>
          <t>gdp_per_capita_ppp</t>
        </is>
      </c>
      <c r="C200" t="inlineStr">
        <is>
          <t>GDP per capita (PPP)</t>
        </is>
      </c>
      <c r="D200" t="inlineStr">
        <is>
          <t>creative</t>
        </is>
      </c>
      <c r="E200" t="inlineStr">
        <is>
          <t>yes</t>
        </is>
      </c>
      <c r="F200" t="inlineStr">
        <is>
          <t>64610.38</t>
        </is>
      </c>
      <c r="G200" t="inlineStr">
        <is>
          <t>world_bank</t>
        </is>
      </c>
      <c r="H200" t="inlineStr">
        <is>
          <t>https://api.worldbank.org/v2/country/CAN/indicator/NY.GDP.PCAP.PP.CD?format=json&amp;mrv=30</t>
        </is>
      </c>
      <c r="I200" t="inlineStr">
        <is>
          <t>World Bank WDI: GDP per capita, PPP (current international $)</t>
        </is>
      </c>
      <c r="J200" t="inlineStr">
        <is>
          <t>2024-12-31</t>
        </is>
      </c>
      <c r="K200" t="inlineStr">
        <is>
          <t>auto_seed=world_bank_wdi; indicator=NY.GDP.PCAP.PP.CD; observation_year=2024; dataset_lastupdated=2026-02-24; stale=no</t>
        </is>
      </c>
    </row>
    <row r="201">
      <c r="A201" t="inlineStr">
        <is>
          <t>Canada</t>
        </is>
      </c>
      <c r="B201" t="inlineStr">
        <is>
          <t>gdp_growth</t>
        </is>
      </c>
      <c r="C201" t="inlineStr">
        <is>
          <t>GDP growth</t>
        </is>
      </c>
      <c r="D201" t="inlineStr">
        <is>
          <t>creative</t>
        </is>
      </c>
      <c r="E201" t="inlineStr">
        <is>
          <t>yes</t>
        </is>
      </c>
      <c r="F201" t="inlineStr">
        <is>
          <t>1.5548</t>
        </is>
      </c>
      <c r="G201" t="inlineStr">
        <is>
          <t>world_bank</t>
        </is>
      </c>
      <c r="H201" t="inlineStr">
        <is>
          <t>https://api.worldbank.org/v2/country/CAN/indicator/NY.GDP.MKTP.KD.ZG?format=json&amp;mrv=30</t>
        </is>
      </c>
      <c r="I201" t="inlineStr">
        <is>
          <t>World Bank WDI: GDP growth (annual %)</t>
        </is>
      </c>
      <c r="J201" t="inlineStr">
        <is>
          <t>2024-12-31</t>
        </is>
      </c>
      <c r="K201" t="inlineStr">
        <is>
          <t>auto_seed=world_bank_wdi; indicator=NY.GDP.MKTP.KD.ZG; observation_year=2024; dataset_lastupdated=2026-02-24; stale=no</t>
        </is>
      </c>
    </row>
    <row r="202">
      <c r="A202" t="inlineStr">
        <is>
          <t>Canada</t>
        </is>
      </c>
      <c r="B202" t="inlineStr">
        <is>
          <t>gini_coefficient</t>
        </is>
      </c>
      <c r="C202" t="inlineStr">
        <is>
          <t>Gini coefficient</t>
        </is>
      </c>
      <c r="D202" t="inlineStr">
        <is>
          <t>capability</t>
        </is>
      </c>
      <c r="E202" t="inlineStr">
        <is>
          <t>yes</t>
        </is>
      </c>
      <c r="F202" t="inlineStr">
        <is>
          <t>31.1</t>
        </is>
      </c>
      <c r="G202" t="inlineStr">
        <is>
          <t>world_bank</t>
        </is>
      </c>
      <c r="H202" t="inlineStr">
        <is>
          <t>https://api.worldbank.org/v2/country/CAN/indicator/SI.POV.GINI?format=json&amp;mrv=30</t>
        </is>
      </c>
      <c r="I202" t="inlineStr">
        <is>
          <t>World Bank WDI: Gini index</t>
        </is>
      </c>
      <c r="J202" t="inlineStr">
        <is>
          <t>2021-12-31</t>
        </is>
      </c>
      <c r="K202" t="inlineStr">
        <is>
          <t>auto_seed=world_bank_wdi; indicator=SI.POV.GINI; observation_year=2021; dataset_lastupdated=2026-02-24; stale=no</t>
        </is>
      </c>
    </row>
    <row r="203">
      <c r="A203" t="inlineStr">
        <is>
          <t>Canada</t>
        </is>
      </c>
      <c r="B203" t="inlineStr">
        <is>
          <t>ppp_private_consumption</t>
        </is>
      </c>
      <c r="C203" t="inlineStr">
        <is>
          <t>PPP private consumption factor</t>
        </is>
      </c>
      <c r="D203" t="inlineStr">
        <is>
          <t>pressure</t>
        </is>
      </c>
      <c r="E203" t="inlineStr">
        <is>
          <t>yes</t>
        </is>
      </c>
      <c r="F203" t="inlineStr">
        <is>
          <t>1.240903</t>
        </is>
      </c>
      <c r="G203" t="inlineStr">
        <is>
          <t>world_bank</t>
        </is>
      </c>
      <c r="H203" t="inlineStr">
        <is>
          <t>https://api.worldbank.org/v2/country/CAN/indicator/PA.NUS.PRVT.PP?format=json&amp;mrv=30</t>
        </is>
      </c>
      <c r="I203" t="inlineStr">
        <is>
          <t>World Bank WDI: PPP conversion factor, private consumption (LCU per international $)</t>
        </is>
      </c>
      <c r="J203" t="inlineStr">
        <is>
          <t>2024-12-31</t>
        </is>
      </c>
      <c r="K203" t="inlineStr">
        <is>
          <t>auto_seed=world_bank_wdi; indicator=PA.NUS.PRVT.PP; observation_year=2024; dataset_lastupdated=2026-02-24; stale=no</t>
        </is>
      </c>
    </row>
    <row r="204">
      <c r="A204" t="inlineStr">
        <is>
          <t>Canada</t>
        </is>
      </c>
      <c r="B204" t="inlineStr">
        <is>
          <t>tax_rate_assumption</t>
        </is>
      </c>
      <c r="C204" t="inlineStr">
        <is>
          <t>Tax rate assumption</t>
        </is>
      </c>
      <c r="D204" t="inlineStr">
        <is>
          <t>pressure</t>
        </is>
      </c>
      <c r="E204" t="inlineStr">
        <is>
          <t>yes</t>
        </is>
      </c>
      <c r="F204" t="inlineStr">
        <is>
          <t>0.142302</t>
        </is>
      </c>
      <c r="G204" t="inlineStr">
        <is>
          <t>world_bank</t>
        </is>
      </c>
      <c r="H204" t="inlineStr">
        <is>
          <t>https://api.worldbank.org/v2/country/CAN/indicator/GC.TAX.TOTL.GD.ZS?format=json&amp;mrv=30</t>
        </is>
      </c>
      <c r="I204" t="inlineStr">
        <is>
          <t>World Bank WDI: Tax revenue (% of GDP) used as interim country average tax-take proxy</t>
        </is>
      </c>
      <c r="J204" t="inlineStr">
        <is>
          <t>2024-12-31</t>
        </is>
      </c>
      <c r="K204" t="inlineStr">
        <is>
          <t>auto_seed=world_bank_wdi; proxy=country_average_tax_take_from_tax_revenue_share; indicator=GC.TAX.TOTL.GD.ZS; observation_year=2024; dataset_lastupdated=2026-02-24; stale=no</t>
        </is>
      </c>
    </row>
    <row r="205">
      <c r="A205" t="inlineStr">
        <is>
          <t>Canada</t>
        </is>
      </c>
      <c r="B205" t="inlineStr">
        <is>
          <t>household_debt_proxy</t>
        </is>
      </c>
      <c r="C205" t="inlineStr">
        <is>
          <t>Household debt proxy</t>
        </is>
      </c>
      <c r="D205" t="inlineStr">
        <is>
          <t>pressure</t>
        </is>
      </c>
      <c r="E205" t="inlineStr">
        <is>
          <t>yes</t>
        </is>
      </c>
      <c r="F205" t="inlineStr">
        <is>
          <t>124.0978</t>
        </is>
      </c>
      <c r="G205" t="inlineStr">
        <is>
          <t>world_bank</t>
        </is>
      </c>
      <c r="H205" t="inlineStr">
        <is>
          <t>https://api.worldbank.org/v2/country/CAN/indicator/FD.AST.PRVT.GD.ZS?format=json&amp;mrv=30</t>
        </is>
      </c>
      <c r="I205" t="inlineStr">
        <is>
          <t>World Bank WDI: Domestic credit to private sector by banks (% of GDP) used as interim leverage proxy</t>
        </is>
      </c>
      <c r="J205" t="inlineStr">
        <is>
          <t>2008-12-31</t>
        </is>
      </c>
      <c r="K205" t="inlineStr">
        <is>
          <t>auto_seed=world_bank_wdi; proxy=broad_private_credit_not_household_only; indicator=FD.AST.PRVT.GD.ZS; observation_year=2008; dataset_lastupdated=2026-02-24; stale=yes</t>
        </is>
      </c>
    </row>
    <row r="206">
      <c r="A206" t="inlineStr">
        <is>
          <t>Panama</t>
        </is>
      </c>
      <c r="B206" t="inlineStr">
        <is>
          <t>gdp_per_capita_ppp</t>
        </is>
      </c>
      <c r="C206" t="inlineStr">
        <is>
          <t>GDP per capita (PPP)</t>
        </is>
      </c>
      <c r="D206" t="inlineStr">
        <is>
          <t>creative</t>
        </is>
      </c>
      <c r="E206" t="inlineStr">
        <is>
          <t>yes</t>
        </is>
      </c>
      <c r="F206" t="inlineStr">
        <is>
          <t>41369.42</t>
        </is>
      </c>
      <c r="G206" t="inlineStr">
        <is>
          <t>world_bank</t>
        </is>
      </c>
      <c r="H206" t="inlineStr">
        <is>
          <t>https://api.worldbank.org/v2/country/PAN/indicator/NY.GDP.PCAP.PP.CD?format=json&amp;mrv=30</t>
        </is>
      </c>
      <c r="I206" t="inlineStr">
        <is>
          <t>World Bank WDI: GDP per capita, PPP (current international $)</t>
        </is>
      </c>
      <c r="J206" t="inlineStr">
        <is>
          <t>2024-12-31</t>
        </is>
      </c>
      <c r="K206" t="inlineStr">
        <is>
          <t>auto_seed=world_bank_wdi; indicator=NY.GDP.PCAP.PP.CD; observation_year=2024; dataset_lastupdated=2026-02-24; stale=no</t>
        </is>
      </c>
    </row>
    <row r="207">
      <c r="A207" t="inlineStr">
        <is>
          <t>Panama</t>
        </is>
      </c>
      <c r="B207" t="inlineStr">
        <is>
          <t>gdp_growth</t>
        </is>
      </c>
      <c r="C207" t="inlineStr">
        <is>
          <t>GDP growth</t>
        </is>
      </c>
      <c r="D207" t="inlineStr">
        <is>
          <t>creative</t>
        </is>
      </c>
      <c r="E207" t="inlineStr">
        <is>
          <t>yes</t>
        </is>
      </c>
      <c r="F207" t="inlineStr">
        <is>
          <t>2.7479</t>
        </is>
      </c>
      <c r="G207" t="inlineStr">
        <is>
          <t>world_bank</t>
        </is>
      </c>
      <c r="H207" t="inlineStr">
        <is>
          <t>https://api.worldbank.org/v2/country/PAN/indicator/NY.GDP.MKTP.KD.ZG?format=json&amp;mrv=30</t>
        </is>
      </c>
      <c r="I207" t="inlineStr">
        <is>
          <t>World Bank WDI: GDP growth (annual %)</t>
        </is>
      </c>
      <c r="J207" t="inlineStr">
        <is>
          <t>2024-12-31</t>
        </is>
      </c>
      <c r="K207" t="inlineStr">
        <is>
          <t>auto_seed=world_bank_wdi; indicator=NY.GDP.MKTP.KD.ZG; observation_year=2024; dataset_lastupdated=2026-02-24; stale=no</t>
        </is>
      </c>
    </row>
    <row r="208">
      <c r="A208" t="inlineStr">
        <is>
          <t>Panama</t>
        </is>
      </c>
      <c r="B208" t="inlineStr">
        <is>
          <t>gini_coefficient</t>
        </is>
      </c>
      <c r="C208" t="inlineStr">
        <is>
          <t>Gini coefficient</t>
        </is>
      </c>
      <c r="D208" t="inlineStr">
        <is>
          <t>capability</t>
        </is>
      </c>
      <c r="E208" t="inlineStr">
        <is>
          <t>yes</t>
        </is>
      </c>
      <c r="F208" t="inlineStr">
        <is>
          <t>49.7</t>
        </is>
      </c>
      <c r="G208" t="inlineStr">
        <is>
          <t>world_bank</t>
        </is>
      </c>
      <c r="H208" t="inlineStr">
        <is>
          <t>https://api.worldbank.org/v2/country/PAN/indicator/SI.POV.GINI?format=json&amp;mrv=30</t>
        </is>
      </c>
      <c r="I208" t="inlineStr">
        <is>
          <t>World Bank WDI: Gini index</t>
        </is>
      </c>
      <c r="J208" t="inlineStr">
        <is>
          <t>2024-12-31</t>
        </is>
      </c>
      <c r="K208" t="inlineStr">
        <is>
          <t>auto_seed=world_bank_wdi; indicator=SI.POV.GINI; observation_year=2024; dataset_lastupdated=2026-02-24; stale=no</t>
        </is>
      </c>
    </row>
    <row r="209">
      <c r="A209" t="inlineStr">
        <is>
          <t>Panama</t>
        </is>
      </c>
      <c r="B209" t="inlineStr">
        <is>
          <t>ppp_private_consumption</t>
        </is>
      </c>
      <c r="C209" t="inlineStr">
        <is>
          <t>PPP private consumption factor</t>
        </is>
      </c>
      <c r="D209" t="inlineStr">
        <is>
          <t>pressure</t>
        </is>
      </c>
      <c r="E209" t="inlineStr">
        <is>
          <t>yes</t>
        </is>
      </c>
      <c r="F209" t="inlineStr">
        <is>
          <t>0.511074</t>
        </is>
      </c>
      <c r="G209" t="inlineStr">
        <is>
          <t>world_bank</t>
        </is>
      </c>
      <c r="H209" t="inlineStr">
        <is>
          <t>https://api.worldbank.org/v2/country/PAN/indicator/PA.NUS.PRVT.PP?format=json&amp;mrv=30</t>
        </is>
      </c>
      <c r="I209" t="inlineStr">
        <is>
          <t>World Bank WDI: PPP conversion factor, private consumption (LCU per international $)</t>
        </is>
      </c>
      <c r="J209" t="inlineStr">
        <is>
          <t>2024-12-31</t>
        </is>
      </c>
      <c r="K209" t="inlineStr">
        <is>
          <t>auto_seed=world_bank_wdi; indicator=PA.NUS.PRVT.PP; observation_year=2024; dataset_lastupdated=2026-02-24; stale=no</t>
        </is>
      </c>
    </row>
    <row r="210">
      <c r="A210" t="inlineStr">
        <is>
          <t>Panama</t>
        </is>
      </c>
      <c r="B210" t="inlineStr">
        <is>
          <t>tax_rate_assumption</t>
        </is>
      </c>
      <c r="C210" t="inlineStr">
        <is>
          <t>Tax rate assumption</t>
        </is>
      </c>
      <c r="D210" t="inlineStr">
        <is>
          <t>pressure</t>
        </is>
      </c>
      <c r="E210" t="inlineStr">
        <is>
          <t>yes</t>
        </is>
      </c>
      <c r="F210" t="inlineStr">
        <is>
          <t>0.074606</t>
        </is>
      </c>
      <c r="G210" t="inlineStr">
        <is>
          <t>world_bank</t>
        </is>
      </c>
      <c r="H210" t="inlineStr">
        <is>
          <t>https://api.worldbank.org/v2/country/PAN/indicator/GC.TAX.TOTL.GD.ZS?format=json&amp;mrv=30</t>
        </is>
      </c>
      <c r="I210" t="inlineStr">
        <is>
          <t>World Bank WDI: Tax revenue (% of GDP) used as interim country average tax-take proxy</t>
        </is>
      </c>
      <c r="J210" t="inlineStr">
        <is>
          <t>2021-12-31</t>
        </is>
      </c>
      <c r="K210" t="inlineStr">
        <is>
          <t>auto_seed=world_bank_wdi; proxy=country_average_tax_take_from_tax_revenue_share; indicator=GC.TAX.TOTL.GD.ZS; observation_year=2021; dataset_lastupdated=2026-02-24; stale=no</t>
        </is>
      </c>
    </row>
    <row r="211">
      <c r="A211" t="inlineStr">
        <is>
          <t>Panama</t>
        </is>
      </c>
      <c r="B211" t="inlineStr">
        <is>
          <t>household_debt_proxy</t>
        </is>
      </c>
      <c r="C211" t="inlineStr">
        <is>
          <t>Household debt proxy</t>
        </is>
      </c>
      <c r="D211" t="inlineStr">
        <is>
          <t>pressure</t>
        </is>
      </c>
      <c r="E211" t="inlineStr">
        <is>
          <t>yes</t>
        </is>
      </c>
      <c r="F211" t="inlineStr">
        <is>
          <t>68.0947</t>
        </is>
      </c>
      <c r="G211" t="inlineStr">
        <is>
          <t>world_bank</t>
        </is>
      </c>
      <c r="H211" t="inlineStr">
        <is>
          <t>https://api.worldbank.org/v2/country/PAN/indicator/FD.AST.PRVT.GD.ZS?format=json&amp;mrv=30</t>
        </is>
      </c>
      <c r="I211" t="inlineStr">
        <is>
          <t>World Bank WDI: Domestic credit to private sector by banks (% of GDP) used as interim leverage proxy</t>
        </is>
      </c>
      <c r="J211" t="inlineStr">
        <is>
          <t>2024-12-31</t>
        </is>
      </c>
      <c r="K211" t="inlineStr">
        <is>
          <t>auto_seed=world_bank_wdi; proxy=broad_private_credit_not_household_only; indicator=FD.AST.PRVT.GD.ZS; observation_year=2024; dataset_lastupdated=2026-02-24; stale=no</t>
        </is>
      </c>
    </row>
    <row r="212">
      <c r="A212" t="inlineStr">
        <is>
          <t>Costa Rica</t>
        </is>
      </c>
      <c r="B212" t="inlineStr">
        <is>
          <t>gdp_per_capita_ppp</t>
        </is>
      </c>
      <c r="C212" t="inlineStr">
        <is>
          <t>GDP per capita (PPP)</t>
        </is>
      </c>
      <c r="D212" t="inlineStr">
        <is>
          <t>creative</t>
        </is>
      </c>
      <c r="E212" t="inlineStr">
        <is>
          <t>yes</t>
        </is>
      </c>
      <c r="F212" t="inlineStr">
        <is>
          <t>31106.76</t>
        </is>
      </c>
      <c r="G212" t="inlineStr">
        <is>
          <t>world_bank</t>
        </is>
      </c>
      <c r="H212" t="inlineStr">
        <is>
          <t>https://api.worldbank.org/v2/country/CRI/indicator/NY.GDP.PCAP.PP.CD?format=json&amp;mrv=30</t>
        </is>
      </c>
      <c r="I212" t="inlineStr">
        <is>
          <t>World Bank WDI: GDP per capita, PPP (current international $)</t>
        </is>
      </c>
      <c r="J212" t="inlineStr">
        <is>
          <t>2024-12-31</t>
        </is>
      </c>
      <c r="K212" t="inlineStr">
        <is>
          <t>auto_seed=world_bank_wdi; indicator=NY.GDP.PCAP.PP.CD; observation_year=2024; dataset_lastupdated=2026-02-24; stale=no</t>
        </is>
      </c>
    </row>
    <row r="213">
      <c r="A213" t="inlineStr">
        <is>
          <t>Costa Rica</t>
        </is>
      </c>
      <c r="B213" t="inlineStr">
        <is>
          <t>gdp_growth</t>
        </is>
      </c>
      <c r="C213" t="inlineStr">
        <is>
          <t>GDP growth</t>
        </is>
      </c>
      <c r="D213" t="inlineStr">
        <is>
          <t>creative</t>
        </is>
      </c>
      <c r="E213" t="inlineStr">
        <is>
          <t>yes</t>
        </is>
      </c>
      <c r="F213" t="inlineStr">
        <is>
          <t>4.3212</t>
        </is>
      </c>
      <c r="G213" t="inlineStr">
        <is>
          <t>world_bank</t>
        </is>
      </c>
      <c r="H213" t="inlineStr">
        <is>
          <t>https://api.worldbank.org/v2/country/CRI/indicator/NY.GDP.MKTP.KD.ZG?format=json&amp;mrv=30</t>
        </is>
      </c>
      <c r="I213" t="inlineStr">
        <is>
          <t>World Bank WDI: GDP growth (annual %)</t>
        </is>
      </c>
      <c r="J213" t="inlineStr">
        <is>
          <t>2024-12-31</t>
        </is>
      </c>
      <c r="K213" t="inlineStr">
        <is>
          <t>auto_seed=world_bank_wdi; indicator=NY.GDP.MKTP.KD.ZG; observation_year=2024; dataset_lastupdated=2026-02-24; stale=no</t>
        </is>
      </c>
    </row>
    <row r="214">
      <c r="A214" t="inlineStr">
        <is>
          <t>Costa Rica</t>
        </is>
      </c>
      <c r="B214" t="inlineStr">
        <is>
          <t>gini_coefficient</t>
        </is>
      </c>
      <c r="C214" t="inlineStr">
        <is>
          <t>Gini coefficient</t>
        </is>
      </c>
      <c r="D214" t="inlineStr">
        <is>
          <t>capability</t>
        </is>
      </c>
      <c r="E214" t="inlineStr">
        <is>
          <t>yes</t>
        </is>
      </c>
      <c r="F214" t="inlineStr">
        <is>
          <t>45.8</t>
        </is>
      </c>
      <c r="G214" t="inlineStr">
        <is>
          <t>world_bank</t>
        </is>
      </c>
      <c r="H214" t="inlineStr">
        <is>
          <t>https://api.worldbank.org/v2/country/CRI/indicator/SI.POV.GINI?format=json&amp;mrv=30</t>
        </is>
      </c>
      <c r="I214" t="inlineStr">
        <is>
          <t>World Bank WDI: Gini index</t>
        </is>
      </c>
      <c r="J214" t="inlineStr">
        <is>
          <t>2024-12-31</t>
        </is>
      </c>
      <c r="K214" t="inlineStr">
        <is>
          <t>auto_seed=world_bank_wdi; indicator=SI.POV.GINI; observation_year=2024; dataset_lastupdated=2026-02-24; stale=no</t>
        </is>
      </c>
    </row>
    <row r="215">
      <c r="A215" t="inlineStr">
        <is>
          <t>Costa Rica</t>
        </is>
      </c>
      <c r="B215" t="inlineStr">
        <is>
          <t>ppp_private_consumption</t>
        </is>
      </c>
      <c r="C215" t="inlineStr">
        <is>
          <t>PPP private consumption factor</t>
        </is>
      </c>
      <c r="D215" t="inlineStr">
        <is>
          <t>pressure</t>
        </is>
      </c>
      <c r="E215" t="inlineStr">
        <is>
          <t>yes</t>
        </is>
      </c>
      <c r="F215" t="inlineStr">
        <is>
          <t>328.046587</t>
        </is>
      </c>
      <c r="G215" t="inlineStr">
        <is>
          <t>world_bank</t>
        </is>
      </c>
      <c r="H215" t="inlineStr">
        <is>
          <t>https://api.worldbank.org/v2/country/CRI/indicator/PA.NUS.PRVT.PP?format=json&amp;mrv=30</t>
        </is>
      </c>
      <c r="I215" t="inlineStr">
        <is>
          <t>World Bank WDI: PPP conversion factor, private consumption (LCU per international $)</t>
        </is>
      </c>
      <c r="J215" t="inlineStr">
        <is>
          <t>2024-12-31</t>
        </is>
      </c>
      <c r="K215" t="inlineStr">
        <is>
          <t>auto_seed=world_bank_wdi; indicator=PA.NUS.PRVT.PP; observation_year=2024; dataset_lastupdated=2026-02-24; stale=no</t>
        </is>
      </c>
    </row>
    <row r="216">
      <c r="A216" t="inlineStr">
        <is>
          <t>Costa Rica</t>
        </is>
      </c>
      <c r="B216" t="inlineStr">
        <is>
          <t>tax_rate_assumption</t>
        </is>
      </c>
      <c r="C216" t="inlineStr">
        <is>
          <t>Tax rate assumption</t>
        </is>
      </c>
      <c r="D216" t="inlineStr">
        <is>
          <t>pressure</t>
        </is>
      </c>
      <c r="E216" t="inlineStr">
        <is>
          <t>yes</t>
        </is>
      </c>
      <c r="F216" t="inlineStr">
        <is>
          <t>0.139115</t>
        </is>
      </c>
      <c r="G216" t="inlineStr">
        <is>
          <t>world_bank</t>
        </is>
      </c>
      <c r="H216" t="inlineStr">
        <is>
          <t>https://api.worldbank.org/v2/country/CRI/indicator/GC.TAX.TOTL.GD.ZS?format=json&amp;mrv=30</t>
        </is>
      </c>
      <c r="I216" t="inlineStr">
        <is>
          <t>World Bank WDI: Tax revenue (% of GDP) used as interim country average tax-take proxy</t>
        </is>
      </c>
      <c r="J216" t="inlineStr">
        <is>
          <t>2023-12-31</t>
        </is>
      </c>
      <c r="K216" t="inlineStr">
        <is>
          <t>auto_seed=world_bank_wdi; proxy=country_average_tax_take_from_tax_revenue_share; indicator=GC.TAX.TOTL.GD.ZS; observation_year=2023; dataset_lastupdated=2026-02-24; stale=no</t>
        </is>
      </c>
    </row>
    <row r="217">
      <c r="A217" t="inlineStr">
        <is>
          <t>Costa Rica</t>
        </is>
      </c>
      <c r="B217" t="inlineStr">
        <is>
          <t>household_debt_proxy</t>
        </is>
      </c>
      <c r="C217" t="inlineStr">
        <is>
          <t>Household debt proxy</t>
        </is>
      </c>
      <c r="D217" t="inlineStr">
        <is>
          <t>pressure</t>
        </is>
      </c>
      <c r="E217" t="inlineStr">
        <is>
          <t>yes</t>
        </is>
      </c>
      <c r="F217" t="inlineStr">
        <is>
          <t>50.9742</t>
        </is>
      </c>
      <c r="G217" t="inlineStr">
        <is>
          <t>world_bank</t>
        </is>
      </c>
      <c r="H217" t="inlineStr">
        <is>
          <t>https://api.worldbank.org/v2/country/CRI/indicator/FD.AST.PRVT.GD.ZS?format=json&amp;mrv=30</t>
        </is>
      </c>
      <c r="I217" t="inlineStr">
        <is>
          <t>World Bank WDI: Domestic credit to private sector by banks (% of GDP) used as interim leverage proxy</t>
        </is>
      </c>
      <c r="J217" t="inlineStr">
        <is>
          <t>2024-12-31</t>
        </is>
      </c>
      <c r="K217" t="inlineStr">
        <is>
          <t>auto_seed=world_bank_wdi; proxy=broad_private_credit_not_household_only; indicator=FD.AST.PRVT.GD.ZS; observation_year=2024; dataset_lastupdated=2026-02-24; stale=no</t>
        </is>
      </c>
    </row>
    <row r="218">
      <c r="A218" t="inlineStr">
        <is>
          <t>Puerto Rico</t>
        </is>
      </c>
      <c r="B218" t="inlineStr">
        <is>
          <t>gdp_per_capita_ppp</t>
        </is>
      </c>
      <c r="C218" t="inlineStr">
        <is>
          <t>GDP per capita (PPP)</t>
        </is>
      </c>
      <c r="D218" t="inlineStr">
        <is>
          <t>creative</t>
        </is>
      </c>
      <c r="E218" t="inlineStr">
        <is>
          <t>yes</t>
        </is>
      </c>
      <c r="F218" t="inlineStr">
        <is>
          <t>50247.85</t>
        </is>
      </c>
      <c r="G218" t="inlineStr">
        <is>
          <t>world_bank</t>
        </is>
      </c>
      <c r="H218" t="inlineStr">
        <is>
          <t>https://api.worldbank.org/v2/country/PRI/indicator/NY.GDP.PCAP.PP.CD?format=json&amp;mrv=30</t>
        </is>
      </c>
      <c r="I218" t="inlineStr">
        <is>
          <t>World Bank WDI: GDP per capita, PPP (current international $)</t>
        </is>
      </c>
      <c r="J218" t="inlineStr">
        <is>
          <t>2024-12-31</t>
        </is>
      </c>
      <c r="K218" t="inlineStr">
        <is>
          <t>auto_seed=world_bank_wdi; indicator=NY.GDP.PCAP.PP.CD; observation_year=2024; dataset_lastupdated=2026-02-24; stale=no</t>
        </is>
      </c>
    </row>
    <row r="219">
      <c r="A219" t="inlineStr">
        <is>
          <t>Puerto Rico</t>
        </is>
      </c>
      <c r="B219" t="inlineStr">
        <is>
          <t>gdp_growth</t>
        </is>
      </c>
      <c r="C219" t="inlineStr">
        <is>
          <t>GDP growth</t>
        </is>
      </c>
      <c r="D219" t="inlineStr">
        <is>
          <t>creative</t>
        </is>
      </c>
      <c r="E219" t="inlineStr">
        <is>
          <t>yes</t>
        </is>
      </c>
      <c r="F219" t="inlineStr">
        <is>
          <t>3.1771</t>
        </is>
      </c>
      <c r="G219" t="inlineStr">
        <is>
          <t>world_bank</t>
        </is>
      </c>
      <c r="H219" t="inlineStr">
        <is>
          <t>https://api.worldbank.org/v2/country/PRI/indicator/NY.GDP.MKTP.KD.ZG?format=json&amp;mrv=30</t>
        </is>
      </c>
      <c r="I219" t="inlineStr">
        <is>
          <t>World Bank WDI: GDP growth (annual %)</t>
        </is>
      </c>
      <c r="J219" t="inlineStr">
        <is>
          <t>2024-12-31</t>
        </is>
      </c>
      <c r="K219" t="inlineStr">
        <is>
          <t>auto_seed=world_bank_wdi; indicator=NY.GDP.MKTP.KD.ZG; observation_year=2024; dataset_lastupdated=2026-02-24; stale=no</t>
        </is>
      </c>
    </row>
    <row r="220">
      <c r="A220" t="inlineStr">
        <is>
          <t>Puerto Rico</t>
        </is>
      </c>
      <c r="B220" t="inlineStr">
        <is>
          <t>gini_coefficient</t>
        </is>
      </c>
      <c r="C220" t="inlineStr">
        <is>
          <t>Gini coefficient</t>
        </is>
      </c>
      <c r="D220" t="inlineStr">
        <is>
          <t>capability</t>
        </is>
      </c>
      <c r="E220" t="inlineStr">
        <is>
          <t>yes</t>
        </is>
      </c>
      <c r="F220" t="inlineStr"/>
      <c r="G220" t="inlineStr"/>
      <c r="H220" t="inlineStr"/>
      <c r="I220" t="inlineStr"/>
      <c r="J220" t="inlineStr"/>
      <c r="K220" t="inlineStr"/>
    </row>
    <row r="221">
      <c r="A221" t="inlineStr">
        <is>
          <t>Puerto Rico</t>
        </is>
      </c>
      <c r="B221" t="inlineStr">
        <is>
          <t>ppp_private_consumption</t>
        </is>
      </c>
      <c r="C221" t="inlineStr">
        <is>
          <t>PPP private consumption factor</t>
        </is>
      </c>
      <c r="D221" t="inlineStr">
        <is>
          <t>pressure</t>
        </is>
      </c>
      <c r="E221" t="inlineStr">
        <is>
          <t>yes</t>
        </is>
      </c>
      <c r="F221" t="inlineStr">
        <is>
          <t>0.896932</t>
        </is>
      </c>
      <c r="G221" t="inlineStr">
        <is>
          <t>world_bank</t>
        </is>
      </c>
      <c r="H221" t="inlineStr">
        <is>
          <t>https://api.worldbank.org/v2/country/PRI/indicator/PA.NUS.PRVT.PP?format=json&amp;mrv=30</t>
        </is>
      </c>
      <c r="I221" t="inlineStr">
        <is>
          <t>World Bank WDI: PPP conversion factor, private consumption (LCU per international $)</t>
        </is>
      </c>
      <c r="J221" t="inlineStr">
        <is>
          <t>2021-12-31</t>
        </is>
      </c>
      <c r="K221" t="inlineStr">
        <is>
          <t>auto_seed=world_bank_wdi; indicator=PA.NUS.PRVT.PP; observation_year=2021; dataset_lastupdated=2026-02-24; stale=yes</t>
        </is>
      </c>
    </row>
    <row r="222">
      <c r="A222" t="inlineStr">
        <is>
          <t>Puerto Rico</t>
        </is>
      </c>
      <c r="B222" t="inlineStr">
        <is>
          <t>tax_rate_assumption</t>
        </is>
      </c>
      <c r="C222" t="inlineStr">
        <is>
          <t>Tax rate assumption</t>
        </is>
      </c>
      <c r="D222" t="inlineStr">
        <is>
          <t>pressure</t>
        </is>
      </c>
      <c r="E222" t="inlineStr">
        <is>
          <t>yes</t>
        </is>
      </c>
      <c r="F222" t="inlineStr"/>
      <c r="G222" t="inlineStr"/>
      <c r="H222" t="inlineStr"/>
      <c r="I222" t="inlineStr"/>
      <c r="J222" t="inlineStr"/>
      <c r="K222" t="inlineStr"/>
    </row>
    <row r="223">
      <c r="A223" t="inlineStr">
        <is>
          <t>Puerto Rico</t>
        </is>
      </c>
      <c r="B223" t="inlineStr">
        <is>
          <t>household_debt_proxy</t>
        </is>
      </c>
      <c r="C223" t="inlineStr">
        <is>
          <t>Household debt proxy</t>
        </is>
      </c>
      <c r="D223" t="inlineStr">
        <is>
          <t>pressure</t>
        </is>
      </c>
      <c r="E223" t="inlineStr">
        <is>
          <t>yes</t>
        </is>
      </c>
      <c r="F223" t="inlineStr"/>
      <c r="G223" t="inlineStr"/>
      <c r="H223" t="inlineStr"/>
      <c r="I223" t="inlineStr"/>
      <c r="J223" t="inlineStr"/>
      <c r="K223" t="inlineStr"/>
    </row>
    <row r="224">
      <c r="A224" t="inlineStr">
        <is>
          <t>Brazil</t>
        </is>
      </c>
      <c r="B224" t="inlineStr">
        <is>
          <t>gdp_per_capita_ppp</t>
        </is>
      </c>
      <c r="C224" t="inlineStr">
        <is>
          <t>GDP per capita (PPP)</t>
        </is>
      </c>
      <c r="D224" t="inlineStr">
        <is>
          <t>creative</t>
        </is>
      </c>
      <c r="E224" t="inlineStr">
        <is>
          <t>yes</t>
        </is>
      </c>
      <c r="F224" t="inlineStr">
        <is>
          <t>22338.48</t>
        </is>
      </c>
      <c r="G224" t="inlineStr">
        <is>
          <t>world_bank</t>
        </is>
      </c>
      <c r="H224" t="inlineStr">
        <is>
          <t>https://api.worldbank.org/v2/country/BRA/indicator/NY.GDP.PCAP.PP.CD?format=json&amp;mrv=30</t>
        </is>
      </c>
      <c r="I224" t="inlineStr">
        <is>
          <t>World Bank WDI: GDP per capita, PPP (current international $)</t>
        </is>
      </c>
      <c r="J224" t="inlineStr">
        <is>
          <t>2024-12-31</t>
        </is>
      </c>
      <c r="K224" t="inlineStr">
        <is>
          <t>auto_seed=world_bank_wdi; indicator=NY.GDP.PCAP.PP.CD; observation_year=2024; dataset_lastupdated=2026-02-24; stale=no</t>
        </is>
      </c>
    </row>
    <row r="225">
      <c r="A225" t="inlineStr">
        <is>
          <t>Brazil</t>
        </is>
      </c>
      <c r="B225" t="inlineStr">
        <is>
          <t>gdp_growth</t>
        </is>
      </c>
      <c r="C225" t="inlineStr">
        <is>
          <t>GDP growth</t>
        </is>
      </c>
      <c r="D225" t="inlineStr">
        <is>
          <t>creative</t>
        </is>
      </c>
      <c r="E225" t="inlineStr">
        <is>
          <t>yes</t>
        </is>
      </c>
      <c r="F225" t="inlineStr">
        <is>
          <t>3.4193</t>
        </is>
      </c>
      <c r="G225" t="inlineStr">
        <is>
          <t>world_bank</t>
        </is>
      </c>
      <c r="H225" t="inlineStr">
        <is>
          <t>https://api.worldbank.org/v2/country/BRA/indicator/NY.GDP.MKTP.KD.ZG?format=json&amp;mrv=30</t>
        </is>
      </c>
      <c r="I225" t="inlineStr">
        <is>
          <t>World Bank WDI: GDP growth (annual %)</t>
        </is>
      </c>
      <c r="J225" t="inlineStr">
        <is>
          <t>2024-12-31</t>
        </is>
      </c>
      <c r="K225" t="inlineStr">
        <is>
          <t>auto_seed=world_bank_wdi; indicator=NY.GDP.MKTP.KD.ZG; observation_year=2024; dataset_lastupdated=2026-02-24; stale=no</t>
        </is>
      </c>
    </row>
    <row r="226">
      <c r="A226" t="inlineStr">
        <is>
          <t>Brazil</t>
        </is>
      </c>
      <c r="B226" t="inlineStr">
        <is>
          <t>gini_coefficient</t>
        </is>
      </c>
      <c r="C226" t="inlineStr">
        <is>
          <t>Gini coefficient</t>
        </is>
      </c>
      <c r="D226" t="inlineStr">
        <is>
          <t>capability</t>
        </is>
      </c>
      <c r="E226" t="inlineStr">
        <is>
          <t>yes</t>
        </is>
      </c>
      <c r="F226" t="inlineStr">
        <is>
          <t>51.6</t>
        </is>
      </c>
      <c r="G226" t="inlineStr">
        <is>
          <t>world_bank</t>
        </is>
      </c>
      <c r="H226" t="inlineStr">
        <is>
          <t>https://api.worldbank.org/v2/country/BRA/indicator/SI.POV.GINI?format=json&amp;mrv=30</t>
        </is>
      </c>
      <c r="I226" t="inlineStr">
        <is>
          <t>World Bank WDI: Gini index</t>
        </is>
      </c>
      <c r="J226" t="inlineStr">
        <is>
          <t>2023-12-31</t>
        </is>
      </c>
      <c r="K226" t="inlineStr">
        <is>
          <t>auto_seed=world_bank_wdi; indicator=SI.POV.GINI; observation_year=2023; dataset_lastupdated=2026-02-24; stale=no</t>
        </is>
      </c>
    </row>
    <row r="227">
      <c r="A227" t="inlineStr">
        <is>
          <t>Brazil</t>
        </is>
      </c>
      <c r="B227" t="inlineStr">
        <is>
          <t>ppp_private_consumption</t>
        </is>
      </c>
      <c r="C227" t="inlineStr">
        <is>
          <t>PPP private consumption factor</t>
        </is>
      </c>
      <c r="D227" t="inlineStr">
        <is>
          <t>pressure</t>
        </is>
      </c>
      <c r="E227" t="inlineStr">
        <is>
          <t>yes</t>
        </is>
      </c>
      <c r="F227" t="inlineStr">
        <is>
          <t>2.524497</t>
        </is>
      </c>
      <c r="G227" t="inlineStr">
        <is>
          <t>world_bank</t>
        </is>
      </c>
      <c r="H227" t="inlineStr">
        <is>
          <t>https://api.worldbank.org/v2/country/BRA/indicator/PA.NUS.PRVT.PP?format=json&amp;mrv=30</t>
        </is>
      </c>
      <c r="I227" t="inlineStr">
        <is>
          <t>World Bank WDI: PPP conversion factor, private consumption (LCU per international $)</t>
        </is>
      </c>
      <c r="J227" t="inlineStr">
        <is>
          <t>2024-12-31</t>
        </is>
      </c>
      <c r="K227" t="inlineStr">
        <is>
          <t>auto_seed=world_bank_wdi; indicator=PA.NUS.PRVT.PP; observation_year=2024; dataset_lastupdated=2026-02-24; stale=no</t>
        </is>
      </c>
    </row>
    <row r="228">
      <c r="A228" t="inlineStr">
        <is>
          <t>Brazil</t>
        </is>
      </c>
      <c r="B228" t="inlineStr">
        <is>
          <t>tax_rate_assumption</t>
        </is>
      </c>
      <c r="C228" t="inlineStr">
        <is>
          <t>Tax rate assumption</t>
        </is>
      </c>
      <c r="D228" t="inlineStr">
        <is>
          <t>pressure</t>
        </is>
      </c>
      <c r="E228" t="inlineStr">
        <is>
          <t>yes</t>
        </is>
      </c>
      <c r="F228" t="inlineStr">
        <is>
          <t>0.154102</t>
        </is>
      </c>
      <c r="G228" t="inlineStr">
        <is>
          <t>world_bank</t>
        </is>
      </c>
      <c r="H228" t="inlineStr">
        <is>
          <t>https://api.worldbank.org/v2/country/BRA/indicator/GC.TAX.TOTL.GD.ZS?format=json&amp;mrv=30</t>
        </is>
      </c>
      <c r="I228" t="inlineStr">
        <is>
          <t>World Bank WDI: Tax revenue (% of GDP) used as interim country average tax-take proxy</t>
        </is>
      </c>
      <c r="J228" t="inlineStr">
        <is>
          <t>2024-12-31</t>
        </is>
      </c>
      <c r="K228" t="inlineStr">
        <is>
          <t>auto_seed=world_bank_wdi; proxy=country_average_tax_take_from_tax_revenue_share; indicator=GC.TAX.TOTL.GD.ZS; observation_year=2024; dataset_lastupdated=2026-02-24; stale=no</t>
        </is>
      </c>
    </row>
    <row r="229">
      <c r="A229" t="inlineStr">
        <is>
          <t>Brazil</t>
        </is>
      </c>
      <c r="B229" t="inlineStr">
        <is>
          <t>household_debt_proxy</t>
        </is>
      </c>
      <c r="C229" t="inlineStr">
        <is>
          <t>Household debt proxy</t>
        </is>
      </c>
      <c r="D229" t="inlineStr">
        <is>
          <t>pressure</t>
        </is>
      </c>
      <c r="E229" t="inlineStr">
        <is>
          <t>yes</t>
        </is>
      </c>
      <c r="F229" t="inlineStr">
        <is>
          <t>75.6164</t>
        </is>
      </c>
      <c r="G229" t="inlineStr">
        <is>
          <t>world_bank</t>
        </is>
      </c>
      <c r="H229" t="inlineStr">
        <is>
          <t>https://api.worldbank.org/v2/country/BRA/indicator/FD.AST.PRVT.GD.ZS?format=json&amp;mrv=30</t>
        </is>
      </c>
      <c r="I229" t="inlineStr">
        <is>
          <t>World Bank WDI: Domestic credit to private sector by banks (% of GDP) used as interim leverage proxy</t>
        </is>
      </c>
      <c r="J229" t="inlineStr">
        <is>
          <t>2024-12-31</t>
        </is>
      </c>
      <c r="K229" t="inlineStr">
        <is>
          <t>auto_seed=world_bank_wdi; proxy=broad_private_credit_not_household_only; indicator=FD.AST.PRVT.GD.ZS; observation_year=2024; dataset_lastupdated=2026-02-24; stale=no</t>
        </is>
      </c>
    </row>
    <row r="230">
      <c r="A230" t="inlineStr">
        <is>
          <t>Argentina</t>
        </is>
      </c>
      <c r="B230" t="inlineStr">
        <is>
          <t>gdp_per_capita_ppp</t>
        </is>
      </c>
      <c r="C230" t="inlineStr">
        <is>
          <t>GDP per capita (PPP)</t>
        </is>
      </c>
      <c r="D230" t="inlineStr">
        <is>
          <t>creative</t>
        </is>
      </c>
      <c r="E230" t="inlineStr">
        <is>
          <t>yes</t>
        </is>
      </c>
      <c r="F230" t="inlineStr">
        <is>
          <t>30431.19</t>
        </is>
      </c>
      <c r="G230" t="inlineStr">
        <is>
          <t>world_bank</t>
        </is>
      </c>
      <c r="H230" t="inlineStr">
        <is>
          <t>https://api.worldbank.org/v2/country/ARG/indicator/NY.GDP.PCAP.PP.CD?format=json&amp;mrv=30</t>
        </is>
      </c>
      <c r="I230" t="inlineStr">
        <is>
          <t>World Bank WDI: GDP per capita, PPP (current international $)</t>
        </is>
      </c>
      <c r="J230" t="inlineStr">
        <is>
          <t>2024-12-31</t>
        </is>
      </c>
      <c r="K230" t="inlineStr">
        <is>
          <t>auto_seed=world_bank_wdi; indicator=NY.GDP.PCAP.PP.CD; observation_year=2024; dataset_lastupdated=2026-02-24; stale=no</t>
        </is>
      </c>
    </row>
    <row r="231">
      <c r="A231" t="inlineStr">
        <is>
          <t>Argentina</t>
        </is>
      </c>
      <c r="B231" t="inlineStr">
        <is>
          <t>gdp_growth</t>
        </is>
      </c>
      <c r="C231" t="inlineStr">
        <is>
          <t>GDP growth</t>
        </is>
      </c>
      <c r="D231" t="inlineStr">
        <is>
          <t>creative</t>
        </is>
      </c>
      <c r="E231" t="inlineStr">
        <is>
          <t>yes</t>
        </is>
      </c>
      <c r="F231" t="inlineStr">
        <is>
          <t>-1.3429</t>
        </is>
      </c>
      <c r="G231" t="inlineStr">
        <is>
          <t>world_bank</t>
        </is>
      </c>
      <c r="H231" t="inlineStr">
        <is>
          <t>https://api.worldbank.org/v2/country/ARG/indicator/NY.GDP.MKTP.KD.ZG?format=json&amp;mrv=30</t>
        </is>
      </c>
      <c r="I231" t="inlineStr">
        <is>
          <t>World Bank WDI: GDP growth (annual %)</t>
        </is>
      </c>
      <c r="J231" t="inlineStr">
        <is>
          <t>2024-12-31</t>
        </is>
      </c>
      <c r="K231" t="inlineStr">
        <is>
          <t>auto_seed=world_bank_wdi; indicator=NY.GDP.MKTP.KD.ZG; observation_year=2024; dataset_lastupdated=2026-02-24; stale=no</t>
        </is>
      </c>
    </row>
    <row r="232">
      <c r="A232" t="inlineStr">
        <is>
          <t>Argentina</t>
        </is>
      </c>
      <c r="B232" t="inlineStr">
        <is>
          <t>gini_coefficient</t>
        </is>
      </c>
      <c r="C232" t="inlineStr">
        <is>
          <t>Gini coefficient</t>
        </is>
      </c>
      <c r="D232" t="inlineStr">
        <is>
          <t>capability</t>
        </is>
      </c>
      <c r="E232" t="inlineStr">
        <is>
          <t>yes</t>
        </is>
      </c>
      <c r="F232" t="inlineStr">
        <is>
          <t>42.4</t>
        </is>
      </c>
      <c r="G232" t="inlineStr">
        <is>
          <t>world_bank</t>
        </is>
      </c>
      <c r="H232" t="inlineStr">
        <is>
          <t>https://api.worldbank.org/v2/country/ARG/indicator/SI.POV.GINI?format=json&amp;mrv=30</t>
        </is>
      </c>
      <c r="I232" t="inlineStr">
        <is>
          <t>World Bank WDI: Gini index</t>
        </is>
      </c>
      <c r="J232" t="inlineStr">
        <is>
          <t>2024-12-31</t>
        </is>
      </c>
      <c r="K232" t="inlineStr">
        <is>
          <t>auto_seed=world_bank_wdi; indicator=SI.POV.GINI; observation_year=2024; dataset_lastupdated=2026-02-24; stale=no</t>
        </is>
      </c>
    </row>
    <row r="233">
      <c r="A233" t="inlineStr">
        <is>
          <t>Argentina</t>
        </is>
      </c>
      <c r="B233" t="inlineStr">
        <is>
          <t>ppp_private_consumption</t>
        </is>
      </c>
      <c r="C233" t="inlineStr">
        <is>
          <t>PPP private consumption factor</t>
        </is>
      </c>
      <c r="D233" t="inlineStr">
        <is>
          <t>pressure</t>
        </is>
      </c>
      <c r="E233" t="inlineStr">
        <is>
          <t>yes</t>
        </is>
      </c>
      <c r="F233" t="inlineStr">
        <is>
          <t>42.98624</t>
        </is>
      </c>
      <c r="G233" t="inlineStr">
        <is>
          <t>world_bank</t>
        </is>
      </c>
      <c r="H233" t="inlineStr">
        <is>
          <t>https://api.worldbank.org/v2/country/ARG/indicator/PA.NUS.PRVT.PP?format=json&amp;mrv=30</t>
        </is>
      </c>
      <c r="I233" t="inlineStr">
        <is>
          <t>World Bank WDI: PPP conversion factor, private consumption (LCU per international $)</t>
        </is>
      </c>
      <c r="J233" t="inlineStr">
        <is>
          <t>2021-12-31</t>
        </is>
      </c>
      <c r="K233" t="inlineStr">
        <is>
          <t>auto_seed=world_bank_wdi; indicator=PA.NUS.PRVT.PP; observation_year=2021; dataset_lastupdated=2026-02-24; stale=yes</t>
        </is>
      </c>
    </row>
    <row r="234">
      <c r="A234" t="inlineStr">
        <is>
          <t>Argentina</t>
        </is>
      </c>
      <c r="B234" t="inlineStr">
        <is>
          <t>tax_rate_assumption</t>
        </is>
      </c>
      <c r="C234" t="inlineStr">
        <is>
          <t>Tax rate assumption</t>
        </is>
      </c>
      <c r="D234" t="inlineStr">
        <is>
          <t>pressure</t>
        </is>
      </c>
      <c r="E234" t="inlineStr">
        <is>
          <t>yes</t>
        </is>
      </c>
      <c r="F234" t="inlineStr">
        <is>
          <t>0.099289</t>
        </is>
      </c>
      <c r="G234" t="inlineStr">
        <is>
          <t>world_bank</t>
        </is>
      </c>
      <c r="H234" t="inlineStr">
        <is>
          <t>https://api.worldbank.org/v2/country/ARG/indicator/GC.TAX.TOTL.GD.ZS?format=json&amp;mrv=30</t>
        </is>
      </c>
      <c r="I234" t="inlineStr">
        <is>
          <t>World Bank WDI: Tax revenue (% of GDP) used as interim country average tax-take proxy</t>
        </is>
      </c>
      <c r="J234" t="inlineStr">
        <is>
          <t>2023-12-31</t>
        </is>
      </c>
      <c r="K234" t="inlineStr">
        <is>
          <t>auto_seed=world_bank_wdi; proxy=country_average_tax_take_from_tax_revenue_share; indicator=GC.TAX.TOTL.GD.ZS; observation_year=2023; dataset_lastupdated=2026-02-24; stale=no</t>
        </is>
      </c>
    </row>
    <row r="235">
      <c r="A235" t="inlineStr">
        <is>
          <t>Argentina</t>
        </is>
      </c>
      <c r="B235" t="inlineStr">
        <is>
          <t>household_debt_proxy</t>
        </is>
      </c>
      <c r="C235" t="inlineStr">
        <is>
          <t>Household debt proxy</t>
        </is>
      </c>
      <c r="D235" t="inlineStr">
        <is>
          <t>pressure</t>
        </is>
      </c>
      <c r="E235" t="inlineStr">
        <is>
          <t>yes</t>
        </is>
      </c>
      <c r="F235" t="inlineStr">
        <is>
          <t>13.0788</t>
        </is>
      </c>
      <c r="G235" t="inlineStr">
        <is>
          <t>world_bank</t>
        </is>
      </c>
      <c r="H235" t="inlineStr">
        <is>
          <t>https://api.worldbank.org/v2/country/ARG/indicator/FD.AST.PRVT.GD.ZS?format=json&amp;mrv=30</t>
        </is>
      </c>
      <c r="I235" t="inlineStr">
        <is>
          <t>World Bank WDI: Domestic credit to private sector by banks (% of GDP) used as interim leverage proxy</t>
        </is>
      </c>
      <c r="J235" t="inlineStr">
        <is>
          <t>2024-12-31</t>
        </is>
      </c>
      <c r="K235" t="inlineStr">
        <is>
          <t>auto_seed=world_bank_wdi; proxy=broad_private_credit_not_household_only; indicator=FD.AST.PRVT.GD.ZS; observation_year=2024; dataset_lastupdated=2026-02-24; stale=no</t>
        </is>
      </c>
    </row>
    <row r="236">
      <c r="A236" t="inlineStr">
        <is>
          <t>Chile</t>
        </is>
      </c>
      <c r="B236" t="inlineStr">
        <is>
          <t>gdp_per_capita_ppp</t>
        </is>
      </c>
      <c r="C236" t="inlineStr">
        <is>
          <t>GDP per capita (PPP)</t>
        </is>
      </c>
      <c r="D236" t="inlineStr">
        <is>
          <t>creative</t>
        </is>
      </c>
      <c r="E236" t="inlineStr">
        <is>
          <t>yes</t>
        </is>
      </c>
      <c r="F236" t="inlineStr">
        <is>
          <t>36181.16</t>
        </is>
      </c>
      <c r="G236" t="inlineStr">
        <is>
          <t>world_bank</t>
        </is>
      </c>
      <c r="H236" t="inlineStr">
        <is>
          <t>https://api.worldbank.org/v2/country/CHL/indicator/NY.GDP.PCAP.PP.CD?format=json&amp;mrv=30</t>
        </is>
      </c>
      <c r="I236" t="inlineStr">
        <is>
          <t>World Bank WDI: GDP per capita, PPP (current international $)</t>
        </is>
      </c>
      <c r="J236" t="inlineStr">
        <is>
          <t>2024-12-31</t>
        </is>
      </c>
      <c r="K236" t="inlineStr">
        <is>
          <t>auto_seed=world_bank_wdi; indicator=NY.GDP.PCAP.PP.CD; observation_year=2024; dataset_lastupdated=2026-02-24; stale=no</t>
        </is>
      </c>
    </row>
    <row r="237">
      <c r="A237" t="inlineStr">
        <is>
          <t>Chile</t>
        </is>
      </c>
      <c r="B237" t="inlineStr">
        <is>
          <t>gdp_growth</t>
        </is>
      </c>
      <c r="C237" t="inlineStr">
        <is>
          <t>GDP growth</t>
        </is>
      </c>
      <c r="D237" t="inlineStr">
        <is>
          <t>creative</t>
        </is>
      </c>
      <c r="E237" t="inlineStr">
        <is>
          <t>yes</t>
        </is>
      </c>
      <c r="F237" t="inlineStr">
        <is>
          <t>2.6443</t>
        </is>
      </c>
      <c r="G237" t="inlineStr">
        <is>
          <t>world_bank</t>
        </is>
      </c>
      <c r="H237" t="inlineStr">
        <is>
          <t>https://api.worldbank.org/v2/country/CHL/indicator/NY.GDP.MKTP.KD.ZG?format=json&amp;mrv=30</t>
        </is>
      </c>
      <c r="I237" t="inlineStr">
        <is>
          <t>World Bank WDI: GDP growth (annual %)</t>
        </is>
      </c>
      <c r="J237" t="inlineStr">
        <is>
          <t>2024-12-31</t>
        </is>
      </c>
      <c r="K237" t="inlineStr">
        <is>
          <t>auto_seed=world_bank_wdi; indicator=NY.GDP.MKTP.KD.ZG; observation_year=2024; dataset_lastupdated=2026-02-24; stale=no</t>
        </is>
      </c>
    </row>
    <row r="238">
      <c r="A238" t="inlineStr">
        <is>
          <t>Chile</t>
        </is>
      </c>
      <c r="B238" t="inlineStr">
        <is>
          <t>gini_coefficient</t>
        </is>
      </c>
      <c r="C238" t="inlineStr">
        <is>
          <t>Gini coefficient</t>
        </is>
      </c>
      <c r="D238" t="inlineStr">
        <is>
          <t>capability</t>
        </is>
      </c>
      <c r="E238" t="inlineStr">
        <is>
          <t>yes</t>
        </is>
      </c>
      <c r="F238" t="inlineStr">
        <is>
          <t>43</t>
        </is>
      </c>
      <c r="G238" t="inlineStr">
        <is>
          <t>world_bank</t>
        </is>
      </c>
      <c r="H238" t="inlineStr">
        <is>
          <t>https://api.worldbank.org/v2/country/CHL/indicator/SI.POV.GINI?format=json&amp;mrv=30</t>
        </is>
      </c>
      <c r="I238" t="inlineStr">
        <is>
          <t>World Bank WDI: Gini index</t>
        </is>
      </c>
      <c r="J238" t="inlineStr">
        <is>
          <t>2022-12-31</t>
        </is>
      </c>
      <c r="K238" t="inlineStr">
        <is>
          <t>auto_seed=world_bank_wdi; indicator=SI.POV.GINI; observation_year=2022; dataset_lastupdated=2026-02-24; stale=no</t>
        </is>
      </c>
    </row>
    <row r="239">
      <c r="A239" t="inlineStr">
        <is>
          <t>Chile</t>
        </is>
      </c>
      <c r="B239" t="inlineStr">
        <is>
          <t>ppp_private_consumption</t>
        </is>
      </c>
      <c r="C239" t="inlineStr">
        <is>
          <t>PPP private consumption factor</t>
        </is>
      </c>
      <c r="D239" t="inlineStr">
        <is>
          <t>pressure</t>
        </is>
      </c>
      <c r="E239" t="inlineStr">
        <is>
          <t>yes</t>
        </is>
      </c>
      <c r="F239" t="inlineStr">
        <is>
          <t>464.876032</t>
        </is>
      </c>
      <c r="G239" t="inlineStr">
        <is>
          <t>world_bank</t>
        </is>
      </c>
      <c r="H239" t="inlineStr">
        <is>
          <t>https://api.worldbank.org/v2/country/CHL/indicator/PA.NUS.PRVT.PP?format=json&amp;mrv=30</t>
        </is>
      </c>
      <c r="I239" t="inlineStr">
        <is>
          <t>World Bank WDI: PPP conversion factor, private consumption (LCU per international $)</t>
        </is>
      </c>
      <c r="J239" t="inlineStr">
        <is>
          <t>2024-12-31</t>
        </is>
      </c>
      <c r="K239" t="inlineStr">
        <is>
          <t>auto_seed=world_bank_wdi; indicator=PA.NUS.PRVT.PP; observation_year=2024; dataset_lastupdated=2026-02-24; stale=no</t>
        </is>
      </c>
    </row>
    <row r="240">
      <c r="A240" t="inlineStr">
        <is>
          <t>Chile</t>
        </is>
      </c>
      <c r="B240" t="inlineStr">
        <is>
          <t>tax_rate_assumption</t>
        </is>
      </c>
      <c r="C240" t="inlineStr">
        <is>
          <t>Tax rate assumption</t>
        </is>
      </c>
      <c r="D240" t="inlineStr">
        <is>
          <t>pressure</t>
        </is>
      </c>
      <c r="E240" t="inlineStr">
        <is>
          <t>yes</t>
        </is>
      </c>
      <c r="F240" t="inlineStr">
        <is>
          <t>0.177194</t>
        </is>
      </c>
      <c r="G240" t="inlineStr">
        <is>
          <t>world_bank</t>
        </is>
      </c>
      <c r="H240" t="inlineStr">
        <is>
          <t>https://api.worldbank.org/v2/country/CHL/indicator/GC.TAX.TOTL.GD.ZS?format=json&amp;mrv=30</t>
        </is>
      </c>
      <c r="I240" t="inlineStr">
        <is>
          <t>World Bank WDI: Tax revenue (% of GDP) used as interim country average tax-take proxy</t>
        </is>
      </c>
      <c r="J240" t="inlineStr">
        <is>
          <t>2023-12-31</t>
        </is>
      </c>
      <c r="K240" t="inlineStr">
        <is>
          <t>auto_seed=world_bank_wdi; proxy=country_average_tax_take_from_tax_revenue_share; indicator=GC.TAX.TOTL.GD.ZS; observation_year=2023; dataset_lastupdated=2026-02-24; stale=no</t>
        </is>
      </c>
    </row>
    <row r="241">
      <c r="A241" t="inlineStr">
        <is>
          <t>Chile</t>
        </is>
      </c>
      <c r="B241" t="inlineStr">
        <is>
          <t>household_debt_proxy</t>
        </is>
      </c>
      <c r="C241" t="inlineStr">
        <is>
          <t>Household debt proxy</t>
        </is>
      </c>
      <c r="D241" t="inlineStr">
        <is>
          <t>pressure</t>
        </is>
      </c>
      <c r="E241" t="inlineStr">
        <is>
          <t>yes</t>
        </is>
      </c>
      <c r="F241" t="inlineStr">
        <is>
          <t>74.9355</t>
        </is>
      </c>
      <c r="G241" t="inlineStr">
        <is>
          <t>world_bank</t>
        </is>
      </c>
      <c r="H241" t="inlineStr">
        <is>
          <t>https://api.worldbank.org/v2/country/CHL/indicator/FD.AST.PRVT.GD.ZS?format=json&amp;mrv=30</t>
        </is>
      </c>
      <c r="I241" t="inlineStr">
        <is>
          <t>World Bank WDI: Domestic credit to private sector by banks (% of GDP) used as interim leverage proxy</t>
        </is>
      </c>
      <c r="J241" t="inlineStr">
        <is>
          <t>2024-12-31</t>
        </is>
      </c>
      <c r="K241" t="inlineStr">
        <is>
          <t>auto_seed=world_bank_wdi; proxy=broad_private_credit_not_household_only; indicator=FD.AST.PRVT.GD.ZS; observation_year=2024; dataset_lastupdated=2026-02-24; stale=no</t>
        </is>
      </c>
    </row>
    <row r="242">
      <c r="A242" t="inlineStr">
        <is>
          <t>Colombia</t>
        </is>
      </c>
      <c r="B242" t="inlineStr">
        <is>
          <t>gdp_per_capita_ppp</t>
        </is>
      </c>
      <c r="C242" t="inlineStr">
        <is>
          <t>GDP per capita (PPP)</t>
        </is>
      </c>
      <c r="D242" t="inlineStr">
        <is>
          <t>creative</t>
        </is>
      </c>
      <c r="E242" t="inlineStr">
        <is>
          <t>yes</t>
        </is>
      </c>
      <c r="F242" t="inlineStr">
        <is>
          <t>22349.44</t>
        </is>
      </c>
      <c r="G242" t="inlineStr">
        <is>
          <t>world_bank</t>
        </is>
      </c>
      <c r="H242" t="inlineStr">
        <is>
          <t>https://api.worldbank.org/v2/country/COL/indicator/NY.GDP.PCAP.PP.CD?format=json&amp;mrv=30</t>
        </is>
      </c>
      <c r="I242" t="inlineStr">
        <is>
          <t>World Bank WDI: GDP per capita, PPP (current international $)</t>
        </is>
      </c>
      <c r="J242" t="inlineStr">
        <is>
          <t>2024-12-31</t>
        </is>
      </c>
      <c r="K242" t="inlineStr">
        <is>
          <t>auto_seed=world_bank_wdi; indicator=NY.GDP.PCAP.PP.CD; observation_year=2024; dataset_lastupdated=2026-02-24; stale=no</t>
        </is>
      </c>
    </row>
    <row r="243">
      <c r="A243" t="inlineStr">
        <is>
          <t>Colombia</t>
        </is>
      </c>
      <c r="B243" t="inlineStr">
        <is>
          <t>gdp_growth</t>
        </is>
      </c>
      <c r="C243" t="inlineStr">
        <is>
          <t>GDP growth</t>
        </is>
      </c>
      <c r="D243" t="inlineStr">
        <is>
          <t>creative</t>
        </is>
      </c>
      <c r="E243" t="inlineStr">
        <is>
          <t>yes</t>
        </is>
      </c>
      <c r="F243" t="inlineStr">
        <is>
          <t>1.5983</t>
        </is>
      </c>
      <c r="G243" t="inlineStr">
        <is>
          <t>world_bank</t>
        </is>
      </c>
      <c r="H243" t="inlineStr">
        <is>
          <t>https://api.worldbank.org/v2/country/COL/indicator/NY.GDP.MKTP.KD.ZG?format=json&amp;mrv=30</t>
        </is>
      </c>
      <c r="I243" t="inlineStr">
        <is>
          <t>World Bank WDI: GDP growth (annual %)</t>
        </is>
      </c>
      <c r="J243" t="inlineStr">
        <is>
          <t>2024-12-31</t>
        </is>
      </c>
      <c r="K243" t="inlineStr">
        <is>
          <t>auto_seed=world_bank_wdi; indicator=NY.GDP.MKTP.KD.ZG; observation_year=2024; dataset_lastupdated=2026-02-24; stale=no</t>
        </is>
      </c>
    </row>
    <row r="244">
      <c r="A244" t="inlineStr">
        <is>
          <t>Colombia</t>
        </is>
      </c>
      <c r="B244" t="inlineStr">
        <is>
          <t>gini_coefficient</t>
        </is>
      </c>
      <c r="C244" t="inlineStr">
        <is>
          <t>Gini coefficient</t>
        </is>
      </c>
      <c r="D244" t="inlineStr">
        <is>
          <t>capability</t>
        </is>
      </c>
      <c r="E244" t="inlineStr">
        <is>
          <t>yes</t>
        </is>
      </c>
      <c r="F244" t="inlineStr">
        <is>
          <t>53.9</t>
        </is>
      </c>
      <c r="G244" t="inlineStr">
        <is>
          <t>world_bank</t>
        </is>
      </c>
      <c r="H244" t="inlineStr">
        <is>
          <t>https://api.worldbank.org/v2/country/COL/indicator/SI.POV.GINI?format=json&amp;mrv=30</t>
        </is>
      </c>
      <c r="I244" t="inlineStr">
        <is>
          <t>World Bank WDI: Gini index</t>
        </is>
      </c>
      <c r="J244" t="inlineStr">
        <is>
          <t>2023-12-31</t>
        </is>
      </c>
      <c r="K244" t="inlineStr">
        <is>
          <t>auto_seed=world_bank_wdi; indicator=SI.POV.GINI; observation_year=2023; dataset_lastupdated=2026-02-24; stale=no</t>
        </is>
      </c>
    </row>
    <row r="245">
      <c r="A245" t="inlineStr">
        <is>
          <t>Colombia</t>
        </is>
      </c>
      <c r="B245" t="inlineStr">
        <is>
          <t>ppp_private_consumption</t>
        </is>
      </c>
      <c r="C245" t="inlineStr">
        <is>
          <t>PPP private consumption factor</t>
        </is>
      </c>
      <c r="D245" t="inlineStr">
        <is>
          <t>pressure</t>
        </is>
      </c>
      <c r="E245" t="inlineStr">
        <is>
          <t>yes</t>
        </is>
      </c>
      <c r="F245" t="inlineStr">
        <is>
          <t>1542.193816</t>
        </is>
      </c>
      <c r="G245" t="inlineStr">
        <is>
          <t>world_bank</t>
        </is>
      </c>
      <c r="H245" t="inlineStr">
        <is>
          <t>https://api.worldbank.org/v2/country/COL/indicator/PA.NUS.PRVT.PP?format=json&amp;mrv=30</t>
        </is>
      </c>
      <c r="I245" t="inlineStr">
        <is>
          <t>World Bank WDI: PPP conversion factor, private consumption (LCU per international $)</t>
        </is>
      </c>
      <c r="J245" t="inlineStr">
        <is>
          <t>2024-12-31</t>
        </is>
      </c>
      <c r="K245" t="inlineStr">
        <is>
          <t>auto_seed=world_bank_wdi; indicator=PA.NUS.PRVT.PP; observation_year=2024; dataset_lastupdated=2026-02-24; stale=no</t>
        </is>
      </c>
    </row>
    <row r="246">
      <c r="A246" t="inlineStr">
        <is>
          <t>Colombia</t>
        </is>
      </c>
      <c r="B246" t="inlineStr">
        <is>
          <t>tax_rate_assumption</t>
        </is>
      </c>
      <c r="C246" t="inlineStr">
        <is>
          <t>Tax rate assumption</t>
        </is>
      </c>
      <c r="D246" t="inlineStr">
        <is>
          <t>pressure</t>
        </is>
      </c>
      <c r="E246" t="inlineStr">
        <is>
          <t>yes</t>
        </is>
      </c>
      <c r="F246" t="inlineStr">
        <is>
          <t>0.152812</t>
        </is>
      </c>
      <c r="G246" t="inlineStr">
        <is>
          <t>world_bank</t>
        </is>
      </c>
      <c r="H246" t="inlineStr">
        <is>
          <t>https://api.worldbank.org/v2/country/COL/indicator/GC.TAX.TOTL.GD.ZS?format=json&amp;mrv=30</t>
        </is>
      </c>
      <c r="I246" t="inlineStr">
        <is>
          <t>World Bank WDI: Tax revenue (% of GDP) used as interim country average tax-take proxy</t>
        </is>
      </c>
      <c r="J246" t="inlineStr">
        <is>
          <t>2024-12-31</t>
        </is>
      </c>
      <c r="K246" t="inlineStr">
        <is>
          <t>auto_seed=world_bank_wdi; proxy=country_average_tax_take_from_tax_revenue_share; indicator=GC.TAX.TOTL.GD.ZS; observation_year=2024; dataset_lastupdated=2026-02-24; stale=no</t>
        </is>
      </c>
    </row>
    <row r="247">
      <c r="A247" t="inlineStr">
        <is>
          <t>Colombia</t>
        </is>
      </c>
      <c r="B247" t="inlineStr">
        <is>
          <t>household_debt_proxy</t>
        </is>
      </c>
      <c r="C247" t="inlineStr">
        <is>
          <t>Household debt proxy</t>
        </is>
      </c>
      <c r="D247" t="inlineStr">
        <is>
          <t>pressure</t>
        </is>
      </c>
      <c r="E247" t="inlineStr">
        <is>
          <t>yes</t>
        </is>
      </c>
      <c r="F247" t="inlineStr">
        <is>
          <t>39.5117</t>
        </is>
      </c>
      <c r="G247" t="inlineStr">
        <is>
          <t>world_bank</t>
        </is>
      </c>
      <c r="H247" t="inlineStr">
        <is>
          <t>https://api.worldbank.org/v2/country/COL/indicator/FD.AST.PRVT.GD.ZS?format=json&amp;mrv=30</t>
        </is>
      </c>
      <c r="I247" t="inlineStr">
        <is>
          <t>World Bank WDI: Domestic credit to private sector by banks (% of GDP) used as interim leverage proxy</t>
        </is>
      </c>
      <c r="J247" t="inlineStr">
        <is>
          <t>2024-12-31</t>
        </is>
      </c>
      <c r="K247" t="inlineStr">
        <is>
          <t>auto_seed=world_bank_wdi; proxy=broad_private_credit_not_household_only; indicator=FD.AST.PRVT.GD.ZS; observation_year=2024; dataset_lastupdated=2026-02-24; stale=no</t>
        </is>
      </c>
    </row>
    <row r="248">
      <c r="A248" t="inlineStr">
        <is>
          <t>Peru</t>
        </is>
      </c>
      <c r="B248" t="inlineStr">
        <is>
          <t>gdp_per_capita_ppp</t>
        </is>
      </c>
      <c r="C248" t="inlineStr">
        <is>
          <t>GDP per capita (PPP)</t>
        </is>
      </c>
      <c r="D248" t="inlineStr">
        <is>
          <t>creative</t>
        </is>
      </c>
      <c r="E248" t="inlineStr">
        <is>
          <t>yes</t>
        </is>
      </c>
      <c r="F248" t="inlineStr">
        <is>
          <t>17802.42</t>
        </is>
      </c>
      <c r="G248" t="inlineStr">
        <is>
          <t>world_bank</t>
        </is>
      </c>
      <c r="H248" t="inlineStr">
        <is>
          <t>https://api.worldbank.org/v2/country/PER/indicator/NY.GDP.PCAP.PP.CD?format=json&amp;mrv=30</t>
        </is>
      </c>
      <c r="I248" t="inlineStr">
        <is>
          <t>World Bank WDI: GDP per capita, PPP (current international $)</t>
        </is>
      </c>
      <c r="J248" t="inlineStr">
        <is>
          <t>2024-12-31</t>
        </is>
      </c>
      <c r="K248" t="inlineStr">
        <is>
          <t>auto_seed=world_bank_wdi; indicator=NY.GDP.PCAP.PP.CD; observation_year=2024; dataset_lastupdated=2026-02-24; stale=no</t>
        </is>
      </c>
    </row>
    <row r="249">
      <c r="A249" t="inlineStr">
        <is>
          <t>Peru</t>
        </is>
      </c>
      <c r="B249" t="inlineStr">
        <is>
          <t>gdp_growth</t>
        </is>
      </c>
      <c r="C249" t="inlineStr">
        <is>
          <t>GDP growth</t>
        </is>
      </c>
      <c r="D249" t="inlineStr">
        <is>
          <t>creative</t>
        </is>
      </c>
      <c r="E249" t="inlineStr">
        <is>
          <t>yes</t>
        </is>
      </c>
      <c r="F249" t="inlineStr">
        <is>
          <t>3.3039</t>
        </is>
      </c>
      <c r="G249" t="inlineStr">
        <is>
          <t>world_bank</t>
        </is>
      </c>
      <c r="H249" t="inlineStr">
        <is>
          <t>https://api.worldbank.org/v2/country/PER/indicator/NY.GDP.MKTP.KD.ZG?format=json&amp;mrv=30</t>
        </is>
      </c>
      <c r="I249" t="inlineStr">
        <is>
          <t>World Bank WDI: GDP growth (annual %)</t>
        </is>
      </c>
      <c r="J249" t="inlineStr">
        <is>
          <t>2024-12-31</t>
        </is>
      </c>
      <c r="K249" t="inlineStr">
        <is>
          <t>auto_seed=world_bank_wdi; indicator=NY.GDP.MKTP.KD.ZG; observation_year=2024; dataset_lastupdated=2026-02-24; stale=no</t>
        </is>
      </c>
    </row>
    <row r="250">
      <c r="A250" t="inlineStr">
        <is>
          <t>Peru</t>
        </is>
      </c>
      <c r="B250" t="inlineStr">
        <is>
          <t>gini_coefficient</t>
        </is>
      </c>
      <c r="C250" t="inlineStr">
        <is>
          <t>Gini coefficient</t>
        </is>
      </c>
      <c r="D250" t="inlineStr">
        <is>
          <t>capability</t>
        </is>
      </c>
      <c r="E250" t="inlineStr">
        <is>
          <t>yes</t>
        </is>
      </c>
      <c r="F250" t="inlineStr">
        <is>
          <t>40.1</t>
        </is>
      </c>
      <c r="G250" t="inlineStr">
        <is>
          <t>world_bank</t>
        </is>
      </c>
      <c r="H250" t="inlineStr">
        <is>
          <t>https://api.worldbank.org/v2/country/PER/indicator/SI.POV.GINI?format=json&amp;mrv=30</t>
        </is>
      </c>
      <c r="I250" t="inlineStr">
        <is>
          <t>World Bank WDI: Gini index</t>
        </is>
      </c>
      <c r="J250" t="inlineStr">
        <is>
          <t>2024-12-31</t>
        </is>
      </c>
      <c r="K250" t="inlineStr">
        <is>
          <t>auto_seed=world_bank_wdi; indicator=SI.POV.GINI; observation_year=2024; dataset_lastupdated=2026-02-24; stale=no</t>
        </is>
      </c>
    </row>
    <row r="251">
      <c r="A251" t="inlineStr">
        <is>
          <t>Peru</t>
        </is>
      </c>
      <c r="B251" t="inlineStr">
        <is>
          <t>ppp_private_consumption</t>
        </is>
      </c>
      <c r="C251" t="inlineStr">
        <is>
          <t>PPP private consumption factor</t>
        </is>
      </c>
      <c r="D251" t="inlineStr">
        <is>
          <t>pressure</t>
        </is>
      </c>
      <c r="E251" t="inlineStr">
        <is>
          <t>yes</t>
        </is>
      </c>
      <c r="F251" t="inlineStr">
        <is>
          <t>1.94918</t>
        </is>
      </c>
      <c r="G251" t="inlineStr">
        <is>
          <t>world_bank</t>
        </is>
      </c>
      <c r="H251" t="inlineStr">
        <is>
          <t>https://api.worldbank.org/v2/country/PER/indicator/PA.NUS.PRVT.PP?format=json&amp;mrv=30</t>
        </is>
      </c>
      <c r="I251" t="inlineStr">
        <is>
          <t>World Bank WDI: PPP conversion factor, private consumption (LCU per international $)</t>
        </is>
      </c>
      <c r="J251" t="inlineStr">
        <is>
          <t>2024-12-31</t>
        </is>
      </c>
      <c r="K251" t="inlineStr">
        <is>
          <t>auto_seed=world_bank_wdi; indicator=PA.NUS.PRVT.PP; observation_year=2024; dataset_lastupdated=2026-02-24; stale=no</t>
        </is>
      </c>
    </row>
    <row r="252">
      <c r="A252" t="inlineStr">
        <is>
          <t>Peru</t>
        </is>
      </c>
      <c r="B252" t="inlineStr">
        <is>
          <t>tax_rate_assumption</t>
        </is>
      </c>
      <c r="C252" t="inlineStr">
        <is>
          <t>Tax rate assumption</t>
        </is>
      </c>
      <c r="D252" t="inlineStr">
        <is>
          <t>pressure</t>
        </is>
      </c>
      <c r="E252" t="inlineStr">
        <is>
          <t>yes</t>
        </is>
      </c>
      <c r="F252" t="inlineStr">
        <is>
          <t>0.159243</t>
        </is>
      </c>
      <c r="G252" t="inlineStr">
        <is>
          <t>world_bank</t>
        </is>
      </c>
      <c r="H252" t="inlineStr">
        <is>
          <t>https://api.worldbank.org/v2/country/PER/indicator/GC.TAX.TOTL.GD.ZS?format=json&amp;mrv=30</t>
        </is>
      </c>
      <c r="I252" t="inlineStr">
        <is>
          <t>World Bank WDI: Tax revenue (% of GDP) used as interim country average tax-take proxy</t>
        </is>
      </c>
      <c r="J252" t="inlineStr">
        <is>
          <t>2021-12-31</t>
        </is>
      </c>
      <c r="K252" t="inlineStr">
        <is>
          <t>auto_seed=world_bank_wdi; proxy=country_average_tax_take_from_tax_revenue_share; indicator=GC.TAX.TOTL.GD.ZS; observation_year=2021; dataset_lastupdated=2026-02-24; stale=no</t>
        </is>
      </c>
    </row>
    <row r="253">
      <c r="A253" t="inlineStr">
        <is>
          <t>Peru</t>
        </is>
      </c>
      <c r="B253" t="inlineStr">
        <is>
          <t>household_debt_proxy</t>
        </is>
      </c>
      <c r="C253" t="inlineStr">
        <is>
          <t>Household debt proxy</t>
        </is>
      </c>
      <c r="D253" t="inlineStr">
        <is>
          <t>pressure</t>
        </is>
      </c>
      <c r="E253" t="inlineStr">
        <is>
          <t>yes</t>
        </is>
      </c>
      <c r="F253" t="inlineStr">
        <is>
          <t>45.668</t>
        </is>
      </c>
      <c r="G253" t="inlineStr">
        <is>
          <t>world_bank</t>
        </is>
      </c>
      <c r="H253" t="inlineStr">
        <is>
          <t>https://api.worldbank.org/v2/country/PER/indicator/FD.AST.PRVT.GD.ZS?format=json&amp;mrv=30</t>
        </is>
      </c>
      <c r="I253" t="inlineStr">
        <is>
          <t>World Bank WDI: Domestic credit to private sector by banks (% of GDP) used as interim leverage proxy</t>
        </is>
      </c>
      <c r="J253" t="inlineStr">
        <is>
          <t>2022-12-31</t>
        </is>
      </c>
      <c r="K253" t="inlineStr">
        <is>
          <t>auto_seed=world_bank_wdi; proxy=broad_private_credit_not_household_only; indicator=FD.AST.PRVT.GD.ZS; observation_year=2022; dataset_lastupdated=2026-02-24; stale=no</t>
        </is>
      </c>
    </row>
    <row r="254">
      <c r="A254" t="inlineStr">
        <is>
          <t>Uruguay</t>
        </is>
      </c>
      <c r="B254" t="inlineStr">
        <is>
          <t>gdp_per_capita_ppp</t>
        </is>
      </c>
      <c r="C254" t="inlineStr">
        <is>
          <t>GDP per capita (PPP)</t>
        </is>
      </c>
      <c r="D254" t="inlineStr">
        <is>
          <t>creative</t>
        </is>
      </c>
      <c r="E254" t="inlineStr">
        <is>
          <t>yes</t>
        </is>
      </c>
      <c r="F254" t="inlineStr">
        <is>
          <t>36417.87</t>
        </is>
      </c>
      <c r="G254" t="inlineStr">
        <is>
          <t>world_bank</t>
        </is>
      </c>
      <c r="H254" t="inlineStr">
        <is>
          <t>https://api.worldbank.org/v2/country/URY/indicator/NY.GDP.PCAP.PP.CD?format=json&amp;mrv=30</t>
        </is>
      </c>
      <c r="I254" t="inlineStr">
        <is>
          <t>World Bank WDI: GDP per capita, PPP (current international $)</t>
        </is>
      </c>
      <c r="J254" t="inlineStr">
        <is>
          <t>2024-12-31</t>
        </is>
      </c>
      <c r="K254" t="inlineStr">
        <is>
          <t>auto_seed=world_bank_wdi; indicator=NY.GDP.PCAP.PP.CD; observation_year=2024; dataset_lastupdated=2026-02-24; stale=no</t>
        </is>
      </c>
    </row>
    <row r="255">
      <c r="A255" t="inlineStr">
        <is>
          <t>Uruguay</t>
        </is>
      </c>
      <c r="B255" t="inlineStr">
        <is>
          <t>gdp_growth</t>
        </is>
      </c>
      <c r="C255" t="inlineStr">
        <is>
          <t>GDP growth</t>
        </is>
      </c>
      <c r="D255" t="inlineStr">
        <is>
          <t>creative</t>
        </is>
      </c>
      <c r="E255" t="inlineStr">
        <is>
          <t>yes</t>
        </is>
      </c>
      <c r="F255" t="inlineStr">
        <is>
          <t>3.1083</t>
        </is>
      </c>
      <c r="G255" t="inlineStr">
        <is>
          <t>world_bank</t>
        </is>
      </c>
      <c r="H255" t="inlineStr">
        <is>
          <t>https://api.worldbank.org/v2/country/URY/indicator/NY.GDP.MKTP.KD.ZG?format=json&amp;mrv=30</t>
        </is>
      </c>
      <c r="I255" t="inlineStr">
        <is>
          <t>World Bank WDI: GDP growth (annual %)</t>
        </is>
      </c>
      <c r="J255" t="inlineStr">
        <is>
          <t>2024-12-31</t>
        </is>
      </c>
      <c r="K255" t="inlineStr">
        <is>
          <t>auto_seed=world_bank_wdi; indicator=NY.GDP.MKTP.KD.ZG; observation_year=2024; dataset_lastupdated=2026-02-24; stale=no</t>
        </is>
      </c>
    </row>
    <row r="256">
      <c r="A256" t="inlineStr">
        <is>
          <t>Uruguay</t>
        </is>
      </c>
      <c r="B256" t="inlineStr">
        <is>
          <t>gini_coefficient</t>
        </is>
      </c>
      <c r="C256" t="inlineStr">
        <is>
          <t>Gini coefficient</t>
        </is>
      </c>
      <c r="D256" t="inlineStr">
        <is>
          <t>capability</t>
        </is>
      </c>
      <c r="E256" t="inlineStr">
        <is>
          <t>yes</t>
        </is>
      </c>
      <c r="F256" t="inlineStr">
        <is>
          <t>40</t>
        </is>
      </c>
      <c r="G256" t="inlineStr">
        <is>
          <t>world_bank</t>
        </is>
      </c>
      <c r="H256" t="inlineStr">
        <is>
          <t>https://api.worldbank.org/v2/country/URY/indicator/SI.POV.GINI?format=json&amp;mrv=30</t>
        </is>
      </c>
      <c r="I256" t="inlineStr">
        <is>
          <t>World Bank WDI: Gini index</t>
        </is>
      </c>
      <c r="J256" t="inlineStr">
        <is>
          <t>2024-12-31</t>
        </is>
      </c>
      <c r="K256" t="inlineStr">
        <is>
          <t>auto_seed=world_bank_wdi; indicator=SI.POV.GINI; observation_year=2024; dataset_lastupdated=2026-02-24; stale=no</t>
        </is>
      </c>
    </row>
    <row r="257">
      <c r="A257" t="inlineStr">
        <is>
          <t>Uruguay</t>
        </is>
      </c>
      <c r="B257" t="inlineStr">
        <is>
          <t>ppp_private_consumption</t>
        </is>
      </c>
      <c r="C257" t="inlineStr">
        <is>
          <t>PPP private consumption factor</t>
        </is>
      </c>
      <c r="D257" t="inlineStr">
        <is>
          <t>pressure</t>
        </is>
      </c>
      <c r="E257" t="inlineStr">
        <is>
          <t>yes</t>
        </is>
      </c>
      <c r="F257" t="inlineStr">
        <is>
          <t>29.298217</t>
        </is>
      </c>
      <c r="G257" t="inlineStr">
        <is>
          <t>world_bank</t>
        </is>
      </c>
      <c r="H257" t="inlineStr">
        <is>
          <t>https://api.worldbank.org/v2/country/URY/indicator/PA.NUS.PRVT.PP?format=json&amp;mrv=30</t>
        </is>
      </c>
      <c r="I257" t="inlineStr">
        <is>
          <t>World Bank WDI: PPP conversion factor, private consumption (LCU per international $)</t>
        </is>
      </c>
      <c r="J257" t="inlineStr">
        <is>
          <t>2024-12-31</t>
        </is>
      </c>
      <c r="K257" t="inlineStr">
        <is>
          <t>auto_seed=world_bank_wdi; indicator=PA.NUS.PRVT.PP; observation_year=2024; dataset_lastupdated=2026-02-24; stale=no</t>
        </is>
      </c>
    </row>
    <row r="258">
      <c r="A258" t="inlineStr">
        <is>
          <t>Uruguay</t>
        </is>
      </c>
      <c r="B258" t="inlineStr">
        <is>
          <t>tax_rate_assumption</t>
        </is>
      </c>
      <c r="C258" t="inlineStr">
        <is>
          <t>Tax rate assumption</t>
        </is>
      </c>
      <c r="D258" t="inlineStr">
        <is>
          <t>pressure</t>
        </is>
      </c>
      <c r="E258" t="inlineStr">
        <is>
          <t>yes</t>
        </is>
      </c>
      <c r="F258" t="inlineStr">
        <is>
          <t>0.181624</t>
        </is>
      </c>
      <c r="G258" t="inlineStr">
        <is>
          <t>world_bank</t>
        </is>
      </c>
      <c r="H258" t="inlineStr">
        <is>
          <t>https://api.worldbank.org/v2/country/URY/indicator/GC.TAX.TOTL.GD.ZS?format=json&amp;mrv=30</t>
        </is>
      </c>
      <c r="I258" t="inlineStr">
        <is>
          <t>World Bank WDI: Tax revenue (% of GDP) used as interim country average tax-take proxy</t>
        </is>
      </c>
      <c r="J258" t="inlineStr">
        <is>
          <t>2024-12-31</t>
        </is>
      </c>
      <c r="K258" t="inlineStr">
        <is>
          <t>auto_seed=world_bank_wdi; proxy=country_average_tax_take_from_tax_revenue_share; indicator=GC.TAX.TOTL.GD.ZS; observation_year=2024; dataset_lastupdated=2026-02-24; stale=no</t>
        </is>
      </c>
    </row>
    <row r="259">
      <c r="A259" t="inlineStr">
        <is>
          <t>Uruguay</t>
        </is>
      </c>
      <c r="B259" t="inlineStr">
        <is>
          <t>household_debt_proxy</t>
        </is>
      </c>
      <c r="C259" t="inlineStr">
        <is>
          <t>Household debt proxy</t>
        </is>
      </c>
      <c r="D259" t="inlineStr">
        <is>
          <t>pressure</t>
        </is>
      </c>
      <c r="E259" t="inlineStr">
        <is>
          <t>yes</t>
        </is>
      </c>
      <c r="F259" t="inlineStr">
        <is>
          <t>31.0608</t>
        </is>
      </c>
      <c r="G259" t="inlineStr">
        <is>
          <t>world_bank</t>
        </is>
      </c>
      <c r="H259" t="inlineStr">
        <is>
          <t>https://api.worldbank.org/v2/country/URY/indicator/FD.AST.PRVT.GD.ZS?format=json&amp;mrv=30</t>
        </is>
      </c>
      <c r="I259" t="inlineStr">
        <is>
          <t>World Bank WDI: Domestic credit to private sector by banks (% of GDP) used as interim leverage proxy</t>
        </is>
      </c>
      <c r="J259" t="inlineStr">
        <is>
          <t>2024-12-31</t>
        </is>
      </c>
      <c r="K259" t="inlineStr">
        <is>
          <t>auto_seed=world_bank_wdi; proxy=broad_private_credit_not_household_only; indicator=FD.AST.PRVT.GD.ZS; observation_year=2024; dataset_lastupdated=2026-02-24; stale=no</t>
        </is>
      </c>
    </row>
    <row r="260">
      <c r="A260" t="inlineStr">
        <is>
          <t>United Arab Emirates</t>
        </is>
      </c>
      <c r="B260" t="inlineStr">
        <is>
          <t>gdp_per_capita_ppp</t>
        </is>
      </c>
      <c r="C260" t="inlineStr">
        <is>
          <t>GDP per capita (PPP)</t>
        </is>
      </c>
      <c r="D260" t="inlineStr">
        <is>
          <t>creative</t>
        </is>
      </c>
      <c r="E260" t="inlineStr">
        <is>
          <t>yes</t>
        </is>
      </c>
      <c r="F260" t="inlineStr">
        <is>
          <t>79228.74</t>
        </is>
      </c>
      <c r="G260" t="inlineStr">
        <is>
          <t>world_bank</t>
        </is>
      </c>
      <c r="H260" t="inlineStr">
        <is>
          <t>https://api.worldbank.org/v2/country/ARE/indicator/NY.GDP.PCAP.PP.CD?format=json&amp;mrv=30</t>
        </is>
      </c>
      <c r="I260" t="inlineStr">
        <is>
          <t>World Bank WDI: GDP per capita, PPP (current international $)</t>
        </is>
      </c>
      <c r="J260" t="inlineStr">
        <is>
          <t>2024-12-31</t>
        </is>
      </c>
      <c r="K260" t="inlineStr">
        <is>
          <t>auto_seed=world_bank_wdi; indicator=NY.GDP.PCAP.PP.CD; observation_year=2024; dataset_lastupdated=2026-02-24; stale=no</t>
        </is>
      </c>
    </row>
    <row r="261">
      <c r="A261" t="inlineStr">
        <is>
          <t>United Arab Emirates</t>
        </is>
      </c>
      <c r="B261" t="inlineStr">
        <is>
          <t>gdp_growth</t>
        </is>
      </c>
      <c r="C261" t="inlineStr">
        <is>
          <t>GDP growth</t>
        </is>
      </c>
      <c r="D261" t="inlineStr">
        <is>
          <t>creative</t>
        </is>
      </c>
      <c r="E261" t="inlineStr">
        <is>
          <t>yes</t>
        </is>
      </c>
      <c r="F261" t="inlineStr">
        <is>
          <t>3.9918</t>
        </is>
      </c>
      <c r="G261" t="inlineStr">
        <is>
          <t>world_bank</t>
        </is>
      </c>
      <c r="H261" t="inlineStr">
        <is>
          <t>https://api.worldbank.org/v2/country/ARE/indicator/NY.GDP.MKTP.KD.ZG?format=json&amp;mrv=30</t>
        </is>
      </c>
      <c r="I261" t="inlineStr">
        <is>
          <t>World Bank WDI: GDP growth (annual %)</t>
        </is>
      </c>
      <c r="J261" t="inlineStr">
        <is>
          <t>2024-12-31</t>
        </is>
      </c>
      <c r="K261" t="inlineStr">
        <is>
          <t>auto_seed=world_bank_wdi; indicator=NY.GDP.MKTP.KD.ZG; observation_year=2024; dataset_lastupdated=2026-02-24; stale=no</t>
        </is>
      </c>
    </row>
    <row r="262">
      <c r="A262" t="inlineStr">
        <is>
          <t>United Arab Emirates</t>
        </is>
      </c>
      <c r="B262" t="inlineStr">
        <is>
          <t>gini_coefficient</t>
        </is>
      </c>
      <c r="C262" t="inlineStr">
        <is>
          <t>Gini coefficient</t>
        </is>
      </c>
      <c r="D262" t="inlineStr">
        <is>
          <t>capability</t>
        </is>
      </c>
      <c r="E262" t="inlineStr">
        <is>
          <t>yes</t>
        </is>
      </c>
      <c r="F262" t="inlineStr">
        <is>
          <t>26.4</t>
        </is>
      </c>
      <c r="G262" t="inlineStr">
        <is>
          <t>world_bank</t>
        </is>
      </c>
      <c r="H262" t="inlineStr">
        <is>
          <t>https://api.worldbank.org/v2/country/ARE/indicator/SI.POV.GINI?format=json&amp;mrv=30</t>
        </is>
      </c>
      <c r="I262" t="inlineStr">
        <is>
          <t>World Bank WDI: Gini index</t>
        </is>
      </c>
      <c r="J262" t="inlineStr">
        <is>
          <t>2018-12-31</t>
        </is>
      </c>
      <c r="K262" t="inlineStr">
        <is>
          <t>auto_seed=world_bank_wdi; indicator=SI.POV.GINI; observation_year=2018; dataset_lastupdated=2026-02-24; stale=no</t>
        </is>
      </c>
    </row>
    <row r="263">
      <c r="A263" t="inlineStr">
        <is>
          <t>United Arab Emirates</t>
        </is>
      </c>
      <c r="B263" t="inlineStr">
        <is>
          <t>ppp_private_consumption</t>
        </is>
      </c>
      <c r="C263" t="inlineStr">
        <is>
          <t>PPP private consumption factor</t>
        </is>
      </c>
      <c r="D263" t="inlineStr">
        <is>
          <t>pressure</t>
        </is>
      </c>
      <c r="E263" t="inlineStr">
        <is>
          <t>yes</t>
        </is>
      </c>
      <c r="F263" t="inlineStr">
        <is>
          <t>2.56311</t>
        </is>
      </c>
      <c r="G263" t="inlineStr">
        <is>
          <t>world_bank</t>
        </is>
      </c>
      <c r="H263" t="inlineStr">
        <is>
          <t>https://api.worldbank.org/v2/country/ARE/indicator/PA.NUS.PRVT.PP?format=json&amp;mrv=30</t>
        </is>
      </c>
      <c r="I263" t="inlineStr">
        <is>
          <t>World Bank WDI: PPP conversion factor, private consumption (LCU per international $)</t>
        </is>
      </c>
      <c r="J263" t="inlineStr">
        <is>
          <t>2024-12-31</t>
        </is>
      </c>
      <c r="K263" t="inlineStr">
        <is>
          <t>auto_seed=world_bank_wdi; indicator=PA.NUS.PRVT.PP; observation_year=2024; dataset_lastupdated=2026-02-24; stale=no</t>
        </is>
      </c>
    </row>
    <row r="264">
      <c r="A264" t="inlineStr">
        <is>
          <t>United Arab Emirates</t>
        </is>
      </c>
      <c r="B264" t="inlineStr">
        <is>
          <t>tax_rate_assumption</t>
        </is>
      </c>
      <c r="C264" t="inlineStr">
        <is>
          <t>Tax rate assumption</t>
        </is>
      </c>
      <c r="D264" t="inlineStr">
        <is>
          <t>pressure</t>
        </is>
      </c>
      <c r="E264" t="inlineStr">
        <is>
          <t>yes</t>
        </is>
      </c>
      <c r="F264" t="inlineStr">
        <is>
          <t>0.006475</t>
        </is>
      </c>
      <c r="G264" t="inlineStr">
        <is>
          <t>world_bank</t>
        </is>
      </c>
      <c r="H264" t="inlineStr">
        <is>
          <t>https://api.worldbank.org/v2/country/ARE/indicator/GC.TAX.TOTL.GD.ZS?format=json&amp;mrv=30</t>
        </is>
      </c>
      <c r="I264" t="inlineStr">
        <is>
          <t>World Bank WDI: Tax revenue (% of GDP) used as interim country average tax-take proxy</t>
        </is>
      </c>
      <c r="J264" t="inlineStr">
        <is>
          <t>2024-12-31</t>
        </is>
      </c>
      <c r="K264" t="inlineStr">
        <is>
          <t>auto_seed=world_bank_wdi; proxy=country_average_tax_take_from_tax_revenue_share; indicator=GC.TAX.TOTL.GD.ZS; observation_year=2024; dataset_lastupdated=2026-02-24; stale=no</t>
        </is>
      </c>
    </row>
    <row r="265">
      <c r="A265" t="inlineStr">
        <is>
          <t>United Arab Emirates</t>
        </is>
      </c>
      <c r="B265" t="inlineStr">
        <is>
          <t>household_debt_proxy</t>
        </is>
      </c>
      <c r="C265" t="inlineStr">
        <is>
          <t>Household debt proxy</t>
        </is>
      </c>
      <c r="D265" t="inlineStr">
        <is>
          <t>pressure</t>
        </is>
      </c>
      <c r="E265" t="inlineStr">
        <is>
          <t>yes</t>
        </is>
      </c>
      <c r="F265" t="inlineStr">
        <is>
          <t>67.9658</t>
        </is>
      </c>
      <c r="G265" t="inlineStr">
        <is>
          <t>world_bank</t>
        </is>
      </c>
      <c r="H265" t="inlineStr">
        <is>
          <t>https://api.worldbank.org/v2/country/ARE/indicator/FD.AST.PRVT.GD.ZS?format=json&amp;mrv=30</t>
        </is>
      </c>
      <c r="I265" t="inlineStr">
        <is>
          <t>World Bank WDI: Domestic credit to private sector by banks (% of GDP) used as interim leverage proxy</t>
        </is>
      </c>
      <c r="J265" t="inlineStr">
        <is>
          <t>2024-12-31</t>
        </is>
      </c>
      <c r="K265" t="inlineStr">
        <is>
          <t>auto_seed=world_bank_wdi; proxy=broad_private_credit_not_household_only; indicator=FD.AST.PRVT.GD.ZS; observation_year=2024; dataset_lastupdated=2026-02-24; stale=no</t>
        </is>
      </c>
    </row>
    <row r="266">
      <c r="A266" t="inlineStr">
        <is>
          <t>Qatar</t>
        </is>
      </c>
      <c r="B266" t="inlineStr">
        <is>
          <t>gdp_per_capita_ppp</t>
        </is>
      </c>
      <c r="C266" t="inlineStr">
        <is>
          <t>GDP per capita (PPP)</t>
        </is>
      </c>
      <c r="D266" t="inlineStr">
        <is>
          <t>creative</t>
        </is>
      </c>
      <c r="E266" t="inlineStr">
        <is>
          <t>yes</t>
        </is>
      </c>
      <c r="F266" t="inlineStr">
        <is>
          <t>126046.35</t>
        </is>
      </c>
      <c r="G266" t="inlineStr">
        <is>
          <t>world_bank</t>
        </is>
      </c>
      <c r="H266" t="inlineStr">
        <is>
          <t>https://api.worldbank.org/v2/country/QAT/indicator/NY.GDP.PCAP.PP.CD?format=json&amp;mrv=30</t>
        </is>
      </c>
      <c r="I266" t="inlineStr">
        <is>
          <t>World Bank WDI: GDP per capita, PPP (current international $)</t>
        </is>
      </c>
      <c r="J266" t="inlineStr">
        <is>
          <t>2024-12-31</t>
        </is>
      </c>
      <c r="K266" t="inlineStr">
        <is>
          <t>auto_seed=world_bank_wdi; indicator=NY.GDP.PCAP.PP.CD; observation_year=2024; dataset_lastupdated=2026-02-24; stale=no</t>
        </is>
      </c>
    </row>
    <row r="267">
      <c r="A267" t="inlineStr">
        <is>
          <t>Qatar</t>
        </is>
      </c>
      <c r="B267" t="inlineStr">
        <is>
          <t>gdp_growth</t>
        </is>
      </c>
      <c r="C267" t="inlineStr">
        <is>
          <t>GDP growth</t>
        </is>
      </c>
      <c r="D267" t="inlineStr">
        <is>
          <t>creative</t>
        </is>
      </c>
      <c r="E267" t="inlineStr">
        <is>
          <t>yes</t>
        </is>
      </c>
      <c r="F267" t="inlineStr">
        <is>
          <t>2.3597</t>
        </is>
      </c>
      <c r="G267" t="inlineStr">
        <is>
          <t>world_bank</t>
        </is>
      </c>
      <c r="H267" t="inlineStr">
        <is>
          <t>https://api.worldbank.org/v2/country/QAT/indicator/NY.GDP.MKTP.KD.ZG?format=json&amp;mrv=30</t>
        </is>
      </c>
      <c r="I267" t="inlineStr">
        <is>
          <t>World Bank WDI: GDP growth (annual %)</t>
        </is>
      </c>
      <c r="J267" t="inlineStr">
        <is>
          <t>2024-12-31</t>
        </is>
      </c>
      <c r="K267" t="inlineStr">
        <is>
          <t>auto_seed=world_bank_wdi; indicator=NY.GDP.MKTP.KD.ZG; observation_year=2024; dataset_lastupdated=2026-02-24; stale=no</t>
        </is>
      </c>
    </row>
    <row r="268">
      <c r="A268" t="inlineStr">
        <is>
          <t>Qatar</t>
        </is>
      </c>
      <c r="B268" t="inlineStr">
        <is>
          <t>gini_coefficient</t>
        </is>
      </c>
      <c r="C268" t="inlineStr">
        <is>
          <t>Gini coefficient</t>
        </is>
      </c>
      <c r="D268" t="inlineStr">
        <is>
          <t>capability</t>
        </is>
      </c>
      <c r="E268" t="inlineStr">
        <is>
          <t>yes</t>
        </is>
      </c>
      <c r="F268" t="inlineStr">
        <is>
          <t>35.1</t>
        </is>
      </c>
      <c r="G268" t="inlineStr">
        <is>
          <t>world_bank</t>
        </is>
      </c>
      <c r="H268" t="inlineStr">
        <is>
          <t>https://api.worldbank.org/v2/country/QAT/indicator/SI.POV.GINI?format=json&amp;mrv=30</t>
        </is>
      </c>
      <c r="I268" t="inlineStr">
        <is>
          <t>World Bank WDI: Gini index</t>
        </is>
      </c>
      <c r="J268" t="inlineStr">
        <is>
          <t>2017-12-31</t>
        </is>
      </c>
      <c r="K268" t="inlineStr">
        <is>
          <t>auto_seed=world_bank_wdi; indicator=SI.POV.GINI; observation_year=2017; dataset_lastupdated=2026-02-24; stale=yes</t>
        </is>
      </c>
    </row>
    <row r="269">
      <c r="A269" t="inlineStr">
        <is>
          <t>Qatar</t>
        </is>
      </c>
      <c r="B269" t="inlineStr">
        <is>
          <t>ppp_private_consumption</t>
        </is>
      </c>
      <c r="C269" t="inlineStr">
        <is>
          <t>PPP private consumption factor</t>
        </is>
      </c>
      <c r="D269" t="inlineStr">
        <is>
          <t>pressure</t>
        </is>
      </c>
      <c r="E269" t="inlineStr">
        <is>
          <t>yes</t>
        </is>
      </c>
      <c r="F269" t="inlineStr">
        <is>
          <t>2.755487</t>
        </is>
      </c>
      <c r="G269" t="inlineStr">
        <is>
          <t>world_bank</t>
        </is>
      </c>
      <c r="H269" t="inlineStr">
        <is>
          <t>https://api.worldbank.org/v2/country/QAT/indicator/PA.NUS.PRVT.PP?format=json&amp;mrv=30</t>
        </is>
      </c>
      <c r="I269" t="inlineStr">
        <is>
          <t>World Bank WDI: PPP conversion factor, private consumption (LCU per international $)</t>
        </is>
      </c>
      <c r="J269" t="inlineStr">
        <is>
          <t>2024-12-31</t>
        </is>
      </c>
      <c r="K269" t="inlineStr">
        <is>
          <t>auto_seed=world_bank_wdi; indicator=PA.NUS.PRVT.PP; observation_year=2024; dataset_lastupdated=2026-02-24; stale=no</t>
        </is>
      </c>
    </row>
    <row r="270">
      <c r="A270" t="inlineStr">
        <is>
          <t>Qatar</t>
        </is>
      </c>
      <c r="B270" t="inlineStr">
        <is>
          <t>tax_rate_assumption</t>
        </is>
      </c>
      <c r="C270" t="inlineStr">
        <is>
          <t>Tax rate assumption</t>
        </is>
      </c>
      <c r="D270" t="inlineStr">
        <is>
          <t>pressure</t>
        </is>
      </c>
      <c r="E270" t="inlineStr">
        <is>
          <t>yes</t>
        </is>
      </c>
      <c r="F270" t="inlineStr"/>
      <c r="G270" t="inlineStr"/>
      <c r="H270" t="inlineStr"/>
      <c r="I270" t="inlineStr"/>
      <c r="J270" t="inlineStr"/>
      <c r="K270" t="inlineStr"/>
    </row>
    <row r="271">
      <c r="A271" t="inlineStr">
        <is>
          <t>Qatar</t>
        </is>
      </c>
      <c r="B271" t="inlineStr">
        <is>
          <t>household_debt_proxy</t>
        </is>
      </c>
      <c r="C271" t="inlineStr">
        <is>
          <t>Household debt proxy</t>
        </is>
      </c>
      <c r="D271" t="inlineStr">
        <is>
          <t>pressure</t>
        </is>
      </c>
      <c r="E271" t="inlineStr">
        <is>
          <t>yes</t>
        </is>
      </c>
      <c r="F271" t="inlineStr">
        <is>
          <t>118.8652</t>
        </is>
      </c>
      <c r="G271" t="inlineStr">
        <is>
          <t>world_bank</t>
        </is>
      </c>
      <c r="H271" t="inlineStr">
        <is>
          <t>https://api.worldbank.org/v2/country/QAT/indicator/FD.AST.PRVT.GD.ZS?format=json&amp;mrv=30</t>
        </is>
      </c>
      <c r="I271" t="inlineStr">
        <is>
          <t>World Bank WDI: Domestic credit to private sector by banks (% of GDP) used as interim leverage proxy</t>
        </is>
      </c>
      <c r="J271" t="inlineStr">
        <is>
          <t>2024-12-31</t>
        </is>
      </c>
      <c r="K271" t="inlineStr">
        <is>
          <t>auto_seed=world_bank_wdi; proxy=broad_private_credit_not_household_only; indicator=FD.AST.PRVT.GD.ZS; observation_year=2024; dataset_lastupdated=2026-02-24; stale=no</t>
        </is>
      </c>
    </row>
    <row r="272">
      <c r="A272" t="inlineStr">
        <is>
          <t>Saudi Arabia</t>
        </is>
      </c>
      <c r="B272" t="inlineStr">
        <is>
          <t>gdp_per_capita_ppp</t>
        </is>
      </c>
      <c r="C272" t="inlineStr">
        <is>
          <t>GDP per capita (PPP)</t>
        </is>
      </c>
      <c r="D272" t="inlineStr">
        <is>
          <t>creative</t>
        </is>
      </c>
      <c r="E272" t="inlineStr">
        <is>
          <t>yes</t>
        </is>
      </c>
      <c r="F272" t="inlineStr">
        <is>
          <t>71375.37</t>
        </is>
      </c>
      <c r="G272" t="inlineStr">
        <is>
          <t>world_bank</t>
        </is>
      </c>
      <c r="H272" t="inlineStr">
        <is>
          <t>https://api.worldbank.org/v2/country/SAU/indicator/NY.GDP.PCAP.PP.CD?format=json&amp;mrv=30</t>
        </is>
      </c>
      <c r="I272" t="inlineStr">
        <is>
          <t>World Bank WDI: GDP per capita, PPP (current international $)</t>
        </is>
      </c>
      <c r="J272" t="inlineStr">
        <is>
          <t>2024-12-31</t>
        </is>
      </c>
      <c r="K272" t="inlineStr">
        <is>
          <t>auto_seed=world_bank_wdi; indicator=NY.GDP.PCAP.PP.CD; observation_year=2024; dataset_lastupdated=2026-02-24; stale=no</t>
        </is>
      </c>
    </row>
    <row r="273">
      <c r="A273" t="inlineStr">
        <is>
          <t>Saudi Arabia</t>
        </is>
      </c>
      <c r="B273" t="inlineStr">
        <is>
          <t>gdp_growth</t>
        </is>
      </c>
      <c r="C273" t="inlineStr">
        <is>
          <t>GDP growth</t>
        </is>
      </c>
      <c r="D273" t="inlineStr">
        <is>
          <t>creative</t>
        </is>
      </c>
      <c r="E273" t="inlineStr">
        <is>
          <t>yes</t>
        </is>
      </c>
      <c r="F273" t="inlineStr">
        <is>
          <t>1.9965</t>
        </is>
      </c>
      <c r="G273" t="inlineStr">
        <is>
          <t>world_bank</t>
        </is>
      </c>
      <c r="H273" t="inlineStr">
        <is>
          <t>https://api.worldbank.org/v2/country/SAU/indicator/NY.GDP.MKTP.KD.ZG?format=json&amp;mrv=30</t>
        </is>
      </c>
      <c r="I273" t="inlineStr">
        <is>
          <t>World Bank WDI: GDP growth (annual %)</t>
        </is>
      </c>
      <c r="J273" t="inlineStr">
        <is>
          <t>2024-12-31</t>
        </is>
      </c>
      <c r="K273" t="inlineStr">
        <is>
          <t>auto_seed=world_bank_wdi; indicator=NY.GDP.MKTP.KD.ZG; observation_year=2024; dataset_lastupdated=2026-02-24; stale=no</t>
        </is>
      </c>
    </row>
    <row r="274">
      <c r="A274" t="inlineStr">
        <is>
          <t>Saudi Arabia</t>
        </is>
      </c>
      <c r="B274" t="inlineStr">
        <is>
          <t>gini_coefficient</t>
        </is>
      </c>
      <c r="C274" t="inlineStr">
        <is>
          <t>Gini coefficient</t>
        </is>
      </c>
      <c r="D274" t="inlineStr">
        <is>
          <t>capability</t>
        </is>
      </c>
      <c r="E274" t="inlineStr">
        <is>
          <t>yes</t>
        </is>
      </c>
      <c r="F274" t="inlineStr"/>
      <c r="G274" t="inlineStr"/>
      <c r="H274" t="inlineStr"/>
      <c r="I274" t="inlineStr"/>
      <c r="J274" t="inlineStr"/>
      <c r="K274" t="inlineStr"/>
    </row>
    <row r="275">
      <c r="A275" t="inlineStr">
        <is>
          <t>Saudi Arabia</t>
        </is>
      </c>
      <c r="B275" t="inlineStr">
        <is>
          <t>ppp_private_consumption</t>
        </is>
      </c>
      <c r="C275" t="inlineStr">
        <is>
          <t>PPP private consumption factor</t>
        </is>
      </c>
      <c r="D275" t="inlineStr">
        <is>
          <t>pressure</t>
        </is>
      </c>
      <c r="E275" t="inlineStr">
        <is>
          <t>yes</t>
        </is>
      </c>
      <c r="F275" t="inlineStr">
        <is>
          <t>1.882361</t>
        </is>
      </c>
      <c r="G275" t="inlineStr">
        <is>
          <t>world_bank</t>
        </is>
      </c>
      <c r="H275" t="inlineStr">
        <is>
          <t>https://api.worldbank.org/v2/country/SAU/indicator/PA.NUS.PRVT.PP?format=json&amp;mrv=30</t>
        </is>
      </c>
      <c r="I275" t="inlineStr">
        <is>
          <t>World Bank WDI: PPP conversion factor, private consumption (LCU per international $)</t>
        </is>
      </c>
      <c r="J275" t="inlineStr">
        <is>
          <t>2024-12-31</t>
        </is>
      </c>
      <c r="K275" t="inlineStr">
        <is>
          <t>auto_seed=world_bank_wdi; indicator=PA.NUS.PRVT.PP; observation_year=2024; dataset_lastupdated=2026-02-24; stale=no</t>
        </is>
      </c>
    </row>
    <row r="276">
      <c r="A276" t="inlineStr">
        <is>
          <t>Saudi Arabia</t>
        </is>
      </c>
      <c r="B276" t="inlineStr">
        <is>
          <t>tax_rate_assumption</t>
        </is>
      </c>
      <c r="C276" t="inlineStr">
        <is>
          <t>Tax rate assumption</t>
        </is>
      </c>
      <c r="D276" t="inlineStr">
        <is>
          <t>pressure</t>
        </is>
      </c>
      <c r="E276" t="inlineStr">
        <is>
          <t>yes</t>
        </is>
      </c>
      <c r="F276" t="inlineStr">
        <is>
          <t>0.081847</t>
        </is>
      </c>
      <c r="G276" t="inlineStr">
        <is>
          <t>world_bank</t>
        </is>
      </c>
      <c r="H276" t="inlineStr">
        <is>
          <t>https://api.worldbank.org/v2/country/SAU/indicator/GC.TAX.TOTL.GD.ZS?format=json&amp;mrv=30</t>
        </is>
      </c>
      <c r="I276" t="inlineStr">
        <is>
          <t>World Bank WDI: Tax revenue (% of GDP) used as interim country average tax-take proxy</t>
        </is>
      </c>
      <c r="J276" t="inlineStr">
        <is>
          <t>2024-12-31</t>
        </is>
      </c>
      <c r="K276" t="inlineStr">
        <is>
          <t>auto_seed=world_bank_wdi; proxy=country_average_tax_take_from_tax_revenue_share; indicator=GC.TAX.TOTL.GD.ZS; observation_year=2024; dataset_lastupdated=2026-02-24; stale=no</t>
        </is>
      </c>
    </row>
    <row r="277">
      <c r="A277" t="inlineStr">
        <is>
          <t>Saudi Arabia</t>
        </is>
      </c>
      <c r="B277" t="inlineStr">
        <is>
          <t>household_debt_proxy</t>
        </is>
      </c>
      <c r="C277" t="inlineStr">
        <is>
          <t>Household debt proxy</t>
        </is>
      </c>
      <c r="D277" t="inlineStr">
        <is>
          <t>pressure</t>
        </is>
      </c>
      <c r="E277" t="inlineStr">
        <is>
          <t>yes</t>
        </is>
      </c>
      <c r="F277" t="inlineStr">
        <is>
          <t>50.1376</t>
        </is>
      </c>
      <c r="G277" t="inlineStr">
        <is>
          <t>world_bank</t>
        </is>
      </c>
      <c r="H277" t="inlineStr">
        <is>
          <t>https://api.worldbank.org/v2/country/SAU/indicator/FD.AST.PRVT.GD.ZS?format=json&amp;mrv=30</t>
        </is>
      </c>
      <c r="I277" t="inlineStr">
        <is>
          <t>World Bank WDI: Domestic credit to private sector by banks (% of GDP) used as interim leverage proxy</t>
        </is>
      </c>
      <c r="J277" t="inlineStr">
        <is>
          <t>2017-12-31</t>
        </is>
      </c>
      <c r="K277" t="inlineStr">
        <is>
          <t>auto_seed=world_bank_wdi; proxy=broad_private_credit_not_household_only; indicator=FD.AST.PRVT.GD.ZS; observation_year=2017; dataset_lastupdated=2026-02-24; stale=yes</t>
        </is>
      </c>
    </row>
    <row r="278">
      <c r="A278" t="inlineStr">
        <is>
          <t>Israel</t>
        </is>
      </c>
      <c r="B278" t="inlineStr">
        <is>
          <t>gdp_per_capita_ppp</t>
        </is>
      </c>
      <c r="C278" t="inlineStr">
        <is>
          <t>GDP per capita (PPP)</t>
        </is>
      </c>
      <c r="D278" t="inlineStr">
        <is>
          <t>creative</t>
        </is>
      </c>
      <c r="E278" t="inlineStr">
        <is>
          <t>yes</t>
        </is>
      </c>
      <c r="F278" t="inlineStr">
        <is>
          <t>57235.78</t>
        </is>
      </c>
      <c r="G278" t="inlineStr">
        <is>
          <t>world_bank</t>
        </is>
      </c>
      <c r="H278" t="inlineStr">
        <is>
          <t>https://api.worldbank.org/v2/country/ISR/indicator/NY.GDP.PCAP.PP.CD?format=json&amp;mrv=30</t>
        </is>
      </c>
      <c r="I278" t="inlineStr">
        <is>
          <t>World Bank WDI: GDP per capita, PPP (current international $)</t>
        </is>
      </c>
      <c r="J278" t="inlineStr">
        <is>
          <t>2024-12-31</t>
        </is>
      </c>
      <c r="K278" t="inlineStr">
        <is>
          <t>auto_seed=world_bank_wdi; indicator=NY.GDP.PCAP.PP.CD; observation_year=2024; dataset_lastupdated=2026-02-24; stale=no</t>
        </is>
      </c>
    </row>
    <row r="279">
      <c r="A279" t="inlineStr">
        <is>
          <t>Israel</t>
        </is>
      </c>
      <c r="B279" t="inlineStr">
        <is>
          <t>gdp_growth</t>
        </is>
      </c>
      <c r="C279" t="inlineStr">
        <is>
          <t>GDP growth</t>
        </is>
      </c>
      <c r="D279" t="inlineStr">
        <is>
          <t>creative</t>
        </is>
      </c>
      <c r="E279" t="inlineStr">
        <is>
          <t>yes</t>
        </is>
      </c>
      <c r="F279" t="inlineStr">
        <is>
          <t>0.872</t>
        </is>
      </c>
      <c r="G279" t="inlineStr">
        <is>
          <t>world_bank</t>
        </is>
      </c>
      <c r="H279" t="inlineStr">
        <is>
          <t>https://api.worldbank.org/v2/country/ISR/indicator/NY.GDP.MKTP.KD.ZG?format=json&amp;mrv=30</t>
        </is>
      </c>
      <c r="I279" t="inlineStr">
        <is>
          <t>World Bank WDI: GDP growth (annual %)</t>
        </is>
      </c>
      <c r="J279" t="inlineStr">
        <is>
          <t>2024-12-31</t>
        </is>
      </c>
      <c r="K279" t="inlineStr">
        <is>
          <t>auto_seed=world_bank_wdi; indicator=NY.GDP.MKTP.KD.ZG; observation_year=2024; dataset_lastupdated=2026-02-24; stale=no</t>
        </is>
      </c>
    </row>
    <row r="280">
      <c r="A280" t="inlineStr">
        <is>
          <t>Israel</t>
        </is>
      </c>
      <c r="B280" t="inlineStr">
        <is>
          <t>gini_coefficient</t>
        </is>
      </c>
      <c r="C280" t="inlineStr">
        <is>
          <t>Gini coefficient</t>
        </is>
      </c>
      <c r="D280" t="inlineStr">
        <is>
          <t>capability</t>
        </is>
      </c>
      <c r="E280" t="inlineStr">
        <is>
          <t>yes</t>
        </is>
      </c>
      <c r="F280" t="inlineStr">
        <is>
          <t>37.9</t>
        </is>
      </c>
      <c r="G280" t="inlineStr">
        <is>
          <t>world_bank</t>
        </is>
      </c>
      <c r="H280" t="inlineStr">
        <is>
          <t>https://api.worldbank.org/v2/country/ISR/indicator/SI.POV.GINI?format=json&amp;mrv=30</t>
        </is>
      </c>
      <c r="I280" t="inlineStr">
        <is>
          <t>World Bank WDI: Gini index</t>
        </is>
      </c>
      <c r="J280" t="inlineStr">
        <is>
          <t>2021-12-31</t>
        </is>
      </c>
      <c r="K280" t="inlineStr">
        <is>
          <t>auto_seed=world_bank_wdi; indicator=SI.POV.GINI; observation_year=2021; dataset_lastupdated=2026-02-24; stale=no</t>
        </is>
      </c>
    </row>
    <row r="281">
      <c r="A281" t="inlineStr">
        <is>
          <t>Israel</t>
        </is>
      </c>
      <c r="B281" t="inlineStr">
        <is>
          <t>ppp_private_consumption</t>
        </is>
      </c>
      <c r="C281" t="inlineStr">
        <is>
          <t>PPP private consumption factor</t>
        </is>
      </c>
      <c r="D281" t="inlineStr">
        <is>
          <t>pressure</t>
        </is>
      </c>
      <c r="E281" t="inlineStr">
        <is>
          <t>yes</t>
        </is>
      </c>
      <c r="F281" t="inlineStr">
        <is>
          <t>3.607983</t>
        </is>
      </c>
      <c r="G281" t="inlineStr">
        <is>
          <t>world_bank</t>
        </is>
      </c>
      <c r="H281" t="inlineStr">
        <is>
          <t>https://api.worldbank.org/v2/country/ISR/indicator/PA.NUS.PRVT.PP?format=json&amp;mrv=30</t>
        </is>
      </c>
      <c r="I281" t="inlineStr">
        <is>
          <t>World Bank WDI: PPP conversion factor, private consumption (LCU per international $)</t>
        </is>
      </c>
      <c r="J281" t="inlineStr">
        <is>
          <t>2024-12-31</t>
        </is>
      </c>
      <c r="K281" t="inlineStr">
        <is>
          <t>auto_seed=world_bank_wdi; indicator=PA.NUS.PRVT.PP; observation_year=2024; dataset_lastupdated=2026-02-24; stale=no</t>
        </is>
      </c>
    </row>
    <row r="282">
      <c r="A282" t="inlineStr">
        <is>
          <t>Israel</t>
        </is>
      </c>
      <c r="B282" t="inlineStr">
        <is>
          <t>tax_rate_assumption</t>
        </is>
      </c>
      <c r="C282" t="inlineStr">
        <is>
          <t>Tax rate assumption</t>
        </is>
      </c>
      <c r="D282" t="inlineStr">
        <is>
          <t>pressure</t>
        </is>
      </c>
      <c r="E282" t="inlineStr">
        <is>
          <t>yes</t>
        </is>
      </c>
      <c r="F282" t="inlineStr">
        <is>
          <t>0.221364</t>
        </is>
      </c>
      <c r="G282" t="inlineStr">
        <is>
          <t>world_bank</t>
        </is>
      </c>
      <c r="H282" t="inlineStr">
        <is>
          <t>https://api.worldbank.org/v2/country/ISR/indicator/GC.TAX.TOTL.GD.ZS?format=json&amp;mrv=30</t>
        </is>
      </c>
      <c r="I282" t="inlineStr">
        <is>
          <t>World Bank WDI: Tax revenue (% of GDP) used as interim country average tax-take proxy</t>
        </is>
      </c>
      <c r="J282" t="inlineStr">
        <is>
          <t>2023-12-31</t>
        </is>
      </c>
      <c r="K282" t="inlineStr">
        <is>
          <t>auto_seed=world_bank_wdi; proxy=country_average_tax_take_from_tax_revenue_share; indicator=GC.TAX.TOTL.GD.ZS; observation_year=2023; dataset_lastupdated=2026-02-24; stale=no</t>
        </is>
      </c>
    </row>
    <row r="283">
      <c r="A283" t="inlineStr">
        <is>
          <t>Israel</t>
        </is>
      </c>
      <c r="B283" t="inlineStr">
        <is>
          <t>household_debt_proxy</t>
        </is>
      </c>
      <c r="C283" t="inlineStr">
        <is>
          <t>Household debt proxy</t>
        </is>
      </c>
      <c r="D283" t="inlineStr">
        <is>
          <t>pressure</t>
        </is>
      </c>
      <c r="E283" t="inlineStr">
        <is>
          <t>yes</t>
        </is>
      </c>
      <c r="F283" t="inlineStr">
        <is>
          <t>69.7497</t>
        </is>
      </c>
      <c r="G283" t="inlineStr">
        <is>
          <t>world_bank</t>
        </is>
      </c>
      <c r="H283" t="inlineStr">
        <is>
          <t>https://api.worldbank.org/v2/country/ISR/indicator/FD.AST.PRVT.GD.ZS?format=json&amp;mrv=30</t>
        </is>
      </c>
      <c r="I283" t="inlineStr">
        <is>
          <t>World Bank WDI: Domestic credit to private sector by banks (% of GDP) used as interim leverage proxy</t>
        </is>
      </c>
      <c r="J283" t="inlineStr">
        <is>
          <t>2024-12-31</t>
        </is>
      </c>
      <c r="K283" t="inlineStr">
        <is>
          <t>auto_seed=world_bank_wdi; proxy=broad_private_credit_not_household_only; indicator=FD.AST.PRVT.GD.ZS; observation_year=2024; dataset_lastupdated=2026-02-24; stale=no</t>
        </is>
      </c>
    </row>
    <row r="284">
      <c r="A284" t="inlineStr">
        <is>
          <t>Oman</t>
        </is>
      </c>
      <c r="B284" t="inlineStr">
        <is>
          <t>gdp_per_capita_ppp</t>
        </is>
      </c>
      <c r="C284" t="inlineStr">
        <is>
          <t>GDP per capita (PPP)</t>
        </is>
      </c>
      <c r="D284" t="inlineStr">
        <is>
          <t>creative</t>
        </is>
      </c>
      <c r="E284" t="inlineStr">
        <is>
          <t>yes</t>
        </is>
      </c>
      <c r="F284" t="inlineStr">
        <is>
          <t>41740.17</t>
        </is>
      </c>
      <c r="G284" t="inlineStr">
        <is>
          <t>world_bank</t>
        </is>
      </c>
      <c r="H284" t="inlineStr">
        <is>
          <t>https://api.worldbank.org/v2/country/OMN/indicator/NY.GDP.PCAP.PP.CD?format=json&amp;mrv=30</t>
        </is>
      </c>
      <c r="I284" t="inlineStr">
        <is>
          <t>World Bank WDI: GDP per capita, PPP (current international $)</t>
        </is>
      </c>
      <c r="J284" t="inlineStr">
        <is>
          <t>2024-12-31</t>
        </is>
      </c>
      <c r="K284" t="inlineStr">
        <is>
          <t>auto_seed=world_bank_wdi; indicator=NY.GDP.PCAP.PP.CD; observation_year=2024; dataset_lastupdated=2026-02-24; stale=no</t>
        </is>
      </c>
    </row>
    <row r="285">
      <c r="A285" t="inlineStr">
        <is>
          <t>Oman</t>
        </is>
      </c>
      <c r="B285" t="inlineStr">
        <is>
          <t>gdp_growth</t>
        </is>
      </c>
      <c r="C285" t="inlineStr">
        <is>
          <t>GDP growth</t>
        </is>
      </c>
      <c r="D285" t="inlineStr">
        <is>
          <t>creative</t>
        </is>
      </c>
      <c r="E285" t="inlineStr">
        <is>
          <t>yes</t>
        </is>
      </c>
      <c r="F285" t="inlineStr">
        <is>
          <t>1.6316</t>
        </is>
      </c>
      <c r="G285" t="inlineStr">
        <is>
          <t>world_bank</t>
        </is>
      </c>
      <c r="H285" t="inlineStr">
        <is>
          <t>https://api.worldbank.org/v2/country/OMN/indicator/NY.GDP.MKTP.KD.ZG?format=json&amp;mrv=30</t>
        </is>
      </c>
      <c r="I285" t="inlineStr">
        <is>
          <t>World Bank WDI: GDP growth (annual %)</t>
        </is>
      </c>
      <c r="J285" t="inlineStr">
        <is>
          <t>2024-12-31</t>
        </is>
      </c>
      <c r="K285" t="inlineStr">
        <is>
          <t>auto_seed=world_bank_wdi; indicator=NY.GDP.MKTP.KD.ZG; observation_year=2024; dataset_lastupdated=2026-02-24; stale=no</t>
        </is>
      </c>
    </row>
    <row r="286">
      <c r="A286" t="inlineStr">
        <is>
          <t>Oman</t>
        </is>
      </c>
      <c r="B286" t="inlineStr">
        <is>
          <t>gini_coefficient</t>
        </is>
      </c>
      <c r="C286" t="inlineStr">
        <is>
          <t>Gini coefficient</t>
        </is>
      </c>
      <c r="D286" t="inlineStr">
        <is>
          <t>capability</t>
        </is>
      </c>
      <c r="E286" t="inlineStr">
        <is>
          <t>yes</t>
        </is>
      </c>
      <c r="F286" t="inlineStr"/>
      <c r="G286" t="inlineStr"/>
      <c r="H286" t="inlineStr"/>
      <c r="I286" t="inlineStr"/>
      <c r="J286" t="inlineStr"/>
      <c r="K286" t="inlineStr"/>
    </row>
    <row r="287">
      <c r="A287" t="inlineStr">
        <is>
          <t>Oman</t>
        </is>
      </c>
      <c r="B287" t="inlineStr">
        <is>
          <t>ppp_private_consumption</t>
        </is>
      </c>
      <c r="C287" t="inlineStr">
        <is>
          <t>PPP private consumption factor</t>
        </is>
      </c>
      <c r="D287" t="inlineStr">
        <is>
          <t>pressure</t>
        </is>
      </c>
      <c r="E287" t="inlineStr">
        <is>
          <t>yes</t>
        </is>
      </c>
      <c r="F287" t="inlineStr">
        <is>
          <t>0.184982</t>
        </is>
      </c>
      <c r="G287" t="inlineStr">
        <is>
          <t>world_bank</t>
        </is>
      </c>
      <c r="H287" t="inlineStr">
        <is>
          <t>https://api.worldbank.org/v2/country/OMN/indicator/PA.NUS.PRVT.PP?format=json&amp;mrv=30</t>
        </is>
      </c>
      <c r="I287" t="inlineStr">
        <is>
          <t>World Bank WDI: PPP conversion factor, private consumption (LCU per international $)</t>
        </is>
      </c>
      <c r="J287" t="inlineStr">
        <is>
          <t>2024-12-31</t>
        </is>
      </c>
      <c r="K287" t="inlineStr">
        <is>
          <t>auto_seed=world_bank_wdi; indicator=PA.NUS.PRVT.PP; observation_year=2024; dataset_lastupdated=2026-02-24; stale=no</t>
        </is>
      </c>
    </row>
    <row r="288">
      <c r="A288" t="inlineStr">
        <is>
          <t>Oman</t>
        </is>
      </c>
      <c r="B288" t="inlineStr">
        <is>
          <t>tax_rate_assumption</t>
        </is>
      </c>
      <c r="C288" t="inlineStr">
        <is>
          <t>Tax rate assumption</t>
        </is>
      </c>
      <c r="D288" t="inlineStr">
        <is>
          <t>pressure</t>
        </is>
      </c>
      <c r="E288" t="inlineStr">
        <is>
          <t>yes</t>
        </is>
      </c>
      <c r="F288" t="inlineStr"/>
      <c r="G288" t="inlineStr"/>
      <c r="H288" t="inlineStr"/>
      <c r="I288" t="inlineStr"/>
      <c r="J288" t="inlineStr"/>
      <c r="K288" t="inlineStr"/>
    </row>
    <row r="289">
      <c r="A289" t="inlineStr">
        <is>
          <t>Oman</t>
        </is>
      </c>
      <c r="B289" t="inlineStr">
        <is>
          <t>household_debt_proxy</t>
        </is>
      </c>
      <c r="C289" t="inlineStr">
        <is>
          <t>Household debt proxy</t>
        </is>
      </c>
      <c r="D289" t="inlineStr">
        <is>
          <t>pressure</t>
        </is>
      </c>
      <c r="E289" t="inlineStr">
        <is>
          <t>yes</t>
        </is>
      </c>
      <c r="F289" t="inlineStr">
        <is>
          <t>59.7083</t>
        </is>
      </c>
      <c r="G289" t="inlineStr">
        <is>
          <t>world_bank</t>
        </is>
      </c>
      <c r="H289" t="inlineStr">
        <is>
          <t>https://api.worldbank.org/v2/country/OMN/indicator/FD.AST.PRVT.GD.ZS?format=json&amp;mrv=30</t>
        </is>
      </c>
      <c r="I289" t="inlineStr">
        <is>
          <t>World Bank WDI: Domestic credit to private sector by banks (% of GDP) used as interim leverage proxy</t>
        </is>
      </c>
      <c r="J289" t="inlineStr">
        <is>
          <t>2023-12-31</t>
        </is>
      </c>
      <c r="K289" t="inlineStr">
        <is>
          <t>auto_seed=world_bank_wdi; proxy=broad_private_credit_not_household_only; indicator=FD.AST.PRVT.GD.ZS; observation_year=2023; dataset_lastupdated=2026-02-24; stale=no</t>
        </is>
      </c>
    </row>
    <row r="290">
      <c r="A290" t="inlineStr">
        <is>
          <t>Bahrain</t>
        </is>
      </c>
      <c r="B290" t="inlineStr">
        <is>
          <t>gdp_per_capita_ppp</t>
        </is>
      </c>
      <c r="C290" t="inlineStr">
        <is>
          <t>GDP per capita (PPP)</t>
        </is>
      </c>
      <c r="D290" t="inlineStr">
        <is>
          <t>creative</t>
        </is>
      </c>
      <c r="E290" t="inlineStr">
        <is>
          <t>yes</t>
        </is>
      </c>
      <c r="F290" t="inlineStr">
        <is>
          <t>66941.24</t>
        </is>
      </c>
      <c r="G290" t="inlineStr">
        <is>
          <t>world_bank</t>
        </is>
      </c>
      <c r="H290" t="inlineStr">
        <is>
          <t>https://api.worldbank.org/v2/country/BHR/indicator/NY.GDP.PCAP.PP.CD?format=json&amp;mrv=30</t>
        </is>
      </c>
      <c r="I290" t="inlineStr">
        <is>
          <t>World Bank WDI: GDP per capita, PPP (current international $)</t>
        </is>
      </c>
      <c r="J290" t="inlineStr">
        <is>
          <t>2024-12-31</t>
        </is>
      </c>
      <c r="K290" t="inlineStr">
        <is>
          <t>auto_seed=world_bank_wdi; indicator=NY.GDP.PCAP.PP.CD; observation_year=2024; dataset_lastupdated=2026-02-24; stale=no</t>
        </is>
      </c>
    </row>
    <row r="291">
      <c r="A291" t="inlineStr">
        <is>
          <t>Bahrain</t>
        </is>
      </c>
      <c r="B291" t="inlineStr">
        <is>
          <t>gdp_growth</t>
        </is>
      </c>
      <c r="C291" t="inlineStr">
        <is>
          <t>GDP growth</t>
        </is>
      </c>
      <c r="D291" t="inlineStr">
        <is>
          <t>creative</t>
        </is>
      </c>
      <c r="E291" t="inlineStr">
        <is>
          <t>yes</t>
        </is>
      </c>
      <c r="F291" t="inlineStr">
        <is>
          <t>2.6038</t>
        </is>
      </c>
      <c r="G291" t="inlineStr">
        <is>
          <t>world_bank</t>
        </is>
      </c>
      <c r="H291" t="inlineStr">
        <is>
          <t>https://api.worldbank.org/v2/country/BHR/indicator/NY.GDP.MKTP.KD.ZG?format=json&amp;mrv=30</t>
        </is>
      </c>
      <c r="I291" t="inlineStr">
        <is>
          <t>World Bank WDI: GDP growth (annual %)</t>
        </is>
      </c>
      <c r="J291" t="inlineStr">
        <is>
          <t>2024-12-31</t>
        </is>
      </c>
      <c r="K291" t="inlineStr">
        <is>
          <t>auto_seed=world_bank_wdi; indicator=NY.GDP.MKTP.KD.ZG; observation_year=2024; dataset_lastupdated=2026-02-24; stale=no</t>
        </is>
      </c>
    </row>
    <row r="292">
      <c r="A292" t="inlineStr">
        <is>
          <t>Bahrain</t>
        </is>
      </c>
      <c r="B292" t="inlineStr">
        <is>
          <t>gini_coefficient</t>
        </is>
      </c>
      <c r="C292" t="inlineStr">
        <is>
          <t>Gini coefficient</t>
        </is>
      </c>
      <c r="D292" t="inlineStr">
        <is>
          <t>capability</t>
        </is>
      </c>
      <c r="E292" t="inlineStr">
        <is>
          <t>yes</t>
        </is>
      </c>
      <c r="F292" t="inlineStr"/>
      <c r="G292" t="inlineStr"/>
      <c r="H292" t="inlineStr"/>
      <c r="I292" t="inlineStr"/>
      <c r="J292" t="inlineStr"/>
      <c r="K292" t="inlineStr"/>
    </row>
    <row r="293">
      <c r="A293" t="inlineStr">
        <is>
          <t>Bahrain</t>
        </is>
      </c>
      <c r="B293" t="inlineStr">
        <is>
          <t>ppp_private_consumption</t>
        </is>
      </c>
      <c r="C293" t="inlineStr">
        <is>
          <t>PPP private consumption factor</t>
        </is>
      </c>
      <c r="D293" t="inlineStr">
        <is>
          <t>pressure</t>
        </is>
      </c>
      <c r="E293" t="inlineStr">
        <is>
          <t>yes</t>
        </is>
      </c>
      <c r="F293" t="inlineStr">
        <is>
          <t>0.188671</t>
        </is>
      </c>
      <c r="G293" t="inlineStr">
        <is>
          <t>world_bank</t>
        </is>
      </c>
      <c r="H293" t="inlineStr">
        <is>
          <t>https://api.worldbank.org/v2/country/BHR/indicator/PA.NUS.PRVT.PP?format=json&amp;mrv=30</t>
        </is>
      </c>
      <c r="I293" t="inlineStr">
        <is>
          <t>World Bank WDI: PPP conversion factor, private consumption (LCU per international $)</t>
        </is>
      </c>
      <c r="J293" t="inlineStr">
        <is>
          <t>2024-12-31</t>
        </is>
      </c>
      <c r="K293" t="inlineStr">
        <is>
          <t>auto_seed=world_bank_wdi; indicator=PA.NUS.PRVT.PP; observation_year=2024; dataset_lastupdated=2026-02-24; stale=no</t>
        </is>
      </c>
    </row>
    <row r="294">
      <c r="A294" t="inlineStr">
        <is>
          <t>Bahrain</t>
        </is>
      </c>
      <c r="B294" t="inlineStr">
        <is>
          <t>tax_rate_assumption</t>
        </is>
      </c>
      <c r="C294" t="inlineStr">
        <is>
          <t>Tax rate assumption</t>
        </is>
      </c>
      <c r="D294" t="inlineStr">
        <is>
          <t>pressure</t>
        </is>
      </c>
      <c r="E294" t="inlineStr">
        <is>
          <t>yes</t>
        </is>
      </c>
      <c r="F294" t="inlineStr">
        <is>
          <t>0.028232</t>
        </is>
      </c>
      <c r="G294" t="inlineStr">
        <is>
          <t>world_bank</t>
        </is>
      </c>
      <c r="H294" t="inlineStr">
        <is>
          <t>https://api.worldbank.org/v2/country/BHR/indicator/GC.TAX.TOTL.GD.ZS?format=json&amp;mrv=30</t>
        </is>
      </c>
      <c r="I294" t="inlineStr">
        <is>
          <t>World Bank WDI: Tax revenue (% of GDP) used as interim country average tax-take proxy</t>
        </is>
      </c>
      <c r="J294" t="inlineStr">
        <is>
          <t>2020-12-31</t>
        </is>
      </c>
      <c r="K294" t="inlineStr">
        <is>
          <t>auto_seed=world_bank_wdi; proxy=country_average_tax_take_from_tax_revenue_share; indicator=GC.TAX.TOTL.GD.ZS; observation_year=2020; dataset_lastupdated=2026-02-24; stale=no</t>
        </is>
      </c>
    </row>
    <row r="295">
      <c r="A295" t="inlineStr">
        <is>
          <t>Bahrain</t>
        </is>
      </c>
      <c r="B295" t="inlineStr">
        <is>
          <t>household_debt_proxy</t>
        </is>
      </c>
      <c r="C295" t="inlineStr">
        <is>
          <t>Household debt proxy</t>
        </is>
      </c>
      <c r="D295" t="inlineStr">
        <is>
          <t>pressure</t>
        </is>
      </c>
      <c r="E295" t="inlineStr">
        <is>
          <t>yes</t>
        </is>
      </c>
      <c r="F295" t="inlineStr">
        <is>
          <t>70.5501</t>
        </is>
      </c>
      <c r="G295" t="inlineStr">
        <is>
          <t>world_bank</t>
        </is>
      </c>
      <c r="H295" t="inlineStr">
        <is>
          <t>https://api.worldbank.org/v2/country/BHR/indicator/FD.AST.PRVT.GD.ZS?format=json&amp;mrv=30</t>
        </is>
      </c>
      <c r="I295" t="inlineStr">
        <is>
          <t>World Bank WDI: Domestic credit to private sector by banks (% of GDP) used as interim leverage proxy</t>
        </is>
      </c>
      <c r="J295" t="inlineStr">
        <is>
          <t>2015-12-31</t>
        </is>
      </c>
      <c r="K295" t="inlineStr">
        <is>
          <t>auto_seed=world_bank_wdi; proxy=broad_private_credit_not_household_only; indicator=FD.AST.PRVT.GD.ZS; observation_year=2015; dataset_lastupdated=2026-02-24; stale=yes</t>
        </is>
      </c>
    </row>
    <row r="296">
      <c r="A296" t="inlineStr">
        <is>
          <t>Kuwait</t>
        </is>
      </c>
      <c r="B296" t="inlineStr">
        <is>
          <t>gdp_per_capita_ppp</t>
        </is>
      </c>
      <c r="C296" t="inlineStr">
        <is>
          <t>GDP per capita (PPP)</t>
        </is>
      </c>
      <c r="D296" t="inlineStr">
        <is>
          <t>creative</t>
        </is>
      </c>
      <c r="E296" t="inlineStr">
        <is>
          <t>yes</t>
        </is>
      </c>
      <c r="F296" t="inlineStr">
        <is>
          <t>52443.6</t>
        </is>
      </c>
      <c r="G296" t="inlineStr">
        <is>
          <t>world_bank</t>
        </is>
      </c>
      <c r="H296" t="inlineStr">
        <is>
          <t>https://api.worldbank.org/v2/country/KWT/indicator/NY.GDP.PCAP.PP.CD?format=json&amp;mrv=30</t>
        </is>
      </c>
      <c r="I296" t="inlineStr">
        <is>
          <t>World Bank WDI: GDP per capita, PPP (current international $)</t>
        </is>
      </c>
      <c r="J296" t="inlineStr">
        <is>
          <t>2024-12-31</t>
        </is>
      </c>
      <c r="K296" t="inlineStr">
        <is>
          <t>auto_seed=world_bank_wdi; indicator=NY.GDP.PCAP.PP.CD; observation_year=2024; dataset_lastupdated=2026-02-24; stale=no</t>
        </is>
      </c>
    </row>
    <row r="297">
      <c r="A297" t="inlineStr">
        <is>
          <t>Kuwait</t>
        </is>
      </c>
      <c r="B297" t="inlineStr">
        <is>
          <t>gdp_growth</t>
        </is>
      </c>
      <c r="C297" t="inlineStr">
        <is>
          <t>GDP growth</t>
        </is>
      </c>
      <c r="D297" t="inlineStr">
        <is>
          <t>creative</t>
        </is>
      </c>
      <c r="E297" t="inlineStr">
        <is>
          <t>yes</t>
        </is>
      </c>
      <c r="F297" t="inlineStr">
        <is>
          <t>-2.5601</t>
        </is>
      </c>
      <c r="G297" t="inlineStr">
        <is>
          <t>world_bank</t>
        </is>
      </c>
      <c r="H297" t="inlineStr">
        <is>
          <t>https://api.worldbank.org/v2/country/KWT/indicator/NY.GDP.MKTP.KD.ZG?format=json&amp;mrv=30</t>
        </is>
      </c>
      <c r="I297" t="inlineStr">
        <is>
          <t>World Bank WDI: GDP growth (annual %)</t>
        </is>
      </c>
      <c r="J297" t="inlineStr">
        <is>
          <t>2024-12-31</t>
        </is>
      </c>
      <c r="K297" t="inlineStr">
        <is>
          <t>auto_seed=world_bank_wdi; indicator=NY.GDP.MKTP.KD.ZG; observation_year=2024; dataset_lastupdated=2026-02-24; stale=no</t>
        </is>
      </c>
    </row>
    <row r="298">
      <c r="A298" t="inlineStr">
        <is>
          <t>Kuwait</t>
        </is>
      </c>
      <c r="B298" t="inlineStr">
        <is>
          <t>gini_coefficient</t>
        </is>
      </c>
      <c r="C298" t="inlineStr">
        <is>
          <t>Gini coefficient</t>
        </is>
      </c>
      <c r="D298" t="inlineStr">
        <is>
          <t>capability</t>
        </is>
      </c>
      <c r="E298" t="inlineStr">
        <is>
          <t>yes</t>
        </is>
      </c>
      <c r="F298" t="inlineStr"/>
      <c r="G298" t="inlineStr"/>
      <c r="H298" t="inlineStr"/>
      <c r="I298" t="inlineStr"/>
      <c r="J298" t="inlineStr"/>
      <c r="K298" t="inlineStr"/>
    </row>
    <row r="299">
      <c r="A299" t="inlineStr">
        <is>
          <t>Kuwait</t>
        </is>
      </c>
      <c r="B299" t="inlineStr">
        <is>
          <t>ppp_private_consumption</t>
        </is>
      </c>
      <c r="C299" t="inlineStr">
        <is>
          <t>PPP private consumption factor</t>
        </is>
      </c>
      <c r="D299" t="inlineStr">
        <is>
          <t>pressure</t>
        </is>
      </c>
      <c r="E299" t="inlineStr">
        <is>
          <t>yes</t>
        </is>
      </c>
      <c r="F299" t="inlineStr">
        <is>
          <t>0.183789</t>
        </is>
      </c>
      <c r="G299" t="inlineStr">
        <is>
          <t>world_bank</t>
        </is>
      </c>
      <c r="H299" t="inlineStr">
        <is>
          <t>https://api.worldbank.org/v2/country/KWT/indicator/PA.NUS.PRVT.PP?format=json&amp;mrv=30</t>
        </is>
      </c>
      <c r="I299" t="inlineStr">
        <is>
          <t>World Bank WDI: PPP conversion factor, private consumption (LCU per international $)</t>
        </is>
      </c>
      <c r="J299" t="inlineStr">
        <is>
          <t>2024-12-31</t>
        </is>
      </c>
      <c r="K299" t="inlineStr">
        <is>
          <t>auto_seed=world_bank_wdi; indicator=PA.NUS.PRVT.PP; observation_year=2024; dataset_lastupdated=2026-02-24; stale=no</t>
        </is>
      </c>
    </row>
    <row r="300">
      <c r="A300" t="inlineStr">
        <is>
          <t>Kuwait</t>
        </is>
      </c>
      <c r="B300" t="inlineStr">
        <is>
          <t>tax_rate_assumption</t>
        </is>
      </c>
      <c r="C300" t="inlineStr">
        <is>
          <t>Tax rate assumption</t>
        </is>
      </c>
      <c r="D300" t="inlineStr">
        <is>
          <t>pressure</t>
        </is>
      </c>
      <c r="E300" t="inlineStr">
        <is>
          <t>yes</t>
        </is>
      </c>
      <c r="F300" t="inlineStr">
        <is>
          <t>0.014924</t>
        </is>
      </c>
      <c r="G300" t="inlineStr">
        <is>
          <t>world_bank</t>
        </is>
      </c>
      <c r="H300" t="inlineStr">
        <is>
          <t>https://api.worldbank.org/v2/country/KWT/indicator/GC.TAX.TOTL.GD.ZS?format=json&amp;mrv=30</t>
        </is>
      </c>
      <c r="I300" t="inlineStr">
        <is>
          <t>World Bank WDI: Tax revenue (% of GDP) used as interim country average tax-take proxy</t>
        </is>
      </c>
      <c r="J300" t="inlineStr">
        <is>
          <t>1998-12-31</t>
        </is>
      </c>
      <c r="K300" t="inlineStr">
        <is>
          <t>auto_seed=world_bank_wdi; proxy=country_average_tax_take_from_tax_revenue_share; indicator=GC.TAX.TOTL.GD.ZS; observation_year=1998; dataset_lastupdated=2026-02-24; stale=yes</t>
        </is>
      </c>
    </row>
    <row r="301">
      <c r="A301" t="inlineStr">
        <is>
          <t>Kuwait</t>
        </is>
      </c>
      <c r="B301" t="inlineStr">
        <is>
          <t>household_debt_proxy</t>
        </is>
      </c>
      <c r="C301" t="inlineStr">
        <is>
          <t>Household debt proxy</t>
        </is>
      </c>
      <c r="D301" t="inlineStr">
        <is>
          <t>pressure</t>
        </is>
      </c>
      <c r="E301" t="inlineStr">
        <is>
          <t>yes</t>
        </is>
      </c>
      <c r="F301" t="inlineStr">
        <is>
          <t>4.3975</t>
        </is>
      </c>
      <c r="G301" t="inlineStr">
        <is>
          <t>world_bank</t>
        </is>
      </c>
      <c r="H301" t="inlineStr">
        <is>
          <t>https://api.worldbank.org/v2/country/KWT/indicator/FD.AST.PRVT.GD.ZS?format=json&amp;mrv=30</t>
        </is>
      </c>
      <c r="I301" t="inlineStr">
        <is>
          <t>World Bank WDI: Domestic credit to private sector by banks (% of GDP) used as interim leverage proxy</t>
        </is>
      </c>
      <c r="J301" t="inlineStr">
        <is>
          <t>2024-12-31</t>
        </is>
      </c>
      <c r="K301" t="inlineStr">
        <is>
          <t>auto_seed=world_bank_wdi; proxy=broad_private_credit_not_household_only; indicator=FD.AST.PRVT.GD.ZS; observation_year=2024; dataset_lastupdated=2026-02-24; stale=no</t>
        </is>
      </c>
    </row>
    <row r="302">
      <c r="A302" t="inlineStr">
        <is>
          <t>Jordan</t>
        </is>
      </c>
      <c r="B302" t="inlineStr">
        <is>
          <t>gdp_per_capita_ppp</t>
        </is>
      </c>
      <c r="C302" t="inlineStr">
        <is>
          <t>GDP per capita (PPP)</t>
        </is>
      </c>
      <c r="D302" t="inlineStr">
        <is>
          <t>creative</t>
        </is>
      </c>
      <c r="E302" t="inlineStr">
        <is>
          <t>yes</t>
        </is>
      </c>
      <c r="F302" t="inlineStr">
        <is>
          <t>10821.49</t>
        </is>
      </c>
      <c r="G302" t="inlineStr">
        <is>
          <t>world_bank</t>
        </is>
      </c>
      <c r="H302" t="inlineStr">
        <is>
          <t>https://api.worldbank.org/v2/country/JOR/indicator/NY.GDP.PCAP.PP.CD?format=json&amp;mrv=30</t>
        </is>
      </c>
      <c r="I302" t="inlineStr">
        <is>
          <t>World Bank WDI: GDP per capita, PPP (current international $)</t>
        </is>
      </c>
      <c r="J302" t="inlineStr">
        <is>
          <t>2024-12-31</t>
        </is>
      </c>
      <c r="K302" t="inlineStr">
        <is>
          <t>auto_seed=world_bank_wdi; indicator=NY.GDP.PCAP.PP.CD; observation_year=2024; dataset_lastupdated=2026-02-24; stale=no</t>
        </is>
      </c>
    </row>
    <row r="303">
      <c r="A303" t="inlineStr">
        <is>
          <t>Jordan</t>
        </is>
      </c>
      <c r="B303" t="inlineStr">
        <is>
          <t>gdp_growth</t>
        </is>
      </c>
      <c r="C303" t="inlineStr">
        <is>
          <t>GDP growth</t>
        </is>
      </c>
      <c r="D303" t="inlineStr">
        <is>
          <t>creative</t>
        </is>
      </c>
      <c r="E303" t="inlineStr">
        <is>
          <t>yes</t>
        </is>
      </c>
      <c r="F303" t="inlineStr">
        <is>
          <t>2.4889</t>
        </is>
      </c>
      <c r="G303" t="inlineStr">
        <is>
          <t>world_bank</t>
        </is>
      </c>
      <c r="H303" t="inlineStr">
        <is>
          <t>https://api.worldbank.org/v2/country/JOR/indicator/NY.GDP.MKTP.KD.ZG?format=json&amp;mrv=30</t>
        </is>
      </c>
      <c r="I303" t="inlineStr">
        <is>
          <t>World Bank WDI: GDP growth (annual %)</t>
        </is>
      </c>
      <c r="J303" t="inlineStr">
        <is>
          <t>2024-12-31</t>
        </is>
      </c>
      <c r="K303" t="inlineStr">
        <is>
          <t>auto_seed=world_bank_wdi; indicator=NY.GDP.MKTP.KD.ZG; observation_year=2024; dataset_lastupdated=2026-02-24; stale=no</t>
        </is>
      </c>
    </row>
    <row r="304">
      <c r="A304" t="inlineStr">
        <is>
          <t>Jordan</t>
        </is>
      </c>
      <c r="B304" t="inlineStr">
        <is>
          <t>gini_coefficient</t>
        </is>
      </c>
      <c r="C304" t="inlineStr">
        <is>
          <t>Gini coefficient</t>
        </is>
      </c>
      <c r="D304" t="inlineStr">
        <is>
          <t>capability</t>
        </is>
      </c>
      <c r="E304" t="inlineStr">
        <is>
          <t>yes</t>
        </is>
      </c>
      <c r="F304" t="inlineStr">
        <is>
          <t>33.7</t>
        </is>
      </c>
      <c r="G304" t="inlineStr">
        <is>
          <t>world_bank</t>
        </is>
      </c>
      <c r="H304" t="inlineStr">
        <is>
          <t>https://api.worldbank.org/v2/country/JOR/indicator/SI.POV.GINI?format=json&amp;mrv=30</t>
        </is>
      </c>
      <c r="I304" t="inlineStr">
        <is>
          <t>World Bank WDI: Gini index</t>
        </is>
      </c>
      <c r="J304" t="inlineStr">
        <is>
          <t>2010-12-31</t>
        </is>
      </c>
      <c r="K304" t="inlineStr">
        <is>
          <t>auto_seed=world_bank_wdi; indicator=SI.POV.GINI; observation_year=2010; dataset_lastupdated=2026-02-24; stale=yes</t>
        </is>
      </c>
    </row>
    <row r="305">
      <c r="A305" t="inlineStr">
        <is>
          <t>Jordan</t>
        </is>
      </c>
      <c r="B305" t="inlineStr">
        <is>
          <t>ppp_private_consumption</t>
        </is>
      </c>
      <c r="C305" t="inlineStr">
        <is>
          <t>PPP private consumption factor</t>
        </is>
      </c>
      <c r="D305" t="inlineStr">
        <is>
          <t>pressure</t>
        </is>
      </c>
      <c r="E305" t="inlineStr">
        <is>
          <t>yes</t>
        </is>
      </c>
      <c r="F305" t="inlineStr">
        <is>
          <t>0.321203</t>
        </is>
      </c>
      <c r="G305" t="inlineStr">
        <is>
          <t>world_bank</t>
        </is>
      </c>
      <c r="H305" t="inlineStr">
        <is>
          <t>https://api.worldbank.org/v2/country/JOR/indicator/PA.NUS.PRVT.PP?format=json&amp;mrv=30</t>
        </is>
      </c>
      <c r="I305" t="inlineStr">
        <is>
          <t>World Bank WDI: PPP conversion factor, private consumption (LCU per international $)</t>
        </is>
      </c>
      <c r="J305" t="inlineStr">
        <is>
          <t>2024-12-31</t>
        </is>
      </c>
      <c r="K305" t="inlineStr">
        <is>
          <t>auto_seed=world_bank_wdi; indicator=PA.NUS.PRVT.PP; observation_year=2024; dataset_lastupdated=2026-02-24; stale=no</t>
        </is>
      </c>
    </row>
    <row r="306">
      <c r="A306" t="inlineStr">
        <is>
          <t>Jordan</t>
        </is>
      </c>
      <c r="B306" t="inlineStr">
        <is>
          <t>tax_rate_assumption</t>
        </is>
      </c>
      <c r="C306" t="inlineStr">
        <is>
          <t>Tax rate assumption</t>
        </is>
      </c>
      <c r="D306" t="inlineStr">
        <is>
          <t>pressure</t>
        </is>
      </c>
      <c r="E306" t="inlineStr">
        <is>
          <t>yes</t>
        </is>
      </c>
      <c r="F306" t="inlineStr">
        <is>
          <t>0.170491</t>
        </is>
      </c>
      <c r="G306" t="inlineStr">
        <is>
          <t>world_bank</t>
        </is>
      </c>
      <c r="H306" t="inlineStr">
        <is>
          <t>https://api.worldbank.org/v2/country/JOR/indicator/GC.TAX.TOTL.GD.ZS?format=json&amp;mrv=30</t>
        </is>
      </c>
      <c r="I306" t="inlineStr">
        <is>
          <t>World Bank WDI: Tax revenue (% of GDP) used as interim country average tax-take proxy</t>
        </is>
      </c>
      <c r="J306" t="inlineStr">
        <is>
          <t>2023-12-31</t>
        </is>
      </c>
      <c r="K306" t="inlineStr">
        <is>
          <t>auto_seed=world_bank_wdi; proxy=country_average_tax_take_from_tax_revenue_share; indicator=GC.TAX.TOTL.GD.ZS; observation_year=2023; dataset_lastupdated=2026-02-24; stale=no</t>
        </is>
      </c>
    </row>
    <row r="307">
      <c r="A307" t="inlineStr">
        <is>
          <t>Jordan</t>
        </is>
      </c>
      <c r="B307" t="inlineStr">
        <is>
          <t>household_debt_proxy</t>
        </is>
      </c>
      <c r="C307" t="inlineStr">
        <is>
          <t>Household debt proxy</t>
        </is>
      </c>
      <c r="D307" t="inlineStr">
        <is>
          <t>pressure</t>
        </is>
      </c>
      <c r="E307" t="inlineStr">
        <is>
          <t>yes</t>
        </is>
      </c>
      <c r="F307" t="inlineStr">
        <is>
          <t>80.0729</t>
        </is>
      </c>
      <c r="G307" t="inlineStr">
        <is>
          <t>world_bank</t>
        </is>
      </c>
      <c r="H307" t="inlineStr">
        <is>
          <t>https://api.worldbank.org/v2/country/JOR/indicator/FD.AST.PRVT.GD.ZS?format=json&amp;mrv=30</t>
        </is>
      </c>
      <c r="I307" t="inlineStr">
        <is>
          <t>World Bank WDI: Domestic credit to private sector by banks (% of GDP) used as interim leverage proxy</t>
        </is>
      </c>
      <c r="J307" t="inlineStr">
        <is>
          <t>2024-12-31</t>
        </is>
      </c>
      <c r="K307" t="inlineStr">
        <is>
          <t>auto_seed=world_bank_wdi; proxy=broad_private_credit_not_household_only; indicator=FD.AST.PRVT.GD.ZS; observation_year=2024; dataset_lastupdated=2026-02-24; stale=no</t>
        </is>
      </c>
    </row>
    <row r="308">
      <c r="A308" t="inlineStr">
        <is>
          <t>South Africa</t>
        </is>
      </c>
      <c r="B308" t="inlineStr">
        <is>
          <t>gdp_per_capita_ppp</t>
        </is>
      </c>
      <c r="C308" t="inlineStr">
        <is>
          <t>GDP per capita (PPP)</t>
        </is>
      </c>
      <c r="D308" t="inlineStr">
        <is>
          <t>creative</t>
        </is>
      </c>
      <c r="E308" t="inlineStr">
        <is>
          <t>yes</t>
        </is>
      </c>
      <c r="F308" t="inlineStr">
        <is>
          <t>15456.2</t>
        </is>
      </c>
      <c r="G308" t="inlineStr">
        <is>
          <t>world_bank</t>
        </is>
      </c>
      <c r="H308" t="inlineStr">
        <is>
          <t>https://api.worldbank.org/v2/country/ZAF/indicator/NY.GDP.PCAP.PP.CD?format=json&amp;mrv=30</t>
        </is>
      </c>
      <c r="I308" t="inlineStr">
        <is>
          <t>World Bank WDI: GDP per capita, PPP (current international $)</t>
        </is>
      </c>
      <c r="J308" t="inlineStr">
        <is>
          <t>2024-12-31</t>
        </is>
      </c>
      <c r="K308" t="inlineStr">
        <is>
          <t>auto_seed=world_bank_wdi; indicator=NY.GDP.PCAP.PP.CD; observation_year=2024; dataset_lastupdated=2026-02-24; stale=no</t>
        </is>
      </c>
    </row>
    <row r="309">
      <c r="A309" t="inlineStr">
        <is>
          <t>South Africa</t>
        </is>
      </c>
      <c r="B309" t="inlineStr">
        <is>
          <t>gdp_growth</t>
        </is>
      </c>
      <c r="C309" t="inlineStr">
        <is>
          <t>GDP growth</t>
        </is>
      </c>
      <c r="D309" t="inlineStr">
        <is>
          <t>creative</t>
        </is>
      </c>
      <c r="E309" t="inlineStr">
        <is>
          <t>yes</t>
        </is>
      </c>
      <c r="F309" t="inlineStr">
        <is>
          <t>0.5348</t>
        </is>
      </c>
      <c r="G309" t="inlineStr">
        <is>
          <t>world_bank</t>
        </is>
      </c>
      <c r="H309" t="inlineStr">
        <is>
          <t>https://api.worldbank.org/v2/country/ZAF/indicator/NY.GDP.MKTP.KD.ZG?format=json&amp;mrv=30</t>
        </is>
      </c>
      <c r="I309" t="inlineStr">
        <is>
          <t>World Bank WDI: GDP growth (annual %)</t>
        </is>
      </c>
      <c r="J309" t="inlineStr">
        <is>
          <t>2024-12-31</t>
        </is>
      </c>
      <c r="K309" t="inlineStr">
        <is>
          <t>auto_seed=world_bank_wdi; indicator=NY.GDP.MKTP.KD.ZG; observation_year=2024; dataset_lastupdated=2026-02-24; stale=no</t>
        </is>
      </c>
    </row>
    <row r="310">
      <c r="A310" t="inlineStr">
        <is>
          <t>South Africa</t>
        </is>
      </c>
      <c r="B310" t="inlineStr">
        <is>
          <t>gini_coefficient</t>
        </is>
      </c>
      <c r="C310" t="inlineStr">
        <is>
          <t>Gini coefficient</t>
        </is>
      </c>
      <c r="D310" t="inlineStr">
        <is>
          <t>capability</t>
        </is>
      </c>
      <c r="E310" t="inlineStr">
        <is>
          <t>yes</t>
        </is>
      </c>
      <c r="F310" t="inlineStr">
        <is>
          <t>63</t>
        </is>
      </c>
      <c r="G310" t="inlineStr">
        <is>
          <t>world_bank</t>
        </is>
      </c>
      <c r="H310" t="inlineStr">
        <is>
          <t>https://api.worldbank.org/v2/country/ZAF/indicator/SI.POV.GINI?format=json&amp;mrv=30</t>
        </is>
      </c>
      <c r="I310" t="inlineStr">
        <is>
          <t>World Bank WDI: Gini index</t>
        </is>
      </c>
      <c r="J310" t="inlineStr">
        <is>
          <t>2014-12-31</t>
        </is>
      </c>
      <c r="K310" t="inlineStr">
        <is>
          <t>auto_seed=world_bank_wdi; indicator=SI.POV.GINI; observation_year=2014; dataset_lastupdated=2026-02-24; stale=yes</t>
        </is>
      </c>
    </row>
    <row r="311">
      <c r="A311" t="inlineStr">
        <is>
          <t>South Africa</t>
        </is>
      </c>
      <c r="B311" t="inlineStr">
        <is>
          <t>ppp_private_consumption</t>
        </is>
      </c>
      <c r="C311" t="inlineStr">
        <is>
          <t>PPP private consumption factor</t>
        </is>
      </c>
      <c r="D311" t="inlineStr">
        <is>
          <t>pressure</t>
        </is>
      </c>
      <c r="E311" t="inlineStr">
        <is>
          <t>yes</t>
        </is>
      </c>
      <c r="F311" t="inlineStr">
        <is>
          <t>7.701915</t>
        </is>
      </c>
      <c r="G311" t="inlineStr">
        <is>
          <t>world_bank</t>
        </is>
      </c>
      <c r="H311" t="inlineStr">
        <is>
          <t>https://api.worldbank.org/v2/country/ZAF/indicator/PA.NUS.PRVT.PP?format=json&amp;mrv=30</t>
        </is>
      </c>
      <c r="I311" t="inlineStr">
        <is>
          <t>World Bank WDI: PPP conversion factor, private consumption (LCU per international $)</t>
        </is>
      </c>
      <c r="J311" t="inlineStr">
        <is>
          <t>2024-12-31</t>
        </is>
      </c>
      <c r="K311" t="inlineStr">
        <is>
          <t>auto_seed=world_bank_wdi; indicator=PA.NUS.PRVT.PP; observation_year=2024; dataset_lastupdated=2026-02-24; stale=no</t>
        </is>
      </c>
    </row>
    <row r="312">
      <c r="A312" t="inlineStr">
        <is>
          <t>South Africa</t>
        </is>
      </c>
      <c r="B312" t="inlineStr">
        <is>
          <t>tax_rate_assumption</t>
        </is>
      </c>
      <c r="C312" t="inlineStr">
        <is>
          <t>Tax rate assumption</t>
        </is>
      </c>
      <c r="D312" t="inlineStr">
        <is>
          <t>pressure</t>
        </is>
      </c>
      <c r="E312" t="inlineStr">
        <is>
          <t>yes</t>
        </is>
      </c>
      <c r="F312" t="inlineStr">
        <is>
          <t>0.254005</t>
        </is>
      </c>
      <c r="G312" t="inlineStr">
        <is>
          <t>world_bank</t>
        </is>
      </c>
      <c r="H312" t="inlineStr">
        <is>
          <t>https://api.worldbank.org/v2/country/ZAF/indicator/GC.TAX.TOTL.GD.ZS?format=json&amp;mrv=30</t>
        </is>
      </c>
      <c r="I312" t="inlineStr">
        <is>
          <t>World Bank WDI: Tax revenue (% of GDP) used as interim country average tax-take proxy</t>
        </is>
      </c>
      <c r="J312" t="inlineStr">
        <is>
          <t>2023-12-31</t>
        </is>
      </c>
      <c r="K312" t="inlineStr">
        <is>
          <t>auto_seed=world_bank_wdi; proxy=country_average_tax_take_from_tax_revenue_share; indicator=GC.TAX.TOTL.GD.ZS; observation_year=2023; dataset_lastupdated=2026-02-24; stale=no</t>
        </is>
      </c>
    </row>
    <row r="313">
      <c r="A313" t="inlineStr">
        <is>
          <t>South Africa</t>
        </is>
      </c>
      <c r="B313" t="inlineStr">
        <is>
          <t>household_debt_proxy</t>
        </is>
      </c>
      <c r="C313" t="inlineStr">
        <is>
          <t>Household debt proxy</t>
        </is>
      </c>
      <c r="D313" t="inlineStr">
        <is>
          <t>pressure</t>
        </is>
      </c>
      <c r="E313" t="inlineStr">
        <is>
          <t>yes</t>
        </is>
      </c>
      <c r="F313" t="inlineStr">
        <is>
          <t>57.4717</t>
        </is>
      </c>
      <c r="G313" t="inlineStr">
        <is>
          <t>world_bank</t>
        </is>
      </c>
      <c r="H313" t="inlineStr">
        <is>
          <t>https://api.worldbank.org/v2/country/ZAF/indicator/FD.AST.PRVT.GD.ZS?format=json&amp;mrv=30</t>
        </is>
      </c>
      <c r="I313" t="inlineStr">
        <is>
          <t>World Bank WDI: Domestic credit to private sector by banks (% of GDP) used as interim leverage proxy</t>
        </is>
      </c>
      <c r="J313" t="inlineStr">
        <is>
          <t>2024-12-31</t>
        </is>
      </c>
      <c r="K313" t="inlineStr">
        <is>
          <t>auto_seed=world_bank_wdi; proxy=broad_private_credit_not_household_only; indicator=FD.AST.PRVT.GD.ZS; observation_year=2024; dataset_lastupdated=2026-02-24; stale=no</t>
        </is>
      </c>
    </row>
    <row r="314">
      <c r="A314" t="inlineStr">
        <is>
          <t>Kenya</t>
        </is>
      </c>
      <c r="B314" t="inlineStr">
        <is>
          <t>gdp_per_capita_ppp</t>
        </is>
      </c>
      <c r="C314" t="inlineStr">
        <is>
          <t>GDP per capita (PPP)</t>
        </is>
      </c>
      <c r="D314" t="inlineStr">
        <is>
          <t>creative</t>
        </is>
      </c>
      <c r="E314" t="inlineStr">
        <is>
          <t>yes</t>
        </is>
      </c>
      <c r="F314" t="inlineStr">
        <is>
          <t>6644.13</t>
        </is>
      </c>
      <c r="G314" t="inlineStr">
        <is>
          <t>world_bank</t>
        </is>
      </c>
      <c r="H314" t="inlineStr">
        <is>
          <t>https://api.worldbank.org/v2/country/KEN/indicator/NY.GDP.PCAP.PP.CD?format=json&amp;mrv=30</t>
        </is>
      </c>
      <c r="I314" t="inlineStr">
        <is>
          <t>World Bank WDI: GDP per capita, PPP (current international $)</t>
        </is>
      </c>
      <c r="J314" t="inlineStr">
        <is>
          <t>2024-12-31</t>
        </is>
      </c>
      <c r="K314" t="inlineStr">
        <is>
          <t>auto_seed=world_bank_wdi; indicator=NY.GDP.PCAP.PP.CD; observation_year=2024; dataset_lastupdated=2026-02-24; stale=no</t>
        </is>
      </c>
    </row>
    <row r="315">
      <c r="A315" t="inlineStr">
        <is>
          <t>Kenya</t>
        </is>
      </c>
      <c r="B315" t="inlineStr">
        <is>
          <t>gdp_growth</t>
        </is>
      </c>
      <c r="C315" t="inlineStr">
        <is>
          <t>GDP growth</t>
        </is>
      </c>
      <c r="D315" t="inlineStr">
        <is>
          <t>creative</t>
        </is>
      </c>
      <c r="E315" t="inlineStr">
        <is>
          <t>yes</t>
        </is>
      </c>
      <c r="F315" t="inlineStr">
        <is>
          <t>4.7247</t>
        </is>
      </c>
      <c r="G315" t="inlineStr">
        <is>
          <t>world_bank</t>
        </is>
      </c>
      <c r="H315" t="inlineStr">
        <is>
          <t>https://api.worldbank.org/v2/country/KEN/indicator/NY.GDP.MKTP.KD.ZG?format=json&amp;mrv=30</t>
        </is>
      </c>
      <c r="I315" t="inlineStr">
        <is>
          <t>World Bank WDI: GDP growth (annual %)</t>
        </is>
      </c>
      <c r="J315" t="inlineStr">
        <is>
          <t>2024-12-31</t>
        </is>
      </c>
      <c r="K315" t="inlineStr">
        <is>
          <t>auto_seed=world_bank_wdi; indicator=NY.GDP.MKTP.KD.ZG; observation_year=2024; dataset_lastupdated=2026-02-24; stale=no</t>
        </is>
      </c>
    </row>
    <row r="316">
      <c r="A316" t="inlineStr">
        <is>
          <t>Kenya</t>
        </is>
      </c>
      <c r="B316" t="inlineStr">
        <is>
          <t>gini_coefficient</t>
        </is>
      </c>
      <c r="C316" t="inlineStr">
        <is>
          <t>Gini coefficient</t>
        </is>
      </c>
      <c r="D316" t="inlineStr">
        <is>
          <t>capability</t>
        </is>
      </c>
      <c r="E316" t="inlineStr">
        <is>
          <t>yes</t>
        </is>
      </c>
      <c r="F316" t="inlineStr">
        <is>
          <t>37.7</t>
        </is>
      </c>
      <c r="G316" t="inlineStr">
        <is>
          <t>world_bank</t>
        </is>
      </c>
      <c r="H316" t="inlineStr">
        <is>
          <t>https://api.worldbank.org/v2/country/KEN/indicator/SI.POV.GINI?format=json&amp;mrv=30</t>
        </is>
      </c>
      <c r="I316" t="inlineStr">
        <is>
          <t>World Bank WDI: Gini index</t>
        </is>
      </c>
      <c r="J316" t="inlineStr">
        <is>
          <t>2022-12-31</t>
        </is>
      </c>
      <c r="K316" t="inlineStr">
        <is>
          <t>auto_seed=world_bank_wdi; indicator=SI.POV.GINI; observation_year=2022; dataset_lastupdated=2026-02-24; stale=no</t>
        </is>
      </c>
    </row>
    <row r="317">
      <c r="A317" t="inlineStr">
        <is>
          <t>Kenya</t>
        </is>
      </c>
      <c r="B317" t="inlineStr">
        <is>
          <t>ppp_private_consumption</t>
        </is>
      </c>
      <c r="C317" t="inlineStr">
        <is>
          <t>PPP private consumption factor</t>
        </is>
      </c>
      <c r="D317" t="inlineStr">
        <is>
          <t>pressure</t>
        </is>
      </c>
      <c r="E317" t="inlineStr">
        <is>
          <t>yes</t>
        </is>
      </c>
      <c r="F317" t="inlineStr">
        <is>
          <t>44.391722</t>
        </is>
      </c>
      <c r="G317" t="inlineStr">
        <is>
          <t>world_bank</t>
        </is>
      </c>
      <c r="H317" t="inlineStr">
        <is>
          <t>https://api.worldbank.org/v2/country/KEN/indicator/PA.NUS.PRVT.PP?format=json&amp;mrv=30</t>
        </is>
      </c>
      <c r="I317" t="inlineStr">
        <is>
          <t>World Bank WDI: PPP conversion factor, private consumption (LCU per international $)</t>
        </is>
      </c>
      <c r="J317" t="inlineStr">
        <is>
          <t>2024-12-31</t>
        </is>
      </c>
      <c r="K317" t="inlineStr">
        <is>
          <t>auto_seed=world_bank_wdi; indicator=PA.NUS.PRVT.PP; observation_year=2024; dataset_lastupdated=2026-02-24; stale=no</t>
        </is>
      </c>
    </row>
    <row r="318">
      <c r="A318" t="inlineStr">
        <is>
          <t>Kenya</t>
        </is>
      </c>
      <c r="B318" t="inlineStr">
        <is>
          <t>tax_rate_assumption</t>
        </is>
      </c>
      <c r="C318" t="inlineStr">
        <is>
          <t>Tax rate assumption</t>
        </is>
      </c>
      <c r="D318" t="inlineStr">
        <is>
          <t>pressure</t>
        </is>
      </c>
      <c r="E318" t="inlineStr">
        <is>
          <t>yes</t>
        </is>
      </c>
      <c r="F318" t="inlineStr">
        <is>
          <t>0.140631</t>
        </is>
      </c>
      <c r="G318" t="inlineStr">
        <is>
          <t>world_bank</t>
        </is>
      </c>
      <c r="H318" t="inlineStr">
        <is>
          <t>https://api.worldbank.org/v2/country/KEN/indicator/GC.TAX.TOTL.GD.ZS?format=json&amp;mrv=30</t>
        </is>
      </c>
      <c r="I318" t="inlineStr">
        <is>
          <t>World Bank WDI: Tax revenue (% of GDP) used as interim country average tax-take proxy</t>
        </is>
      </c>
      <c r="J318" t="inlineStr">
        <is>
          <t>2023-12-31</t>
        </is>
      </c>
      <c r="K318" t="inlineStr">
        <is>
          <t>auto_seed=world_bank_wdi; proxy=country_average_tax_take_from_tax_revenue_share; indicator=GC.TAX.TOTL.GD.ZS; observation_year=2023; dataset_lastupdated=2026-02-24; stale=no</t>
        </is>
      </c>
    </row>
    <row r="319">
      <c r="A319" t="inlineStr">
        <is>
          <t>Kenya</t>
        </is>
      </c>
      <c r="B319" t="inlineStr">
        <is>
          <t>household_debt_proxy</t>
        </is>
      </c>
      <c r="C319" t="inlineStr">
        <is>
          <t>Household debt proxy</t>
        </is>
      </c>
      <c r="D319" t="inlineStr">
        <is>
          <t>pressure</t>
        </is>
      </c>
      <c r="E319" t="inlineStr">
        <is>
          <t>yes</t>
        </is>
      </c>
      <c r="F319" t="inlineStr">
        <is>
          <t>31.7729</t>
        </is>
      </c>
      <c r="G319" t="inlineStr">
        <is>
          <t>world_bank</t>
        </is>
      </c>
      <c r="H319" t="inlineStr">
        <is>
          <t>https://api.worldbank.org/v2/country/KEN/indicator/FD.AST.PRVT.GD.ZS?format=json&amp;mrv=30</t>
        </is>
      </c>
      <c r="I319" t="inlineStr">
        <is>
          <t>World Bank WDI: Domestic credit to private sector by banks (% of GDP) used as interim leverage proxy</t>
        </is>
      </c>
      <c r="J319" t="inlineStr">
        <is>
          <t>2023-12-31</t>
        </is>
      </c>
      <c r="K319" t="inlineStr">
        <is>
          <t>auto_seed=world_bank_wdi; proxy=broad_private_credit_not_household_only; indicator=FD.AST.PRVT.GD.ZS; observation_year=2023; dataset_lastupdated=2026-02-24; stale=no</t>
        </is>
      </c>
    </row>
    <row r="320">
      <c r="A320" t="inlineStr">
        <is>
          <t>Rwanda</t>
        </is>
      </c>
      <c r="B320" t="inlineStr">
        <is>
          <t>gdp_per_capita_ppp</t>
        </is>
      </c>
      <c r="C320" t="inlineStr">
        <is>
          <t>GDP per capita (PPP)</t>
        </is>
      </c>
      <c r="D320" t="inlineStr">
        <is>
          <t>creative</t>
        </is>
      </c>
      <c r="E320" t="inlineStr">
        <is>
          <t>yes</t>
        </is>
      </c>
      <c r="F320" t="inlineStr">
        <is>
          <t>3710.86</t>
        </is>
      </c>
      <c r="G320" t="inlineStr">
        <is>
          <t>world_bank</t>
        </is>
      </c>
      <c r="H320" t="inlineStr">
        <is>
          <t>https://api.worldbank.org/v2/country/RWA/indicator/NY.GDP.PCAP.PP.CD?format=json&amp;mrv=30</t>
        </is>
      </c>
      <c r="I320" t="inlineStr">
        <is>
          <t>World Bank WDI: GDP per capita, PPP (current international $)</t>
        </is>
      </c>
      <c r="J320" t="inlineStr">
        <is>
          <t>2024-12-31</t>
        </is>
      </c>
      <c r="K320" t="inlineStr">
        <is>
          <t>auto_seed=world_bank_wdi; indicator=NY.GDP.PCAP.PP.CD; observation_year=2024; dataset_lastupdated=2026-02-24; stale=no</t>
        </is>
      </c>
    </row>
    <row r="321">
      <c r="A321" t="inlineStr">
        <is>
          <t>Rwanda</t>
        </is>
      </c>
      <c r="B321" t="inlineStr">
        <is>
          <t>gdp_growth</t>
        </is>
      </c>
      <c r="C321" t="inlineStr">
        <is>
          <t>GDP growth</t>
        </is>
      </c>
      <c r="D321" t="inlineStr">
        <is>
          <t>creative</t>
        </is>
      </c>
      <c r="E321" t="inlineStr">
        <is>
          <t>yes</t>
        </is>
      </c>
      <c r="F321" t="inlineStr">
        <is>
          <t>8.8907</t>
        </is>
      </c>
      <c r="G321" t="inlineStr">
        <is>
          <t>world_bank</t>
        </is>
      </c>
      <c r="H321" t="inlineStr">
        <is>
          <t>https://api.worldbank.org/v2/country/RWA/indicator/NY.GDP.MKTP.KD.ZG?format=json&amp;mrv=30</t>
        </is>
      </c>
      <c r="I321" t="inlineStr">
        <is>
          <t>World Bank WDI: GDP growth (annual %)</t>
        </is>
      </c>
      <c r="J321" t="inlineStr">
        <is>
          <t>2024-12-31</t>
        </is>
      </c>
      <c r="K321" t="inlineStr">
        <is>
          <t>auto_seed=world_bank_wdi; indicator=NY.GDP.MKTP.KD.ZG; observation_year=2024; dataset_lastupdated=2026-02-24; stale=no</t>
        </is>
      </c>
    </row>
    <row r="322">
      <c r="A322" t="inlineStr">
        <is>
          <t>Rwanda</t>
        </is>
      </c>
      <c r="B322" t="inlineStr">
        <is>
          <t>gini_coefficient</t>
        </is>
      </c>
      <c r="C322" t="inlineStr">
        <is>
          <t>Gini coefficient</t>
        </is>
      </c>
      <c r="D322" t="inlineStr">
        <is>
          <t>capability</t>
        </is>
      </c>
      <c r="E322" t="inlineStr">
        <is>
          <t>yes</t>
        </is>
      </c>
      <c r="F322" t="inlineStr">
        <is>
          <t>39.4</t>
        </is>
      </c>
      <c r="G322" t="inlineStr">
        <is>
          <t>world_bank</t>
        </is>
      </c>
      <c r="H322" t="inlineStr">
        <is>
          <t>https://api.worldbank.org/v2/country/RWA/indicator/SI.POV.GINI?format=json&amp;mrv=30</t>
        </is>
      </c>
      <c r="I322" t="inlineStr">
        <is>
          <t>World Bank WDI: Gini index</t>
        </is>
      </c>
      <c r="J322" t="inlineStr">
        <is>
          <t>2023-12-31</t>
        </is>
      </c>
      <c r="K322" t="inlineStr">
        <is>
          <t>auto_seed=world_bank_wdi; indicator=SI.POV.GINI; observation_year=2023; dataset_lastupdated=2026-02-24; stale=no</t>
        </is>
      </c>
    </row>
    <row r="323">
      <c r="A323" t="inlineStr">
        <is>
          <t>Rwanda</t>
        </is>
      </c>
      <c r="B323" t="inlineStr">
        <is>
          <t>ppp_private_consumption</t>
        </is>
      </c>
      <c r="C323" t="inlineStr">
        <is>
          <t>PPP private consumption factor</t>
        </is>
      </c>
      <c r="D323" t="inlineStr">
        <is>
          <t>pressure</t>
        </is>
      </c>
      <c r="E323" t="inlineStr">
        <is>
          <t>yes</t>
        </is>
      </c>
      <c r="F323" t="inlineStr">
        <is>
          <t>361.39523</t>
        </is>
      </c>
      <c r="G323" t="inlineStr">
        <is>
          <t>world_bank</t>
        </is>
      </c>
      <c r="H323" t="inlineStr">
        <is>
          <t>https://api.worldbank.org/v2/country/RWA/indicator/PA.NUS.PRVT.PP?format=json&amp;mrv=30</t>
        </is>
      </c>
      <c r="I323" t="inlineStr">
        <is>
          <t>World Bank WDI: PPP conversion factor, private consumption (LCU per international $)</t>
        </is>
      </c>
      <c r="J323" t="inlineStr">
        <is>
          <t>2024-12-31</t>
        </is>
      </c>
      <c r="K323" t="inlineStr">
        <is>
          <t>auto_seed=world_bank_wdi; indicator=PA.NUS.PRVT.PP; observation_year=2024; dataset_lastupdated=2026-02-24; stale=no</t>
        </is>
      </c>
    </row>
    <row r="324">
      <c r="A324" t="inlineStr">
        <is>
          <t>Rwanda</t>
        </is>
      </c>
      <c r="B324" t="inlineStr">
        <is>
          <t>tax_rate_assumption</t>
        </is>
      </c>
      <c r="C324" t="inlineStr">
        <is>
          <t>Tax rate assumption</t>
        </is>
      </c>
      <c r="D324" t="inlineStr">
        <is>
          <t>pressure</t>
        </is>
      </c>
      <c r="E324" t="inlineStr">
        <is>
          <t>yes</t>
        </is>
      </c>
      <c r="F324" t="inlineStr">
        <is>
          <t>0.135081</t>
        </is>
      </c>
      <c r="G324" t="inlineStr">
        <is>
          <t>world_bank</t>
        </is>
      </c>
      <c r="H324" t="inlineStr">
        <is>
          <t>https://api.worldbank.org/v2/country/RWA/indicator/GC.TAX.TOTL.GD.ZS?format=json&amp;mrv=30</t>
        </is>
      </c>
      <c r="I324" t="inlineStr">
        <is>
          <t>World Bank WDI: Tax revenue (% of GDP) used as interim country average tax-take proxy</t>
        </is>
      </c>
      <c r="J324" t="inlineStr">
        <is>
          <t>2023-12-31</t>
        </is>
      </c>
      <c r="K324" t="inlineStr">
        <is>
          <t>auto_seed=world_bank_wdi; proxy=country_average_tax_take_from_tax_revenue_share; indicator=GC.TAX.TOTL.GD.ZS; observation_year=2023; dataset_lastupdated=2026-02-24; stale=no</t>
        </is>
      </c>
    </row>
    <row r="325">
      <c r="A325" t="inlineStr">
        <is>
          <t>Rwanda</t>
        </is>
      </c>
      <c r="B325" t="inlineStr">
        <is>
          <t>household_debt_proxy</t>
        </is>
      </c>
      <c r="C325" t="inlineStr">
        <is>
          <t>Household debt proxy</t>
        </is>
      </c>
      <c r="D325" t="inlineStr">
        <is>
          <t>pressure</t>
        </is>
      </c>
      <c r="E325" t="inlineStr">
        <is>
          <t>yes</t>
        </is>
      </c>
      <c r="F325" t="inlineStr">
        <is>
          <t>22.5267</t>
        </is>
      </c>
      <c r="G325" t="inlineStr">
        <is>
          <t>world_bank</t>
        </is>
      </c>
      <c r="H325" t="inlineStr">
        <is>
          <t>https://api.worldbank.org/v2/country/RWA/indicator/FD.AST.PRVT.GD.ZS?format=json&amp;mrv=30</t>
        </is>
      </c>
      <c r="I325" t="inlineStr">
        <is>
          <t>World Bank WDI: Domestic credit to private sector by banks (% of GDP) used as interim leverage proxy</t>
        </is>
      </c>
      <c r="J325" t="inlineStr">
        <is>
          <t>2024-12-31</t>
        </is>
      </c>
      <c r="K325" t="inlineStr">
        <is>
          <t>auto_seed=world_bank_wdi; proxy=broad_private_credit_not_household_only; indicator=FD.AST.PRVT.GD.ZS; observation_year=2024; dataset_lastupdated=2026-02-24; stale=no</t>
        </is>
      </c>
    </row>
    <row r="326">
      <c r="A326" t="inlineStr">
        <is>
          <t>Morocco</t>
        </is>
      </c>
      <c r="B326" t="inlineStr">
        <is>
          <t>gdp_per_capita_ppp</t>
        </is>
      </c>
      <c r="C326" t="inlineStr">
        <is>
          <t>GDP per capita (PPP)</t>
        </is>
      </c>
      <c r="D326" t="inlineStr">
        <is>
          <t>creative</t>
        </is>
      </c>
      <c r="E326" t="inlineStr">
        <is>
          <t>yes</t>
        </is>
      </c>
      <c r="F326" t="inlineStr">
        <is>
          <t>10415.12</t>
        </is>
      </c>
      <c r="G326" t="inlineStr">
        <is>
          <t>world_bank</t>
        </is>
      </c>
      <c r="H326" t="inlineStr">
        <is>
          <t>https://api.worldbank.org/v2/country/MAR/indicator/NY.GDP.PCAP.PP.CD?format=json&amp;mrv=30</t>
        </is>
      </c>
      <c r="I326" t="inlineStr">
        <is>
          <t>World Bank WDI: GDP per capita, PPP (current international $)</t>
        </is>
      </c>
      <c r="J326" t="inlineStr">
        <is>
          <t>2024-12-31</t>
        </is>
      </c>
      <c r="K326" t="inlineStr">
        <is>
          <t>auto_seed=world_bank_wdi; indicator=NY.GDP.PCAP.PP.CD; observation_year=2024; dataset_lastupdated=2026-02-24; stale=no</t>
        </is>
      </c>
    </row>
    <row r="327">
      <c r="A327" t="inlineStr">
        <is>
          <t>Morocco</t>
        </is>
      </c>
      <c r="B327" t="inlineStr">
        <is>
          <t>gdp_growth</t>
        </is>
      </c>
      <c r="C327" t="inlineStr">
        <is>
          <t>GDP growth</t>
        </is>
      </c>
      <c r="D327" t="inlineStr">
        <is>
          <t>creative</t>
        </is>
      </c>
      <c r="E327" t="inlineStr">
        <is>
          <t>yes</t>
        </is>
      </c>
      <c r="F327" t="inlineStr">
        <is>
          <t>3.7934</t>
        </is>
      </c>
      <c r="G327" t="inlineStr">
        <is>
          <t>world_bank</t>
        </is>
      </c>
      <c r="H327" t="inlineStr">
        <is>
          <t>https://api.worldbank.org/v2/country/MAR/indicator/NY.GDP.MKTP.KD.ZG?format=json&amp;mrv=30</t>
        </is>
      </c>
      <c r="I327" t="inlineStr">
        <is>
          <t>World Bank WDI: GDP growth (annual %)</t>
        </is>
      </c>
      <c r="J327" t="inlineStr">
        <is>
          <t>2024-12-31</t>
        </is>
      </c>
      <c r="K327" t="inlineStr">
        <is>
          <t>auto_seed=world_bank_wdi; indicator=NY.GDP.MKTP.KD.ZG; observation_year=2024; dataset_lastupdated=2026-02-24; stale=no</t>
        </is>
      </c>
    </row>
    <row r="328">
      <c r="A328" t="inlineStr">
        <is>
          <t>Morocco</t>
        </is>
      </c>
      <c r="B328" t="inlineStr">
        <is>
          <t>gini_coefficient</t>
        </is>
      </c>
      <c r="C328" t="inlineStr">
        <is>
          <t>Gini coefficient</t>
        </is>
      </c>
      <c r="D328" t="inlineStr">
        <is>
          <t>capability</t>
        </is>
      </c>
      <c r="E328" t="inlineStr">
        <is>
          <t>yes</t>
        </is>
      </c>
      <c r="F328" t="inlineStr">
        <is>
          <t>39.5</t>
        </is>
      </c>
      <c r="G328" t="inlineStr">
        <is>
          <t>world_bank</t>
        </is>
      </c>
      <c r="H328" t="inlineStr">
        <is>
          <t>https://api.worldbank.org/v2/country/MAR/indicator/SI.POV.GINI?format=json&amp;mrv=30</t>
        </is>
      </c>
      <c r="I328" t="inlineStr">
        <is>
          <t>World Bank WDI: Gini index</t>
        </is>
      </c>
      <c r="J328" t="inlineStr">
        <is>
          <t>2013-12-31</t>
        </is>
      </c>
      <c r="K328" t="inlineStr">
        <is>
          <t>auto_seed=world_bank_wdi; indicator=SI.POV.GINI; observation_year=2013; dataset_lastupdated=2026-02-24; stale=yes</t>
        </is>
      </c>
    </row>
    <row r="329">
      <c r="A329" t="inlineStr">
        <is>
          <t>Morocco</t>
        </is>
      </c>
      <c r="B329" t="inlineStr">
        <is>
          <t>ppp_private_consumption</t>
        </is>
      </c>
      <c r="C329" t="inlineStr">
        <is>
          <t>PPP private consumption factor</t>
        </is>
      </c>
      <c r="D329" t="inlineStr">
        <is>
          <t>pressure</t>
        </is>
      </c>
      <c r="E329" t="inlineStr">
        <is>
          <t>yes</t>
        </is>
      </c>
      <c r="F329" t="inlineStr">
        <is>
          <t>4.038145</t>
        </is>
      </c>
      <c r="G329" t="inlineStr">
        <is>
          <t>world_bank</t>
        </is>
      </c>
      <c r="H329" t="inlineStr">
        <is>
          <t>https://api.worldbank.org/v2/country/MAR/indicator/PA.NUS.PRVT.PP?format=json&amp;mrv=30</t>
        </is>
      </c>
      <c r="I329" t="inlineStr">
        <is>
          <t>World Bank WDI: PPP conversion factor, private consumption (LCU per international $)</t>
        </is>
      </c>
      <c r="J329" t="inlineStr">
        <is>
          <t>2024-12-31</t>
        </is>
      </c>
      <c r="K329" t="inlineStr">
        <is>
          <t>auto_seed=world_bank_wdi; indicator=PA.NUS.PRVT.PP; observation_year=2024; dataset_lastupdated=2026-02-24; stale=no</t>
        </is>
      </c>
    </row>
    <row r="330">
      <c r="A330" t="inlineStr">
        <is>
          <t>Morocco</t>
        </is>
      </c>
      <c r="B330" t="inlineStr">
        <is>
          <t>tax_rate_assumption</t>
        </is>
      </c>
      <c r="C330" t="inlineStr">
        <is>
          <t>Tax rate assumption</t>
        </is>
      </c>
      <c r="D330" t="inlineStr">
        <is>
          <t>pressure</t>
        </is>
      </c>
      <c r="E330" t="inlineStr">
        <is>
          <t>yes</t>
        </is>
      </c>
      <c r="F330" t="inlineStr">
        <is>
          <t>0.207439</t>
        </is>
      </c>
      <c r="G330" t="inlineStr">
        <is>
          <t>world_bank</t>
        </is>
      </c>
      <c r="H330" t="inlineStr">
        <is>
          <t>https://api.worldbank.org/v2/country/MAR/indicator/GC.TAX.TOTL.GD.ZS?format=json&amp;mrv=30</t>
        </is>
      </c>
      <c r="I330" t="inlineStr">
        <is>
          <t>World Bank WDI: Tax revenue (% of GDP) used as interim country average tax-take proxy</t>
        </is>
      </c>
      <c r="J330" t="inlineStr">
        <is>
          <t>2023-12-31</t>
        </is>
      </c>
      <c r="K330" t="inlineStr">
        <is>
          <t>auto_seed=world_bank_wdi; proxy=country_average_tax_take_from_tax_revenue_share; indicator=GC.TAX.TOTL.GD.ZS; observation_year=2023; dataset_lastupdated=2026-02-24; stale=no</t>
        </is>
      </c>
    </row>
    <row r="331">
      <c r="A331" t="inlineStr">
        <is>
          <t>Morocco</t>
        </is>
      </c>
      <c r="B331" t="inlineStr">
        <is>
          <t>household_debt_proxy</t>
        </is>
      </c>
      <c r="C331" t="inlineStr">
        <is>
          <t>Household debt proxy</t>
        </is>
      </c>
      <c r="D331" t="inlineStr">
        <is>
          <t>pressure</t>
        </is>
      </c>
      <c r="E331" t="inlineStr">
        <is>
          <t>yes</t>
        </is>
      </c>
      <c r="F331" t="inlineStr">
        <is>
          <t>54.7741</t>
        </is>
      </c>
      <c r="G331" t="inlineStr">
        <is>
          <t>world_bank</t>
        </is>
      </c>
      <c r="H331" t="inlineStr">
        <is>
          <t>https://api.worldbank.org/v2/country/MAR/indicator/FD.AST.PRVT.GD.ZS?format=json&amp;mrv=30</t>
        </is>
      </c>
      <c r="I331" t="inlineStr">
        <is>
          <t>World Bank WDI: Domestic credit to private sector by banks (% of GDP) used as interim leverage proxy</t>
        </is>
      </c>
      <c r="J331" t="inlineStr">
        <is>
          <t>2024-12-31</t>
        </is>
      </c>
      <c r="K331" t="inlineStr">
        <is>
          <t>auto_seed=world_bank_wdi; proxy=broad_private_credit_not_household_only; indicator=FD.AST.PRVT.GD.ZS; observation_year=2024; dataset_lastupdated=2026-02-24; stale=no</t>
        </is>
      </c>
    </row>
    <row r="332">
      <c r="A332" t="inlineStr">
        <is>
          <t>Mauritius</t>
        </is>
      </c>
      <c r="B332" t="inlineStr">
        <is>
          <t>gdp_per_capita_ppp</t>
        </is>
      </c>
      <c r="C332" t="inlineStr">
        <is>
          <t>GDP per capita (PPP)</t>
        </is>
      </c>
      <c r="D332" t="inlineStr">
        <is>
          <t>creative</t>
        </is>
      </c>
      <c r="E332" t="inlineStr">
        <is>
          <t>yes</t>
        </is>
      </c>
      <c r="F332" t="inlineStr">
        <is>
          <t>31839.76</t>
        </is>
      </c>
      <c r="G332" t="inlineStr">
        <is>
          <t>world_bank</t>
        </is>
      </c>
      <c r="H332" t="inlineStr">
        <is>
          <t>https://api.worldbank.org/v2/country/MUS/indicator/NY.GDP.PCAP.PP.CD?format=json&amp;mrv=30</t>
        </is>
      </c>
      <c r="I332" t="inlineStr">
        <is>
          <t>World Bank WDI: GDP per capita, PPP (current international $)</t>
        </is>
      </c>
      <c r="J332" t="inlineStr">
        <is>
          <t>2024-12-31</t>
        </is>
      </c>
      <c r="K332" t="inlineStr">
        <is>
          <t>auto_seed=world_bank_wdi; indicator=NY.GDP.PCAP.PP.CD; observation_year=2024; dataset_lastupdated=2026-02-24; stale=no</t>
        </is>
      </c>
    </row>
    <row r="333">
      <c r="A333" t="inlineStr">
        <is>
          <t>Mauritius</t>
        </is>
      </c>
      <c r="B333" t="inlineStr">
        <is>
          <t>gdp_growth</t>
        </is>
      </c>
      <c r="C333" t="inlineStr">
        <is>
          <t>GDP growth</t>
        </is>
      </c>
      <c r="D333" t="inlineStr">
        <is>
          <t>creative</t>
        </is>
      </c>
      <c r="E333" t="inlineStr">
        <is>
          <t>yes</t>
        </is>
      </c>
      <c r="F333" t="inlineStr">
        <is>
          <t>4.9251</t>
        </is>
      </c>
      <c r="G333" t="inlineStr">
        <is>
          <t>world_bank</t>
        </is>
      </c>
      <c r="H333" t="inlineStr">
        <is>
          <t>https://api.worldbank.org/v2/country/MUS/indicator/NY.GDP.MKTP.KD.ZG?format=json&amp;mrv=30</t>
        </is>
      </c>
      <c r="I333" t="inlineStr">
        <is>
          <t>World Bank WDI: GDP growth (annual %)</t>
        </is>
      </c>
      <c r="J333" t="inlineStr">
        <is>
          <t>2024-12-31</t>
        </is>
      </c>
      <c r="K333" t="inlineStr">
        <is>
          <t>auto_seed=world_bank_wdi; indicator=NY.GDP.MKTP.KD.ZG; observation_year=2024; dataset_lastupdated=2026-02-24; stale=no</t>
        </is>
      </c>
    </row>
    <row r="334">
      <c r="A334" t="inlineStr">
        <is>
          <t>Mauritius</t>
        </is>
      </c>
      <c r="B334" t="inlineStr">
        <is>
          <t>gini_coefficient</t>
        </is>
      </c>
      <c r="C334" t="inlineStr">
        <is>
          <t>Gini coefficient</t>
        </is>
      </c>
      <c r="D334" t="inlineStr">
        <is>
          <t>capability</t>
        </is>
      </c>
      <c r="E334" t="inlineStr">
        <is>
          <t>yes</t>
        </is>
      </c>
      <c r="F334" t="inlineStr">
        <is>
          <t>36.8</t>
        </is>
      </c>
      <c r="G334" t="inlineStr">
        <is>
          <t>world_bank</t>
        </is>
      </c>
      <c r="H334" t="inlineStr">
        <is>
          <t>https://api.worldbank.org/v2/country/MUS/indicator/SI.POV.GINI?format=json&amp;mrv=30</t>
        </is>
      </c>
      <c r="I334" t="inlineStr">
        <is>
          <t>World Bank WDI: Gini index</t>
        </is>
      </c>
      <c r="J334" t="inlineStr">
        <is>
          <t>2017-12-31</t>
        </is>
      </c>
      <c r="K334" t="inlineStr">
        <is>
          <t>auto_seed=world_bank_wdi; indicator=SI.POV.GINI; observation_year=2017; dataset_lastupdated=2026-02-24; stale=yes</t>
        </is>
      </c>
    </row>
    <row r="335">
      <c r="A335" t="inlineStr">
        <is>
          <t>Mauritius</t>
        </is>
      </c>
      <c r="B335" t="inlineStr">
        <is>
          <t>ppp_private_consumption</t>
        </is>
      </c>
      <c r="C335" t="inlineStr">
        <is>
          <t>PPP private consumption factor</t>
        </is>
      </c>
      <c r="D335" t="inlineStr">
        <is>
          <t>pressure</t>
        </is>
      </c>
      <c r="E335" t="inlineStr">
        <is>
          <t>yes</t>
        </is>
      </c>
      <c r="F335" t="inlineStr">
        <is>
          <t>19.916335</t>
        </is>
      </c>
      <c r="G335" t="inlineStr">
        <is>
          <t>world_bank</t>
        </is>
      </c>
      <c r="H335" t="inlineStr">
        <is>
          <t>https://api.worldbank.org/v2/country/MUS/indicator/PA.NUS.PRVT.PP?format=json&amp;mrv=30</t>
        </is>
      </c>
      <c r="I335" t="inlineStr">
        <is>
          <t>World Bank WDI: PPP conversion factor, private consumption (LCU per international $)</t>
        </is>
      </c>
      <c r="J335" t="inlineStr">
        <is>
          <t>2024-12-31</t>
        </is>
      </c>
      <c r="K335" t="inlineStr">
        <is>
          <t>auto_seed=world_bank_wdi; indicator=PA.NUS.PRVT.PP; observation_year=2024; dataset_lastupdated=2026-02-24; stale=no</t>
        </is>
      </c>
    </row>
    <row r="336">
      <c r="A336" t="inlineStr">
        <is>
          <t>Mauritius</t>
        </is>
      </c>
      <c r="B336" t="inlineStr">
        <is>
          <t>tax_rate_assumption</t>
        </is>
      </c>
      <c r="C336" t="inlineStr">
        <is>
          <t>Tax rate assumption</t>
        </is>
      </c>
      <c r="D336" t="inlineStr">
        <is>
          <t>pressure</t>
        </is>
      </c>
      <c r="E336" t="inlineStr">
        <is>
          <t>yes</t>
        </is>
      </c>
      <c r="F336" t="inlineStr">
        <is>
          <t>0.205324</t>
        </is>
      </c>
      <c r="G336" t="inlineStr">
        <is>
          <t>world_bank</t>
        </is>
      </c>
      <c r="H336" t="inlineStr">
        <is>
          <t>https://api.worldbank.org/v2/country/MUS/indicator/GC.TAX.TOTL.GD.ZS?format=json&amp;mrv=30</t>
        </is>
      </c>
      <c r="I336" t="inlineStr">
        <is>
          <t>World Bank WDI: Tax revenue (% of GDP) used as interim country average tax-take proxy</t>
        </is>
      </c>
      <c r="J336" t="inlineStr">
        <is>
          <t>2024-12-31</t>
        </is>
      </c>
      <c r="K336" t="inlineStr">
        <is>
          <t>auto_seed=world_bank_wdi; proxy=country_average_tax_take_from_tax_revenue_share; indicator=GC.TAX.TOTL.GD.ZS; observation_year=2024; dataset_lastupdated=2026-02-24; stale=no</t>
        </is>
      </c>
    </row>
    <row r="337">
      <c r="A337" t="inlineStr">
        <is>
          <t>Mauritius</t>
        </is>
      </c>
      <c r="B337" t="inlineStr">
        <is>
          <t>household_debt_proxy</t>
        </is>
      </c>
      <c r="C337" t="inlineStr">
        <is>
          <t>Household debt proxy</t>
        </is>
      </c>
      <c r="D337" t="inlineStr">
        <is>
          <t>pressure</t>
        </is>
      </c>
      <c r="E337" t="inlineStr">
        <is>
          <t>yes</t>
        </is>
      </c>
      <c r="F337" t="inlineStr">
        <is>
          <t>69.8221</t>
        </is>
      </c>
      <c r="G337" t="inlineStr">
        <is>
          <t>world_bank</t>
        </is>
      </c>
      <c r="H337" t="inlineStr">
        <is>
          <t>https://api.worldbank.org/v2/country/MUS/indicator/FD.AST.PRVT.GD.ZS?format=json&amp;mrv=30</t>
        </is>
      </c>
      <c r="I337" t="inlineStr">
        <is>
          <t>World Bank WDI: Domestic credit to private sector by banks (% of GDP) used as interim leverage proxy</t>
        </is>
      </c>
      <c r="J337" t="inlineStr">
        <is>
          <t>2024-12-31</t>
        </is>
      </c>
      <c r="K337" t="inlineStr">
        <is>
          <t>auto_seed=world_bank_wdi; proxy=broad_private_credit_not_household_only; indicator=FD.AST.PRVT.GD.ZS; observation_year=2024; dataset_lastupdated=2026-02-24; stale=no</t>
        </is>
      </c>
    </row>
    <row r="338">
      <c r="A338" t="inlineStr">
        <is>
          <t>Botswana</t>
        </is>
      </c>
      <c r="B338" t="inlineStr">
        <is>
          <t>gdp_per_capita_ppp</t>
        </is>
      </c>
      <c r="C338" t="inlineStr">
        <is>
          <t>GDP per capita (PPP)</t>
        </is>
      </c>
      <c r="D338" t="inlineStr">
        <is>
          <t>creative</t>
        </is>
      </c>
      <c r="E338" t="inlineStr">
        <is>
          <t>yes</t>
        </is>
      </c>
      <c r="F338" t="inlineStr">
        <is>
          <t>20538.13</t>
        </is>
      </c>
      <c r="G338" t="inlineStr">
        <is>
          <t>world_bank</t>
        </is>
      </c>
      <c r="H338" t="inlineStr">
        <is>
          <t>https://api.worldbank.org/v2/country/BWA/indicator/NY.GDP.PCAP.PP.CD?format=json&amp;mrv=30</t>
        </is>
      </c>
      <c r="I338" t="inlineStr">
        <is>
          <t>World Bank WDI: GDP per capita, PPP (current international $)</t>
        </is>
      </c>
      <c r="J338" t="inlineStr">
        <is>
          <t>2024-12-31</t>
        </is>
      </c>
      <c r="K338" t="inlineStr">
        <is>
          <t>auto_seed=world_bank_wdi; indicator=NY.GDP.PCAP.PP.CD; observation_year=2024; dataset_lastupdated=2026-02-24; stale=no</t>
        </is>
      </c>
    </row>
    <row r="339">
      <c r="A339" t="inlineStr">
        <is>
          <t>Botswana</t>
        </is>
      </c>
      <c r="B339" t="inlineStr">
        <is>
          <t>gdp_growth</t>
        </is>
      </c>
      <c r="C339" t="inlineStr">
        <is>
          <t>GDP growth</t>
        </is>
      </c>
      <c r="D339" t="inlineStr">
        <is>
          <t>creative</t>
        </is>
      </c>
      <c r="E339" t="inlineStr">
        <is>
          <t>yes</t>
        </is>
      </c>
      <c r="F339" t="inlineStr">
        <is>
          <t>-2.9899</t>
        </is>
      </c>
      <c r="G339" t="inlineStr">
        <is>
          <t>world_bank</t>
        </is>
      </c>
      <c r="H339" t="inlineStr">
        <is>
          <t>https://api.worldbank.org/v2/country/BWA/indicator/NY.GDP.MKTP.KD.ZG?format=json&amp;mrv=30</t>
        </is>
      </c>
      <c r="I339" t="inlineStr">
        <is>
          <t>World Bank WDI: GDP growth (annual %)</t>
        </is>
      </c>
      <c r="J339" t="inlineStr">
        <is>
          <t>2024-12-31</t>
        </is>
      </c>
      <c r="K339" t="inlineStr">
        <is>
          <t>auto_seed=world_bank_wdi; indicator=NY.GDP.MKTP.KD.ZG; observation_year=2024; dataset_lastupdated=2026-02-24; stale=no</t>
        </is>
      </c>
    </row>
    <row r="340">
      <c r="A340" t="inlineStr">
        <is>
          <t>Botswana</t>
        </is>
      </c>
      <c r="B340" t="inlineStr">
        <is>
          <t>gini_coefficient</t>
        </is>
      </c>
      <c r="C340" t="inlineStr">
        <is>
          <t>Gini coefficient</t>
        </is>
      </c>
      <c r="D340" t="inlineStr">
        <is>
          <t>capability</t>
        </is>
      </c>
      <c r="E340" t="inlineStr">
        <is>
          <t>yes</t>
        </is>
      </c>
      <c r="F340" t="inlineStr">
        <is>
          <t>54.9</t>
        </is>
      </c>
      <c r="G340" t="inlineStr">
        <is>
          <t>world_bank</t>
        </is>
      </c>
      <c r="H340" t="inlineStr">
        <is>
          <t>https://api.worldbank.org/v2/country/BWA/indicator/SI.POV.GINI?format=json&amp;mrv=30</t>
        </is>
      </c>
      <c r="I340" t="inlineStr">
        <is>
          <t>World Bank WDI: Gini index</t>
        </is>
      </c>
      <c r="J340" t="inlineStr">
        <is>
          <t>2015-12-31</t>
        </is>
      </c>
      <c r="K340" t="inlineStr">
        <is>
          <t>auto_seed=world_bank_wdi; indicator=SI.POV.GINI; observation_year=2015; dataset_lastupdated=2026-02-24; stale=yes</t>
        </is>
      </c>
    </row>
    <row r="341">
      <c r="A341" t="inlineStr">
        <is>
          <t>Botswana</t>
        </is>
      </c>
      <c r="B341" t="inlineStr">
        <is>
          <t>ppp_private_consumption</t>
        </is>
      </c>
      <c r="C341" t="inlineStr">
        <is>
          <t>PPP private consumption factor</t>
        </is>
      </c>
      <c r="D341" t="inlineStr">
        <is>
          <t>pressure</t>
        </is>
      </c>
      <c r="E341" t="inlineStr">
        <is>
          <t>yes</t>
        </is>
      </c>
      <c r="F341" t="inlineStr">
        <is>
          <t>5.312715</t>
        </is>
      </c>
      <c r="G341" t="inlineStr">
        <is>
          <t>world_bank</t>
        </is>
      </c>
      <c r="H341" t="inlineStr">
        <is>
          <t>https://api.worldbank.org/v2/country/BWA/indicator/PA.NUS.PRVT.PP?format=json&amp;mrv=30</t>
        </is>
      </c>
      <c r="I341" t="inlineStr">
        <is>
          <t>World Bank WDI: PPP conversion factor, private consumption (LCU per international $)</t>
        </is>
      </c>
      <c r="J341" t="inlineStr">
        <is>
          <t>2024-12-31</t>
        </is>
      </c>
      <c r="K341" t="inlineStr">
        <is>
          <t>auto_seed=world_bank_wdi; indicator=PA.NUS.PRVT.PP; observation_year=2024; dataset_lastupdated=2026-02-24; stale=no</t>
        </is>
      </c>
    </row>
    <row r="342">
      <c r="A342" t="inlineStr">
        <is>
          <t>Botswana</t>
        </is>
      </c>
      <c r="B342" t="inlineStr">
        <is>
          <t>tax_rate_assumption</t>
        </is>
      </c>
      <c r="C342" t="inlineStr">
        <is>
          <t>Tax rate assumption</t>
        </is>
      </c>
      <c r="D342" t="inlineStr">
        <is>
          <t>pressure</t>
        </is>
      </c>
      <c r="E342" t="inlineStr">
        <is>
          <t>yes</t>
        </is>
      </c>
      <c r="F342" t="inlineStr">
        <is>
          <t>0.224882</t>
        </is>
      </c>
      <c r="G342" t="inlineStr">
        <is>
          <t>world_bank</t>
        </is>
      </c>
      <c r="H342" t="inlineStr">
        <is>
          <t>https://api.worldbank.org/v2/country/BWA/indicator/GC.TAX.TOTL.GD.ZS?format=json&amp;mrv=30</t>
        </is>
      </c>
      <c r="I342" t="inlineStr">
        <is>
          <t>World Bank WDI: Tax revenue (% of GDP) used as interim country average tax-take proxy</t>
        </is>
      </c>
      <c r="J342" t="inlineStr">
        <is>
          <t>2024-12-31</t>
        </is>
      </c>
      <c r="K342" t="inlineStr">
        <is>
          <t>auto_seed=world_bank_wdi; proxy=country_average_tax_take_from_tax_revenue_share; indicator=GC.TAX.TOTL.GD.ZS; observation_year=2024; dataset_lastupdated=2026-02-24; stale=no</t>
        </is>
      </c>
    </row>
    <row r="343">
      <c r="A343" t="inlineStr">
        <is>
          <t>Botswana</t>
        </is>
      </c>
      <c r="B343" t="inlineStr">
        <is>
          <t>household_debt_proxy</t>
        </is>
      </c>
      <c r="C343" t="inlineStr">
        <is>
          <t>Household debt proxy</t>
        </is>
      </c>
      <c r="D343" t="inlineStr">
        <is>
          <t>pressure</t>
        </is>
      </c>
      <c r="E343" t="inlineStr">
        <is>
          <t>yes</t>
        </is>
      </c>
      <c r="F343" t="inlineStr">
        <is>
          <t>32.8462</t>
        </is>
      </c>
      <c r="G343" t="inlineStr">
        <is>
          <t>world_bank</t>
        </is>
      </c>
      <c r="H343" t="inlineStr">
        <is>
          <t>https://api.worldbank.org/v2/country/BWA/indicator/FD.AST.PRVT.GD.ZS?format=json&amp;mrv=30</t>
        </is>
      </c>
      <c r="I343" t="inlineStr">
        <is>
          <t>World Bank WDI: Domestic credit to private sector by banks (% of GDP) used as interim leverage proxy</t>
        </is>
      </c>
      <c r="J343" t="inlineStr">
        <is>
          <t>2024-12-31</t>
        </is>
      </c>
      <c r="K343" t="inlineStr">
        <is>
          <t>auto_seed=world_bank_wdi; proxy=broad_private_credit_not_household_only; indicator=FD.AST.PRVT.GD.ZS; observation_year=2024; dataset_lastupdated=2026-02-24; stale=no</t>
        </is>
      </c>
    </row>
    <row r="344">
      <c r="A344" t="inlineStr">
        <is>
          <t>Namibia</t>
        </is>
      </c>
      <c r="B344" t="inlineStr">
        <is>
          <t>gdp_per_capita_ppp</t>
        </is>
      </c>
      <c r="C344" t="inlineStr">
        <is>
          <t>GDP per capita (PPP)</t>
        </is>
      </c>
      <c r="D344" t="inlineStr">
        <is>
          <t>creative</t>
        </is>
      </c>
      <c r="E344" t="inlineStr">
        <is>
          <t>yes</t>
        </is>
      </c>
      <c r="F344" t="inlineStr">
        <is>
          <t>11686.6</t>
        </is>
      </c>
      <c r="G344" t="inlineStr">
        <is>
          <t>world_bank</t>
        </is>
      </c>
      <c r="H344" t="inlineStr">
        <is>
          <t>https://api.worldbank.org/v2/country/NAM/indicator/NY.GDP.PCAP.PP.CD?format=json&amp;mrv=30</t>
        </is>
      </c>
      <c r="I344" t="inlineStr">
        <is>
          <t>World Bank WDI: GDP per capita, PPP (current international $)</t>
        </is>
      </c>
      <c r="J344" t="inlineStr">
        <is>
          <t>2024-12-31</t>
        </is>
      </c>
      <c r="K344" t="inlineStr">
        <is>
          <t>auto_seed=world_bank_wdi; indicator=NY.GDP.PCAP.PP.CD; observation_year=2024; dataset_lastupdated=2026-02-24; stale=no</t>
        </is>
      </c>
    </row>
    <row r="345">
      <c r="A345" t="inlineStr">
        <is>
          <t>Namibia</t>
        </is>
      </c>
      <c r="B345" t="inlineStr">
        <is>
          <t>gdp_growth</t>
        </is>
      </c>
      <c r="C345" t="inlineStr">
        <is>
          <t>GDP growth</t>
        </is>
      </c>
      <c r="D345" t="inlineStr">
        <is>
          <t>creative</t>
        </is>
      </c>
      <c r="E345" t="inlineStr">
        <is>
          <t>yes</t>
        </is>
      </c>
      <c r="F345" t="inlineStr">
        <is>
          <t>3.7115</t>
        </is>
      </c>
      <c r="G345" t="inlineStr">
        <is>
          <t>world_bank</t>
        </is>
      </c>
      <c r="H345" t="inlineStr">
        <is>
          <t>https://api.worldbank.org/v2/country/NAM/indicator/NY.GDP.MKTP.KD.ZG?format=json&amp;mrv=30</t>
        </is>
      </c>
      <c r="I345" t="inlineStr">
        <is>
          <t>World Bank WDI: GDP growth (annual %)</t>
        </is>
      </c>
      <c r="J345" t="inlineStr">
        <is>
          <t>2024-12-31</t>
        </is>
      </c>
      <c r="K345" t="inlineStr">
        <is>
          <t>auto_seed=world_bank_wdi; indicator=NY.GDP.MKTP.KD.ZG; observation_year=2024; dataset_lastupdated=2026-02-24; stale=no</t>
        </is>
      </c>
    </row>
    <row r="346">
      <c r="A346" t="inlineStr">
        <is>
          <t>Namibia</t>
        </is>
      </c>
      <c r="B346" t="inlineStr">
        <is>
          <t>gini_coefficient</t>
        </is>
      </c>
      <c r="C346" t="inlineStr">
        <is>
          <t>Gini coefficient</t>
        </is>
      </c>
      <c r="D346" t="inlineStr">
        <is>
          <t>capability</t>
        </is>
      </c>
      <c r="E346" t="inlineStr">
        <is>
          <t>yes</t>
        </is>
      </c>
      <c r="F346" t="inlineStr">
        <is>
          <t>59.1</t>
        </is>
      </c>
      <c r="G346" t="inlineStr">
        <is>
          <t>world_bank</t>
        </is>
      </c>
      <c r="H346" t="inlineStr">
        <is>
          <t>https://api.worldbank.org/v2/country/NAM/indicator/SI.POV.GINI?format=json&amp;mrv=30</t>
        </is>
      </c>
      <c r="I346" t="inlineStr">
        <is>
          <t>World Bank WDI: Gini index</t>
        </is>
      </c>
      <c r="J346" t="inlineStr">
        <is>
          <t>2015-12-31</t>
        </is>
      </c>
      <c r="K346" t="inlineStr">
        <is>
          <t>auto_seed=world_bank_wdi; indicator=SI.POV.GINI; observation_year=2015; dataset_lastupdated=2026-02-24; stale=yes</t>
        </is>
      </c>
    </row>
    <row r="347">
      <c r="A347" t="inlineStr">
        <is>
          <t>Namibia</t>
        </is>
      </c>
      <c r="B347" t="inlineStr">
        <is>
          <t>ppp_private_consumption</t>
        </is>
      </c>
      <c r="C347" t="inlineStr">
        <is>
          <t>PPP private consumption factor</t>
        </is>
      </c>
      <c r="D347" t="inlineStr">
        <is>
          <t>pressure</t>
        </is>
      </c>
      <c r="E347" t="inlineStr">
        <is>
          <t>yes</t>
        </is>
      </c>
      <c r="F347" t="inlineStr">
        <is>
          <t>7.321244</t>
        </is>
      </c>
      <c r="G347" t="inlineStr">
        <is>
          <t>world_bank</t>
        </is>
      </c>
      <c r="H347" t="inlineStr">
        <is>
          <t>https://api.worldbank.org/v2/country/NAM/indicator/PA.NUS.PRVT.PP?format=json&amp;mrv=30</t>
        </is>
      </c>
      <c r="I347" t="inlineStr">
        <is>
          <t>World Bank WDI: PPP conversion factor, private consumption (LCU per international $)</t>
        </is>
      </c>
      <c r="J347" t="inlineStr">
        <is>
          <t>2024-12-31</t>
        </is>
      </c>
      <c r="K347" t="inlineStr">
        <is>
          <t>auto_seed=world_bank_wdi; indicator=PA.NUS.PRVT.PP; observation_year=2024; dataset_lastupdated=2026-02-24; stale=no</t>
        </is>
      </c>
    </row>
    <row r="348">
      <c r="A348" t="inlineStr">
        <is>
          <t>Namibia</t>
        </is>
      </c>
      <c r="B348" t="inlineStr">
        <is>
          <t>tax_rate_assumption</t>
        </is>
      </c>
      <c r="C348" t="inlineStr">
        <is>
          <t>Tax rate assumption</t>
        </is>
      </c>
      <c r="D348" t="inlineStr">
        <is>
          <t>pressure</t>
        </is>
      </c>
      <c r="E348" t="inlineStr">
        <is>
          <t>yes</t>
        </is>
      </c>
      <c r="F348" t="inlineStr">
        <is>
          <t>0.329629</t>
        </is>
      </c>
      <c r="G348" t="inlineStr">
        <is>
          <t>world_bank</t>
        </is>
      </c>
      <c r="H348" t="inlineStr">
        <is>
          <t>https://api.worldbank.org/v2/country/NAM/indicator/GC.TAX.TOTL.GD.ZS?format=json&amp;mrv=30</t>
        </is>
      </c>
      <c r="I348" t="inlineStr">
        <is>
          <t>World Bank WDI: Tax revenue (% of GDP) used as interim country average tax-take proxy</t>
        </is>
      </c>
      <c r="J348" t="inlineStr">
        <is>
          <t>2023-12-31</t>
        </is>
      </c>
      <c r="K348" t="inlineStr">
        <is>
          <t>auto_seed=world_bank_wdi; proxy=country_average_tax_take_from_tax_revenue_share; indicator=GC.TAX.TOTL.GD.ZS; observation_year=2023; dataset_lastupdated=2026-02-24; stale=no</t>
        </is>
      </c>
    </row>
    <row r="349">
      <c r="A349" t="inlineStr">
        <is>
          <t>Namibia</t>
        </is>
      </c>
      <c r="B349" t="inlineStr">
        <is>
          <t>household_debt_proxy</t>
        </is>
      </c>
      <c r="C349" t="inlineStr">
        <is>
          <t>Household debt proxy</t>
        </is>
      </c>
      <c r="D349" t="inlineStr">
        <is>
          <t>pressure</t>
        </is>
      </c>
      <c r="E349" t="inlineStr">
        <is>
          <t>yes</t>
        </is>
      </c>
      <c r="F349" t="inlineStr">
        <is>
          <t>48.2075</t>
        </is>
      </c>
      <c r="G349" t="inlineStr">
        <is>
          <t>world_bank</t>
        </is>
      </c>
      <c r="H349" t="inlineStr">
        <is>
          <t>https://api.worldbank.org/v2/country/NAM/indicator/FD.AST.PRVT.GD.ZS?format=json&amp;mrv=30</t>
        </is>
      </c>
      <c r="I349" t="inlineStr">
        <is>
          <t>World Bank WDI: Domestic credit to private sector by banks (% of GDP) used as interim leverage proxy</t>
        </is>
      </c>
      <c r="J349" t="inlineStr">
        <is>
          <t>2024-12-31</t>
        </is>
      </c>
      <c r="K349" t="inlineStr">
        <is>
          <t>auto_seed=world_bank_wdi; proxy=broad_private_credit_not_household_only; indicator=FD.AST.PRVT.GD.ZS; observation_year=2024; dataset_lastupdated=2026-02-24; stale=no</t>
        </is>
      </c>
    </row>
    <row r="350">
      <c r="A350" t="inlineStr">
        <is>
          <t>Ghana</t>
        </is>
      </c>
      <c r="B350" t="inlineStr">
        <is>
          <t>gdp_per_capita_ppp</t>
        </is>
      </c>
      <c r="C350" t="inlineStr">
        <is>
          <t>GDP per capita (PPP)</t>
        </is>
      </c>
      <c r="D350" t="inlineStr">
        <is>
          <t>creative</t>
        </is>
      </c>
      <c r="E350" t="inlineStr">
        <is>
          <t>yes</t>
        </is>
      </c>
      <c r="F350" t="inlineStr">
        <is>
          <t>8020</t>
        </is>
      </c>
      <c r="G350" t="inlineStr">
        <is>
          <t>world_bank</t>
        </is>
      </c>
      <c r="H350" t="inlineStr">
        <is>
          <t>https://api.worldbank.org/v2/country/GHA/indicator/NY.GDP.PCAP.PP.CD?format=json&amp;mrv=30</t>
        </is>
      </c>
      <c r="I350" t="inlineStr">
        <is>
          <t>World Bank WDI: GDP per capita, PPP (current international $)</t>
        </is>
      </c>
      <c r="J350" t="inlineStr">
        <is>
          <t>2024-12-31</t>
        </is>
      </c>
      <c r="K350" t="inlineStr">
        <is>
          <t>auto_seed=world_bank_wdi; indicator=NY.GDP.PCAP.PP.CD; observation_year=2024; dataset_lastupdated=2026-02-24; stale=no</t>
        </is>
      </c>
    </row>
    <row r="351">
      <c r="A351" t="inlineStr">
        <is>
          <t>Ghana</t>
        </is>
      </c>
      <c r="B351" t="inlineStr">
        <is>
          <t>gdp_growth</t>
        </is>
      </c>
      <c r="C351" t="inlineStr">
        <is>
          <t>GDP growth</t>
        </is>
      </c>
      <c r="D351" t="inlineStr">
        <is>
          <t>creative</t>
        </is>
      </c>
      <c r="E351" t="inlineStr">
        <is>
          <t>yes</t>
        </is>
      </c>
      <c r="F351" t="inlineStr">
        <is>
          <t>5.5905</t>
        </is>
      </c>
      <c r="G351" t="inlineStr">
        <is>
          <t>world_bank</t>
        </is>
      </c>
      <c r="H351" t="inlineStr">
        <is>
          <t>https://api.worldbank.org/v2/country/GHA/indicator/NY.GDP.MKTP.KD.ZG?format=json&amp;mrv=30</t>
        </is>
      </c>
      <c r="I351" t="inlineStr">
        <is>
          <t>World Bank WDI: GDP growth (annual %)</t>
        </is>
      </c>
      <c r="J351" t="inlineStr">
        <is>
          <t>2024-12-31</t>
        </is>
      </c>
      <c r="K351" t="inlineStr">
        <is>
          <t>auto_seed=world_bank_wdi; indicator=NY.GDP.MKTP.KD.ZG; observation_year=2024; dataset_lastupdated=2026-02-24; stale=no</t>
        </is>
      </c>
    </row>
    <row r="352">
      <c r="A352" t="inlineStr">
        <is>
          <t>Ghana</t>
        </is>
      </c>
      <c r="B352" t="inlineStr">
        <is>
          <t>gini_coefficient</t>
        </is>
      </c>
      <c r="C352" t="inlineStr">
        <is>
          <t>Gini coefficient</t>
        </is>
      </c>
      <c r="D352" t="inlineStr">
        <is>
          <t>capability</t>
        </is>
      </c>
      <c r="E352" t="inlineStr">
        <is>
          <t>yes</t>
        </is>
      </c>
      <c r="F352" t="inlineStr">
        <is>
          <t>43.5</t>
        </is>
      </c>
      <c r="G352" t="inlineStr">
        <is>
          <t>world_bank</t>
        </is>
      </c>
      <c r="H352" t="inlineStr">
        <is>
          <t>https://api.worldbank.org/v2/country/GHA/indicator/SI.POV.GINI?format=json&amp;mrv=30</t>
        </is>
      </c>
      <c r="I352" t="inlineStr">
        <is>
          <t>World Bank WDI: Gini index</t>
        </is>
      </c>
      <c r="J352" t="inlineStr">
        <is>
          <t>2016-12-31</t>
        </is>
      </c>
      <c r="K352" t="inlineStr">
        <is>
          <t>auto_seed=world_bank_wdi; indicator=SI.POV.GINI; observation_year=2016; dataset_lastupdated=2026-02-24; stale=yes</t>
        </is>
      </c>
    </row>
    <row r="353">
      <c r="A353" t="inlineStr">
        <is>
          <t>Ghana</t>
        </is>
      </c>
      <c r="B353" t="inlineStr">
        <is>
          <t>ppp_private_consumption</t>
        </is>
      </c>
      <c r="C353" t="inlineStr">
        <is>
          <t>PPP private consumption factor</t>
        </is>
      </c>
      <c r="D353" t="inlineStr">
        <is>
          <t>pressure</t>
        </is>
      </c>
      <c r="E353" t="inlineStr">
        <is>
          <t>yes</t>
        </is>
      </c>
      <c r="F353" t="inlineStr">
        <is>
          <t>4.721006</t>
        </is>
      </c>
      <c r="G353" t="inlineStr">
        <is>
          <t>world_bank</t>
        </is>
      </c>
      <c r="H353" t="inlineStr">
        <is>
          <t>https://api.worldbank.org/v2/country/GHA/indicator/PA.NUS.PRVT.PP?format=json&amp;mrv=30</t>
        </is>
      </c>
      <c r="I353" t="inlineStr">
        <is>
          <t>World Bank WDI: PPP conversion factor, private consumption (LCU per international $)</t>
        </is>
      </c>
      <c r="J353" t="inlineStr">
        <is>
          <t>2024-12-31</t>
        </is>
      </c>
      <c r="K353" t="inlineStr">
        <is>
          <t>auto_seed=world_bank_wdi; indicator=PA.NUS.PRVT.PP; observation_year=2024; dataset_lastupdated=2026-02-24; stale=no</t>
        </is>
      </c>
    </row>
    <row r="354">
      <c r="A354" t="inlineStr">
        <is>
          <t>Ghana</t>
        </is>
      </c>
      <c r="B354" t="inlineStr">
        <is>
          <t>tax_rate_assumption</t>
        </is>
      </c>
      <c r="C354" t="inlineStr">
        <is>
          <t>Tax rate assumption</t>
        </is>
      </c>
      <c r="D354" t="inlineStr">
        <is>
          <t>pressure</t>
        </is>
      </c>
      <c r="E354" t="inlineStr">
        <is>
          <t>yes</t>
        </is>
      </c>
      <c r="F354" t="inlineStr">
        <is>
          <t>0.122975</t>
        </is>
      </c>
      <c r="G354" t="inlineStr">
        <is>
          <t>world_bank</t>
        </is>
      </c>
      <c r="H354" t="inlineStr">
        <is>
          <t>https://api.worldbank.org/v2/country/GHA/indicator/GC.TAX.TOTL.GD.ZS?format=json&amp;mrv=30</t>
        </is>
      </c>
      <c r="I354" t="inlineStr">
        <is>
          <t>World Bank WDI: Tax revenue (% of GDP) used as interim country average tax-take proxy</t>
        </is>
      </c>
      <c r="J354" t="inlineStr">
        <is>
          <t>2022-12-31</t>
        </is>
      </c>
      <c r="K354" t="inlineStr">
        <is>
          <t>auto_seed=world_bank_wdi; proxy=country_average_tax_take_from_tax_revenue_share; indicator=GC.TAX.TOTL.GD.ZS; observation_year=2022; dataset_lastupdated=2026-02-24; stale=no</t>
        </is>
      </c>
    </row>
    <row r="355">
      <c r="A355" t="inlineStr">
        <is>
          <t>Ghana</t>
        </is>
      </c>
      <c r="B355" t="inlineStr">
        <is>
          <t>household_debt_proxy</t>
        </is>
      </c>
      <c r="C355" t="inlineStr">
        <is>
          <t>Household debt proxy</t>
        </is>
      </c>
      <c r="D355" t="inlineStr">
        <is>
          <t>pressure</t>
        </is>
      </c>
      <c r="E355" t="inlineStr">
        <is>
          <t>yes</t>
        </is>
      </c>
      <c r="F355" t="inlineStr">
        <is>
          <t>8.6512</t>
        </is>
      </c>
      <c r="G355" t="inlineStr">
        <is>
          <t>world_bank</t>
        </is>
      </c>
      <c r="H355" t="inlineStr">
        <is>
          <t>https://api.worldbank.org/v2/country/GHA/indicator/FD.AST.PRVT.GD.ZS?format=json&amp;mrv=30</t>
        </is>
      </c>
      <c r="I355" t="inlineStr">
        <is>
          <t>World Bank WDI: Domestic credit to private sector by banks (% of GDP) used as interim leverage proxy</t>
        </is>
      </c>
      <c r="J355" t="inlineStr">
        <is>
          <t>2023-12-31</t>
        </is>
      </c>
      <c r="K355" t="inlineStr">
        <is>
          <t>auto_seed=world_bank_wdi; proxy=broad_private_credit_not_household_only; indicator=FD.AST.PRVT.GD.ZS; observation_year=2023; dataset_lastupdated=2026-02-24; stale=no</t>
        </is>
      </c>
    </row>
    <row r="356">
      <c r="A356" t="inlineStr">
        <is>
          <t>Senegal</t>
        </is>
      </c>
      <c r="B356" t="inlineStr">
        <is>
          <t>gdp_per_capita_ppp</t>
        </is>
      </c>
      <c r="C356" t="inlineStr">
        <is>
          <t>GDP per capita (PPP)</t>
        </is>
      </c>
      <c r="D356" t="inlineStr">
        <is>
          <t>creative</t>
        </is>
      </c>
      <c r="E356" t="inlineStr">
        <is>
          <t>yes</t>
        </is>
      </c>
      <c r="F356" t="inlineStr">
        <is>
          <t>5070.65</t>
        </is>
      </c>
      <c r="G356" t="inlineStr">
        <is>
          <t>world_bank</t>
        </is>
      </c>
      <c r="H356" t="inlineStr">
        <is>
          <t>https://api.worldbank.org/v2/country/SEN/indicator/NY.GDP.PCAP.PP.CD?format=json&amp;mrv=30</t>
        </is>
      </c>
      <c r="I356" t="inlineStr">
        <is>
          <t>World Bank WDI: GDP per capita, PPP (current international $)</t>
        </is>
      </c>
      <c r="J356" t="inlineStr">
        <is>
          <t>2024-12-31</t>
        </is>
      </c>
      <c r="K356" t="inlineStr">
        <is>
          <t>auto_seed=world_bank_wdi; indicator=NY.GDP.PCAP.PP.CD; observation_year=2024; dataset_lastupdated=2026-02-24; stale=no</t>
        </is>
      </c>
    </row>
    <row r="357">
      <c r="A357" t="inlineStr">
        <is>
          <t>Senegal</t>
        </is>
      </c>
      <c r="B357" t="inlineStr">
        <is>
          <t>gdp_growth</t>
        </is>
      </c>
      <c r="C357" t="inlineStr">
        <is>
          <t>GDP growth</t>
        </is>
      </c>
      <c r="D357" t="inlineStr">
        <is>
          <t>creative</t>
        </is>
      </c>
      <c r="E357" t="inlineStr">
        <is>
          <t>yes</t>
        </is>
      </c>
      <c r="F357" t="inlineStr">
        <is>
          <t>6.0606</t>
        </is>
      </c>
      <c r="G357" t="inlineStr">
        <is>
          <t>world_bank</t>
        </is>
      </c>
      <c r="H357" t="inlineStr">
        <is>
          <t>https://api.worldbank.org/v2/country/SEN/indicator/NY.GDP.MKTP.KD.ZG?format=json&amp;mrv=30</t>
        </is>
      </c>
      <c r="I357" t="inlineStr">
        <is>
          <t>World Bank WDI: GDP growth (annual %)</t>
        </is>
      </c>
      <c r="J357" t="inlineStr">
        <is>
          <t>2024-12-31</t>
        </is>
      </c>
      <c r="K357" t="inlineStr">
        <is>
          <t>auto_seed=world_bank_wdi; indicator=NY.GDP.MKTP.KD.ZG; observation_year=2024; dataset_lastupdated=2026-02-24; stale=no</t>
        </is>
      </c>
    </row>
    <row r="358">
      <c r="A358" t="inlineStr">
        <is>
          <t>Senegal</t>
        </is>
      </c>
      <c r="B358" t="inlineStr">
        <is>
          <t>gini_coefficient</t>
        </is>
      </c>
      <c r="C358" t="inlineStr">
        <is>
          <t>Gini coefficient</t>
        </is>
      </c>
      <c r="D358" t="inlineStr">
        <is>
          <t>capability</t>
        </is>
      </c>
      <c r="E358" t="inlineStr">
        <is>
          <t>yes</t>
        </is>
      </c>
      <c r="F358" t="inlineStr">
        <is>
          <t>36.2</t>
        </is>
      </c>
      <c r="G358" t="inlineStr">
        <is>
          <t>world_bank</t>
        </is>
      </c>
      <c r="H358" t="inlineStr">
        <is>
          <t>https://api.worldbank.org/v2/country/SEN/indicator/SI.POV.GINI?format=json&amp;mrv=30</t>
        </is>
      </c>
      <c r="I358" t="inlineStr">
        <is>
          <t>World Bank WDI: Gini index</t>
        </is>
      </c>
      <c r="J358" t="inlineStr">
        <is>
          <t>2021-12-31</t>
        </is>
      </c>
      <c r="K358" t="inlineStr">
        <is>
          <t>auto_seed=world_bank_wdi; indicator=SI.POV.GINI; observation_year=2021; dataset_lastupdated=2026-02-24; stale=no</t>
        </is>
      </c>
    </row>
    <row r="359">
      <c r="A359" t="inlineStr">
        <is>
          <t>Senegal</t>
        </is>
      </c>
      <c r="B359" t="inlineStr">
        <is>
          <t>ppp_private_consumption</t>
        </is>
      </c>
      <c r="C359" t="inlineStr">
        <is>
          <t>PPP private consumption factor</t>
        </is>
      </c>
      <c r="D359" t="inlineStr">
        <is>
          <t>pressure</t>
        </is>
      </c>
      <c r="E359" t="inlineStr">
        <is>
          <t>yes</t>
        </is>
      </c>
      <c r="F359" t="inlineStr">
        <is>
          <t>229.280958</t>
        </is>
      </c>
      <c r="G359" t="inlineStr">
        <is>
          <t>world_bank</t>
        </is>
      </c>
      <c r="H359" t="inlineStr">
        <is>
          <t>https://api.worldbank.org/v2/country/SEN/indicator/PA.NUS.PRVT.PP?format=json&amp;mrv=30</t>
        </is>
      </c>
      <c r="I359" t="inlineStr">
        <is>
          <t>World Bank WDI: PPP conversion factor, private consumption (LCU per international $)</t>
        </is>
      </c>
      <c r="J359" t="inlineStr">
        <is>
          <t>2024-12-31</t>
        </is>
      </c>
      <c r="K359" t="inlineStr">
        <is>
          <t>auto_seed=world_bank_wdi; indicator=PA.NUS.PRVT.PP; observation_year=2024; dataset_lastupdated=2026-02-24; stale=no</t>
        </is>
      </c>
    </row>
    <row r="360">
      <c r="A360" t="inlineStr">
        <is>
          <t>Senegal</t>
        </is>
      </c>
      <c r="B360" t="inlineStr">
        <is>
          <t>tax_rate_assumption</t>
        </is>
      </c>
      <c r="C360" t="inlineStr">
        <is>
          <t>Tax rate assumption</t>
        </is>
      </c>
      <c r="D360" t="inlineStr">
        <is>
          <t>pressure</t>
        </is>
      </c>
      <c r="E360" t="inlineStr">
        <is>
          <t>yes</t>
        </is>
      </c>
      <c r="F360" t="inlineStr">
        <is>
          <t>0.195371</t>
        </is>
      </c>
      <c r="G360" t="inlineStr">
        <is>
          <t>world_bank</t>
        </is>
      </c>
      <c r="H360" t="inlineStr">
        <is>
          <t>https://api.worldbank.org/v2/country/SEN/indicator/GC.TAX.TOTL.GD.ZS?format=json&amp;mrv=30</t>
        </is>
      </c>
      <c r="I360" t="inlineStr">
        <is>
          <t>World Bank WDI: Tax revenue (% of GDP) used as interim country average tax-take proxy</t>
        </is>
      </c>
      <c r="J360" t="inlineStr">
        <is>
          <t>2023-12-31</t>
        </is>
      </c>
      <c r="K360" t="inlineStr">
        <is>
          <t>auto_seed=world_bank_wdi; proxy=country_average_tax_take_from_tax_revenue_share; indicator=GC.TAX.TOTL.GD.ZS; observation_year=2023; dataset_lastupdated=2026-02-24; stale=no</t>
        </is>
      </c>
    </row>
    <row r="361">
      <c r="A361" t="inlineStr">
        <is>
          <t>Senegal</t>
        </is>
      </c>
      <c r="B361" t="inlineStr">
        <is>
          <t>household_debt_proxy</t>
        </is>
      </c>
      <c r="C361" t="inlineStr">
        <is>
          <t>Household debt proxy</t>
        </is>
      </c>
      <c r="D361" t="inlineStr">
        <is>
          <t>pressure</t>
        </is>
      </c>
      <c r="E361" t="inlineStr">
        <is>
          <t>yes</t>
        </is>
      </c>
      <c r="F361" t="inlineStr">
        <is>
          <t>29.205</t>
        </is>
      </c>
      <c r="G361" t="inlineStr">
        <is>
          <t>world_bank</t>
        </is>
      </c>
      <c r="H361" t="inlineStr">
        <is>
          <t>https://api.worldbank.org/v2/country/SEN/indicator/FD.AST.PRVT.GD.ZS?format=json&amp;mrv=30</t>
        </is>
      </c>
      <c r="I361" t="inlineStr">
        <is>
          <t>World Bank WDI: Domestic credit to private sector by banks (% of GDP) used as interim leverage proxy</t>
        </is>
      </c>
      <c r="J361" t="inlineStr">
        <is>
          <t>2024-12-31</t>
        </is>
      </c>
      <c r="K361" t="inlineStr">
        <is>
          <t>auto_seed=world_bank_wdi; proxy=broad_private_credit_not_household_only; indicator=FD.AST.PRVT.GD.ZS; observation_year=2024; dataset_lastupdated=2026-02-24; stale=no</t>
        </is>
      </c>
    </row>
    <row r="362">
      <c r="A362" t="inlineStr">
        <is>
          <t>New Zealand</t>
        </is>
      </c>
      <c r="B362" t="inlineStr">
        <is>
          <t>gdp_per_capita_ppp</t>
        </is>
      </c>
      <c r="C362" t="inlineStr">
        <is>
          <t>GDP per capita (PPP)</t>
        </is>
      </c>
      <c r="D362" t="inlineStr">
        <is>
          <t>creative</t>
        </is>
      </c>
      <c r="E362" t="inlineStr">
        <is>
          <t>yes</t>
        </is>
      </c>
      <c r="F362" t="inlineStr">
        <is>
          <t>55551.14</t>
        </is>
      </c>
      <c r="G362" t="inlineStr">
        <is>
          <t>world_bank</t>
        </is>
      </c>
      <c r="H362" t="inlineStr">
        <is>
          <t>https://api.worldbank.org/v2/country/NZL/indicator/NY.GDP.PCAP.PP.CD?format=json&amp;mrv=30</t>
        </is>
      </c>
      <c r="I362" t="inlineStr">
        <is>
          <t>World Bank WDI: GDP per capita, PPP (current international $)</t>
        </is>
      </c>
      <c r="J362" t="inlineStr">
        <is>
          <t>2024-12-31</t>
        </is>
      </c>
      <c r="K362" t="inlineStr">
        <is>
          <t>auto_seed=world_bank_wdi; indicator=NY.GDP.PCAP.PP.CD; observation_year=2024; dataset_lastupdated=2026-02-24; stale=no</t>
        </is>
      </c>
    </row>
    <row r="363">
      <c r="A363" t="inlineStr">
        <is>
          <t>New Zealand</t>
        </is>
      </c>
      <c r="B363" t="inlineStr">
        <is>
          <t>gdp_growth</t>
        </is>
      </c>
      <c r="C363" t="inlineStr">
        <is>
          <t>GDP growth</t>
        </is>
      </c>
      <c r="D363" t="inlineStr">
        <is>
          <t>creative</t>
        </is>
      </c>
      <c r="E363" t="inlineStr">
        <is>
          <t>yes</t>
        </is>
      </c>
      <c r="F363" t="inlineStr">
        <is>
          <t>1.2886</t>
        </is>
      </c>
      <c r="G363" t="inlineStr">
        <is>
          <t>world_bank</t>
        </is>
      </c>
      <c r="H363" t="inlineStr">
        <is>
          <t>https://api.worldbank.org/v2/country/NZL/indicator/NY.GDP.MKTP.KD.ZG?format=json&amp;mrv=30</t>
        </is>
      </c>
      <c r="I363" t="inlineStr">
        <is>
          <t>World Bank WDI: GDP growth (annual %)</t>
        </is>
      </c>
      <c r="J363" t="inlineStr">
        <is>
          <t>2024-12-31</t>
        </is>
      </c>
      <c r="K363" t="inlineStr">
        <is>
          <t>auto_seed=world_bank_wdi; indicator=NY.GDP.MKTP.KD.ZG; observation_year=2024; dataset_lastupdated=2026-02-24; stale=no</t>
        </is>
      </c>
    </row>
    <row r="364">
      <c r="A364" t="inlineStr">
        <is>
          <t>New Zealand</t>
        </is>
      </c>
      <c r="B364" t="inlineStr">
        <is>
          <t>gini_coefficient</t>
        </is>
      </c>
      <c r="C364" t="inlineStr">
        <is>
          <t>Gini coefficient</t>
        </is>
      </c>
      <c r="D364" t="inlineStr">
        <is>
          <t>capability</t>
        </is>
      </c>
      <c r="E364" t="inlineStr">
        <is>
          <t>yes</t>
        </is>
      </c>
      <c r="F364" t="inlineStr"/>
      <c r="G364" t="inlineStr"/>
      <c r="H364" t="inlineStr"/>
      <c r="I364" t="inlineStr"/>
      <c r="J364" t="inlineStr"/>
      <c r="K364" t="inlineStr"/>
    </row>
    <row r="365">
      <c r="A365" t="inlineStr">
        <is>
          <t>New Zealand</t>
        </is>
      </c>
      <c r="B365" t="inlineStr">
        <is>
          <t>ppp_private_consumption</t>
        </is>
      </c>
      <c r="C365" t="inlineStr">
        <is>
          <t>PPP private consumption factor</t>
        </is>
      </c>
      <c r="D365" t="inlineStr">
        <is>
          <t>pressure</t>
        </is>
      </c>
      <c r="E365" t="inlineStr">
        <is>
          <t>yes</t>
        </is>
      </c>
      <c r="F365" t="inlineStr">
        <is>
          <t>1.499938</t>
        </is>
      </c>
      <c r="G365" t="inlineStr">
        <is>
          <t>world_bank</t>
        </is>
      </c>
      <c r="H365" t="inlineStr">
        <is>
          <t>https://api.worldbank.org/v2/country/NZL/indicator/PA.NUS.PRVT.PP?format=json&amp;mrv=30</t>
        </is>
      </c>
      <c r="I365" t="inlineStr">
        <is>
          <t>World Bank WDI: PPP conversion factor, private consumption (LCU per international $)</t>
        </is>
      </c>
      <c r="J365" t="inlineStr">
        <is>
          <t>2024-12-31</t>
        </is>
      </c>
      <c r="K365" t="inlineStr">
        <is>
          <t>auto_seed=world_bank_wdi; indicator=PA.NUS.PRVT.PP; observation_year=2024; dataset_lastupdated=2026-02-24; stale=no</t>
        </is>
      </c>
    </row>
    <row r="366">
      <c r="A366" t="inlineStr">
        <is>
          <t>New Zealand</t>
        </is>
      </c>
      <c r="B366" t="inlineStr">
        <is>
          <t>tax_rate_assumption</t>
        </is>
      </c>
      <c r="C366" t="inlineStr">
        <is>
          <t>Tax rate assumption</t>
        </is>
      </c>
      <c r="D366" t="inlineStr">
        <is>
          <t>pressure</t>
        </is>
      </c>
      <c r="E366" t="inlineStr">
        <is>
          <t>yes</t>
        </is>
      </c>
      <c r="F366" t="inlineStr">
        <is>
          <t>0.306678</t>
        </is>
      </c>
      <c r="G366" t="inlineStr">
        <is>
          <t>world_bank</t>
        </is>
      </c>
      <c r="H366" t="inlineStr">
        <is>
          <t>https://api.worldbank.org/v2/country/NZL/indicator/GC.TAX.TOTL.GD.ZS?format=json&amp;mrv=30</t>
        </is>
      </c>
      <c r="I366" t="inlineStr">
        <is>
          <t>World Bank WDI: Tax revenue (% of GDP) used as interim country average tax-take proxy</t>
        </is>
      </c>
      <c r="J366" t="inlineStr">
        <is>
          <t>2023-12-31</t>
        </is>
      </c>
      <c r="K366" t="inlineStr">
        <is>
          <t>auto_seed=world_bank_wdi; proxy=country_average_tax_take_from_tax_revenue_share; indicator=GC.TAX.TOTL.GD.ZS; observation_year=2023; dataset_lastupdated=2026-02-24; stale=no</t>
        </is>
      </c>
    </row>
    <row r="367">
      <c r="A367" t="inlineStr">
        <is>
          <t>New Zealand</t>
        </is>
      </c>
      <c r="B367" t="inlineStr">
        <is>
          <t>household_debt_proxy</t>
        </is>
      </c>
      <c r="C367" t="inlineStr">
        <is>
          <t>Household debt proxy</t>
        </is>
      </c>
      <c r="D367" t="inlineStr">
        <is>
          <t>pressure</t>
        </is>
      </c>
      <c r="E367" t="inlineStr">
        <is>
          <t>yes</t>
        </is>
      </c>
      <c r="F367" t="inlineStr">
        <is>
          <t>129.7971</t>
        </is>
      </c>
      <c r="G367" t="inlineStr">
        <is>
          <t>world_bank</t>
        </is>
      </c>
      <c r="H367" t="inlineStr">
        <is>
          <t>https://api.worldbank.org/v2/country/NZL/indicator/FD.AST.PRVT.GD.ZS?format=json&amp;mrv=30</t>
        </is>
      </c>
      <c r="I367" t="inlineStr">
        <is>
          <t>World Bank WDI: Domestic credit to private sector by banks (% of GDP) used as interim leverage proxy</t>
        </is>
      </c>
      <c r="J367" t="inlineStr">
        <is>
          <t>2024-12-31</t>
        </is>
      </c>
      <c r="K367" t="inlineStr">
        <is>
          <t>auto_seed=world_bank_wdi; proxy=broad_private_credit_not_household_only; indicator=FD.AST.PRVT.GD.ZS; observation_year=2024; dataset_lastupdated=2026-02-24; stale=no</t>
        </is>
      </c>
    </row>
    <row r="368">
      <c r="A368" t="inlineStr">
        <is>
          <t>Australia</t>
        </is>
      </c>
      <c r="B368" t="inlineStr">
        <is>
          <t>gdp_per_capita_ppp</t>
        </is>
      </c>
      <c r="C368" t="inlineStr">
        <is>
          <t>GDP per capita (PPP)</t>
        </is>
      </c>
      <c r="D368" t="inlineStr">
        <is>
          <t>creative</t>
        </is>
      </c>
      <c r="E368" t="inlineStr">
        <is>
          <t>yes</t>
        </is>
      </c>
      <c r="F368" t="inlineStr">
        <is>
          <t>72111.18</t>
        </is>
      </c>
      <c r="G368" t="inlineStr">
        <is>
          <t>world_bank</t>
        </is>
      </c>
      <c r="H368" t="inlineStr">
        <is>
          <t>https://api.worldbank.org/v2/country/AUS/indicator/NY.GDP.PCAP.PP.CD?format=json&amp;mrv=30</t>
        </is>
      </c>
      <c r="I368" t="inlineStr">
        <is>
          <t>World Bank WDI: GDP per capita, PPP (current international $)</t>
        </is>
      </c>
      <c r="J368" t="inlineStr">
        <is>
          <t>2024-12-31</t>
        </is>
      </c>
      <c r="K368" t="inlineStr">
        <is>
          <t>auto_seed=world_bank_wdi; indicator=NY.GDP.PCAP.PP.CD; observation_year=2024; dataset_lastupdated=2026-02-24; stale=no</t>
        </is>
      </c>
    </row>
    <row r="369">
      <c r="A369" t="inlineStr">
        <is>
          <t>Australia</t>
        </is>
      </c>
      <c r="B369" t="inlineStr">
        <is>
          <t>gdp_growth</t>
        </is>
      </c>
      <c r="C369" t="inlineStr">
        <is>
          <t>GDP growth</t>
        </is>
      </c>
      <c r="D369" t="inlineStr">
        <is>
          <t>creative</t>
        </is>
      </c>
      <c r="E369" t="inlineStr">
        <is>
          <t>yes</t>
        </is>
      </c>
      <c r="F369" t="inlineStr">
        <is>
          <t>1.3734</t>
        </is>
      </c>
      <c r="G369" t="inlineStr">
        <is>
          <t>world_bank</t>
        </is>
      </c>
      <c r="H369" t="inlineStr">
        <is>
          <t>https://api.worldbank.org/v2/country/AUS/indicator/NY.GDP.MKTP.KD.ZG?format=json&amp;mrv=30</t>
        </is>
      </c>
      <c r="I369" t="inlineStr">
        <is>
          <t>World Bank WDI: GDP growth (annual %)</t>
        </is>
      </c>
      <c r="J369" t="inlineStr">
        <is>
          <t>2024-12-31</t>
        </is>
      </c>
      <c r="K369" t="inlineStr">
        <is>
          <t>auto_seed=world_bank_wdi; indicator=NY.GDP.MKTP.KD.ZG; observation_year=2024; dataset_lastupdated=2026-02-24; stale=no</t>
        </is>
      </c>
    </row>
    <row r="370">
      <c r="A370" t="inlineStr">
        <is>
          <t>Australia</t>
        </is>
      </c>
      <c r="B370" t="inlineStr">
        <is>
          <t>gini_coefficient</t>
        </is>
      </c>
      <c r="C370" t="inlineStr">
        <is>
          <t>Gini coefficient</t>
        </is>
      </c>
      <c r="D370" t="inlineStr">
        <is>
          <t>capability</t>
        </is>
      </c>
      <c r="E370" t="inlineStr">
        <is>
          <t>yes</t>
        </is>
      </c>
      <c r="F370" t="inlineStr">
        <is>
          <t>33.8</t>
        </is>
      </c>
      <c r="G370" t="inlineStr">
        <is>
          <t>world_bank</t>
        </is>
      </c>
      <c r="H370" t="inlineStr">
        <is>
          <t>https://api.worldbank.org/v2/country/AUS/indicator/SI.POV.GINI?format=json&amp;mrv=30</t>
        </is>
      </c>
      <c r="I370" t="inlineStr">
        <is>
          <t>World Bank WDI: Gini index</t>
        </is>
      </c>
      <c r="J370" t="inlineStr">
        <is>
          <t>2020-12-31</t>
        </is>
      </c>
      <c r="K370" t="inlineStr">
        <is>
          <t>auto_seed=world_bank_wdi; indicator=SI.POV.GINI; observation_year=2020; dataset_lastupdated=2026-02-24; stale=no</t>
        </is>
      </c>
    </row>
    <row r="371">
      <c r="A371" t="inlineStr">
        <is>
          <t>Australia</t>
        </is>
      </c>
      <c r="B371" t="inlineStr">
        <is>
          <t>ppp_private_consumption</t>
        </is>
      </c>
      <c r="C371" t="inlineStr">
        <is>
          <t>PPP private consumption factor</t>
        </is>
      </c>
      <c r="D371" t="inlineStr">
        <is>
          <t>pressure</t>
        </is>
      </c>
      <c r="E371" t="inlineStr">
        <is>
          <t>yes</t>
        </is>
      </c>
      <c r="F371" t="inlineStr">
        <is>
          <t>1.427398</t>
        </is>
      </c>
      <c r="G371" t="inlineStr">
        <is>
          <t>world_bank</t>
        </is>
      </c>
      <c r="H371" t="inlineStr">
        <is>
          <t>https://api.worldbank.org/v2/country/AUS/indicator/PA.NUS.PRVT.PP?format=json&amp;mrv=30</t>
        </is>
      </c>
      <c r="I371" t="inlineStr">
        <is>
          <t>World Bank WDI: PPP conversion factor, private consumption (LCU per international $)</t>
        </is>
      </c>
      <c r="J371" t="inlineStr">
        <is>
          <t>2024-12-31</t>
        </is>
      </c>
      <c r="K371" t="inlineStr">
        <is>
          <t>auto_seed=world_bank_wdi; indicator=PA.NUS.PRVT.PP; observation_year=2024; dataset_lastupdated=2026-02-24; stale=no</t>
        </is>
      </c>
    </row>
    <row r="372">
      <c r="A372" t="inlineStr">
        <is>
          <t>Australia</t>
        </is>
      </c>
      <c r="B372" t="inlineStr">
        <is>
          <t>tax_rate_assumption</t>
        </is>
      </c>
      <c r="C372" t="inlineStr">
        <is>
          <t>Tax rate assumption</t>
        </is>
      </c>
      <c r="D372" t="inlineStr">
        <is>
          <t>pressure</t>
        </is>
      </c>
      <c r="E372" t="inlineStr">
        <is>
          <t>yes</t>
        </is>
      </c>
      <c r="F372" t="inlineStr">
        <is>
          <t>0.235615</t>
        </is>
      </c>
      <c r="G372" t="inlineStr">
        <is>
          <t>world_bank</t>
        </is>
      </c>
      <c r="H372" t="inlineStr">
        <is>
          <t>https://api.worldbank.org/v2/country/AUS/indicator/GC.TAX.TOTL.GD.ZS?format=json&amp;mrv=30</t>
        </is>
      </c>
      <c r="I372" t="inlineStr">
        <is>
          <t>World Bank WDI: Tax revenue (% of GDP) used as interim country average tax-take proxy</t>
        </is>
      </c>
      <c r="J372" t="inlineStr">
        <is>
          <t>2022-12-31</t>
        </is>
      </c>
      <c r="K372" t="inlineStr">
        <is>
          <t>auto_seed=world_bank_wdi; proxy=country_average_tax_take_from_tax_revenue_share; indicator=GC.TAX.TOTL.GD.ZS; observation_year=2022; dataset_lastupdated=2026-02-24; stale=no</t>
        </is>
      </c>
    </row>
    <row r="373">
      <c r="A373" t="inlineStr">
        <is>
          <t>Australia</t>
        </is>
      </c>
      <c r="B373" t="inlineStr">
        <is>
          <t>household_debt_proxy</t>
        </is>
      </c>
      <c r="C373" t="inlineStr">
        <is>
          <t>Household debt proxy</t>
        </is>
      </c>
      <c r="D373" t="inlineStr">
        <is>
          <t>pressure</t>
        </is>
      </c>
      <c r="E373" t="inlineStr">
        <is>
          <t>yes</t>
        </is>
      </c>
      <c r="F373" t="inlineStr">
        <is>
          <t>129.3173</t>
        </is>
      </c>
      <c r="G373" t="inlineStr">
        <is>
          <t>world_bank</t>
        </is>
      </c>
      <c r="H373" t="inlineStr">
        <is>
          <t>https://api.worldbank.org/v2/country/AUS/indicator/FD.AST.PRVT.GD.ZS?format=json&amp;mrv=30</t>
        </is>
      </c>
      <c r="I373" t="inlineStr">
        <is>
          <t>World Bank WDI: Domestic credit to private sector by banks (% of GDP) used as interim leverage proxy</t>
        </is>
      </c>
      <c r="J373" t="inlineStr">
        <is>
          <t>2024-12-31</t>
        </is>
      </c>
      <c r="K373" t="inlineStr">
        <is>
          <t>auto_seed=world_bank_wdi; proxy=broad_private_credit_not_household_only; indicator=FD.AST.PRVT.GD.ZS; observation_year=2024; dataset_lastupdated=2026-02-24; stale=no</t>
        </is>
      </c>
    </row>
    <row r="374">
      <c r="A374" t="inlineStr">
        <is>
          <t>Fiji</t>
        </is>
      </c>
      <c r="B374" t="inlineStr">
        <is>
          <t>gdp_per_capita_ppp</t>
        </is>
      </c>
      <c r="C374" t="inlineStr">
        <is>
          <t>GDP per capita (PPP)</t>
        </is>
      </c>
      <c r="D374" t="inlineStr">
        <is>
          <t>creative</t>
        </is>
      </c>
      <c r="E374" t="inlineStr">
        <is>
          <t>yes</t>
        </is>
      </c>
      <c r="F374" t="inlineStr">
        <is>
          <t>15450.3</t>
        </is>
      </c>
      <c r="G374" t="inlineStr">
        <is>
          <t>world_bank</t>
        </is>
      </c>
      <c r="H374" t="inlineStr">
        <is>
          <t>https://api.worldbank.org/v2/country/FJI/indicator/NY.GDP.PCAP.PP.CD?format=json&amp;mrv=30</t>
        </is>
      </c>
      <c r="I374" t="inlineStr">
        <is>
          <t>World Bank WDI: GDP per capita, PPP (current international $)</t>
        </is>
      </c>
      <c r="J374" t="inlineStr">
        <is>
          <t>2024-12-31</t>
        </is>
      </c>
      <c r="K374" t="inlineStr">
        <is>
          <t>auto_seed=world_bank_wdi; indicator=NY.GDP.PCAP.PP.CD; observation_year=2024; dataset_lastupdated=2026-02-24; stale=no</t>
        </is>
      </c>
    </row>
    <row r="375">
      <c r="A375" t="inlineStr">
        <is>
          <t>Fiji</t>
        </is>
      </c>
      <c r="B375" t="inlineStr">
        <is>
          <t>gdp_growth</t>
        </is>
      </c>
      <c r="C375" t="inlineStr">
        <is>
          <t>GDP growth</t>
        </is>
      </c>
      <c r="D375" t="inlineStr">
        <is>
          <t>creative</t>
        </is>
      </c>
      <c r="E375" t="inlineStr">
        <is>
          <t>yes</t>
        </is>
      </c>
      <c r="F375" t="inlineStr">
        <is>
          <t>3.5309</t>
        </is>
      </c>
      <c r="G375" t="inlineStr">
        <is>
          <t>world_bank</t>
        </is>
      </c>
      <c r="H375" t="inlineStr">
        <is>
          <t>https://api.worldbank.org/v2/country/FJI/indicator/NY.GDP.MKTP.KD.ZG?format=json&amp;mrv=30</t>
        </is>
      </c>
      <c r="I375" t="inlineStr">
        <is>
          <t>World Bank WDI: GDP growth (annual %)</t>
        </is>
      </c>
      <c r="J375" t="inlineStr">
        <is>
          <t>2024-12-31</t>
        </is>
      </c>
      <c r="K375" t="inlineStr">
        <is>
          <t>auto_seed=world_bank_wdi; indicator=NY.GDP.MKTP.KD.ZG; observation_year=2024; dataset_lastupdated=2026-02-24; stale=no</t>
        </is>
      </c>
    </row>
    <row r="376">
      <c r="A376" t="inlineStr">
        <is>
          <t>Fiji</t>
        </is>
      </c>
      <c r="B376" t="inlineStr">
        <is>
          <t>gini_coefficient</t>
        </is>
      </c>
      <c r="C376" t="inlineStr">
        <is>
          <t>Gini coefficient</t>
        </is>
      </c>
      <c r="D376" t="inlineStr">
        <is>
          <t>capability</t>
        </is>
      </c>
      <c r="E376" t="inlineStr">
        <is>
          <t>yes</t>
        </is>
      </c>
      <c r="F376" t="inlineStr">
        <is>
          <t>30.7</t>
        </is>
      </c>
      <c r="G376" t="inlineStr">
        <is>
          <t>world_bank</t>
        </is>
      </c>
      <c r="H376" t="inlineStr">
        <is>
          <t>https://api.worldbank.org/v2/country/FJI/indicator/SI.POV.GINI?format=json&amp;mrv=30</t>
        </is>
      </c>
      <c r="I376" t="inlineStr">
        <is>
          <t>World Bank WDI: Gini index</t>
        </is>
      </c>
      <c r="J376" t="inlineStr">
        <is>
          <t>2019-12-31</t>
        </is>
      </c>
      <c r="K376" t="inlineStr">
        <is>
          <t>auto_seed=world_bank_wdi; indicator=SI.POV.GINI; observation_year=2019; dataset_lastupdated=2026-02-24; stale=no</t>
        </is>
      </c>
    </row>
    <row r="377">
      <c r="A377" t="inlineStr">
        <is>
          <t>Fiji</t>
        </is>
      </c>
      <c r="B377" t="inlineStr">
        <is>
          <t>ppp_private_consumption</t>
        </is>
      </c>
      <c r="C377" t="inlineStr">
        <is>
          <t>PPP private consumption factor</t>
        </is>
      </c>
      <c r="D377" t="inlineStr">
        <is>
          <t>pressure</t>
        </is>
      </c>
      <c r="E377" t="inlineStr">
        <is>
          <t>yes</t>
        </is>
      </c>
      <c r="F377" t="inlineStr">
        <is>
          <t>0.910728</t>
        </is>
      </c>
      <c r="G377" t="inlineStr">
        <is>
          <t>world_bank</t>
        </is>
      </c>
      <c r="H377" t="inlineStr">
        <is>
          <t>https://api.worldbank.org/v2/country/FJI/indicator/PA.NUS.PRVT.PP?format=json&amp;mrv=30</t>
        </is>
      </c>
      <c r="I377" t="inlineStr">
        <is>
          <t>World Bank WDI: PPP conversion factor, private consumption (LCU per international $)</t>
        </is>
      </c>
      <c r="J377" t="inlineStr">
        <is>
          <t>2024-12-31</t>
        </is>
      </c>
      <c r="K377" t="inlineStr">
        <is>
          <t>auto_seed=world_bank_wdi; indicator=PA.NUS.PRVT.PP; observation_year=2024; dataset_lastupdated=2026-02-24; stale=no</t>
        </is>
      </c>
    </row>
    <row r="378">
      <c r="A378" t="inlineStr">
        <is>
          <t>Fiji</t>
        </is>
      </c>
      <c r="B378" t="inlineStr">
        <is>
          <t>tax_rate_assumption</t>
        </is>
      </c>
      <c r="C378" t="inlineStr">
        <is>
          <t>Tax rate assumption</t>
        </is>
      </c>
      <c r="D378" t="inlineStr">
        <is>
          <t>pressure</t>
        </is>
      </c>
      <c r="E378" t="inlineStr">
        <is>
          <t>yes</t>
        </is>
      </c>
      <c r="F378" t="inlineStr">
        <is>
          <t>0.20538</t>
        </is>
      </c>
      <c r="G378" t="inlineStr">
        <is>
          <t>world_bank</t>
        </is>
      </c>
      <c r="H378" t="inlineStr">
        <is>
          <t>https://api.worldbank.org/v2/country/FJI/indicator/GC.TAX.TOTL.GD.ZS?format=json&amp;mrv=30</t>
        </is>
      </c>
      <c r="I378" t="inlineStr">
        <is>
          <t>World Bank WDI: Tax revenue (% of GDP) used as interim country average tax-take proxy</t>
        </is>
      </c>
      <c r="J378" t="inlineStr">
        <is>
          <t>2023-12-31</t>
        </is>
      </c>
      <c r="K378" t="inlineStr">
        <is>
          <t>auto_seed=world_bank_wdi; proxy=country_average_tax_take_from_tax_revenue_share; indicator=GC.TAX.TOTL.GD.ZS; observation_year=2023; dataset_lastupdated=2026-02-24; stale=no</t>
        </is>
      </c>
    </row>
    <row r="379">
      <c r="A379" t="inlineStr">
        <is>
          <t>Fiji</t>
        </is>
      </c>
      <c r="B379" t="inlineStr">
        <is>
          <t>household_debt_proxy</t>
        </is>
      </c>
      <c r="C379" t="inlineStr">
        <is>
          <t>Household debt proxy</t>
        </is>
      </c>
      <c r="D379" t="inlineStr">
        <is>
          <t>pressure</t>
        </is>
      </c>
      <c r="E379" t="inlineStr">
        <is>
          <t>yes</t>
        </is>
      </c>
      <c r="F379" t="inlineStr">
        <is>
          <t>75.9993</t>
        </is>
      </c>
      <c r="G379" t="inlineStr">
        <is>
          <t>world_bank</t>
        </is>
      </c>
      <c r="H379" t="inlineStr">
        <is>
          <t>https://api.worldbank.org/v2/country/FJI/indicator/FD.AST.PRVT.GD.ZS?format=json&amp;mrv=30</t>
        </is>
      </c>
      <c r="I379" t="inlineStr">
        <is>
          <t>World Bank WDI: Domestic credit to private sector by banks (% of GDP) used as interim leverage proxy</t>
        </is>
      </c>
      <c r="J379" t="inlineStr">
        <is>
          <t>2024-12-31</t>
        </is>
      </c>
      <c r="K379" t="inlineStr">
        <is>
          <t>auto_seed=world_bank_wdi; proxy=broad_private_credit_not_household_only; indicator=FD.AST.PRVT.GD.ZS; observation_year=2024; dataset_lastupdated=2026-02-24; stale=no</t>
        </is>
      </c>
    </row>
  </sheetData>
  <autoFilter ref="A1:K37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65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6" customWidth="1" min="4" max="4"/>
    <col width="40" customWidth="1" min="5" max="5"/>
    <col width="40" customWidth="1" min="6" max="6"/>
    <col width="12" customWidth="1" min="7" max="7"/>
    <col width="22" customWidth="1" min="8" max="8"/>
    <col width="12" customWidth="1" min="9" max="9"/>
    <col width="13" customWidth="1" min="10" max="10"/>
    <col width="12" customWidth="1" min="11" max="11"/>
    <col width="14" customWidth="1" min="12" max="12"/>
    <col width="13" customWidth="1" min="13" max="13"/>
    <col width="12" customWidth="1" min="14" max="14"/>
  </cols>
  <sheetData>
    <row r="1">
      <c r="A1" s="19" t="inlineStr">
        <is>
          <t>city_id</t>
        </is>
      </c>
      <c r="B1" s="19" t="inlineStr">
        <is>
          <t>display_name</t>
        </is>
      </c>
      <c r="C1" s="19" t="inlineStr">
        <is>
          <t>country</t>
        </is>
      </c>
      <c r="D1" s="19" t="inlineStr">
        <is>
          <t>cohort</t>
        </is>
      </c>
      <c r="E1" s="19" t="inlineStr">
        <is>
          <t>field</t>
        </is>
      </c>
      <c r="F1" s="19" t="inlineStr">
        <is>
          <t>label</t>
        </is>
      </c>
      <c r="G1" s="19" t="inlineStr">
        <is>
          <t>pillar</t>
        </is>
      </c>
      <c r="H1" s="19" t="inlineStr">
        <is>
          <t>required_for_ranking</t>
        </is>
      </c>
      <c r="I1" s="19" t="inlineStr">
        <is>
          <t>value</t>
        </is>
      </c>
      <c r="J1" s="19" t="inlineStr">
        <is>
          <t>provider_id</t>
        </is>
      </c>
      <c r="K1" s="19" t="inlineStr">
        <is>
          <t>source_url</t>
        </is>
      </c>
      <c r="L1" s="19" t="inlineStr">
        <is>
          <t>source_title</t>
        </is>
      </c>
      <c r="M1" s="19" t="inlineStr">
        <is>
          <t>source_date</t>
        </is>
      </c>
      <c r="N1" s="19" t="inlineStr">
        <is>
          <t>notes</t>
        </is>
      </c>
    </row>
    <row r="2">
      <c r="A2" t="inlineStr">
        <is>
          <t>th-bangkok</t>
        </is>
      </c>
      <c r="B2" t="inlineStr">
        <is>
          <t>Bangkok</t>
        </is>
      </c>
      <c r="C2" t="inlineStr">
        <is>
          <t>Thailand</t>
        </is>
      </c>
      <c r="D2" t="inlineStr">
        <is>
          <t>Southeast Asia</t>
        </is>
      </c>
      <c r="E2" t="inlineStr">
        <is>
          <t>gross_income</t>
        </is>
      </c>
      <c r="F2" t="inlineStr">
        <is>
          <t>Gross income</t>
        </is>
      </c>
      <c r="G2" t="inlineStr">
        <is>
          <t>pressure</t>
        </is>
      </c>
      <c r="H2" t="inlineStr">
        <is>
          <t>yes</t>
        </is>
      </c>
      <c r="I2" t="inlineStr"/>
      <c r="J2" t="inlineStr"/>
      <c r="K2" t="inlineStr"/>
      <c r="L2" t="inlineStr"/>
      <c r="M2" t="inlineStr"/>
      <c r="N2" t="inlineStr"/>
    </row>
    <row r="3">
      <c r="A3" t="inlineStr">
        <is>
          <t>th-bangkok</t>
        </is>
      </c>
      <c r="B3" t="inlineStr">
        <is>
          <t>Bangkok</t>
        </is>
      </c>
      <c r="C3" t="inlineStr">
        <is>
          <t>Thailand</t>
        </is>
      </c>
      <c r="D3" t="inlineStr">
        <is>
          <t>Southeast Asia</t>
        </is>
      </c>
      <c r="E3" t="inlineStr">
        <is>
          <t>rent</t>
        </is>
      </c>
      <c r="F3" t="inlineStr">
        <is>
          <t>Rent</t>
        </is>
      </c>
      <c r="G3" t="inlineStr">
        <is>
          <t>pressure</t>
        </is>
      </c>
      <c r="H3" t="inlineStr">
        <is>
          <t>yes</t>
        </is>
      </c>
      <c r="I3" t="inlineStr"/>
      <c r="J3" t="inlineStr"/>
      <c r="K3" t="inlineStr"/>
      <c r="L3" t="inlineStr"/>
      <c r="M3" t="inlineStr"/>
      <c r="N3" t="inlineStr"/>
    </row>
    <row r="4">
      <c r="A4" t="inlineStr">
        <is>
          <t>th-bangkok</t>
        </is>
      </c>
      <c r="B4" t="inlineStr">
        <is>
          <t>Bangkok</t>
        </is>
      </c>
      <c r="C4" t="inlineStr">
        <is>
          <t>Thailand</t>
        </is>
      </c>
      <c r="D4" t="inlineStr">
        <is>
          <t>Southeast Asia</t>
        </is>
      </c>
      <c r="E4" t="inlineStr">
        <is>
          <t>utilities</t>
        </is>
      </c>
      <c r="F4" t="inlineStr">
        <is>
          <t>Utilities</t>
        </is>
      </c>
      <c r="G4" t="inlineStr">
        <is>
          <t>pressure</t>
        </is>
      </c>
      <c r="H4" t="inlineStr">
        <is>
          <t>yes</t>
        </is>
      </c>
      <c r="I4" t="inlineStr"/>
      <c r="J4" t="inlineStr"/>
      <c r="K4" t="inlineStr"/>
      <c r="L4" t="inlineStr"/>
      <c r="M4" t="inlineStr"/>
      <c r="N4" t="inlineStr"/>
    </row>
    <row r="5">
      <c r="A5" t="inlineStr">
        <is>
          <t>th-bangkok</t>
        </is>
      </c>
      <c r="B5" t="inlineStr">
        <is>
          <t>Bangkok</t>
        </is>
      </c>
      <c r="C5" t="inlineStr">
        <is>
          <t>Thailand</t>
        </is>
      </c>
      <c r="D5" t="inlineStr">
        <is>
          <t>Southeast Asia</t>
        </is>
      </c>
      <c r="E5" t="inlineStr">
        <is>
          <t>transit_cost</t>
        </is>
      </c>
      <c r="F5" t="inlineStr">
        <is>
          <t>Transit cost</t>
        </is>
      </c>
      <c r="G5" t="inlineStr">
        <is>
          <t>pressure</t>
        </is>
      </c>
      <c r="H5" t="inlineStr">
        <is>
          <t>yes</t>
        </is>
      </c>
      <c r="I5" t="inlineStr"/>
      <c r="J5" t="inlineStr"/>
      <c r="K5" t="inlineStr"/>
      <c r="L5" t="inlineStr"/>
      <c r="M5" t="inlineStr"/>
      <c r="N5" t="inlineStr"/>
    </row>
    <row r="6">
      <c r="A6" t="inlineStr">
        <is>
          <t>th-bangkok</t>
        </is>
      </c>
      <c r="B6" t="inlineStr">
        <is>
          <t>Bangkok</t>
        </is>
      </c>
      <c r="C6" t="inlineStr">
        <is>
          <t>Thailand</t>
        </is>
      </c>
      <c r="D6" t="inlineStr">
        <is>
          <t>Southeast Asia</t>
        </is>
      </c>
      <c r="E6" t="inlineStr">
        <is>
          <t>internet_cost</t>
        </is>
      </c>
      <c r="F6" t="inlineStr">
        <is>
          <t>Internet cost</t>
        </is>
      </c>
      <c r="G6" t="inlineStr">
        <is>
          <t>pressure</t>
        </is>
      </c>
      <c r="H6" t="inlineStr">
        <is>
          <t>yes</t>
        </is>
      </c>
      <c r="I6" t="inlineStr"/>
      <c r="J6" t="inlineStr"/>
      <c r="K6" t="inlineStr"/>
      <c r="L6" t="inlineStr"/>
      <c r="M6" t="inlineStr"/>
      <c r="N6" t="inlineStr"/>
    </row>
    <row r="7">
      <c r="A7" t="inlineStr">
        <is>
          <t>th-bangkok</t>
        </is>
      </c>
      <c r="B7" t="inlineStr">
        <is>
          <t>Bangkok</t>
        </is>
      </c>
      <c r="C7" t="inlineStr">
        <is>
          <t>Thailand</t>
        </is>
      </c>
      <c r="D7" t="inlineStr">
        <is>
          <t>Southeast Asia</t>
        </is>
      </c>
      <c r="E7" t="inlineStr">
        <is>
          <t>food_cost</t>
        </is>
      </c>
      <c r="F7" t="inlineStr">
        <is>
          <t>Food cost</t>
        </is>
      </c>
      <c r="G7" t="inlineStr">
        <is>
          <t>pressure</t>
        </is>
      </c>
      <c r="H7" t="inlineStr">
        <is>
          <t>yes</t>
        </is>
      </c>
      <c r="I7" t="inlineStr"/>
      <c r="J7" t="inlineStr"/>
      <c r="K7" t="inlineStr"/>
      <c r="L7" t="inlineStr"/>
      <c r="M7" t="inlineStr"/>
      <c r="N7" t="inlineStr"/>
    </row>
    <row r="8">
      <c r="A8" t="inlineStr">
        <is>
          <t>th-bangkok</t>
        </is>
      </c>
      <c r="B8" t="inlineStr">
        <is>
          <t>Bangkok</t>
        </is>
      </c>
      <c r="C8" t="inlineStr">
        <is>
          <t>Thailand</t>
        </is>
      </c>
      <c r="D8" t="inlineStr">
        <is>
          <t>Southeast Asia</t>
        </is>
      </c>
      <c r="E8" t="inlineStr">
        <is>
          <t>housing_burden_raw</t>
        </is>
      </c>
      <c r="F8" t="inlineStr">
        <is>
          <t>Housing burden raw</t>
        </is>
      </c>
      <c r="G8" t="inlineStr">
        <is>
          <t>pressure</t>
        </is>
      </c>
      <c r="H8" t="inlineStr">
        <is>
          <t>yes</t>
        </is>
      </c>
      <c r="I8" t="inlineStr"/>
      <c r="J8" t="inlineStr"/>
      <c r="K8" t="inlineStr"/>
      <c r="L8" t="inlineStr"/>
      <c r="M8" t="inlineStr"/>
      <c r="N8" t="inlineStr"/>
    </row>
    <row r="9">
      <c r="A9" t="inlineStr">
        <is>
          <t>th-bangkok</t>
        </is>
      </c>
      <c r="B9" t="inlineStr">
        <is>
          <t>Bangkok</t>
        </is>
      </c>
      <c r="C9" t="inlineStr">
        <is>
          <t>Thailand</t>
        </is>
      </c>
      <c r="D9" t="inlineStr">
        <is>
          <t>Southeast Asia</t>
        </is>
      </c>
      <c r="E9" t="inlineStr">
        <is>
          <t>household_debt_burden_raw</t>
        </is>
      </c>
      <c r="F9" t="inlineStr">
        <is>
          <t>Household debt burden raw</t>
        </is>
      </c>
      <c r="G9" t="inlineStr">
        <is>
          <t>pressure</t>
        </is>
      </c>
      <c r="H9" t="inlineStr">
        <is>
          <t>yes</t>
        </is>
      </c>
      <c r="I9" t="inlineStr"/>
      <c r="J9" t="inlineStr"/>
      <c r="K9" t="inlineStr"/>
      <c r="L9" t="inlineStr"/>
      <c r="M9" t="inlineStr"/>
      <c r="N9" t="inlineStr"/>
    </row>
    <row r="10">
      <c r="A10" t="inlineStr">
        <is>
          <t>th-bangkok</t>
        </is>
      </c>
      <c r="B10" t="inlineStr">
        <is>
          <t>Bangkok</t>
        </is>
      </c>
      <c r="C10" t="inlineStr">
        <is>
          <t>Thailand</t>
        </is>
      </c>
      <c r="D10" t="inlineStr">
        <is>
          <t>Southeast Asia</t>
        </is>
      </c>
      <c r="E10" t="inlineStr">
        <is>
          <t>working_time_pressure_raw</t>
        </is>
      </c>
      <c r="F10" t="inlineStr">
        <is>
          <t>Working time pressure raw</t>
        </is>
      </c>
      <c r="G10" t="inlineStr">
        <is>
          <t>pressure</t>
        </is>
      </c>
      <c r="H10" t="inlineStr">
        <is>
          <t>yes</t>
        </is>
      </c>
      <c r="I10" t="inlineStr"/>
      <c r="J10" t="inlineStr"/>
      <c r="K10" t="inlineStr"/>
      <c r="L10" t="inlineStr"/>
      <c r="M10" t="inlineStr"/>
      <c r="N10" t="inlineStr"/>
    </row>
    <row r="11">
      <c r="A11" t="inlineStr">
        <is>
          <t>th-bangkok</t>
        </is>
      </c>
      <c r="B11" t="inlineStr">
        <is>
          <t>Bangkok</t>
        </is>
      </c>
      <c r="C11" t="inlineStr">
        <is>
          <t>Thailand</t>
        </is>
      </c>
      <c r="D11" t="inlineStr">
        <is>
          <t>Southeast Asia</t>
        </is>
      </c>
      <c r="E11" t="inlineStr">
        <is>
          <t>suicide_mental_strain_raw</t>
        </is>
      </c>
      <c r="F11" t="inlineStr">
        <is>
          <t>Suicide or mental strain raw</t>
        </is>
      </c>
      <c r="G11" t="inlineStr">
        <is>
          <t>pressure</t>
        </is>
      </c>
      <c r="H11" t="inlineStr">
        <is>
          <t>yes</t>
        </is>
      </c>
      <c r="I11" t="inlineStr"/>
      <c r="J11" t="inlineStr"/>
      <c r="K11" t="inlineStr"/>
      <c r="L11" t="inlineStr"/>
      <c r="M11" t="inlineStr"/>
      <c r="N11" t="inlineStr"/>
    </row>
    <row r="12">
      <c r="A12" t="inlineStr">
        <is>
          <t>th-bangkok</t>
        </is>
      </c>
      <c r="B12" t="inlineStr">
        <is>
          <t>Bangkok</t>
        </is>
      </c>
      <c r="C12" t="inlineStr">
        <is>
          <t>Thailand</t>
        </is>
      </c>
      <c r="D12" t="inlineStr">
        <is>
          <t>Southeast Asia</t>
        </is>
      </c>
      <c r="E12" t="inlineStr">
        <is>
          <t>personal_safety_raw</t>
        </is>
      </c>
      <c r="F12" t="inlineStr">
        <is>
          <t>Personal safety raw</t>
        </is>
      </c>
      <c r="G12" t="inlineStr">
        <is>
          <t>viability</t>
        </is>
      </c>
      <c r="H12" t="inlineStr">
        <is>
          <t>yes</t>
        </is>
      </c>
      <c r="I12" t="inlineStr"/>
      <c r="J12" t="inlineStr"/>
      <c r="K12" t="inlineStr"/>
      <c r="L12" t="inlineStr"/>
      <c r="M12" t="inlineStr"/>
      <c r="N12" t="inlineStr"/>
    </row>
    <row r="13">
      <c r="A13" t="inlineStr">
        <is>
          <t>th-bangkok</t>
        </is>
      </c>
      <c r="B13" t="inlineStr">
        <is>
          <t>Bangkok</t>
        </is>
      </c>
      <c r="C13" t="inlineStr">
        <is>
          <t>Thailand</t>
        </is>
      </c>
      <c r="D13" t="inlineStr">
        <is>
          <t>Southeast Asia</t>
        </is>
      </c>
      <c r="E13" t="inlineStr">
        <is>
          <t>transit_access_commute_raw</t>
        </is>
      </c>
      <c r="F13" t="inlineStr">
        <is>
          <t>Transit access and commute raw</t>
        </is>
      </c>
      <c r="G13" t="inlineStr">
        <is>
          <t>viability</t>
        </is>
      </c>
      <c r="H13" t="inlineStr">
        <is>
          <t>yes</t>
        </is>
      </c>
      <c r="I13" t="inlineStr"/>
      <c r="J13" t="inlineStr"/>
      <c r="K13" t="inlineStr"/>
      <c r="L13" t="inlineStr"/>
      <c r="M13" t="inlineStr"/>
      <c r="N13" t="inlineStr"/>
    </row>
    <row r="14">
      <c r="A14" t="inlineStr">
        <is>
          <t>th-bangkok</t>
        </is>
      </c>
      <c r="B14" t="inlineStr">
        <is>
          <t>Bangkok</t>
        </is>
      </c>
      <c r="C14" t="inlineStr">
        <is>
          <t>Thailand</t>
        </is>
      </c>
      <c r="D14" t="inlineStr">
        <is>
          <t>Southeast Asia</t>
        </is>
      </c>
      <c r="E14" t="inlineStr">
        <is>
          <t>clean_air_raw</t>
        </is>
      </c>
      <c r="F14" t="inlineStr">
        <is>
          <t>Clean air raw</t>
        </is>
      </c>
      <c r="G14" t="inlineStr">
        <is>
          <t>viability</t>
        </is>
      </c>
      <c r="H14" t="inlineStr">
        <is>
          <t>yes</t>
        </is>
      </c>
      <c r="I14" t="inlineStr"/>
      <c r="J14" t="inlineStr"/>
      <c r="K14" t="inlineStr"/>
      <c r="L14" t="inlineStr"/>
      <c r="M14" t="inlineStr"/>
      <c r="N14" t="inlineStr"/>
    </row>
    <row r="15">
      <c r="A15" t="inlineStr">
        <is>
          <t>th-bangkok</t>
        </is>
      </c>
      <c r="B15" t="inlineStr">
        <is>
          <t>Bangkok</t>
        </is>
      </c>
      <c r="C15" t="inlineStr">
        <is>
          <t>Thailand</t>
        </is>
      </c>
      <c r="D15" t="inlineStr">
        <is>
          <t>Southeast Asia</t>
        </is>
      </c>
      <c r="E15" t="inlineStr">
        <is>
          <t>water_sanitation_utility_raw</t>
        </is>
      </c>
      <c r="F15" t="inlineStr">
        <is>
          <t>Water, sanitation, and utility raw</t>
        </is>
      </c>
      <c r="G15" t="inlineStr">
        <is>
          <t>viability</t>
        </is>
      </c>
      <c r="H15" t="inlineStr">
        <is>
          <t>yes</t>
        </is>
      </c>
      <c r="I15" t="inlineStr"/>
      <c r="J15" t="inlineStr"/>
      <c r="K15" t="inlineStr"/>
      <c r="L15" t="inlineStr"/>
      <c r="M15" t="inlineStr"/>
      <c r="N15" t="inlineStr"/>
    </row>
    <row r="16">
      <c r="A16" t="inlineStr">
        <is>
          <t>th-bangkok</t>
        </is>
      </c>
      <c r="B16" t="inlineStr">
        <is>
          <t>Bangkok</t>
        </is>
      </c>
      <c r="C16" t="inlineStr">
        <is>
          <t>Thailand</t>
        </is>
      </c>
      <c r="D16" t="inlineStr">
        <is>
          <t>Southeast Asia</t>
        </is>
      </c>
      <c r="E16" t="inlineStr">
        <is>
          <t>digital_infrastructure_raw</t>
        </is>
      </c>
      <c r="F16" t="inlineStr">
        <is>
          <t>Digital infrastructure raw</t>
        </is>
      </c>
      <c r="G16" t="inlineStr">
        <is>
          <t>viability</t>
        </is>
      </c>
      <c r="H16" t="inlineStr">
        <is>
          <t>yes</t>
        </is>
      </c>
      <c r="I16" t="inlineStr"/>
      <c r="J16" t="inlineStr"/>
      <c r="K16" t="inlineStr"/>
      <c r="L16" t="inlineStr"/>
      <c r="M16" t="inlineStr"/>
      <c r="N16" t="inlineStr"/>
    </row>
    <row r="17">
      <c r="A17" t="inlineStr">
        <is>
          <t>th-bangkok</t>
        </is>
      </c>
      <c r="B17" t="inlineStr">
        <is>
          <t>Bangkok</t>
        </is>
      </c>
      <c r="C17" t="inlineStr">
        <is>
          <t>Thailand</t>
        </is>
      </c>
      <c r="D17" t="inlineStr">
        <is>
          <t>Southeast Asia</t>
        </is>
      </c>
      <c r="E17" t="inlineStr">
        <is>
          <t>healthcare_quality_raw</t>
        </is>
      </c>
      <c r="F17" t="inlineStr">
        <is>
          <t>Healthcare quality raw</t>
        </is>
      </c>
      <c r="G17" t="inlineStr">
        <is>
          <t>capability</t>
        </is>
      </c>
      <c r="H17" t="inlineStr">
        <is>
          <t>yes</t>
        </is>
      </c>
      <c r="I17" t="inlineStr"/>
      <c r="J17" t="inlineStr"/>
      <c r="K17" t="inlineStr"/>
      <c r="L17" t="inlineStr"/>
      <c r="M17" t="inlineStr"/>
      <c r="N17" t="inlineStr"/>
    </row>
    <row r="18">
      <c r="A18" t="inlineStr">
        <is>
          <t>th-bangkok</t>
        </is>
      </c>
      <c r="B18" t="inlineStr">
        <is>
          <t>Bangkok</t>
        </is>
      </c>
      <c r="C18" t="inlineStr">
        <is>
          <t>Thailand</t>
        </is>
      </c>
      <c r="D18" t="inlineStr">
        <is>
          <t>Southeast Asia</t>
        </is>
      </c>
      <c r="E18" t="inlineStr">
        <is>
          <t>education_quality_raw</t>
        </is>
      </c>
      <c r="F18" t="inlineStr">
        <is>
          <t>Education quality raw</t>
        </is>
      </c>
      <c r="G18" t="inlineStr">
        <is>
          <t>capability</t>
        </is>
      </c>
      <c r="H18" t="inlineStr">
        <is>
          <t>yes</t>
        </is>
      </c>
      <c r="I18" t="inlineStr"/>
      <c r="J18" t="inlineStr"/>
      <c r="K18" t="inlineStr"/>
      <c r="L18" t="inlineStr"/>
      <c r="M18" t="inlineStr"/>
      <c r="N18" t="inlineStr"/>
    </row>
    <row r="19">
      <c r="A19" t="inlineStr">
        <is>
          <t>th-bangkok</t>
        </is>
      </c>
      <c r="B19" t="inlineStr">
        <is>
          <t>Bangkok</t>
        </is>
      </c>
      <c r="C19" t="inlineStr">
        <is>
          <t>Thailand</t>
        </is>
      </c>
      <c r="D19" t="inlineStr">
        <is>
          <t>Southeast Asia</t>
        </is>
      </c>
      <c r="E19" t="inlineStr">
        <is>
          <t>equal_opportunity_raw</t>
        </is>
      </c>
      <c r="F19" t="inlineStr">
        <is>
          <t>Equal opportunity raw</t>
        </is>
      </c>
      <c r="G19" t="inlineStr">
        <is>
          <t>capability</t>
        </is>
      </c>
      <c r="H19" t="inlineStr">
        <is>
          <t>yes</t>
        </is>
      </c>
      <c r="I19" t="inlineStr"/>
      <c r="J19" t="inlineStr"/>
      <c r="K19" t="inlineStr"/>
      <c r="L19" t="inlineStr"/>
      <c r="M19" t="inlineStr"/>
      <c r="N19" t="inlineStr"/>
    </row>
    <row r="20">
      <c r="A20" t="inlineStr">
        <is>
          <t>th-bangkok</t>
        </is>
      </c>
      <c r="B20" t="inlineStr">
        <is>
          <t>Bangkok</t>
        </is>
      </c>
      <c r="C20" t="inlineStr">
        <is>
          <t>Thailand</t>
        </is>
      </c>
      <c r="D20" t="inlineStr">
        <is>
          <t>Southeast Asia</t>
        </is>
      </c>
      <c r="E20" t="inlineStr">
        <is>
          <t>hospitality_belonging_raw</t>
        </is>
      </c>
      <c r="F20" t="inlineStr">
        <is>
          <t>Hospitality and belonging raw</t>
        </is>
      </c>
      <c r="G20" t="inlineStr">
        <is>
          <t>community</t>
        </is>
      </c>
      <c r="H20" t="inlineStr">
        <is>
          <t>yes</t>
        </is>
      </c>
      <c r="I20" t="inlineStr"/>
      <c r="J20" t="inlineStr"/>
      <c r="K20" t="inlineStr"/>
      <c r="L20" t="inlineStr"/>
      <c r="M20" t="inlineStr"/>
      <c r="N20" t="inlineStr"/>
    </row>
    <row r="21">
      <c r="A21" t="inlineStr">
        <is>
          <t>th-bangkok</t>
        </is>
      </c>
      <c r="B21" t="inlineStr">
        <is>
          <t>Bangkok</t>
        </is>
      </c>
      <c r="C21" t="inlineStr">
        <is>
          <t>Thailand</t>
        </is>
      </c>
      <c r="D21" t="inlineStr">
        <is>
          <t>Southeast Asia</t>
        </is>
      </c>
      <c r="E21" t="inlineStr">
        <is>
          <t>tolerance_pluralism_raw</t>
        </is>
      </c>
      <c r="F21" t="inlineStr">
        <is>
          <t>Tolerance and pluralism raw</t>
        </is>
      </c>
      <c r="G21" t="inlineStr">
        <is>
          <t>community</t>
        </is>
      </c>
      <c r="H21" t="inlineStr">
        <is>
          <t>yes</t>
        </is>
      </c>
      <c r="I21" t="inlineStr"/>
      <c r="J21" t="inlineStr"/>
      <c r="K21" t="inlineStr"/>
      <c r="L21" t="inlineStr"/>
      <c r="M21" t="inlineStr"/>
      <c r="N21" t="inlineStr"/>
    </row>
    <row r="22">
      <c r="A22" t="inlineStr">
        <is>
          <t>th-bangkok</t>
        </is>
      </c>
      <c r="B22" t="inlineStr">
        <is>
          <t>Bangkok</t>
        </is>
      </c>
      <c r="C22" t="inlineStr">
        <is>
          <t>Thailand</t>
        </is>
      </c>
      <c r="D22" t="inlineStr">
        <is>
          <t>Southeast Asia</t>
        </is>
      </c>
      <c r="E22" t="inlineStr">
        <is>
          <t>cultural_public_life_raw</t>
        </is>
      </c>
      <c r="F22" t="inlineStr">
        <is>
          <t>Cultural public life raw</t>
        </is>
      </c>
      <c r="G22" t="inlineStr">
        <is>
          <t>community</t>
        </is>
      </c>
      <c r="H22" t="inlineStr">
        <is>
          <t>yes</t>
        </is>
      </c>
      <c r="I22" t="inlineStr"/>
      <c r="J22" t="inlineStr"/>
      <c r="K22" t="inlineStr"/>
      <c r="L22" t="inlineStr"/>
      <c r="M22" t="inlineStr"/>
      <c r="N22" t="inlineStr"/>
    </row>
    <row r="23">
      <c r="A23" t="inlineStr">
        <is>
          <t>th-bangkok</t>
        </is>
      </c>
      <c r="B23" t="inlineStr">
        <is>
          <t>Bangkok</t>
        </is>
      </c>
      <c r="C23" t="inlineStr">
        <is>
          <t>Thailand</t>
        </is>
      </c>
      <c r="D23" t="inlineStr">
        <is>
          <t>Southeast Asia</t>
        </is>
      </c>
      <c r="E23" t="inlineStr">
        <is>
          <t>entrepreneurial_dynamism_raw</t>
        </is>
      </c>
      <c r="F23" t="inlineStr">
        <is>
          <t>Entrepreneurial dynamism raw</t>
        </is>
      </c>
      <c r="G23" t="inlineStr">
        <is>
          <t>creative</t>
        </is>
      </c>
      <c r="H23" t="inlineStr">
        <is>
          <t>yes</t>
        </is>
      </c>
      <c r="I23" t="inlineStr"/>
      <c r="J23" t="inlineStr"/>
      <c r="K23" t="inlineStr"/>
      <c r="L23" t="inlineStr"/>
      <c r="M23" t="inlineStr"/>
      <c r="N23" t="inlineStr"/>
    </row>
    <row r="24">
      <c r="A24" t="inlineStr">
        <is>
          <t>th-bangkok</t>
        </is>
      </c>
      <c r="B24" t="inlineStr">
        <is>
          <t>Bangkok</t>
        </is>
      </c>
      <c r="C24" t="inlineStr">
        <is>
          <t>Thailand</t>
        </is>
      </c>
      <c r="D24" t="inlineStr">
        <is>
          <t>Southeast Asia</t>
        </is>
      </c>
      <c r="E24" t="inlineStr">
        <is>
          <t>innovation_research_intensity_raw</t>
        </is>
      </c>
      <c r="F24" t="inlineStr">
        <is>
          <t>Innovation and research raw</t>
        </is>
      </c>
      <c r="G24" t="inlineStr">
        <is>
          <t>creative</t>
        </is>
      </c>
      <c r="H24" t="inlineStr">
        <is>
          <t>yes</t>
        </is>
      </c>
      <c r="I24" t="inlineStr"/>
      <c r="J24" t="inlineStr"/>
      <c r="K24" t="inlineStr"/>
      <c r="L24" t="inlineStr"/>
      <c r="M24" t="inlineStr"/>
      <c r="N24" t="inlineStr"/>
    </row>
    <row r="25">
      <c r="A25" t="inlineStr">
        <is>
          <t>th-bangkok</t>
        </is>
      </c>
      <c r="B25" t="inlineStr">
        <is>
          <t>Bangkok</t>
        </is>
      </c>
      <c r="C25" t="inlineStr">
        <is>
          <t>Thailand</t>
        </is>
      </c>
      <c r="D25" t="inlineStr">
        <is>
          <t>Southeast Asia</t>
        </is>
      </c>
      <c r="E25" t="inlineStr">
        <is>
          <t>investment_signal_raw</t>
        </is>
      </c>
      <c r="F25" t="inlineStr">
        <is>
          <t>Investment signal raw</t>
        </is>
      </c>
      <c r="G25" t="inlineStr">
        <is>
          <t>creative</t>
        </is>
      </c>
      <c r="H25" t="inlineStr">
        <is>
          <t>yes</t>
        </is>
      </c>
      <c r="I25" t="inlineStr"/>
      <c r="J25" t="inlineStr"/>
      <c r="K25" t="inlineStr"/>
      <c r="L25" t="inlineStr"/>
      <c r="M25" t="inlineStr"/>
      <c r="N25" t="inlineStr"/>
    </row>
    <row r="26">
      <c r="A26" t="inlineStr">
        <is>
          <t>th-bangkok</t>
        </is>
      </c>
      <c r="B26" t="inlineStr">
        <is>
          <t>Bangkok</t>
        </is>
      </c>
      <c r="C26" t="inlineStr">
        <is>
          <t>Thailand</t>
        </is>
      </c>
      <c r="D26" t="inlineStr">
        <is>
          <t>Southeast Asia</t>
        </is>
      </c>
      <c r="E26" t="inlineStr">
        <is>
          <t>administrative_investment_friction_raw</t>
        </is>
      </c>
      <c r="F26" t="inlineStr">
        <is>
          <t>Administrative investment friction raw</t>
        </is>
      </c>
      <c r="G26" t="inlineStr">
        <is>
          <t>creative</t>
        </is>
      </c>
      <c r="H26" t="inlineStr">
        <is>
          <t>yes</t>
        </is>
      </c>
      <c r="I26" t="inlineStr"/>
      <c r="J26" t="inlineStr"/>
      <c r="K26" t="inlineStr"/>
      <c r="L26" t="inlineStr"/>
      <c r="M26" t="inlineStr"/>
      <c r="N26" t="inlineStr"/>
    </row>
    <row r="27">
      <c r="A27" t="inlineStr">
        <is>
          <t>th-bangkok</t>
        </is>
      </c>
      <c r="B27" t="inlineStr">
        <is>
          <t>Bangkok</t>
        </is>
      </c>
      <c r="C27" t="inlineStr">
        <is>
          <t>Thailand</t>
        </is>
      </c>
      <c r="D27" t="inlineStr">
        <is>
          <t>Southeast Asia</t>
        </is>
      </c>
      <c r="E27" t="inlineStr">
        <is>
          <t>visitor_flow_context_raw</t>
        </is>
      </c>
      <c r="F27" t="inlineStr">
        <is>
          <t>Visitor flow context raw</t>
        </is>
      </c>
      <c r="G27" t="inlineStr">
        <is>
          <t>creative</t>
        </is>
      </c>
      <c r="H27" t="inlineStr">
        <is>
          <t>no</t>
        </is>
      </c>
      <c r="I27" t="inlineStr"/>
      <c r="J27" t="inlineStr"/>
      <c r="K27" t="inlineStr"/>
      <c r="L27" t="inlineStr"/>
      <c r="M27" t="inlineStr"/>
      <c r="N27" t="inlineStr"/>
    </row>
    <row r="28">
      <c r="A28" t="inlineStr">
        <is>
          <t>sg-singapore</t>
        </is>
      </c>
      <c r="B28" t="inlineStr">
        <is>
          <t>Singapore</t>
        </is>
      </c>
      <c r="C28" t="inlineStr">
        <is>
          <t>Singapore</t>
        </is>
      </c>
      <c r="D28" t="inlineStr">
        <is>
          <t>Southeast Asia</t>
        </is>
      </c>
      <c r="E28" t="inlineStr">
        <is>
          <t>gross_income</t>
        </is>
      </c>
      <c r="F28" t="inlineStr">
        <is>
          <t>Gross income</t>
        </is>
      </c>
      <c r="G28" t="inlineStr">
        <is>
          <t>pressure</t>
        </is>
      </c>
      <c r="H28" t="inlineStr">
        <is>
          <t>yes</t>
        </is>
      </c>
      <c r="I28" t="inlineStr"/>
      <c r="J28" t="inlineStr"/>
      <c r="K28" t="inlineStr"/>
      <c r="L28" t="inlineStr"/>
      <c r="M28" t="inlineStr"/>
      <c r="N28" t="inlineStr"/>
    </row>
    <row r="29">
      <c r="A29" t="inlineStr">
        <is>
          <t>sg-singapore</t>
        </is>
      </c>
      <c r="B29" t="inlineStr">
        <is>
          <t>Singapore</t>
        </is>
      </c>
      <c r="C29" t="inlineStr">
        <is>
          <t>Singapore</t>
        </is>
      </c>
      <c r="D29" t="inlineStr">
        <is>
          <t>Southeast Asia</t>
        </is>
      </c>
      <c r="E29" t="inlineStr">
        <is>
          <t>rent</t>
        </is>
      </c>
      <c r="F29" t="inlineStr">
        <is>
          <t>Rent</t>
        </is>
      </c>
      <c r="G29" t="inlineStr">
        <is>
          <t>pressure</t>
        </is>
      </c>
      <c r="H29" t="inlineStr">
        <is>
          <t>yes</t>
        </is>
      </c>
      <c r="I29" t="inlineStr"/>
      <c r="J29" t="inlineStr"/>
      <c r="K29" t="inlineStr"/>
      <c r="L29" t="inlineStr"/>
      <c r="M29" t="inlineStr"/>
      <c r="N29" t="inlineStr"/>
    </row>
    <row r="30">
      <c r="A30" t="inlineStr">
        <is>
          <t>sg-singapore</t>
        </is>
      </c>
      <c r="B30" t="inlineStr">
        <is>
          <t>Singapore</t>
        </is>
      </c>
      <c r="C30" t="inlineStr">
        <is>
          <t>Singapore</t>
        </is>
      </c>
      <c r="D30" t="inlineStr">
        <is>
          <t>Southeast Asia</t>
        </is>
      </c>
      <c r="E30" t="inlineStr">
        <is>
          <t>utilities</t>
        </is>
      </c>
      <c r="F30" t="inlineStr">
        <is>
          <t>Utilities</t>
        </is>
      </c>
      <c r="G30" t="inlineStr">
        <is>
          <t>pressure</t>
        </is>
      </c>
      <c r="H30" t="inlineStr">
        <is>
          <t>yes</t>
        </is>
      </c>
      <c r="I30" t="inlineStr"/>
      <c r="J30" t="inlineStr"/>
      <c r="K30" t="inlineStr"/>
      <c r="L30" t="inlineStr"/>
      <c r="M30" t="inlineStr"/>
      <c r="N30" t="inlineStr"/>
    </row>
    <row r="31">
      <c r="A31" t="inlineStr">
        <is>
          <t>sg-singapore</t>
        </is>
      </c>
      <c r="B31" t="inlineStr">
        <is>
          <t>Singapore</t>
        </is>
      </c>
      <c r="C31" t="inlineStr">
        <is>
          <t>Singapore</t>
        </is>
      </c>
      <c r="D31" t="inlineStr">
        <is>
          <t>Southeast Asia</t>
        </is>
      </c>
      <c r="E31" t="inlineStr">
        <is>
          <t>transit_cost</t>
        </is>
      </c>
      <c r="F31" t="inlineStr">
        <is>
          <t>Transit cost</t>
        </is>
      </c>
      <c r="G31" t="inlineStr">
        <is>
          <t>pressure</t>
        </is>
      </c>
      <c r="H31" t="inlineStr">
        <is>
          <t>yes</t>
        </is>
      </c>
      <c r="I31" t="inlineStr"/>
      <c r="J31" t="inlineStr"/>
      <c r="K31" t="inlineStr"/>
      <c r="L31" t="inlineStr"/>
      <c r="M31" t="inlineStr"/>
      <c r="N31" t="inlineStr"/>
    </row>
    <row r="32">
      <c r="A32" t="inlineStr">
        <is>
          <t>sg-singapore</t>
        </is>
      </c>
      <c r="B32" t="inlineStr">
        <is>
          <t>Singapore</t>
        </is>
      </c>
      <c r="C32" t="inlineStr">
        <is>
          <t>Singapore</t>
        </is>
      </c>
      <c r="D32" t="inlineStr">
        <is>
          <t>Southeast Asia</t>
        </is>
      </c>
      <c r="E32" t="inlineStr">
        <is>
          <t>internet_cost</t>
        </is>
      </c>
      <c r="F32" t="inlineStr">
        <is>
          <t>Internet cost</t>
        </is>
      </c>
      <c r="G32" t="inlineStr">
        <is>
          <t>pressure</t>
        </is>
      </c>
      <c r="H32" t="inlineStr">
        <is>
          <t>yes</t>
        </is>
      </c>
      <c r="I32" t="inlineStr"/>
      <c r="J32" t="inlineStr"/>
      <c r="K32" t="inlineStr"/>
      <c r="L32" t="inlineStr"/>
      <c r="M32" t="inlineStr"/>
      <c r="N32" t="inlineStr"/>
    </row>
    <row r="33">
      <c r="A33" t="inlineStr">
        <is>
          <t>sg-singapore</t>
        </is>
      </c>
      <c r="B33" t="inlineStr">
        <is>
          <t>Singapore</t>
        </is>
      </c>
      <c r="C33" t="inlineStr">
        <is>
          <t>Singapore</t>
        </is>
      </c>
      <c r="D33" t="inlineStr">
        <is>
          <t>Southeast Asia</t>
        </is>
      </c>
      <c r="E33" t="inlineStr">
        <is>
          <t>food_cost</t>
        </is>
      </c>
      <c r="F33" t="inlineStr">
        <is>
          <t>Food cost</t>
        </is>
      </c>
      <c r="G33" t="inlineStr">
        <is>
          <t>pressure</t>
        </is>
      </c>
      <c r="H33" t="inlineStr">
        <is>
          <t>yes</t>
        </is>
      </c>
      <c r="I33" t="inlineStr"/>
      <c r="J33" t="inlineStr"/>
      <c r="K33" t="inlineStr"/>
      <c r="L33" t="inlineStr"/>
      <c r="M33" t="inlineStr"/>
      <c r="N33" t="inlineStr"/>
    </row>
    <row r="34">
      <c r="A34" t="inlineStr">
        <is>
          <t>sg-singapore</t>
        </is>
      </c>
      <c r="B34" t="inlineStr">
        <is>
          <t>Singapore</t>
        </is>
      </c>
      <c r="C34" t="inlineStr">
        <is>
          <t>Singapore</t>
        </is>
      </c>
      <c r="D34" t="inlineStr">
        <is>
          <t>Southeast Asia</t>
        </is>
      </c>
      <c r="E34" t="inlineStr">
        <is>
          <t>housing_burden_raw</t>
        </is>
      </c>
      <c r="F34" t="inlineStr">
        <is>
          <t>Housing burden raw</t>
        </is>
      </c>
      <c r="G34" t="inlineStr">
        <is>
          <t>pressure</t>
        </is>
      </c>
      <c r="H34" t="inlineStr">
        <is>
          <t>yes</t>
        </is>
      </c>
      <c r="I34" t="inlineStr"/>
      <c r="J34" t="inlineStr"/>
      <c r="K34" t="inlineStr"/>
      <c r="L34" t="inlineStr"/>
      <c r="M34" t="inlineStr"/>
      <c r="N34" t="inlineStr"/>
    </row>
    <row r="35">
      <c r="A35" t="inlineStr">
        <is>
          <t>sg-singapore</t>
        </is>
      </c>
      <c r="B35" t="inlineStr">
        <is>
          <t>Singapore</t>
        </is>
      </c>
      <c r="C35" t="inlineStr">
        <is>
          <t>Singapore</t>
        </is>
      </c>
      <c r="D35" t="inlineStr">
        <is>
          <t>Southeast Asia</t>
        </is>
      </c>
      <c r="E35" t="inlineStr">
        <is>
          <t>household_debt_burden_raw</t>
        </is>
      </c>
      <c r="F35" t="inlineStr">
        <is>
          <t>Household debt burden raw</t>
        </is>
      </c>
      <c r="G35" t="inlineStr">
        <is>
          <t>pressure</t>
        </is>
      </c>
      <c r="H35" t="inlineStr">
        <is>
          <t>yes</t>
        </is>
      </c>
      <c r="I35" t="inlineStr"/>
      <c r="J35" t="inlineStr"/>
      <c r="K35" t="inlineStr"/>
      <c r="L35" t="inlineStr"/>
      <c r="M35" t="inlineStr"/>
      <c r="N35" t="inlineStr"/>
    </row>
    <row r="36">
      <c r="A36" t="inlineStr">
        <is>
          <t>sg-singapore</t>
        </is>
      </c>
      <c r="B36" t="inlineStr">
        <is>
          <t>Singapore</t>
        </is>
      </c>
      <c r="C36" t="inlineStr">
        <is>
          <t>Singapore</t>
        </is>
      </c>
      <c r="D36" t="inlineStr">
        <is>
          <t>Southeast Asia</t>
        </is>
      </c>
      <c r="E36" t="inlineStr">
        <is>
          <t>working_time_pressure_raw</t>
        </is>
      </c>
      <c r="F36" t="inlineStr">
        <is>
          <t>Working time pressure raw</t>
        </is>
      </c>
      <c r="G36" t="inlineStr">
        <is>
          <t>pressure</t>
        </is>
      </c>
      <c r="H36" t="inlineStr">
        <is>
          <t>yes</t>
        </is>
      </c>
      <c r="I36" t="inlineStr"/>
      <c r="J36" t="inlineStr"/>
      <c r="K36" t="inlineStr"/>
      <c r="L36" t="inlineStr"/>
      <c r="M36" t="inlineStr"/>
      <c r="N36" t="inlineStr"/>
    </row>
    <row r="37">
      <c r="A37" t="inlineStr">
        <is>
          <t>sg-singapore</t>
        </is>
      </c>
      <c r="B37" t="inlineStr">
        <is>
          <t>Singapore</t>
        </is>
      </c>
      <c r="C37" t="inlineStr">
        <is>
          <t>Singapore</t>
        </is>
      </c>
      <c r="D37" t="inlineStr">
        <is>
          <t>Southeast Asia</t>
        </is>
      </c>
      <c r="E37" t="inlineStr">
        <is>
          <t>suicide_mental_strain_raw</t>
        </is>
      </c>
      <c r="F37" t="inlineStr">
        <is>
          <t>Suicide or mental strain raw</t>
        </is>
      </c>
      <c r="G37" t="inlineStr">
        <is>
          <t>pressure</t>
        </is>
      </c>
      <c r="H37" t="inlineStr">
        <is>
          <t>yes</t>
        </is>
      </c>
      <c r="I37" t="inlineStr"/>
      <c r="J37" t="inlineStr"/>
      <c r="K37" t="inlineStr"/>
      <c r="L37" t="inlineStr"/>
      <c r="M37" t="inlineStr"/>
      <c r="N37" t="inlineStr"/>
    </row>
    <row r="38">
      <c r="A38" t="inlineStr">
        <is>
          <t>sg-singapore</t>
        </is>
      </c>
      <c r="B38" t="inlineStr">
        <is>
          <t>Singapore</t>
        </is>
      </c>
      <c r="C38" t="inlineStr">
        <is>
          <t>Singapore</t>
        </is>
      </c>
      <c r="D38" t="inlineStr">
        <is>
          <t>Southeast Asia</t>
        </is>
      </c>
      <c r="E38" t="inlineStr">
        <is>
          <t>personal_safety_raw</t>
        </is>
      </c>
      <c r="F38" t="inlineStr">
        <is>
          <t>Personal safety raw</t>
        </is>
      </c>
      <c r="G38" t="inlineStr">
        <is>
          <t>viability</t>
        </is>
      </c>
      <c r="H38" t="inlineStr">
        <is>
          <t>yes</t>
        </is>
      </c>
      <c r="I38" t="inlineStr"/>
      <c r="J38" t="inlineStr"/>
      <c r="K38" t="inlineStr"/>
      <c r="L38" t="inlineStr"/>
      <c r="M38" t="inlineStr"/>
      <c r="N38" t="inlineStr"/>
    </row>
    <row r="39">
      <c r="A39" t="inlineStr">
        <is>
          <t>sg-singapore</t>
        </is>
      </c>
      <c r="B39" t="inlineStr">
        <is>
          <t>Singapore</t>
        </is>
      </c>
      <c r="C39" t="inlineStr">
        <is>
          <t>Singapore</t>
        </is>
      </c>
      <c r="D39" t="inlineStr">
        <is>
          <t>Southeast Asia</t>
        </is>
      </c>
      <c r="E39" t="inlineStr">
        <is>
          <t>transit_access_commute_raw</t>
        </is>
      </c>
      <c r="F39" t="inlineStr">
        <is>
          <t>Transit access and commute raw</t>
        </is>
      </c>
      <c r="G39" t="inlineStr">
        <is>
          <t>viability</t>
        </is>
      </c>
      <c r="H39" t="inlineStr">
        <is>
          <t>yes</t>
        </is>
      </c>
      <c r="I39" t="inlineStr"/>
      <c r="J39" t="inlineStr"/>
      <c r="K39" t="inlineStr"/>
      <c r="L39" t="inlineStr"/>
      <c r="M39" t="inlineStr"/>
      <c r="N39" t="inlineStr"/>
    </row>
    <row r="40">
      <c r="A40" t="inlineStr">
        <is>
          <t>sg-singapore</t>
        </is>
      </c>
      <c r="B40" t="inlineStr">
        <is>
          <t>Singapore</t>
        </is>
      </c>
      <c r="C40" t="inlineStr">
        <is>
          <t>Singapore</t>
        </is>
      </c>
      <c r="D40" t="inlineStr">
        <is>
          <t>Southeast Asia</t>
        </is>
      </c>
      <c r="E40" t="inlineStr">
        <is>
          <t>clean_air_raw</t>
        </is>
      </c>
      <c r="F40" t="inlineStr">
        <is>
          <t>Clean air raw</t>
        </is>
      </c>
      <c r="G40" t="inlineStr">
        <is>
          <t>viability</t>
        </is>
      </c>
      <c r="H40" t="inlineStr">
        <is>
          <t>yes</t>
        </is>
      </c>
      <c r="I40" t="inlineStr"/>
      <c r="J40" t="inlineStr"/>
      <c r="K40" t="inlineStr"/>
      <c r="L40" t="inlineStr"/>
      <c r="M40" t="inlineStr"/>
      <c r="N40" t="inlineStr"/>
    </row>
    <row r="41">
      <c r="A41" t="inlineStr">
        <is>
          <t>sg-singapore</t>
        </is>
      </c>
      <c r="B41" t="inlineStr">
        <is>
          <t>Singapore</t>
        </is>
      </c>
      <c r="C41" t="inlineStr">
        <is>
          <t>Singapore</t>
        </is>
      </c>
      <c r="D41" t="inlineStr">
        <is>
          <t>Southeast Asia</t>
        </is>
      </c>
      <c r="E41" t="inlineStr">
        <is>
          <t>water_sanitation_utility_raw</t>
        </is>
      </c>
      <c r="F41" t="inlineStr">
        <is>
          <t>Water, sanitation, and utility raw</t>
        </is>
      </c>
      <c r="G41" t="inlineStr">
        <is>
          <t>viability</t>
        </is>
      </c>
      <c r="H41" t="inlineStr">
        <is>
          <t>yes</t>
        </is>
      </c>
      <c r="I41" t="inlineStr"/>
      <c r="J41" t="inlineStr"/>
      <c r="K41" t="inlineStr"/>
      <c r="L41" t="inlineStr"/>
      <c r="M41" t="inlineStr"/>
      <c r="N41" t="inlineStr"/>
    </row>
    <row r="42">
      <c r="A42" t="inlineStr">
        <is>
          <t>sg-singapore</t>
        </is>
      </c>
      <c r="B42" t="inlineStr">
        <is>
          <t>Singapore</t>
        </is>
      </c>
      <c r="C42" t="inlineStr">
        <is>
          <t>Singapore</t>
        </is>
      </c>
      <c r="D42" t="inlineStr">
        <is>
          <t>Southeast Asia</t>
        </is>
      </c>
      <c r="E42" t="inlineStr">
        <is>
          <t>digital_infrastructure_raw</t>
        </is>
      </c>
      <c r="F42" t="inlineStr">
        <is>
          <t>Digital infrastructure raw</t>
        </is>
      </c>
      <c r="G42" t="inlineStr">
        <is>
          <t>viability</t>
        </is>
      </c>
      <c r="H42" t="inlineStr">
        <is>
          <t>yes</t>
        </is>
      </c>
      <c r="I42" t="inlineStr"/>
      <c r="J42" t="inlineStr"/>
      <c r="K42" t="inlineStr"/>
      <c r="L42" t="inlineStr"/>
      <c r="M42" t="inlineStr"/>
      <c r="N42" t="inlineStr"/>
    </row>
    <row r="43">
      <c r="A43" t="inlineStr">
        <is>
          <t>sg-singapore</t>
        </is>
      </c>
      <c r="B43" t="inlineStr">
        <is>
          <t>Singapore</t>
        </is>
      </c>
      <c r="C43" t="inlineStr">
        <is>
          <t>Singapore</t>
        </is>
      </c>
      <c r="D43" t="inlineStr">
        <is>
          <t>Southeast Asia</t>
        </is>
      </c>
      <c r="E43" t="inlineStr">
        <is>
          <t>healthcare_quality_raw</t>
        </is>
      </c>
      <c r="F43" t="inlineStr">
        <is>
          <t>Healthcare quality raw</t>
        </is>
      </c>
      <c r="G43" t="inlineStr">
        <is>
          <t>capability</t>
        </is>
      </c>
      <c r="H43" t="inlineStr">
        <is>
          <t>yes</t>
        </is>
      </c>
      <c r="I43" t="inlineStr"/>
      <c r="J43" t="inlineStr"/>
      <c r="K43" t="inlineStr"/>
      <c r="L43" t="inlineStr"/>
      <c r="M43" t="inlineStr"/>
      <c r="N43" t="inlineStr"/>
    </row>
    <row r="44">
      <c r="A44" t="inlineStr">
        <is>
          <t>sg-singapore</t>
        </is>
      </c>
      <c r="B44" t="inlineStr">
        <is>
          <t>Singapore</t>
        </is>
      </c>
      <c r="C44" t="inlineStr">
        <is>
          <t>Singapore</t>
        </is>
      </c>
      <c r="D44" t="inlineStr">
        <is>
          <t>Southeast Asia</t>
        </is>
      </c>
      <c r="E44" t="inlineStr">
        <is>
          <t>education_quality_raw</t>
        </is>
      </c>
      <c r="F44" t="inlineStr">
        <is>
          <t>Education quality raw</t>
        </is>
      </c>
      <c r="G44" t="inlineStr">
        <is>
          <t>capability</t>
        </is>
      </c>
      <c r="H44" t="inlineStr">
        <is>
          <t>yes</t>
        </is>
      </c>
      <c r="I44" t="inlineStr"/>
      <c r="J44" t="inlineStr"/>
      <c r="K44" t="inlineStr"/>
      <c r="L44" t="inlineStr"/>
      <c r="M44" t="inlineStr"/>
      <c r="N44" t="inlineStr"/>
    </row>
    <row r="45">
      <c r="A45" t="inlineStr">
        <is>
          <t>sg-singapore</t>
        </is>
      </c>
      <c r="B45" t="inlineStr">
        <is>
          <t>Singapore</t>
        </is>
      </c>
      <c r="C45" t="inlineStr">
        <is>
          <t>Singapore</t>
        </is>
      </c>
      <c r="D45" t="inlineStr">
        <is>
          <t>Southeast Asia</t>
        </is>
      </c>
      <c r="E45" t="inlineStr">
        <is>
          <t>equal_opportunity_raw</t>
        </is>
      </c>
      <c r="F45" t="inlineStr">
        <is>
          <t>Equal opportunity raw</t>
        </is>
      </c>
      <c r="G45" t="inlineStr">
        <is>
          <t>capability</t>
        </is>
      </c>
      <c r="H45" t="inlineStr">
        <is>
          <t>yes</t>
        </is>
      </c>
      <c r="I45" t="inlineStr"/>
      <c r="J45" t="inlineStr"/>
      <c r="K45" t="inlineStr"/>
      <c r="L45" t="inlineStr"/>
      <c r="M45" t="inlineStr"/>
      <c r="N45" t="inlineStr"/>
    </row>
    <row r="46">
      <c r="A46" t="inlineStr">
        <is>
          <t>sg-singapore</t>
        </is>
      </c>
      <c r="B46" t="inlineStr">
        <is>
          <t>Singapore</t>
        </is>
      </c>
      <c r="C46" t="inlineStr">
        <is>
          <t>Singapore</t>
        </is>
      </c>
      <c r="D46" t="inlineStr">
        <is>
          <t>Southeast Asia</t>
        </is>
      </c>
      <c r="E46" t="inlineStr">
        <is>
          <t>hospitality_belonging_raw</t>
        </is>
      </c>
      <c r="F46" t="inlineStr">
        <is>
          <t>Hospitality and belonging raw</t>
        </is>
      </c>
      <c r="G46" t="inlineStr">
        <is>
          <t>community</t>
        </is>
      </c>
      <c r="H46" t="inlineStr">
        <is>
          <t>yes</t>
        </is>
      </c>
      <c r="I46" t="inlineStr"/>
      <c r="J46" t="inlineStr"/>
      <c r="K46" t="inlineStr"/>
      <c r="L46" t="inlineStr"/>
      <c r="M46" t="inlineStr"/>
      <c r="N46" t="inlineStr"/>
    </row>
    <row r="47">
      <c r="A47" t="inlineStr">
        <is>
          <t>sg-singapore</t>
        </is>
      </c>
      <c r="B47" t="inlineStr">
        <is>
          <t>Singapore</t>
        </is>
      </c>
      <c r="C47" t="inlineStr">
        <is>
          <t>Singapore</t>
        </is>
      </c>
      <c r="D47" t="inlineStr">
        <is>
          <t>Southeast Asia</t>
        </is>
      </c>
      <c r="E47" t="inlineStr">
        <is>
          <t>tolerance_pluralism_raw</t>
        </is>
      </c>
      <c r="F47" t="inlineStr">
        <is>
          <t>Tolerance and pluralism raw</t>
        </is>
      </c>
      <c r="G47" t="inlineStr">
        <is>
          <t>community</t>
        </is>
      </c>
      <c r="H47" t="inlineStr">
        <is>
          <t>yes</t>
        </is>
      </c>
      <c r="I47" t="inlineStr"/>
      <c r="J47" t="inlineStr"/>
      <c r="K47" t="inlineStr"/>
      <c r="L47" t="inlineStr"/>
      <c r="M47" t="inlineStr"/>
      <c r="N47" t="inlineStr"/>
    </row>
    <row r="48">
      <c r="A48" t="inlineStr">
        <is>
          <t>sg-singapore</t>
        </is>
      </c>
      <c r="B48" t="inlineStr">
        <is>
          <t>Singapore</t>
        </is>
      </c>
      <c r="C48" t="inlineStr">
        <is>
          <t>Singapore</t>
        </is>
      </c>
      <c r="D48" t="inlineStr">
        <is>
          <t>Southeast Asia</t>
        </is>
      </c>
      <c r="E48" t="inlineStr">
        <is>
          <t>cultural_public_life_raw</t>
        </is>
      </c>
      <c r="F48" t="inlineStr">
        <is>
          <t>Cultural public life raw</t>
        </is>
      </c>
      <c r="G48" t="inlineStr">
        <is>
          <t>community</t>
        </is>
      </c>
      <c r="H48" t="inlineStr">
        <is>
          <t>yes</t>
        </is>
      </c>
      <c r="I48" t="inlineStr"/>
      <c r="J48" t="inlineStr"/>
      <c r="K48" t="inlineStr"/>
      <c r="L48" t="inlineStr"/>
      <c r="M48" t="inlineStr"/>
      <c r="N48" t="inlineStr"/>
    </row>
    <row r="49">
      <c r="A49" t="inlineStr">
        <is>
          <t>sg-singapore</t>
        </is>
      </c>
      <c r="B49" t="inlineStr">
        <is>
          <t>Singapore</t>
        </is>
      </c>
      <c r="C49" t="inlineStr">
        <is>
          <t>Singapore</t>
        </is>
      </c>
      <c r="D49" t="inlineStr">
        <is>
          <t>Southeast Asia</t>
        </is>
      </c>
      <c r="E49" t="inlineStr">
        <is>
          <t>entrepreneurial_dynamism_raw</t>
        </is>
      </c>
      <c r="F49" t="inlineStr">
        <is>
          <t>Entrepreneurial dynamism raw</t>
        </is>
      </c>
      <c r="G49" t="inlineStr">
        <is>
          <t>creative</t>
        </is>
      </c>
      <c r="H49" t="inlineStr">
        <is>
          <t>yes</t>
        </is>
      </c>
      <c r="I49" t="inlineStr"/>
      <c r="J49" t="inlineStr"/>
      <c r="K49" t="inlineStr"/>
      <c r="L49" t="inlineStr"/>
      <c r="M49" t="inlineStr"/>
      <c r="N49" t="inlineStr"/>
    </row>
    <row r="50">
      <c r="A50" t="inlineStr">
        <is>
          <t>sg-singapore</t>
        </is>
      </c>
      <c r="B50" t="inlineStr">
        <is>
          <t>Singapore</t>
        </is>
      </c>
      <c r="C50" t="inlineStr">
        <is>
          <t>Singapore</t>
        </is>
      </c>
      <c r="D50" t="inlineStr">
        <is>
          <t>Southeast Asia</t>
        </is>
      </c>
      <c r="E50" t="inlineStr">
        <is>
          <t>innovation_research_intensity_raw</t>
        </is>
      </c>
      <c r="F50" t="inlineStr">
        <is>
          <t>Innovation and research raw</t>
        </is>
      </c>
      <c r="G50" t="inlineStr">
        <is>
          <t>creative</t>
        </is>
      </c>
      <c r="H50" t="inlineStr">
        <is>
          <t>yes</t>
        </is>
      </c>
      <c r="I50" t="inlineStr"/>
      <c r="J50" t="inlineStr"/>
      <c r="K50" t="inlineStr"/>
      <c r="L50" t="inlineStr"/>
      <c r="M50" t="inlineStr"/>
      <c r="N50" t="inlineStr"/>
    </row>
    <row r="51">
      <c r="A51" t="inlineStr">
        <is>
          <t>sg-singapore</t>
        </is>
      </c>
      <c r="B51" t="inlineStr">
        <is>
          <t>Singapore</t>
        </is>
      </c>
      <c r="C51" t="inlineStr">
        <is>
          <t>Singapore</t>
        </is>
      </c>
      <c r="D51" t="inlineStr">
        <is>
          <t>Southeast Asia</t>
        </is>
      </c>
      <c r="E51" t="inlineStr">
        <is>
          <t>investment_signal_raw</t>
        </is>
      </c>
      <c r="F51" t="inlineStr">
        <is>
          <t>Investment signal raw</t>
        </is>
      </c>
      <c r="G51" t="inlineStr">
        <is>
          <t>creative</t>
        </is>
      </c>
      <c r="H51" t="inlineStr">
        <is>
          <t>yes</t>
        </is>
      </c>
      <c r="I51" t="inlineStr"/>
      <c r="J51" t="inlineStr"/>
      <c r="K51" t="inlineStr"/>
      <c r="L51" t="inlineStr"/>
      <c r="M51" t="inlineStr"/>
      <c r="N51" t="inlineStr"/>
    </row>
    <row r="52">
      <c r="A52" t="inlineStr">
        <is>
          <t>sg-singapore</t>
        </is>
      </c>
      <c r="B52" t="inlineStr">
        <is>
          <t>Singapore</t>
        </is>
      </c>
      <c r="C52" t="inlineStr">
        <is>
          <t>Singapore</t>
        </is>
      </c>
      <c r="D52" t="inlineStr">
        <is>
          <t>Southeast Asia</t>
        </is>
      </c>
      <c r="E52" t="inlineStr">
        <is>
          <t>administrative_investment_friction_raw</t>
        </is>
      </c>
      <c r="F52" t="inlineStr">
        <is>
          <t>Administrative investment friction raw</t>
        </is>
      </c>
      <c r="G52" t="inlineStr">
        <is>
          <t>creative</t>
        </is>
      </c>
      <c r="H52" t="inlineStr">
        <is>
          <t>yes</t>
        </is>
      </c>
      <c r="I52" t="inlineStr"/>
      <c r="J52" t="inlineStr"/>
      <c r="K52" t="inlineStr"/>
      <c r="L52" t="inlineStr"/>
      <c r="M52" t="inlineStr"/>
      <c r="N52" t="inlineStr"/>
    </row>
    <row r="53">
      <c r="A53" t="inlineStr">
        <is>
          <t>sg-singapore</t>
        </is>
      </c>
      <c r="B53" t="inlineStr">
        <is>
          <t>Singapore</t>
        </is>
      </c>
      <c r="C53" t="inlineStr">
        <is>
          <t>Singapore</t>
        </is>
      </c>
      <c r="D53" t="inlineStr">
        <is>
          <t>Southeast Asia</t>
        </is>
      </c>
      <c r="E53" t="inlineStr">
        <is>
          <t>visitor_flow_context_raw</t>
        </is>
      </c>
      <c r="F53" t="inlineStr">
        <is>
          <t>Visitor flow context raw</t>
        </is>
      </c>
      <c r="G53" t="inlineStr">
        <is>
          <t>creative</t>
        </is>
      </c>
      <c r="H53" t="inlineStr">
        <is>
          <t>no</t>
        </is>
      </c>
      <c r="I53" t="inlineStr"/>
      <c r="J53" t="inlineStr"/>
      <c r="K53" t="inlineStr"/>
      <c r="L53" t="inlineStr"/>
      <c r="M53" t="inlineStr"/>
      <c r="N53" t="inlineStr"/>
    </row>
    <row r="54">
      <c r="A54" t="inlineStr">
        <is>
          <t>my-kuala-lumpur</t>
        </is>
      </c>
      <c r="B54" t="inlineStr">
        <is>
          <t>Kuala Lumpur</t>
        </is>
      </c>
      <c r="C54" t="inlineStr">
        <is>
          <t>Malaysia</t>
        </is>
      </c>
      <c r="D54" t="inlineStr">
        <is>
          <t>Southeast Asia</t>
        </is>
      </c>
      <c r="E54" t="inlineStr">
        <is>
          <t>gross_income</t>
        </is>
      </c>
      <c r="F54" t="inlineStr">
        <is>
          <t>Gross income</t>
        </is>
      </c>
      <c r="G54" t="inlineStr">
        <is>
          <t>pressure</t>
        </is>
      </c>
      <c r="H54" t="inlineStr">
        <is>
          <t>yes</t>
        </is>
      </c>
      <c r="I54" t="inlineStr"/>
      <c r="J54" t="inlineStr"/>
      <c r="K54" t="inlineStr"/>
      <c r="L54" t="inlineStr"/>
      <c r="M54" t="inlineStr"/>
      <c r="N54" t="inlineStr"/>
    </row>
    <row r="55">
      <c r="A55" t="inlineStr">
        <is>
          <t>my-kuala-lumpur</t>
        </is>
      </c>
      <c r="B55" t="inlineStr">
        <is>
          <t>Kuala Lumpur</t>
        </is>
      </c>
      <c r="C55" t="inlineStr">
        <is>
          <t>Malaysia</t>
        </is>
      </c>
      <c r="D55" t="inlineStr">
        <is>
          <t>Southeast Asia</t>
        </is>
      </c>
      <c r="E55" t="inlineStr">
        <is>
          <t>rent</t>
        </is>
      </c>
      <c r="F55" t="inlineStr">
        <is>
          <t>Rent</t>
        </is>
      </c>
      <c r="G55" t="inlineStr">
        <is>
          <t>pressure</t>
        </is>
      </c>
      <c r="H55" t="inlineStr">
        <is>
          <t>yes</t>
        </is>
      </c>
      <c r="I55" t="inlineStr"/>
      <c r="J55" t="inlineStr"/>
      <c r="K55" t="inlineStr"/>
      <c r="L55" t="inlineStr"/>
      <c r="M55" t="inlineStr"/>
      <c r="N55" t="inlineStr"/>
    </row>
    <row r="56">
      <c r="A56" t="inlineStr">
        <is>
          <t>my-kuala-lumpur</t>
        </is>
      </c>
      <c r="B56" t="inlineStr">
        <is>
          <t>Kuala Lumpur</t>
        </is>
      </c>
      <c r="C56" t="inlineStr">
        <is>
          <t>Malaysia</t>
        </is>
      </c>
      <c r="D56" t="inlineStr">
        <is>
          <t>Southeast Asia</t>
        </is>
      </c>
      <c r="E56" t="inlineStr">
        <is>
          <t>utilities</t>
        </is>
      </c>
      <c r="F56" t="inlineStr">
        <is>
          <t>Utilities</t>
        </is>
      </c>
      <c r="G56" t="inlineStr">
        <is>
          <t>pressure</t>
        </is>
      </c>
      <c r="H56" t="inlineStr">
        <is>
          <t>yes</t>
        </is>
      </c>
      <c r="I56" t="inlineStr"/>
      <c r="J56" t="inlineStr"/>
      <c r="K56" t="inlineStr"/>
      <c r="L56" t="inlineStr"/>
      <c r="M56" t="inlineStr"/>
      <c r="N56" t="inlineStr"/>
    </row>
    <row r="57">
      <c r="A57" t="inlineStr">
        <is>
          <t>my-kuala-lumpur</t>
        </is>
      </c>
      <c r="B57" t="inlineStr">
        <is>
          <t>Kuala Lumpur</t>
        </is>
      </c>
      <c r="C57" t="inlineStr">
        <is>
          <t>Malaysia</t>
        </is>
      </c>
      <c r="D57" t="inlineStr">
        <is>
          <t>Southeast Asia</t>
        </is>
      </c>
      <c r="E57" t="inlineStr">
        <is>
          <t>transit_cost</t>
        </is>
      </c>
      <c r="F57" t="inlineStr">
        <is>
          <t>Transit cost</t>
        </is>
      </c>
      <c r="G57" t="inlineStr">
        <is>
          <t>pressure</t>
        </is>
      </c>
      <c r="H57" t="inlineStr">
        <is>
          <t>yes</t>
        </is>
      </c>
      <c r="I57" t="inlineStr"/>
      <c r="J57" t="inlineStr"/>
      <c r="K57" t="inlineStr"/>
      <c r="L57" t="inlineStr"/>
      <c r="M57" t="inlineStr"/>
      <c r="N57" t="inlineStr"/>
    </row>
    <row r="58">
      <c r="A58" t="inlineStr">
        <is>
          <t>my-kuala-lumpur</t>
        </is>
      </c>
      <c r="B58" t="inlineStr">
        <is>
          <t>Kuala Lumpur</t>
        </is>
      </c>
      <c r="C58" t="inlineStr">
        <is>
          <t>Malaysia</t>
        </is>
      </c>
      <c r="D58" t="inlineStr">
        <is>
          <t>Southeast Asia</t>
        </is>
      </c>
      <c r="E58" t="inlineStr">
        <is>
          <t>internet_cost</t>
        </is>
      </c>
      <c r="F58" t="inlineStr">
        <is>
          <t>Internet cost</t>
        </is>
      </c>
      <c r="G58" t="inlineStr">
        <is>
          <t>pressure</t>
        </is>
      </c>
      <c r="H58" t="inlineStr">
        <is>
          <t>yes</t>
        </is>
      </c>
      <c r="I58" t="inlineStr"/>
      <c r="J58" t="inlineStr"/>
      <c r="K58" t="inlineStr"/>
      <c r="L58" t="inlineStr"/>
      <c r="M58" t="inlineStr"/>
      <c r="N58" t="inlineStr"/>
    </row>
    <row r="59">
      <c r="A59" t="inlineStr">
        <is>
          <t>my-kuala-lumpur</t>
        </is>
      </c>
      <c r="B59" t="inlineStr">
        <is>
          <t>Kuala Lumpur</t>
        </is>
      </c>
      <c r="C59" t="inlineStr">
        <is>
          <t>Malaysia</t>
        </is>
      </c>
      <c r="D59" t="inlineStr">
        <is>
          <t>Southeast Asia</t>
        </is>
      </c>
      <c r="E59" t="inlineStr">
        <is>
          <t>food_cost</t>
        </is>
      </c>
      <c r="F59" t="inlineStr">
        <is>
          <t>Food cost</t>
        </is>
      </c>
      <c r="G59" t="inlineStr">
        <is>
          <t>pressure</t>
        </is>
      </c>
      <c r="H59" t="inlineStr">
        <is>
          <t>yes</t>
        </is>
      </c>
      <c r="I59" t="inlineStr"/>
      <c r="J59" t="inlineStr"/>
      <c r="K59" t="inlineStr"/>
      <c r="L59" t="inlineStr"/>
      <c r="M59" t="inlineStr"/>
      <c r="N59" t="inlineStr"/>
    </row>
    <row r="60">
      <c r="A60" t="inlineStr">
        <is>
          <t>my-kuala-lumpur</t>
        </is>
      </c>
      <c r="B60" t="inlineStr">
        <is>
          <t>Kuala Lumpur</t>
        </is>
      </c>
      <c r="C60" t="inlineStr">
        <is>
          <t>Malaysia</t>
        </is>
      </c>
      <c r="D60" t="inlineStr">
        <is>
          <t>Southeast Asia</t>
        </is>
      </c>
      <c r="E60" t="inlineStr">
        <is>
          <t>housing_burden_raw</t>
        </is>
      </c>
      <c r="F60" t="inlineStr">
        <is>
          <t>Housing burden raw</t>
        </is>
      </c>
      <c r="G60" t="inlineStr">
        <is>
          <t>pressure</t>
        </is>
      </c>
      <c r="H60" t="inlineStr">
        <is>
          <t>yes</t>
        </is>
      </c>
      <c r="I60" t="inlineStr"/>
      <c r="J60" t="inlineStr"/>
      <c r="K60" t="inlineStr"/>
      <c r="L60" t="inlineStr"/>
      <c r="M60" t="inlineStr"/>
      <c r="N60" t="inlineStr"/>
    </row>
    <row r="61">
      <c r="A61" t="inlineStr">
        <is>
          <t>my-kuala-lumpur</t>
        </is>
      </c>
      <c r="B61" t="inlineStr">
        <is>
          <t>Kuala Lumpur</t>
        </is>
      </c>
      <c r="C61" t="inlineStr">
        <is>
          <t>Malaysia</t>
        </is>
      </c>
      <c r="D61" t="inlineStr">
        <is>
          <t>Southeast Asia</t>
        </is>
      </c>
      <c r="E61" t="inlineStr">
        <is>
          <t>household_debt_burden_raw</t>
        </is>
      </c>
      <c r="F61" t="inlineStr">
        <is>
          <t>Household debt burden raw</t>
        </is>
      </c>
      <c r="G61" t="inlineStr">
        <is>
          <t>pressure</t>
        </is>
      </c>
      <c r="H61" t="inlineStr">
        <is>
          <t>yes</t>
        </is>
      </c>
      <c r="I61" t="inlineStr"/>
      <c r="J61" t="inlineStr"/>
      <c r="K61" t="inlineStr"/>
      <c r="L61" t="inlineStr"/>
      <c r="M61" t="inlineStr"/>
      <c r="N61" t="inlineStr"/>
    </row>
    <row r="62">
      <c r="A62" t="inlineStr">
        <is>
          <t>my-kuala-lumpur</t>
        </is>
      </c>
      <c r="B62" t="inlineStr">
        <is>
          <t>Kuala Lumpur</t>
        </is>
      </c>
      <c r="C62" t="inlineStr">
        <is>
          <t>Malaysia</t>
        </is>
      </c>
      <c r="D62" t="inlineStr">
        <is>
          <t>Southeast Asia</t>
        </is>
      </c>
      <c r="E62" t="inlineStr">
        <is>
          <t>working_time_pressure_raw</t>
        </is>
      </c>
      <c r="F62" t="inlineStr">
        <is>
          <t>Working time pressure raw</t>
        </is>
      </c>
      <c r="G62" t="inlineStr">
        <is>
          <t>pressure</t>
        </is>
      </c>
      <c r="H62" t="inlineStr">
        <is>
          <t>yes</t>
        </is>
      </c>
      <c r="I62" t="inlineStr"/>
      <c r="J62" t="inlineStr"/>
      <c r="K62" t="inlineStr"/>
      <c r="L62" t="inlineStr"/>
      <c r="M62" t="inlineStr"/>
      <c r="N62" t="inlineStr"/>
    </row>
    <row r="63">
      <c r="A63" t="inlineStr">
        <is>
          <t>my-kuala-lumpur</t>
        </is>
      </c>
      <c r="B63" t="inlineStr">
        <is>
          <t>Kuala Lumpur</t>
        </is>
      </c>
      <c r="C63" t="inlineStr">
        <is>
          <t>Malaysia</t>
        </is>
      </c>
      <c r="D63" t="inlineStr">
        <is>
          <t>Southeast Asia</t>
        </is>
      </c>
      <c r="E63" t="inlineStr">
        <is>
          <t>suicide_mental_strain_raw</t>
        </is>
      </c>
      <c r="F63" t="inlineStr">
        <is>
          <t>Suicide or mental strain raw</t>
        </is>
      </c>
      <c r="G63" t="inlineStr">
        <is>
          <t>pressure</t>
        </is>
      </c>
      <c r="H63" t="inlineStr">
        <is>
          <t>yes</t>
        </is>
      </c>
      <c r="I63" t="inlineStr"/>
      <c r="J63" t="inlineStr"/>
      <c r="K63" t="inlineStr"/>
      <c r="L63" t="inlineStr"/>
      <c r="M63" t="inlineStr"/>
      <c r="N63" t="inlineStr"/>
    </row>
    <row r="64">
      <c r="A64" t="inlineStr">
        <is>
          <t>my-kuala-lumpur</t>
        </is>
      </c>
      <c r="B64" t="inlineStr">
        <is>
          <t>Kuala Lumpur</t>
        </is>
      </c>
      <c r="C64" t="inlineStr">
        <is>
          <t>Malaysia</t>
        </is>
      </c>
      <c r="D64" t="inlineStr">
        <is>
          <t>Southeast Asia</t>
        </is>
      </c>
      <c r="E64" t="inlineStr">
        <is>
          <t>personal_safety_raw</t>
        </is>
      </c>
      <c r="F64" t="inlineStr">
        <is>
          <t>Personal safety raw</t>
        </is>
      </c>
      <c r="G64" t="inlineStr">
        <is>
          <t>viability</t>
        </is>
      </c>
      <c r="H64" t="inlineStr">
        <is>
          <t>yes</t>
        </is>
      </c>
      <c r="I64" t="inlineStr"/>
      <c r="J64" t="inlineStr"/>
      <c r="K64" t="inlineStr"/>
      <c r="L64" t="inlineStr"/>
      <c r="M64" t="inlineStr"/>
      <c r="N64" t="inlineStr"/>
    </row>
    <row r="65">
      <c r="A65" t="inlineStr">
        <is>
          <t>my-kuala-lumpur</t>
        </is>
      </c>
      <c r="B65" t="inlineStr">
        <is>
          <t>Kuala Lumpur</t>
        </is>
      </c>
      <c r="C65" t="inlineStr">
        <is>
          <t>Malaysia</t>
        </is>
      </c>
      <c r="D65" t="inlineStr">
        <is>
          <t>Southeast Asia</t>
        </is>
      </c>
      <c r="E65" t="inlineStr">
        <is>
          <t>transit_access_commute_raw</t>
        </is>
      </c>
      <c r="F65" t="inlineStr">
        <is>
          <t>Transit access and commute raw</t>
        </is>
      </c>
      <c r="G65" t="inlineStr">
        <is>
          <t>viability</t>
        </is>
      </c>
      <c r="H65" t="inlineStr">
        <is>
          <t>yes</t>
        </is>
      </c>
      <c r="I65" t="inlineStr"/>
      <c r="J65" t="inlineStr"/>
      <c r="K65" t="inlineStr"/>
      <c r="L65" t="inlineStr"/>
      <c r="M65" t="inlineStr"/>
      <c r="N65" t="inlineStr"/>
    </row>
    <row r="66">
      <c r="A66" t="inlineStr">
        <is>
          <t>my-kuala-lumpur</t>
        </is>
      </c>
      <c r="B66" t="inlineStr">
        <is>
          <t>Kuala Lumpur</t>
        </is>
      </c>
      <c r="C66" t="inlineStr">
        <is>
          <t>Malaysia</t>
        </is>
      </c>
      <c r="D66" t="inlineStr">
        <is>
          <t>Southeast Asia</t>
        </is>
      </c>
      <c r="E66" t="inlineStr">
        <is>
          <t>clean_air_raw</t>
        </is>
      </c>
      <c r="F66" t="inlineStr">
        <is>
          <t>Clean air raw</t>
        </is>
      </c>
      <c r="G66" t="inlineStr">
        <is>
          <t>viability</t>
        </is>
      </c>
      <c r="H66" t="inlineStr">
        <is>
          <t>yes</t>
        </is>
      </c>
      <c r="I66" t="inlineStr"/>
      <c r="J66" t="inlineStr"/>
      <c r="K66" t="inlineStr"/>
      <c r="L66" t="inlineStr"/>
      <c r="M66" t="inlineStr"/>
      <c r="N66" t="inlineStr"/>
    </row>
    <row r="67">
      <c r="A67" t="inlineStr">
        <is>
          <t>my-kuala-lumpur</t>
        </is>
      </c>
      <c r="B67" t="inlineStr">
        <is>
          <t>Kuala Lumpur</t>
        </is>
      </c>
      <c r="C67" t="inlineStr">
        <is>
          <t>Malaysia</t>
        </is>
      </c>
      <c r="D67" t="inlineStr">
        <is>
          <t>Southeast Asia</t>
        </is>
      </c>
      <c r="E67" t="inlineStr">
        <is>
          <t>water_sanitation_utility_raw</t>
        </is>
      </c>
      <c r="F67" t="inlineStr">
        <is>
          <t>Water, sanitation, and utility raw</t>
        </is>
      </c>
      <c r="G67" t="inlineStr">
        <is>
          <t>viability</t>
        </is>
      </c>
      <c r="H67" t="inlineStr">
        <is>
          <t>yes</t>
        </is>
      </c>
      <c r="I67" t="inlineStr"/>
      <c r="J67" t="inlineStr"/>
      <c r="K67" t="inlineStr"/>
      <c r="L67" t="inlineStr"/>
      <c r="M67" t="inlineStr"/>
      <c r="N67" t="inlineStr"/>
    </row>
    <row r="68">
      <c r="A68" t="inlineStr">
        <is>
          <t>my-kuala-lumpur</t>
        </is>
      </c>
      <c r="B68" t="inlineStr">
        <is>
          <t>Kuala Lumpur</t>
        </is>
      </c>
      <c r="C68" t="inlineStr">
        <is>
          <t>Malaysia</t>
        </is>
      </c>
      <c r="D68" t="inlineStr">
        <is>
          <t>Southeast Asia</t>
        </is>
      </c>
      <c r="E68" t="inlineStr">
        <is>
          <t>digital_infrastructure_raw</t>
        </is>
      </c>
      <c r="F68" t="inlineStr">
        <is>
          <t>Digital infrastructure raw</t>
        </is>
      </c>
      <c r="G68" t="inlineStr">
        <is>
          <t>viability</t>
        </is>
      </c>
      <c r="H68" t="inlineStr">
        <is>
          <t>yes</t>
        </is>
      </c>
      <c r="I68" t="inlineStr"/>
      <c r="J68" t="inlineStr"/>
      <c r="K68" t="inlineStr"/>
      <c r="L68" t="inlineStr"/>
      <c r="M68" t="inlineStr"/>
      <c r="N68" t="inlineStr"/>
    </row>
    <row r="69">
      <c r="A69" t="inlineStr">
        <is>
          <t>my-kuala-lumpur</t>
        </is>
      </c>
      <c r="B69" t="inlineStr">
        <is>
          <t>Kuala Lumpur</t>
        </is>
      </c>
      <c r="C69" t="inlineStr">
        <is>
          <t>Malaysia</t>
        </is>
      </c>
      <c r="D69" t="inlineStr">
        <is>
          <t>Southeast Asia</t>
        </is>
      </c>
      <c r="E69" t="inlineStr">
        <is>
          <t>healthcare_quality_raw</t>
        </is>
      </c>
      <c r="F69" t="inlineStr">
        <is>
          <t>Healthcare quality raw</t>
        </is>
      </c>
      <c r="G69" t="inlineStr">
        <is>
          <t>capability</t>
        </is>
      </c>
      <c r="H69" t="inlineStr">
        <is>
          <t>yes</t>
        </is>
      </c>
      <c r="I69" t="inlineStr"/>
      <c r="J69" t="inlineStr"/>
      <c r="K69" t="inlineStr"/>
      <c r="L69" t="inlineStr"/>
      <c r="M69" t="inlineStr"/>
      <c r="N69" t="inlineStr"/>
    </row>
    <row r="70">
      <c r="A70" t="inlineStr">
        <is>
          <t>my-kuala-lumpur</t>
        </is>
      </c>
      <c r="B70" t="inlineStr">
        <is>
          <t>Kuala Lumpur</t>
        </is>
      </c>
      <c r="C70" t="inlineStr">
        <is>
          <t>Malaysia</t>
        </is>
      </c>
      <c r="D70" t="inlineStr">
        <is>
          <t>Southeast Asia</t>
        </is>
      </c>
      <c r="E70" t="inlineStr">
        <is>
          <t>education_quality_raw</t>
        </is>
      </c>
      <c r="F70" t="inlineStr">
        <is>
          <t>Education quality raw</t>
        </is>
      </c>
      <c r="G70" t="inlineStr">
        <is>
          <t>capability</t>
        </is>
      </c>
      <c r="H70" t="inlineStr">
        <is>
          <t>yes</t>
        </is>
      </c>
      <c r="I70" t="inlineStr"/>
      <c r="J70" t="inlineStr"/>
      <c r="K70" t="inlineStr"/>
      <c r="L70" t="inlineStr"/>
      <c r="M70" t="inlineStr"/>
      <c r="N70" t="inlineStr"/>
    </row>
    <row r="71">
      <c r="A71" t="inlineStr">
        <is>
          <t>my-kuala-lumpur</t>
        </is>
      </c>
      <c r="B71" t="inlineStr">
        <is>
          <t>Kuala Lumpur</t>
        </is>
      </c>
      <c r="C71" t="inlineStr">
        <is>
          <t>Malaysia</t>
        </is>
      </c>
      <c r="D71" t="inlineStr">
        <is>
          <t>Southeast Asia</t>
        </is>
      </c>
      <c r="E71" t="inlineStr">
        <is>
          <t>equal_opportunity_raw</t>
        </is>
      </c>
      <c r="F71" t="inlineStr">
        <is>
          <t>Equal opportunity raw</t>
        </is>
      </c>
      <c r="G71" t="inlineStr">
        <is>
          <t>capability</t>
        </is>
      </c>
      <c r="H71" t="inlineStr">
        <is>
          <t>yes</t>
        </is>
      </c>
      <c r="I71" t="inlineStr"/>
      <c r="J71" t="inlineStr"/>
      <c r="K71" t="inlineStr"/>
      <c r="L71" t="inlineStr"/>
      <c r="M71" t="inlineStr"/>
      <c r="N71" t="inlineStr"/>
    </row>
    <row r="72">
      <c r="A72" t="inlineStr">
        <is>
          <t>my-kuala-lumpur</t>
        </is>
      </c>
      <c r="B72" t="inlineStr">
        <is>
          <t>Kuala Lumpur</t>
        </is>
      </c>
      <c r="C72" t="inlineStr">
        <is>
          <t>Malaysia</t>
        </is>
      </c>
      <c r="D72" t="inlineStr">
        <is>
          <t>Southeast Asia</t>
        </is>
      </c>
      <c r="E72" t="inlineStr">
        <is>
          <t>hospitality_belonging_raw</t>
        </is>
      </c>
      <c r="F72" t="inlineStr">
        <is>
          <t>Hospitality and belonging raw</t>
        </is>
      </c>
      <c r="G72" t="inlineStr">
        <is>
          <t>community</t>
        </is>
      </c>
      <c r="H72" t="inlineStr">
        <is>
          <t>yes</t>
        </is>
      </c>
      <c r="I72" t="inlineStr"/>
      <c r="J72" t="inlineStr"/>
      <c r="K72" t="inlineStr"/>
      <c r="L72" t="inlineStr"/>
      <c r="M72" t="inlineStr"/>
      <c r="N72" t="inlineStr"/>
    </row>
    <row r="73">
      <c r="A73" t="inlineStr">
        <is>
          <t>my-kuala-lumpur</t>
        </is>
      </c>
      <c r="B73" t="inlineStr">
        <is>
          <t>Kuala Lumpur</t>
        </is>
      </c>
      <c r="C73" t="inlineStr">
        <is>
          <t>Malaysia</t>
        </is>
      </c>
      <c r="D73" t="inlineStr">
        <is>
          <t>Southeast Asia</t>
        </is>
      </c>
      <c r="E73" t="inlineStr">
        <is>
          <t>tolerance_pluralism_raw</t>
        </is>
      </c>
      <c r="F73" t="inlineStr">
        <is>
          <t>Tolerance and pluralism raw</t>
        </is>
      </c>
      <c r="G73" t="inlineStr">
        <is>
          <t>community</t>
        </is>
      </c>
      <c r="H73" t="inlineStr">
        <is>
          <t>yes</t>
        </is>
      </c>
      <c r="I73" t="inlineStr"/>
      <c r="J73" t="inlineStr"/>
      <c r="K73" t="inlineStr"/>
      <c r="L73" t="inlineStr"/>
      <c r="M73" t="inlineStr"/>
      <c r="N73" t="inlineStr"/>
    </row>
    <row r="74">
      <c r="A74" t="inlineStr">
        <is>
          <t>my-kuala-lumpur</t>
        </is>
      </c>
      <c r="B74" t="inlineStr">
        <is>
          <t>Kuala Lumpur</t>
        </is>
      </c>
      <c r="C74" t="inlineStr">
        <is>
          <t>Malaysia</t>
        </is>
      </c>
      <c r="D74" t="inlineStr">
        <is>
          <t>Southeast Asia</t>
        </is>
      </c>
      <c r="E74" t="inlineStr">
        <is>
          <t>cultural_public_life_raw</t>
        </is>
      </c>
      <c r="F74" t="inlineStr">
        <is>
          <t>Cultural public life raw</t>
        </is>
      </c>
      <c r="G74" t="inlineStr">
        <is>
          <t>community</t>
        </is>
      </c>
      <c r="H74" t="inlineStr">
        <is>
          <t>yes</t>
        </is>
      </c>
      <c r="I74" t="inlineStr"/>
      <c r="J74" t="inlineStr"/>
      <c r="K74" t="inlineStr"/>
      <c r="L74" t="inlineStr"/>
      <c r="M74" t="inlineStr"/>
      <c r="N74" t="inlineStr"/>
    </row>
    <row r="75">
      <c r="A75" t="inlineStr">
        <is>
          <t>my-kuala-lumpur</t>
        </is>
      </c>
      <c r="B75" t="inlineStr">
        <is>
          <t>Kuala Lumpur</t>
        </is>
      </c>
      <c r="C75" t="inlineStr">
        <is>
          <t>Malaysia</t>
        </is>
      </c>
      <c r="D75" t="inlineStr">
        <is>
          <t>Southeast Asia</t>
        </is>
      </c>
      <c r="E75" t="inlineStr">
        <is>
          <t>entrepreneurial_dynamism_raw</t>
        </is>
      </c>
      <c r="F75" t="inlineStr">
        <is>
          <t>Entrepreneurial dynamism raw</t>
        </is>
      </c>
      <c r="G75" t="inlineStr">
        <is>
          <t>creative</t>
        </is>
      </c>
      <c r="H75" t="inlineStr">
        <is>
          <t>yes</t>
        </is>
      </c>
      <c r="I75" t="inlineStr"/>
      <c r="J75" t="inlineStr"/>
      <c r="K75" t="inlineStr"/>
      <c r="L75" t="inlineStr"/>
      <c r="M75" t="inlineStr"/>
      <c r="N75" t="inlineStr"/>
    </row>
    <row r="76">
      <c r="A76" t="inlineStr">
        <is>
          <t>my-kuala-lumpur</t>
        </is>
      </c>
      <c r="B76" t="inlineStr">
        <is>
          <t>Kuala Lumpur</t>
        </is>
      </c>
      <c r="C76" t="inlineStr">
        <is>
          <t>Malaysia</t>
        </is>
      </c>
      <c r="D76" t="inlineStr">
        <is>
          <t>Southeast Asia</t>
        </is>
      </c>
      <c r="E76" t="inlineStr">
        <is>
          <t>innovation_research_intensity_raw</t>
        </is>
      </c>
      <c r="F76" t="inlineStr">
        <is>
          <t>Innovation and research raw</t>
        </is>
      </c>
      <c r="G76" t="inlineStr">
        <is>
          <t>creative</t>
        </is>
      </c>
      <c r="H76" t="inlineStr">
        <is>
          <t>yes</t>
        </is>
      </c>
      <c r="I76" t="inlineStr"/>
      <c r="J76" t="inlineStr"/>
      <c r="K76" t="inlineStr"/>
      <c r="L76" t="inlineStr"/>
      <c r="M76" t="inlineStr"/>
      <c r="N76" t="inlineStr"/>
    </row>
    <row r="77">
      <c r="A77" t="inlineStr">
        <is>
          <t>my-kuala-lumpur</t>
        </is>
      </c>
      <c r="B77" t="inlineStr">
        <is>
          <t>Kuala Lumpur</t>
        </is>
      </c>
      <c r="C77" t="inlineStr">
        <is>
          <t>Malaysia</t>
        </is>
      </c>
      <c r="D77" t="inlineStr">
        <is>
          <t>Southeast Asia</t>
        </is>
      </c>
      <c r="E77" t="inlineStr">
        <is>
          <t>investment_signal_raw</t>
        </is>
      </c>
      <c r="F77" t="inlineStr">
        <is>
          <t>Investment signal raw</t>
        </is>
      </c>
      <c r="G77" t="inlineStr">
        <is>
          <t>creative</t>
        </is>
      </c>
      <c r="H77" t="inlineStr">
        <is>
          <t>yes</t>
        </is>
      </c>
      <c r="I77" t="inlineStr"/>
      <c r="J77" t="inlineStr"/>
      <c r="K77" t="inlineStr"/>
      <c r="L77" t="inlineStr"/>
      <c r="M77" t="inlineStr"/>
      <c r="N77" t="inlineStr"/>
    </row>
    <row r="78">
      <c r="A78" t="inlineStr">
        <is>
          <t>my-kuala-lumpur</t>
        </is>
      </c>
      <c r="B78" t="inlineStr">
        <is>
          <t>Kuala Lumpur</t>
        </is>
      </c>
      <c r="C78" t="inlineStr">
        <is>
          <t>Malaysia</t>
        </is>
      </c>
      <c r="D78" t="inlineStr">
        <is>
          <t>Southeast Asia</t>
        </is>
      </c>
      <c r="E78" t="inlineStr">
        <is>
          <t>administrative_investment_friction_raw</t>
        </is>
      </c>
      <c r="F78" t="inlineStr">
        <is>
          <t>Administrative investment friction raw</t>
        </is>
      </c>
      <c r="G78" t="inlineStr">
        <is>
          <t>creative</t>
        </is>
      </c>
      <c r="H78" t="inlineStr">
        <is>
          <t>yes</t>
        </is>
      </c>
      <c r="I78" t="inlineStr"/>
      <c r="J78" t="inlineStr"/>
      <c r="K78" t="inlineStr"/>
      <c r="L78" t="inlineStr"/>
      <c r="M78" t="inlineStr"/>
      <c r="N78" t="inlineStr"/>
    </row>
    <row r="79">
      <c r="A79" t="inlineStr">
        <is>
          <t>my-kuala-lumpur</t>
        </is>
      </c>
      <c r="B79" t="inlineStr">
        <is>
          <t>Kuala Lumpur</t>
        </is>
      </c>
      <c r="C79" t="inlineStr">
        <is>
          <t>Malaysia</t>
        </is>
      </c>
      <c r="D79" t="inlineStr">
        <is>
          <t>Southeast Asia</t>
        </is>
      </c>
      <c r="E79" t="inlineStr">
        <is>
          <t>visitor_flow_context_raw</t>
        </is>
      </c>
      <c r="F79" t="inlineStr">
        <is>
          <t>Visitor flow context raw</t>
        </is>
      </c>
      <c r="G79" t="inlineStr">
        <is>
          <t>creative</t>
        </is>
      </c>
      <c r="H79" t="inlineStr">
        <is>
          <t>no</t>
        </is>
      </c>
      <c r="I79" t="inlineStr"/>
      <c r="J79" t="inlineStr"/>
      <c r="K79" t="inlineStr"/>
      <c r="L79" t="inlineStr"/>
      <c r="M79" t="inlineStr"/>
      <c r="N79" t="inlineStr"/>
    </row>
    <row r="80">
      <c r="A80" t="inlineStr">
        <is>
          <t>id-jakarta</t>
        </is>
      </c>
      <c r="B80" t="inlineStr">
        <is>
          <t>Jakarta</t>
        </is>
      </c>
      <c r="C80" t="inlineStr">
        <is>
          <t>Indonesia</t>
        </is>
      </c>
      <c r="D80" t="inlineStr">
        <is>
          <t>Southeast Asia</t>
        </is>
      </c>
      <c r="E80" t="inlineStr">
        <is>
          <t>gross_income</t>
        </is>
      </c>
      <c r="F80" t="inlineStr">
        <is>
          <t>Gross income</t>
        </is>
      </c>
      <c r="G80" t="inlineStr">
        <is>
          <t>pressure</t>
        </is>
      </c>
      <c r="H80" t="inlineStr">
        <is>
          <t>yes</t>
        </is>
      </c>
      <c r="I80" t="inlineStr"/>
      <c r="J80" t="inlineStr"/>
      <c r="K80" t="inlineStr"/>
      <c r="L80" t="inlineStr"/>
      <c r="M80" t="inlineStr"/>
      <c r="N80" t="inlineStr"/>
    </row>
    <row r="81">
      <c r="A81" t="inlineStr">
        <is>
          <t>id-jakarta</t>
        </is>
      </c>
      <c r="B81" t="inlineStr">
        <is>
          <t>Jakarta</t>
        </is>
      </c>
      <c r="C81" t="inlineStr">
        <is>
          <t>Indonesia</t>
        </is>
      </c>
      <c r="D81" t="inlineStr">
        <is>
          <t>Southeast Asia</t>
        </is>
      </c>
      <c r="E81" t="inlineStr">
        <is>
          <t>rent</t>
        </is>
      </c>
      <c r="F81" t="inlineStr">
        <is>
          <t>Rent</t>
        </is>
      </c>
      <c r="G81" t="inlineStr">
        <is>
          <t>pressure</t>
        </is>
      </c>
      <c r="H81" t="inlineStr">
        <is>
          <t>yes</t>
        </is>
      </c>
      <c r="I81" t="inlineStr"/>
      <c r="J81" t="inlineStr"/>
      <c r="K81" t="inlineStr"/>
      <c r="L81" t="inlineStr"/>
      <c r="M81" t="inlineStr"/>
      <c r="N81" t="inlineStr"/>
    </row>
    <row r="82">
      <c r="A82" t="inlineStr">
        <is>
          <t>id-jakarta</t>
        </is>
      </c>
      <c r="B82" t="inlineStr">
        <is>
          <t>Jakarta</t>
        </is>
      </c>
      <c r="C82" t="inlineStr">
        <is>
          <t>Indonesia</t>
        </is>
      </c>
      <c r="D82" t="inlineStr">
        <is>
          <t>Southeast Asia</t>
        </is>
      </c>
      <c r="E82" t="inlineStr">
        <is>
          <t>utilities</t>
        </is>
      </c>
      <c r="F82" t="inlineStr">
        <is>
          <t>Utilities</t>
        </is>
      </c>
      <c r="G82" t="inlineStr">
        <is>
          <t>pressure</t>
        </is>
      </c>
      <c r="H82" t="inlineStr">
        <is>
          <t>yes</t>
        </is>
      </c>
      <c r="I82" t="inlineStr"/>
      <c r="J82" t="inlineStr"/>
      <c r="K82" t="inlineStr"/>
      <c r="L82" t="inlineStr"/>
      <c r="M82" t="inlineStr"/>
      <c r="N82" t="inlineStr"/>
    </row>
    <row r="83">
      <c r="A83" t="inlineStr">
        <is>
          <t>id-jakarta</t>
        </is>
      </c>
      <c r="B83" t="inlineStr">
        <is>
          <t>Jakarta</t>
        </is>
      </c>
      <c r="C83" t="inlineStr">
        <is>
          <t>Indonesia</t>
        </is>
      </c>
      <c r="D83" t="inlineStr">
        <is>
          <t>Southeast Asia</t>
        </is>
      </c>
      <c r="E83" t="inlineStr">
        <is>
          <t>transit_cost</t>
        </is>
      </c>
      <c r="F83" t="inlineStr">
        <is>
          <t>Transit cost</t>
        </is>
      </c>
      <c r="G83" t="inlineStr">
        <is>
          <t>pressure</t>
        </is>
      </c>
      <c r="H83" t="inlineStr">
        <is>
          <t>yes</t>
        </is>
      </c>
      <c r="I83" t="inlineStr"/>
      <c r="J83" t="inlineStr"/>
      <c r="K83" t="inlineStr"/>
      <c r="L83" t="inlineStr"/>
      <c r="M83" t="inlineStr"/>
      <c r="N83" t="inlineStr"/>
    </row>
    <row r="84">
      <c r="A84" t="inlineStr">
        <is>
          <t>id-jakarta</t>
        </is>
      </c>
      <c r="B84" t="inlineStr">
        <is>
          <t>Jakarta</t>
        </is>
      </c>
      <c r="C84" t="inlineStr">
        <is>
          <t>Indonesia</t>
        </is>
      </c>
      <c r="D84" t="inlineStr">
        <is>
          <t>Southeast Asia</t>
        </is>
      </c>
      <c r="E84" t="inlineStr">
        <is>
          <t>internet_cost</t>
        </is>
      </c>
      <c r="F84" t="inlineStr">
        <is>
          <t>Internet cost</t>
        </is>
      </c>
      <c r="G84" t="inlineStr">
        <is>
          <t>pressure</t>
        </is>
      </c>
      <c r="H84" t="inlineStr">
        <is>
          <t>yes</t>
        </is>
      </c>
      <c r="I84" t="inlineStr"/>
      <c r="J84" t="inlineStr"/>
      <c r="K84" t="inlineStr"/>
      <c r="L84" t="inlineStr"/>
      <c r="M84" t="inlineStr"/>
      <c r="N84" t="inlineStr"/>
    </row>
    <row r="85">
      <c r="A85" t="inlineStr">
        <is>
          <t>id-jakarta</t>
        </is>
      </c>
      <c r="B85" t="inlineStr">
        <is>
          <t>Jakarta</t>
        </is>
      </c>
      <c r="C85" t="inlineStr">
        <is>
          <t>Indonesia</t>
        </is>
      </c>
      <c r="D85" t="inlineStr">
        <is>
          <t>Southeast Asia</t>
        </is>
      </c>
      <c r="E85" t="inlineStr">
        <is>
          <t>food_cost</t>
        </is>
      </c>
      <c r="F85" t="inlineStr">
        <is>
          <t>Food cost</t>
        </is>
      </c>
      <c r="G85" t="inlineStr">
        <is>
          <t>pressure</t>
        </is>
      </c>
      <c r="H85" t="inlineStr">
        <is>
          <t>yes</t>
        </is>
      </c>
      <c r="I85" t="inlineStr"/>
      <c r="J85" t="inlineStr"/>
      <c r="K85" t="inlineStr"/>
      <c r="L85" t="inlineStr"/>
      <c r="M85" t="inlineStr"/>
      <c r="N85" t="inlineStr"/>
    </row>
    <row r="86">
      <c r="A86" t="inlineStr">
        <is>
          <t>id-jakarta</t>
        </is>
      </c>
      <c r="B86" t="inlineStr">
        <is>
          <t>Jakarta</t>
        </is>
      </c>
      <c r="C86" t="inlineStr">
        <is>
          <t>Indonesia</t>
        </is>
      </c>
      <c r="D86" t="inlineStr">
        <is>
          <t>Southeast Asia</t>
        </is>
      </c>
      <c r="E86" t="inlineStr">
        <is>
          <t>housing_burden_raw</t>
        </is>
      </c>
      <c r="F86" t="inlineStr">
        <is>
          <t>Housing burden raw</t>
        </is>
      </c>
      <c r="G86" t="inlineStr">
        <is>
          <t>pressure</t>
        </is>
      </c>
      <c r="H86" t="inlineStr">
        <is>
          <t>yes</t>
        </is>
      </c>
      <c r="I86" t="inlineStr"/>
      <c r="J86" t="inlineStr"/>
      <c r="K86" t="inlineStr"/>
      <c r="L86" t="inlineStr"/>
      <c r="M86" t="inlineStr"/>
      <c r="N86" t="inlineStr"/>
    </row>
    <row r="87">
      <c r="A87" t="inlineStr">
        <is>
          <t>id-jakarta</t>
        </is>
      </c>
      <c r="B87" t="inlineStr">
        <is>
          <t>Jakarta</t>
        </is>
      </c>
      <c r="C87" t="inlineStr">
        <is>
          <t>Indonesia</t>
        </is>
      </c>
      <c r="D87" t="inlineStr">
        <is>
          <t>Southeast Asia</t>
        </is>
      </c>
      <c r="E87" t="inlineStr">
        <is>
          <t>household_debt_burden_raw</t>
        </is>
      </c>
      <c r="F87" t="inlineStr">
        <is>
          <t>Household debt burden raw</t>
        </is>
      </c>
      <c r="G87" t="inlineStr">
        <is>
          <t>pressure</t>
        </is>
      </c>
      <c r="H87" t="inlineStr">
        <is>
          <t>yes</t>
        </is>
      </c>
      <c r="I87" t="inlineStr"/>
      <c r="J87" t="inlineStr"/>
      <c r="K87" t="inlineStr"/>
      <c r="L87" t="inlineStr"/>
      <c r="M87" t="inlineStr"/>
      <c r="N87" t="inlineStr"/>
    </row>
    <row r="88">
      <c r="A88" t="inlineStr">
        <is>
          <t>id-jakarta</t>
        </is>
      </c>
      <c r="B88" t="inlineStr">
        <is>
          <t>Jakarta</t>
        </is>
      </c>
      <c r="C88" t="inlineStr">
        <is>
          <t>Indonesia</t>
        </is>
      </c>
      <c r="D88" t="inlineStr">
        <is>
          <t>Southeast Asia</t>
        </is>
      </c>
      <c r="E88" t="inlineStr">
        <is>
          <t>working_time_pressure_raw</t>
        </is>
      </c>
      <c r="F88" t="inlineStr">
        <is>
          <t>Working time pressure raw</t>
        </is>
      </c>
      <c r="G88" t="inlineStr">
        <is>
          <t>pressure</t>
        </is>
      </c>
      <c r="H88" t="inlineStr">
        <is>
          <t>yes</t>
        </is>
      </c>
      <c r="I88" t="inlineStr"/>
      <c r="J88" t="inlineStr"/>
      <c r="K88" t="inlineStr"/>
      <c r="L88" t="inlineStr"/>
      <c r="M88" t="inlineStr"/>
      <c r="N88" t="inlineStr"/>
    </row>
    <row r="89">
      <c r="A89" t="inlineStr">
        <is>
          <t>id-jakarta</t>
        </is>
      </c>
      <c r="B89" t="inlineStr">
        <is>
          <t>Jakarta</t>
        </is>
      </c>
      <c r="C89" t="inlineStr">
        <is>
          <t>Indonesia</t>
        </is>
      </c>
      <c r="D89" t="inlineStr">
        <is>
          <t>Southeast Asia</t>
        </is>
      </c>
      <c r="E89" t="inlineStr">
        <is>
          <t>suicide_mental_strain_raw</t>
        </is>
      </c>
      <c r="F89" t="inlineStr">
        <is>
          <t>Suicide or mental strain raw</t>
        </is>
      </c>
      <c r="G89" t="inlineStr">
        <is>
          <t>pressure</t>
        </is>
      </c>
      <c r="H89" t="inlineStr">
        <is>
          <t>yes</t>
        </is>
      </c>
      <c r="I89" t="inlineStr"/>
      <c r="J89" t="inlineStr"/>
      <c r="K89" t="inlineStr"/>
      <c r="L89" t="inlineStr"/>
      <c r="M89" t="inlineStr"/>
      <c r="N89" t="inlineStr"/>
    </row>
    <row r="90">
      <c r="A90" t="inlineStr">
        <is>
          <t>id-jakarta</t>
        </is>
      </c>
      <c r="B90" t="inlineStr">
        <is>
          <t>Jakarta</t>
        </is>
      </c>
      <c r="C90" t="inlineStr">
        <is>
          <t>Indonesia</t>
        </is>
      </c>
      <c r="D90" t="inlineStr">
        <is>
          <t>Southeast Asia</t>
        </is>
      </c>
      <c r="E90" t="inlineStr">
        <is>
          <t>personal_safety_raw</t>
        </is>
      </c>
      <c r="F90" t="inlineStr">
        <is>
          <t>Personal safety raw</t>
        </is>
      </c>
      <c r="G90" t="inlineStr">
        <is>
          <t>viability</t>
        </is>
      </c>
      <c r="H90" t="inlineStr">
        <is>
          <t>yes</t>
        </is>
      </c>
      <c r="I90" t="inlineStr"/>
      <c r="J90" t="inlineStr"/>
      <c r="K90" t="inlineStr"/>
      <c r="L90" t="inlineStr"/>
      <c r="M90" t="inlineStr"/>
      <c r="N90" t="inlineStr"/>
    </row>
    <row r="91">
      <c r="A91" t="inlineStr">
        <is>
          <t>id-jakarta</t>
        </is>
      </c>
      <c r="B91" t="inlineStr">
        <is>
          <t>Jakarta</t>
        </is>
      </c>
      <c r="C91" t="inlineStr">
        <is>
          <t>Indonesia</t>
        </is>
      </c>
      <c r="D91" t="inlineStr">
        <is>
          <t>Southeast Asia</t>
        </is>
      </c>
      <c r="E91" t="inlineStr">
        <is>
          <t>transit_access_commute_raw</t>
        </is>
      </c>
      <c r="F91" t="inlineStr">
        <is>
          <t>Transit access and commute raw</t>
        </is>
      </c>
      <c r="G91" t="inlineStr">
        <is>
          <t>viability</t>
        </is>
      </c>
      <c r="H91" t="inlineStr">
        <is>
          <t>yes</t>
        </is>
      </c>
      <c r="I91" t="inlineStr"/>
      <c r="J91" t="inlineStr"/>
      <c r="K91" t="inlineStr"/>
      <c r="L91" t="inlineStr"/>
      <c r="M91" t="inlineStr"/>
      <c r="N91" t="inlineStr"/>
    </row>
    <row r="92">
      <c r="A92" t="inlineStr">
        <is>
          <t>id-jakarta</t>
        </is>
      </c>
      <c r="B92" t="inlineStr">
        <is>
          <t>Jakarta</t>
        </is>
      </c>
      <c r="C92" t="inlineStr">
        <is>
          <t>Indonesia</t>
        </is>
      </c>
      <c r="D92" t="inlineStr">
        <is>
          <t>Southeast Asia</t>
        </is>
      </c>
      <c r="E92" t="inlineStr">
        <is>
          <t>clean_air_raw</t>
        </is>
      </c>
      <c r="F92" t="inlineStr">
        <is>
          <t>Clean air raw</t>
        </is>
      </c>
      <c r="G92" t="inlineStr">
        <is>
          <t>viability</t>
        </is>
      </c>
      <c r="H92" t="inlineStr">
        <is>
          <t>yes</t>
        </is>
      </c>
      <c r="I92" t="inlineStr"/>
      <c r="J92" t="inlineStr"/>
      <c r="K92" t="inlineStr"/>
      <c r="L92" t="inlineStr"/>
      <c r="M92" t="inlineStr"/>
      <c r="N92" t="inlineStr"/>
    </row>
    <row r="93">
      <c r="A93" t="inlineStr">
        <is>
          <t>id-jakarta</t>
        </is>
      </c>
      <c r="B93" t="inlineStr">
        <is>
          <t>Jakarta</t>
        </is>
      </c>
      <c r="C93" t="inlineStr">
        <is>
          <t>Indonesia</t>
        </is>
      </c>
      <c r="D93" t="inlineStr">
        <is>
          <t>Southeast Asia</t>
        </is>
      </c>
      <c r="E93" t="inlineStr">
        <is>
          <t>water_sanitation_utility_raw</t>
        </is>
      </c>
      <c r="F93" t="inlineStr">
        <is>
          <t>Water, sanitation, and utility raw</t>
        </is>
      </c>
      <c r="G93" t="inlineStr">
        <is>
          <t>viability</t>
        </is>
      </c>
      <c r="H93" t="inlineStr">
        <is>
          <t>yes</t>
        </is>
      </c>
      <c r="I93" t="inlineStr"/>
      <c r="J93" t="inlineStr"/>
      <c r="K93" t="inlineStr"/>
      <c r="L93" t="inlineStr"/>
      <c r="M93" t="inlineStr"/>
      <c r="N93" t="inlineStr"/>
    </row>
    <row r="94">
      <c r="A94" t="inlineStr">
        <is>
          <t>id-jakarta</t>
        </is>
      </c>
      <c r="B94" t="inlineStr">
        <is>
          <t>Jakarta</t>
        </is>
      </c>
      <c r="C94" t="inlineStr">
        <is>
          <t>Indonesia</t>
        </is>
      </c>
      <c r="D94" t="inlineStr">
        <is>
          <t>Southeast Asia</t>
        </is>
      </c>
      <c r="E94" t="inlineStr">
        <is>
          <t>digital_infrastructure_raw</t>
        </is>
      </c>
      <c r="F94" t="inlineStr">
        <is>
          <t>Digital infrastructure raw</t>
        </is>
      </c>
      <c r="G94" t="inlineStr">
        <is>
          <t>viability</t>
        </is>
      </c>
      <c r="H94" t="inlineStr">
        <is>
          <t>yes</t>
        </is>
      </c>
      <c r="I94" t="inlineStr"/>
      <c r="J94" t="inlineStr"/>
      <c r="K94" t="inlineStr"/>
      <c r="L94" t="inlineStr"/>
      <c r="M94" t="inlineStr"/>
      <c r="N94" t="inlineStr"/>
    </row>
    <row r="95">
      <c r="A95" t="inlineStr">
        <is>
          <t>id-jakarta</t>
        </is>
      </c>
      <c r="B95" t="inlineStr">
        <is>
          <t>Jakarta</t>
        </is>
      </c>
      <c r="C95" t="inlineStr">
        <is>
          <t>Indonesia</t>
        </is>
      </c>
      <c r="D95" t="inlineStr">
        <is>
          <t>Southeast Asia</t>
        </is>
      </c>
      <c r="E95" t="inlineStr">
        <is>
          <t>healthcare_quality_raw</t>
        </is>
      </c>
      <c r="F95" t="inlineStr">
        <is>
          <t>Healthcare quality raw</t>
        </is>
      </c>
      <c r="G95" t="inlineStr">
        <is>
          <t>capability</t>
        </is>
      </c>
      <c r="H95" t="inlineStr">
        <is>
          <t>yes</t>
        </is>
      </c>
      <c r="I95" t="inlineStr"/>
      <c r="J95" t="inlineStr"/>
      <c r="K95" t="inlineStr"/>
      <c r="L95" t="inlineStr"/>
      <c r="M95" t="inlineStr"/>
      <c r="N95" t="inlineStr"/>
    </row>
    <row r="96">
      <c r="A96" t="inlineStr">
        <is>
          <t>id-jakarta</t>
        </is>
      </c>
      <c r="B96" t="inlineStr">
        <is>
          <t>Jakarta</t>
        </is>
      </c>
      <c r="C96" t="inlineStr">
        <is>
          <t>Indonesia</t>
        </is>
      </c>
      <c r="D96" t="inlineStr">
        <is>
          <t>Southeast Asia</t>
        </is>
      </c>
      <c r="E96" t="inlineStr">
        <is>
          <t>education_quality_raw</t>
        </is>
      </c>
      <c r="F96" t="inlineStr">
        <is>
          <t>Education quality raw</t>
        </is>
      </c>
      <c r="G96" t="inlineStr">
        <is>
          <t>capability</t>
        </is>
      </c>
      <c r="H96" t="inlineStr">
        <is>
          <t>yes</t>
        </is>
      </c>
      <c r="I96" t="inlineStr"/>
      <c r="J96" t="inlineStr"/>
      <c r="K96" t="inlineStr"/>
      <c r="L96" t="inlineStr"/>
      <c r="M96" t="inlineStr"/>
      <c r="N96" t="inlineStr"/>
    </row>
    <row r="97">
      <c r="A97" t="inlineStr">
        <is>
          <t>id-jakarta</t>
        </is>
      </c>
      <c r="B97" t="inlineStr">
        <is>
          <t>Jakarta</t>
        </is>
      </c>
      <c r="C97" t="inlineStr">
        <is>
          <t>Indonesia</t>
        </is>
      </c>
      <c r="D97" t="inlineStr">
        <is>
          <t>Southeast Asia</t>
        </is>
      </c>
      <c r="E97" t="inlineStr">
        <is>
          <t>equal_opportunity_raw</t>
        </is>
      </c>
      <c r="F97" t="inlineStr">
        <is>
          <t>Equal opportunity raw</t>
        </is>
      </c>
      <c r="G97" t="inlineStr">
        <is>
          <t>capability</t>
        </is>
      </c>
      <c r="H97" t="inlineStr">
        <is>
          <t>yes</t>
        </is>
      </c>
      <c r="I97" t="inlineStr"/>
      <c r="J97" t="inlineStr"/>
      <c r="K97" t="inlineStr"/>
      <c r="L97" t="inlineStr"/>
      <c r="M97" t="inlineStr"/>
      <c r="N97" t="inlineStr"/>
    </row>
    <row r="98">
      <c r="A98" t="inlineStr">
        <is>
          <t>id-jakarta</t>
        </is>
      </c>
      <c r="B98" t="inlineStr">
        <is>
          <t>Jakarta</t>
        </is>
      </c>
      <c r="C98" t="inlineStr">
        <is>
          <t>Indonesia</t>
        </is>
      </c>
      <c r="D98" t="inlineStr">
        <is>
          <t>Southeast Asia</t>
        </is>
      </c>
      <c r="E98" t="inlineStr">
        <is>
          <t>hospitality_belonging_raw</t>
        </is>
      </c>
      <c r="F98" t="inlineStr">
        <is>
          <t>Hospitality and belonging raw</t>
        </is>
      </c>
      <c r="G98" t="inlineStr">
        <is>
          <t>community</t>
        </is>
      </c>
      <c r="H98" t="inlineStr">
        <is>
          <t>yes</t>
        </is>
      </c>
      <c r="I98" t="inlineStr"/>
      <c r="J98" t="inlineStr"/>
      <c r="K98" t="inlineStr"/>
      <c r="L98" t="inlineStr"/>
      <c r="M98" t="inlineStr"/>
      <c r="N98" t="inlineStr"/>
    </row>
    <row r="99">
      <c r="A99" t="inlineStr">
        <is>
          <t>id-jakarta</t>
        </is>
      </c>
      <c r="B99" t="inlineStr">
        <is>
          <t>Jakarta</t>
        </is>
      </c>
      <c r="C99" t="inlineStr">
        <is>
          <t>Indonesia</t>
        </is>
      </c>
      <c r="D99" t="inlineStr">
        <is>
          <t>Southeast Asia</t>
        </is>
      </c>
      <c r="E99" t="inlineStr">
        <is>
          <t>tolerance_pluralism_raw</t>
        </is>
      </c>
      <c r="F99" t="inlineStr">
        <is>
          <t>Tolerance and pluralism raw</t>
        </is>
      </c>
      <c r="G99" t="inlineStr">
        <is>
          <t>community</t>
        </is>
      </c>
      <c r="H99" t="inlineStr">
        <is>
          <t>yes</t>
        </is>
      </c>
      <c r="I99" t="inlineStr"/>
      <c r="J99" t="inlineStr"/>
      <c r="K99" t="inlineStr"/>
      <c r="L99" t="inlineStr"/>
      <c r="M99" t="inlineStr"/>
      <c r="N99" t="inlineStr"/>
    </row>
    <row r="100">
      <c r="A100" t="inlineStr">
        <is>
          <t>id-jakarta</t>
        </is>
      </c>
      <c r="B100" t="inlineStr">
        <is>
          <t>Jakarta</t>
        </is>
      </c>
      <c r="C100" t="inlineStr">
        <is>
          <t>Indonesia</t>
        </is>
      </c>
      <c r="D100" t="inlineStr">
        <is>
          <t>Southeast Asia</t>
        </is>
      </c>
      <c r="E100" t="inlineStr">
        <is>
          <t>cultural_public_life_raw</t>
        </is>
      </c>
      <c r="F100" t="inlineStr">
        <is>
          <t>Cultural public life raw</t>
        </is>
      </c>
      <c r="G100" t="inlineStr">
        <is>
          <t>community</t>
        </is>
      </c>
      <c r="H100" t="inlineStr">
        <is>
          <t>yes</t>
        </is>
      </c>
      <c r="I100" t="inlineStr"/>
      <c r="J100" t="inlineStr"/>
      <c r="K100" t="inlineStr"/>
      <c r="L100" t="inlineStr"/>
      <c r="M100" t="inlineStr"/>
      <c r="N100" t="inlineStr"/>
    </row>
    <row r="101">
      <c r="A101" t="inlineStr">
        <is>
          <t>id-jakarta</t>
        </is>
      </c>
      <c r="B101" t="inlineStr">
        <is>
          <t>Jakarta</t>
        </is>
      </c>
      <c r="C101" t="inlineStr">
        <is>
          <t>Indonesia</t>
        </is>
      </c>
      <c r="D101" t="inlineStr">
        <is>
          <t>Southeast Asia</t>
        </is>
      </c>
      <c r="E101" t="inlineStr">
        <is>
          <t>entrepreneurial_dynamism_raw</t>
        </is>
      </c>
      <c r="F101" t="inlineStr">
        <is>
          <t>Entrepreneurial dynamism raw</t>
        </is>
      </c>
      <c r="G101" t="inlineStr">
        <is>
          <t>creative</t>
        </is>
      </c>
      <c r="H101" t="inlineStr">
        <is>
          <t>yes</t>
        </is>
      </c>
      <c r="I101" t="inlineStr"/>
      <c r="J101" t="inlineStr"/>
      <c r="K101" t="inlineStr"/>
      <c r="L101" t="inlineStr"/>
      <c r="M101" t="inlineStr"/>
      <c r="N101" t="inlineStr"/>
    </row>
    <row r="102">
      <c r="A102" t="inlineStr">
        <is>
          <t>id-jakarta</t>
        </is>
      </c>
      <c r="B102" t="inlineStr">
        <is>
          <t>Jakarta</t>
        </is>
      </c>
      <c r="C102" t="inlineStr">
        <is>
          <t>Indonesia</t>
        </is>
      </c>
      <c r="D102" t="inlineStr">
        <is>
          <t>Southeast Asia</t>
        </is>
      </c>
      <c r="E102" t="inlineStr">
        <is>
          <t>innovation_research_intensity_raw</t>
        </is>
      </c>
      <c r="F102" t="inlineStr">
        <is>
          <t>Innovation and research raw</t>
        </is>
      </c>
      <c r="G102" t="inlineStr">
        <is>
          <t>creative</t>
        </is>
      </c>
      <c r="H102" t="inlineStr">
        <is>
          <t>yes</t>
        </is>
      </c>
      <c r="I102" t="inlineStr"/>
      <c r="J102" t="inlineStr"/>
      <c r="K102" t="inlineStr"/>
      <c r="L102" t="inlineStr"/>
      <c r="M102" t="inlineStr"/>
      <c r="N102" t="inlineStr"/>
    </row>
    <row r="103">
      <c r="A103" t="inlineStr">
        <is>
          <t>id-jakarta</t>
        </is>
      </c>
      <c r="B103" t="inlineStr">
        <is>
          <t>Jakarta</t>
        </is>
      </c>
      <c r="C103" t="inlineStr">
        <is>
          <t>Indonesia</t>
        </is>
      </c>
      <c r="D103" t="inlineStr">
        <is>
          <t>Southeast Asia</t>
        </is>
      </c>
      <c r="E103" t="inlineStr">
        <is>
          <t>investment_signal_raw</t>
        </is>
      </c>
      <c r="F103" t="inlineStr">
        <is>
          <t>Investment signal raw</t>
        </is>
      </c>
      <c r="G103" t="inlineStr">
        <is>
          <t>creative</t>
        </is>
      </c>
      <c r="H103" t="inlineStr">
        <is>
          <t>yes</t>
        </is>
      </c>
      <c r="I103" t="inlineStr"/>
      <c r="J103" t="inlineStr"/>
      <c r="K103" t="inlineStr"/>
      <c r="L103" t="inlineStr"/>
      <c r="M103" t="inlineStr"/>
      <c r="N103" t="inlineStr"/>
    </row>
    <row r="104">
      <c r="A104" t="inlineStr">
        <is>
          <t>id-jakarta</t>
        </is>
      </c>
      <c r="B104" t="inlineStr">
        <is>
          <t>Jakarta</t>
        </is>
      </c>
      <c r="C104" t="inlineStr">
        <is>
          <t>Indonesia</t>
        </is>
      </c>
      <c r="D104" t="inlineStr">
        <is>
          <t>Southeast Asia</t>
        </is>
      </c>
      <c r="E104" t="inlineStr">
        <is>
          <t>administrative_investment_friction_raw</t>
        </is>
      </c>
      <c r="F104" t="inlineStr">
        <is>
          <t>Administrative investment friction raw</t>
        </is>
      </c>
      <c r="G104" t="inlineStr">
        <is>
          <t>creative</t>
        </is>
      </c>
      <c r="H104" t="inlineStr">
        <is>
          <t>yes</t>
        </is>
      </c>
      <c r="I104" t="inlineStr"/>
      <c r="J104" t="inlineStr"/>
      <c r="K104" t="inlineStr"/>
      <c r="L104" t="inlineStr"/>
      <c r="M104" t="inlineStr"/>
      <c r="N104" t="inlineStr"/>
    </row>
    <row r="105">
      <c r="A105" t="inlineStr">
        <is>
          <t>id-jakarta</t>
        </is>
      </c>
      <c r="B105" t="inlineStr">
        <is>
          <t>Jakarta</t>
        </is>
      </c>
      <c r="C105" t="inlineStr">
        <is>
          <t>Indonesia</t>
        </is>
      </c>
      <c r="D105" t="inlineStr">
        <is>
          <t>Southeast Asia</t>
        </is>
      </c>
      <c r="E105" t="inlineStr">
        <is>
          <t>visitor_flow_context_raw</t>
        </is>
      </c>
      <c r="F105" t="inlineStr">
        <is>
          <t>Visitor flow context raw</t>
        </is>
      </c>
      <c r="G105" t="inlineStr">
        <is>
          <t>creative</t>
        </is>
      </c>
      <c r="H105" t="inlineStr">
        <is>
          <t>no</t>
        </is>
      </c>
      <c r="I105" t="inlineStr"/>
      <c r="J105" t="inlineStr"/>
      <c r="K105" t="inlineStr"/>
      <c r="L105" t="inlineStr"/>
      <c r="M105" t="inlineStr"/>
      <c r="N105" t="inlineStr"/>
    </row>
    <row r="106">
      <c r="A106" t="inlineStr">
        <is>
          <t>ph-makati</t>
        </is>
      </c>
      <c r="B106" t="inlineStr">
        <is>
          <t>Makati</t>
        </is>
      </c>
      <c r="C106" t="inlineStr">
        <is>
          <t>Philippines</t>
        </is>
      </c>
      <c r="D106" t="inlineStr">
        <is>
          <t>Southeast Asia</t>
        </is>
      </c>
      <c r="E106" t="inlineStr">
        <is>
          <t>gross_income</t>
        </is>
      </c>
      <c r="F106" t="inlineStr">
        <is>
          <t>Gross income</t>
        </is>
      </c>
      <c r="G106" t="inlineStr">
        <is>
          <t>pressure</t>
        </is>
      </c>
      <c r="H106" t="inlineStr">
        <is>
          <t>yes</t>
        </is>
      </c>
      <c r="I106" t="inlineStr"/>
      <c r="J106" t="inlineStr"/>
      <c r="K106" t="inlineStr"/>
      <c r="L106" t="inlineStr"/>
      <c r="M106" t="inlineStr"/>
      <c r="N106" t="inlineStr"/>
    </row>
    <row r="107">
      <c r="A107" t="inlineStr">
        <is>
          <t>ph-makati</t>
        </is>
      </c>
      <c r="B107" t="inlineStr">
        <is>
          <t>Makati</t>
        </is>
      </c>
      <c r="C107" t="inlineStr">
        <is>
          <t>Philippines</t>
        </is>
      </c>
      <c r="D107" t="inlineStr">
        <is>
          <t>Southeast Asia</t>
        </is>
      </c>
      <c r="E107" t="inlineStr">
        <is>
          <t>rent</t>
        </is>
      </c>
      <c r="F107" t="inlineStr">
        <is>
          <t>Rent</t>
        </is>
      </c>
      <c r="G107" t="inlineStr">
        <is>
          <t>pressure</t>
        </is>
      </c>
      <c r="H107" t="inlineStr">
        <is>
          <t>yes</t>
        </is>
      </c>
      <c r="I107" t="inlineStr"/>
      <c r="J107" t="inlineStr"/>
      <c r="K107" t="inlineStr"/>
      <c r="L107" t="inlineStr"/>
      <c r="M107" t="inlineStr"/>
      <c r="N107" t="inlineStr"/>
    </row>
    <row r="108">
      <c r="A108" t="inlineStr">
        <is>
          <t>ph-makati</t>
        </is>
      </c>
      <c r="B108" t="inlineStr">
        <is>
          <t>Makati</t>
        </is>
      </c>
      <c r="C108" t="inlineStr">
        <is>
          <t>Philippines</t>
        </is>
      </c>
      <c r="D108" t="inlineStr">
        <is>
          <t>Southeast Asia</t>
        </is>
      </c>
      <c r="E108" t="inlineStr">
        <is>
          <t>utilities</t>
        </is>
      </c>
      <c r="F108" t="inlineStr">
        <is>
          <t>Utilities</t>
        </is>
      </c>
      <c r="G108" t="inlineStr">
        <is>
          <t>pressure</t>
        </is>
      </c>
      <c r="H108" t="inlineStr">
        <is>
          <t>yes</t>
        </is>
      </c>
      <c r="I108" t="inlineStr"/>
      <c r="J108" t="inlineStr"/>
      <c r="K108" t="inlineStr"/>
      <c r="L108" t="inlineStr"/>
      <c r="M108" t="inlineStr"/>
      <c r="N108" t="inlineStr"/>
    </row>
    <row r="109">
      <c r="A109" t="inlineStr">
        <is>
          <t>ph-makati</t>
        </is>
      </c>
      <c r="B109" t="inlineStr">
        <is>
          <t>Makati</t>
        </is>
      </c>
      <c r="C109" t="inlineStr">
        <is>
          <t>Philippines</t>
        </is>
      </c>
      <c r="D109" t="inlineStr">
        <is>
          <t>Southeast Asia</t>
        </is>
      </c>
      <c r="E109" t="inlineStr">
        <is>
          <t>transit_cost</t>
        </is>
      </c>
      <c r="F109" t="inlineStr">
        <is>
          <t>Transit cost</t>
        </is>
      </c>
      <c r="G109" t="inlineStr">
        <is>
          <t>pressure</t>
        </is>
      </c>
      <c r="H109" t="inlineStr">
        <is>
          <t>yes</t>
        </is>
      </c>
      <c r="I109" t="inlineStr"/>
      <c r="J109" t="inlineStr"/>
      <c r="K109" t="inlineStr"/>
      <c r="L109" t="inlineStr"/>
      <c r="M109" t="inlineStr"/>
      <c r="N109" t="inlineStr"/>
    </row>
    <row r="110">
      <c r="A110" t="inlineStr">
        <is>
          <t>ph-makati</t>
        </is>
      </c>
      <c r="B110" t="inlineStr">
        <is>
          <t>Makati</t>
        </is>
      </c>
      <c r="C110" t="inlineStr">
        <is>
          <t>Philippines</t>
        </is>
      </c>
      <c r="D110" t="inlineStr">
        <is>
          <t>Southeast Asia</t>
        </is>
      </c>
      <c r="E110" t="inlineStr">
        <is>
          <t>internet_cost</t>
        </is>
      </c>
      <c r="F110" t="inlineStr">
        <is>
          <t>Internet cost</t>
        </is>
      </c>
      <c r="G110" t="inlineStr">
        <is>
          <t>pressure</t>
        </is>
      </c>
      <c r="H110" t="inlineStr">
        <is>
          <t>yes</t>
        </is>
      </c>
      <c r="I110" t="inlineStr"/>
      <c r="J110" t="inlineStr"/>
      <c r="K110" t="inlineStr"/>
      <c r="L110" t="inlineStr"/>
      <c r="M110" t="inlineStr"/>
      <c r="N110" t="inlineStr"/>
    </row>
    <row r="111">
      <c r="A111" t="inlineStr">
        <is>
          <t>ph-makati</t>
        </is>
      </c>
      <c r="B111" t="inlineStr">
        <is>
          <t>Makati</t>
        </is>
      </c>
      <c r="C111" t="inlineStr">
        <is>
          <t>Philippines</t>
        </is>
      </c>
      <c r="D111" t="inlineStr">
        <is>
          <t>Southeast Asia</t>
        </is>
      </c>
      <c r="E111" t="inlineStr">
        <is>
          <t>food_cost</t>
        </is>
      </c>
      <c r="F111" t="inlineStr">
        <is>
          <t>Food cost</t>
        </is>
      </c>
      <c r="G111" t="inlineStr">
        <is>
          <t>pressure</t>
        </is>
      </c>
      <c r="H111" t="inlineStr">
        <is>
          <t>yes</t>
        </is>
      </c>
      <c r="I111" t="inlineStr"/>
      <c r="J111" t="inlineStr"/>
      <c r="K111" t="inlineStr"/>
      <c r="L111" t="inlineStr"/>
      <c r="M111" t="inlineStr"/>
      <c r="N111" t="inlineStr"/>
    </row>
    <row r="112">
      <c r="A112" t="inlineStr">
        <is>
          <t>ph-makati</t>
        </is>
      </c>
      <c r="B112" t="inlineStr">
        <is>
          <t>Makati</t>
        </is>
      </c>
      <c r="C112" t="inlineStr">
        <is>
          <t>Philippines</t>
        </is>
      </c>
      <c r="D112" t="inlineStr">
        <is>
          <t>Southeast Asia</t>
        </is>
      </c>
      <c r="E112" t="inlineStr">
        <is>
          <t>housing_burden_raw</t>
        </is>
      </c>
      <c r="F112" t="inlineStr">
        <is>
          <t>Housing burden raw</t>
        </is>
      </c>
      <c r="G112" t="inlineStr">
        <is>
          <t>pressure</t>
        </is>
      </c>
      <c r="H112" t="inlineStr">
        <is>
          <t>yes</t>
        </is>
      </c>
      <c r="I112" t="inlineStr"/>
      <c r="J112" t="inlineStr"/>
      <c r="K112" t="inlineStr"/>
      <c r="L112" t="inlineStr"/>
      <c r="M112" t="inlineStr"/>
      <c r="N112" t="inlineStr"/>
    </row>
    <row r="113">
      <c r="A113" t="inlineStr">
        <is>
          <t>ph-makati</t>
        </is>
      </c>
      <c r="B113" t="inlineStr">
        <is>
          <t>Makati</t>
        </is>
      </c>
      <c r="C113" t="inlineStr">
        <is>
          <t>Philippines</t>
        </is>
      </c>
      <c r="D113" t="inlineStr">
        <is>
          <t>Southeast Asia</t>
        </is>
      </c>
      <c r="E113" t="inlineStr">
        <is>
          <t>household_debt_burden_raw</t>
        </is>
      </c>
      <c r="F113" t="inlineStr">
        <is>
          <t>Household debt burden raw</t>
        </is>
      </c>
      <c r="G113" t="inlineStr">
        <is>
          <t>pressure</t>
        </is>
      </c>
      <c r="H113" t="inlineStr">
        <is>
          <t>yes</t>
        </is>
      </c>
      <c r="I113" t="inlineStr"/>
      <c r="J113" t="inlineStr"/>
      <c r="K113" t="inlineStr"/>
      <c r="L113" t="inlineStr"/>
      <c r="M113" t="inlineStr"/>
      <c r="N113" t="inlineStr"/>
    </row>
    <row r="114">
      <c r="A114" t="inlineStr">
        <is>
          <t>ph-makati</t>
        </is>
      </c>
      <c r="B114" t="inlineStr">
        <is>
          <t>Makati</t>
        </is>
      </c>
      <c r="C114" t="inlineStr">
        <is>
          <t>Philippines</t>
        </is>
      </c>
      <c r="D114" t="inlineStr">
        <is>
          <t>Southeast Asia</t>
        </is>
      </c>
      <c r="E114" t="inlineStr">
        <is>
          <t>working_time_pressure_raw</t>
        </is>
      </c>
      <c r="F114" t="inlineStr">
        <is>
          <t>Working time pressure raw</t>
        </is>
      </c>
      <c r="G114" t="inlineStr">
        <is>
          <t>pressure</t>
        </is>
      </c>
      <c r="H114" t="inlineStr">
        <is>
          <t>yes</t>
        </is>
      </c>
      <c r="I114" t="inlineStr"/>
      <c r="J114" t="inlineStr"/>
      <c r="K114" t="inlineStr"/>
      <c r="L114" t="inlineStr"/>
      <c r="M114" t="inlineStr"/>
      <c r="N114" t="inlineStr"/>
    </row>
    <row r="115">
      <c r="A115" t="inlineStr">
        <is>
          <t>ph-makati</t>
        </is>
      </c>
      <c r="B115" t="inlineStr">
        <is>
          <t>Makati</t>
        </is>
      </c>
      <c r="C115" t="inlineStr">
        <is>
          <t>Philippines</t>
        </is>
      </c>
      <c r="D115" t="inlineStr">
        <is>
          <t>Southeast Asia</t>
        </is>
      </c>
      <c r="E115" t="inlineStr">
        <is>
          <t>suicide_mental_strain_raw</t>
        </is>
      </c>
      <c r="F115" t="inlineStr">
        <is>
          <t>Suicide or mental strain raw</t>
        </is>
      </c>
      <c r="G115" t="inlineStr">
        <is>
          <t>pressure</t>
        </is>
      </c>
      <c r="H115" t="inlineStr">
        <is>
          <t>yes</t>
        </is>
      </c>
      <c r="I115" t="inlineStr"/>
      <c r="J115" t="inlineStr"/>
      <c r="K115" t="inlineStr"/>
      <c r="L115" t="inlineStr"/>
      <c r="M115" t="inlineStr"/>
      <c r="N115" t="inlineStr"/>
    </row>
    <row r="116">
      <c r="A116" t="inlineStr">
        <is>
          <t>ph-makati</t>
        </is>
      </c>
      <c r="B116" t="inlineStr">
        <is>
          <t>Makati</t>
        </is>
      </c>
      <c r="C116" t="inlineStr">
        <is>
          <t>Philippines</t>
        </is>
      </c>
      <c r="D116" t="inlineStr">
        <is>
          <t>Southeast Asia</t>
        </is>
      </c>
      <c r="E116" t="inlineStr">
        <is>
          <t>personal_safety_raw</t>
        </is>
      </c>
      <c r="F116" t="inlineStr">
        <is>
          <t>Personal safety raw</t>
        </is>
      </c>
      <c r="G116" t="inlineStr">
        <is>
          <t>viability</t>
        </is>
      </c>
      <c r="H116" t="inlineStr">
        <is>
          <t>yes</t>
        </is>
      </c>
      <c r="I116" t="inlineStr"/>
      <c r="J116" t="inlineStr"/>
      <c r="K116" t="inlineStr"/>
      <c r="L116" t="inlineStr"/>
      <c r="M116" t="inlineStr"/>
      <c r="N116" t="inlineStr"/>
    </row>
    <row r="117">
      <c r="A117" t="inlineStr">
        <is>
          <t>ph-makati</t>
        </is>
      </c>
      <c r="B117" t="inlineStr">
        <is>
          <t>Makati</t>
        </is>
      </c>
      <c r="C117" t="inlineStr">
        <is>
          <t>Philippines</t>
        </is>
      </c>
      <c r="D117" t="inlineStr">
        <is>
          <t>Southeast Asia</t>
        </is>
      </c>
      <c r="E117" t="inlineStr">
        <is>
          <t>transit_access_commute_raw</t>
        </is>
      </c>
      <c r="F117" t="inlineStr">
        <is>
          <t>Transit access and commute raw</t>
        </is>
      </c>
      <c r="G117" t="inlineStr">
        <is>
          <t>viability</t>
        </is>
      </c>
      <c r="H117" t="inlineStr">
        <is>
          <t>yes</t>
        </is>
      </c>
      <c r="I117" t="inlineStr"/>
      <c r="J117" t="inlineStr"/>
      <c r="K117" t="inlineStr"/>
      <c r="L117" t="inlineStr"/>
      <c r="M117" t="inlineStr"/>
      <c r="N117" t="inlineStr"/>
    </row>
    <row r="118">
      <c r="A118" t="inlineStr">
        <is>
          <t>ph-makati</t>
        </is>
      </c>
      <c r="B118" t="inlineStr">
        <is>
          <t>Makati</t>
        </is>
      </c>
      <c r="C118" t="inlineStr">
        <is>
          <t>Philippines</t>
        </is>
      </c>
      <c r="D118" t="inlineStr">
        <is>
          <t>Southeast Asia</t>
        </is>
      </c>
      <c r="E118" t="inlineStr">
        <is>
          <t>clean_air_raw</t>
        </is>
      </c>
      <c r="F118" t="inlineStr">
        <is>
          <t>Clean air raw</t>
        </is>
      </c>
      <c r="G118" t="inlineStr">
        <is>
          <t>viability</t>
        </is>
      </c>
      <c r="H118" t="inlineStr">
        <is>
          <t>yes</t>
        </is>
      </c>
      <c r="I118" t="inlineStr"/>
      <c r="J118" t="inlineStr"/>
      <c r="K118" t="inlineStr"/>
      <c r="L118" t="inlineStr"/>
      <c r="M118" t="inlineStr"/>
      <c r="N118" t="inlineStr"/>
    </row>
    <row r="119">
      <c r="A119" t="inlineStr">
        <is>
          <t>ph-makati</t>
        </is>
      </c>
      <c r="B119" t="inlineStr">
        <is>
          <t>Makati</t>
        </is>
      </c>
      <c r="C119" t="inlineStr">
        <is>
          <t>Philippines</t>
        </is>
      </c>
      <c r="D119" t="inlineStr">
        <is>
          <t>Southeast Asia</t>
        </is>
      </c>
      <c r="E119" t="inlineStr">
        <is>
          <t>water_sanitation_utility_raw</t>
        </is>
      </c>
      <c r="F119" t="inlineStr">
        <is>
          <t>Water, sanitation, and utility raw</t>
        </is>
      </c>
      <c r="G119" t="inlineStr">
        <is>
          <t>viability</t>
        </is>
      </c>
      <c r="H119" t="inlineStr">
        <is>
          <t>yes</t>
        </is>
      </c>
      <c r="I119" t="inlineStr"/>
      <c r="J119" t="inlineStr"/>
      <c r="K119" t="inlineStr"/>
      <c r="L119" t="inlineStr"/>
      <c r="M119" t="inlineStr"/>
      <c r="N119" t="inlineStr"/>
    </row>
    <row r="120">
      <c r="A120" t="inlineStr">
        <is>
          <t>ph-makati</t>
        </is>
      </c>
      <c r="B120" t="inlineStr">
        <is>
          <t>Makati</t>
        </is>
      </c>
      <c r="C120" t="inlineStr">
        <is>
          <t>Philippines</t>
        </is>
      </c>
      <c r="D120" t="inlineStr">
        <is>
          <t>Southeast Asia</t>
        </is>
      </c>
      <c r="E120" t="inlineStr">
        <is>
          <t>digital_infrastructure_raw</t>
        </is>
      </c>
      <c r="F120" t="inlineStr">
        <is>
          <t>Digital infrastructure raw</t>
        </is>
      </c>
      <c r="G120" t="inlineStr">
        <is>
          <t>viability</t>
        </is>
      </c>
      <c r="H120" t="inlineStr">
        <is>
          <t>yes</t>
        </is>
      </c>
      <c r="I120" t="inlineStr"/>
      <c r="J120" t="inlineStr"/>
      <c r="K120" t="inlineStr"/>
      <c r="L120" t="inlineStr"/>
      <c r="M120" t="inlineStr"/>
      <c r="N120" t="inlineStr"/>
    </row>
    <row r="121">
      <c r="A121" t="inlineStr">
        <is>
          <t>ph-makati</t>
        </is>
      </c>
      <c r="B121" t="inlineStr">
        <is>
          <t>Makati</t>
        </is>
      </c>
      <c r="C121" t="inlineStr">
        <is>
          <t>Philippines</t>
        </is>
      </c>
      <c r="D121" t="inlineStr">
        <is>
          <t>Southeast Asia</t>
        </is>
      </c>
      <c r="E121" t="inlineStr">
        <is>
          <t>healthcare_quality_raw</t>
        </is>
      </c>
      <c r="F121" t="inlineStr">
        <is>
          <t>Healthcare quality raw</t>
        </is>
      </c>
      <c r="G121" t="inlineStr">
        <is>
          <t>capability</t>
        </is>
      </c>
      <c r="H121" t="inlineStr">
        <is>
          <t>yes</t>
        </is>
      </c>
      <c r="I121" t="inlineStr"/>
      <c r="J121" t="inlineStr"/>
      <c r="K121" t="inlineStr"/>
      <c r="L121" t="inlineStr"/>
      <c r="M121" t="inlineStr"/>
      <c r="N121" t="inlineStr"/>
    </row>
    <row r="122">
      <c r="A122" t="inlineStr">
        <is>
          <t>ph-makati</t>
        </is>
      </c>
      <c r="B122" t="inlineStr">
        <is>
          <t>Makati</t>
        </is>
      </c>
      <c r="C122" t="inlineStr">
        <is>
          <t>Philippines</t>
        </is>
      </c>
      <c r="D122" t="inlineStr">
        <is>
          <t>Southeast Asia</t>
        </is>
      </c>
      <c r="E122" t="inlineStr">
        <is>
          <t>education_quality_raw</t>
        </is>
      </c>
      <c r="F122" t="inlineStr">
        <is>
          <t>Education quality raw</t>
        </is>
      </c>
      <c r="G122" t="inlineStr">
        <is>
          <t>capability</t>
        </is>
      </c>
      <c r="H122" t="inlineStr">
        <is>
          <t>yes</t>
        </is>
      </c>
      <c r="I122" t="inlineStr"/>
      <c r="J122" t="inlineStr"/>
      <c r="K122" t="inlineStr"/>
      <c r="L122" t="inlineStr"/>
      <c r="M122" t="inlineStr"/>
      <c r="N122" t="inlineStr"/>
    </row>
    <row r="123">
      <c r="A123" t="inlineStr">
        <is>
          <t>ph-makati</t>
        </is>
      </c>
      <c r="B123" t="inlineStr">
        <is>
          <t>Makati</t>
        </is>
      </c>
      <c r="C123" t="inlineStr">
        <is>
          <t>Philippines</t>
        </is>
      </c>
      <c r="D123" t="inlineStr">
        <is>
          <t>Southeast Asia</t>
        </is>
      </c>
      <c r="E123" t="inlineStr">
        <is>
          <t>equal_opportunity_raw</t>
        </is>
      </c>
      <c r="F123" t="inlineStr">
        <is>
          <t>Equal opportunity raw</t>
        </is>
      </c>
      <c r="G123" t="inlineStr">
        <is>
          <t>capability</t>
        </is>
      </c>
      <c r="H123" t="inlineStr">
        <is>
          <t>yes</t>
        </is>
      </c>
      <c r="I123" t="inlineStr"/>
      <c r="J123" t="inlineStr"/>
      <c r="K123" t="inlineStr"/>
      <c r="L123" t="inlineStr"/>
      <c r="M123" t="inlineStr"/>
      <c r="N123" t="inlineStr"/>
    </row>
    <row r="124">
      <c r="A124" t="inlineStr">
        <is>
          <t>ph-makati</t>
        </is>
      </c>
      <c r="B124" t="inlineStr">
        <is>
          <t>Makati</t>
        </is>
      </c>
      <c r="C124" t="inlineStr">
        <is>
          <t>Philippines</t>
        </is>
      </c>
      <c r="D124" t="inlineStr">
        <is>
          <t>Southeast Asia</t>
        </is>
      </c>
      <c r="E124" t="inlineStr">
        <is>
          <t>hospitality_belonging_raw</t>
        </is>
      </c>
      <c r="F124" t="inlineStr">
        <is>
          <t>Hospitality and belonging raw</t>
        </is>
      </c>
      <c r="G124" t="inlineStr">
        <is>
          <t>community</t>
        </is>
      </c>
      <c r="H124" t="inlineStr">
        <is>
          <t>yes</t>
        </is>
      </c>
      <c r="I124" t="inlineStr"/>
      <c r="J124" t="inlineStr"/>
      <c r="K124" t="inlineStr"/>
      <c r="L124" t="inlineStr"/>
      <c r="M124" t="inlineStr"/>
      <c r="N124" t="inlineStr"/>
    </row>
    <row r="125">
      <c r="A125" t="inlineStr">
        <is>
          <t>ph-makati</t>
        </is>
      </c>
      <c r="B125" t="inlineStr">
        <is>
          <t>Makati</t>
        </is>
      </c>
      <c r="C125" t="inlineStr">
        <is>
          <t>Philippines</t>
        </is>
      </c>
      <c r="D125" t="inlineStr">
        <is>
          <t>Southeast Asia</t>
        </is>
      </c>
      <c r="E125" t="inlineStr">
        <is>
          <t>tolerance_pluralism_raw</t>
        </is>
      </c>
      <c r="F125" t="inlineStr">
        <is>
          <t>Tolerance and pluralism raw</t>
        </is>
      </c>
      <c r="G125" t="inlineStr">
        <is>
          <t>community</t>
        </is>
      </c>
      <c r="H125" t="inlineStr">
        <is>
          <t>yes</t>
        </is>
      </c>
      <c r="I125" t="inlineStr"/>
      <c r="J125" t="inlineStr"/>
      <c r="K125" t="inlineStr"/>
      <c r="L125" t="inlineStr"/>
      <c r="M125" t="inlineStr"/>
      <c r="N125" t="inlineStr"/>
    </row>
    <row r="126">
      <c r="A126" t="inlineStr">
        <is>
          <t>ph-makati</t>
        </is>
      </c>
      <c r="B126" t="inlineStr">
        <is>
          <t>Makati</t>
        </is>
      </c>
      <c r="C126" t="inlineStr">
        <is>
          <t>Philippines</t>
        </is>
      </c>
      <c r="D126" t="inlineStr">
        <is>
          <t>Southeast Asia</t>
        </is>
      </c>
      <c r="E126" t="inlineStr">
        <is>
          <t>cultural_public_life_raw</t>
        </is>
      </c>
      <c r="F126" t="inlineStr">
        <is>
          <t>Cultural public life raw</t>
        </is>
      </c>
      <c r="G126" t="inlineStr">
        <is>
          <t>community</t>
        </is>
      </c>
      <c r="H126" t="inlineStr">
        <is>
          <t>yes</t>
        </is>
      </c>
      <c r="I126" t="inlineStr"/>
      <c r="J126" t="inlineStr"/>
      <c r="K126" t="inlineStr"/>
      <c r="L126" t="inlineStr"/>
      <c r="M126" t="inlineStr"/>
      <c r="N126" t="inlineStr"/>
    </row>
    <row r="127">
      <c r="A127" t="inlineStr">
        <is>
          <t>ph-makati</t>
        </is>
      </c>
      <c r="B127" t="inlineStr">
        <is>
          <t>Makati</t>
        </is>
      </c>
      <c r="C127" t="inlineStr">
        <is>
          <t>Philippines</t>
        </is>
      </c>
      <c r="D127" t="inlineStr">
        <is>
          <t>Southeast Asia</t>
        </is>
      </c>
      <c r="E127" t="inlineStr">
        <is>
          <t>entrepreneurial_dynamism_raw</t>
        </is>
      </c>
      <c r="F127" t="inlineStr">
        <is>
          <t>Entrepreneurial dynamism raw</t>
        </is>
      </c>
      <c r="G127" t="inlineStr">
        <is>
          <t>creative</t>
        </is>
      </c>
      <c r="H127" t="inlineStr">
        <is>
          <t>yes</t>
        </is>
      </c>
      <c r="I127" t="inlineStr"/>
      <c r="J127" t="inlineStr"/>
      <c r="K127" t="inlineStr"/>
      <c r="L127" t="inlineStr"/>
      <c r="M127" t="inlineStr"/>
      <c r="N127" t="inlineStr"/>
    </row>
    <row r="128">
      <c r="A128" t="inlineStr">
        <is>
          <t>ph-makati</t>
        </is>
      </c>
      <c r="B128" t="inlineStr">
        <is>
          <t>Makati</t>
        </is>
      </c>
      <c r="C128" t="inlineStr">
        <is>
          <t>Philippines</t>
        </is>
      </c>
      <c r="D128" t="inlineStr">
        <is>
          <t>Southeast Asia</t>
        </is>
      </c>
      <c r="E128" t="inlineStr">
        <is>
          <t>innovation_research_intensity_raw</t>
        </is>
      </c>
      <c r="F128" t="inlineStr">
        <is>
          <t>Innovation and research raw</t>
        </is>
      </c>
      <c r="G128" t="inlineStr">
        <is>
          <t>creative</t>
        </is>
      </c>
      <c r="H128" t="inlineStr">
        <is>
          <t>yes</t>
        </is>
      </c>
      <c r="I128" t="inlineStr"/>
      <c r="J128" t="inlineStr"/>
      <c r="K128" t="inlineStr"/>
      <c r="L128" t="inlineStr"/>
      <c r="M128" t="inlineStr"/>
      <c r="N128" t="inlineStr"/>
    </row>
    <row r="129">
      <c r="A129" t="inlineStr">
        <is>
          <t>ph-makati</t>
        </is>
      </c>
      <c r="B129" t="inlineStr">
        <is>
          <t>Makati</t>
        </is>
      </c>
      <c r="C129" t="inlineStr">
        <is>
          <t>Philippines</t>
        </is>
      </c>
      <c r="D129" t="inlineStr">
        <is>
          <t>Southeast Asia</t>
        </is>
      </c>
      <c r="E129" t="inlineStr">
        <is>
          <t>investment_signal_raw</t>
        </is>
      </c>
      <c r="F129" t="inlineStr">
        <is>
          <t>Investment signal raw</t>
        </is>
      </c>
      <c r="G129" t="inlineStr">
        <is>
          <t>creative</t>
        </is>
      </c>
      <c r="H129" t="inlineStr">
        <is>
          <t>yes</t>
        </is>
      </c>
      <c r="I129" t="inlineStr"/>
      <c r="J129" t="inlineStr"/>
      <c r="K129" t="inlineStr"/>
      <c r="L129" t="inlineStr"/>
      <c r="M129" t="inlineStr"/>
      <c r="N129" t="inlineStr"/>
    </row>
    <row r="130">
      <c r="A130" t="inlineStr">
        <is>
          <t>ph-makati</t>
        </is>
      </c>
      <c r="B130" t="inlineStr">
        <is>
          <t>Makati</t>
        </is>
      </c>
      <c r="C130" t="inlineStr">
        <is>
          <t>Philippines</t>
        </is>
      </c>
      <c r="D130" t="inlineStr">
        <is>
          <t>Southeast Asia</t>
        </is>
      </c>
      <c r="E130" t="inlineStr">
        <is>
          <t>administrative_investment_friction_raw</t>
        </is>
      </c>
      <c r="F130" t="inlineStr">
        <is>
          <t>Administrative investment friction raw</t>
        </is>
      </c>
      <c r="G130" t="inlineStr">
        <is>
          <t>creative</t>
        </is>
      </c>
      <c r="H130" t="inlineStr">
        <is>
          <t>yes</t>
        </is>
      </c>
      <c r="I130" t="inlineStr"/>
      <c r="J130" t="inlineStr"/>
      <c r="K130" t="inlineStr"/>
      <c r="L130" t="inlineStr"/>
      <c r="M130" t="inlineStr"/>
      <c r="N130" t="inlineStr"/>
    </row>
    <row r="131">
      <c r="A131" t="inlineStr">
        <is>
          <t>ph-makati</t>
        </is>
      </c>
      <c r="B131" t="inlineStr">
        <is>
          <t>Makati</t>
        </is>
      </c>
      <c r="C131" t="inlineStr">
        <is>
          <t>Philippines</t>
        </is>
      </c>
      <c r="D131" t="inlineStr">
        <is>
          <t>Southeast Asia</t>
        </is>
      </c>
      <c r="E131" t="inlineStr">
        <is>
          <t>visitor_flow_context_raw</t>
        </is>
      </c>
      <c r="F131" t="inlineStr">
        <is>
          <t>Visitor flow context raw</t>
        </is>
      </c>
      <c r="G131" t="inlineStr">
        <is>
          <t>creative</t>
        </is>
      </c>
      <c r="H131" t="inlineStr">
        <is>
          <t>no</t>
        </is>
      </c>
      <c r="I131" t="inlineStr"/>
      <c r="J131" t="inlineStr"/>
      <c r="K131" t="inlineStr"/>
      <c r="L131" t="inlineStr"/>
      <c r="M131" t="inlineStr"/>
      <c r="N131" t="inlineStr"/>
    </row>
    <row r="132">
      <c r="A132" t="inlineStr">
        <is>
          <t>my-george-town</t>
        </is>
      </c>
      <c r="B132" t="inlineStr">
        <is>
          <t>George Town</t>
        </is>
      </c>
      <c r="C132" t="inlineStr">
        <is>
          <t>Malaysia</t>
        </is>
      </c>
      <c r="D132" t="inlineStr">
        <is>
          <t>Southeast Asia</t>
        </is>
      </c>
      <c r="E132" t="inlineStr">
        <is>
          <t>gross_income</t>
        </is>
      </c>
      <c r="F132" t="inlineStr">
        <is>
          <t>Gross income</t>
        </is>
      </c>
      <c r="G132" t="inlineStr">
        <is>
          <t>pressure</t>
        </is>
      </c>
      <c r="H132" t="inlineStr">
        <is>
          <t>yes</t>
        </is>
      </c>
      <c r="I132" t="inlineStr"/>
      <c r="J132" t="inlineStr"/>
      <c r="K132" t="inlineStr"/>
      <c r="L132" t="inlineStr"/>
      <c r="M132" t="inlineStr"/>
      <c r="N132" t="inlineStr"/>
    </row>
    <row r="133">
      <c r="A133" t="inlineStr">
        <is>
          <t>my-george-town</t>
        </is>
      </c>
      <c r="B133" t="inlineStr">
        <is>
          <t>George Town</t>
        </is>
      </c>
      <c r="C133" t="inlineStr">
        <is>
          <t>Malaysia</t>
        </is>
      </c>
      <c r="D133" t="inlineStr">
        <is>
          <t>Southeast Asia</t>
        </is>
      </c>
      <c r="E133" t="inlineStr">
        <is>
          <t>rent</t>
        </is>
      </c>
      <c r="F133" t="inlineStr">
        <is>
          <t>Rent</t>
        </is>
      </c>
      <c r="G133" t="inlineStr">
        <is>
          <t>pressure</t>
        </is>
      </c>
      <c r="H133" t="inlineStr">
        <is>
          <t>yes</t>
        </is>
      </c>
      <c r="I133" t="inlineStr"/>
      <c r="J133" t="inlineStr"/>
      <c r="K133" t="inlineStr"/>
      <c r="L133" t="inlineStr"/>
      <c r="M133" t="inlineStr"/>
      <c r="N133" t="inlineStr"/>
    </row>
    <row r="134">
      <c r="A134" t="inlineStr">
        <is>
          <t>my-george-town</t>
        </is>
      </c>
      <c r="B134" t="inlineStr">
        <is>
          <t>George Town</t>
        </is>
      </c>
      <c r="C134" t="inlineStr">
        <is>
          <t>Malaysia</t>
        </is>
      </c>
      <c r="D134" t="inlineStr">
        <is>
          <t>Southeast Asia</t>
        </is>
      </c>
      <c r="E134" t="inlineStr">
        <is>
          <t>utilities</t>
        </is>
      </c>
      <c r="F134" t="inlineStr">
        <is>
          <t>Utilities</t>
        </is>
      </c>
      <c r="G134" t="inlineStr">
        <is>
          <t>pressure</t>
        </is>
      </c>
      <c r="H134" t="inlineStr">
        <is>
          <t>yes</t>
        </is>
      </c>
      <c r="I134" t="inlineStr"/>
      <c r="J134" t="inlineStr"/>
      <c r="K134" t="inlineStr"/>
      <c r="L134" t="inlineStr"/>
      <c r="M134" t="inlineStr"/>
      <c r="N134" t="inlineStr"/>
    </row>
    <row r="135">
      <c r="A135" t="inlineStr">
        <is>
          <t>my-george-town</t>
        </is>
      </c>
      <c r="B135" t="inlineStr">
        <is>
          <t>George Town</t>
        </is>
      </c>
      <c r="C135" t="inlineStr">
        <is>
          <t>Malaysia</t>
        </is>
      </c>
      <c r="D135" t="inlineStr">
        <is>
          <t>Southeast Asia</t>
        </is>
      </c>
      <c r="E135" t="inlineStr">
        <is>
          <t>transit_cost</t>
        </is>
      </c>
      <c r="F135" t="inlineStr">
        <is>
          <t>Transit cost</t>
        </is>
      </c>
      <c r="G135" t="inlineStr">
        <is>
          <t>pressure</t>
        </is>
      </c>
      <c r="H135" t="inlineStr">
        <is>
          <t>yes</t>
        </is>
      </c>
      <c r="I135" t="inlineStr"/>
      <c r="J135" t="inlineStr"/>
      <c r="K135" t="inlineStr"/>
      <c r="L135" t="inlineStr"/>
      <c r="M135" t="inlineStr"/>
      <c r="N135" t="inlineStr"/>
    </row>
    <row r="136">
      <c r="A136" t="inlineStr">
        <is>
          <t>my-george-town</t>
        </is>
      </c>
      <c r="B136" t="inlineStr">
        <is>
          <t>George Town</t>
        </is>
      </c>
      <c r="C136" t="inlineStr">
        <is>
          <t>Malaysia</t>
        </is>
      </c>
      <c r="D136" t="inlineStr">
        <is>
          <t>Southeast Asia</t>
        </is>
      </c>
      <c r="E136" t="inlineStr">
        <is>
          <t>internet_cost</t>
        </is>
      </c>
      <c r="F136" t="inlineStr">
        <is>
          <t>Internet cost</t>
        </is>
      </c>
      <c r="G136" t="inlineStr">
        <is>
          <t>pressure</t>
        </is>
      </c>
      <c r="H136" t="inlineStr">
        <is>
          <t>yes</t>
        </is>
      </c>
      <c r="I136" t="inlineStr"/>
      <c r="J136" t="inlineStr"/>
      <c r="K136" t="inlineStr"/>
      <c r="L136" t="inlineStr"/>
      <c r="M136" t="inlineStr"/>
      <c r="N136" t="inlineStr"/>
    </row>
    <row r="137">
      <c r="A137" t="inlineStr">
        <is>
          <t>my-george-town</t>
        </is>
      </c>
      <c r="B137" t="inlineStr">
        <is>
          <t>George Town</t>
        </is>
      </c>
      <c r="C137" t="inlineStr">
        <is>
          <t>Malaysia</t>
        </is>
      </c>
      <c r="D137" t="inlineStr">
        <is>
          <t>Southeast Asia</t>
        </is>
      </c>
      <c r="E137" t="inlineStr">
        <is>
          <t>food_cost</t>
        </is>
      </c>
      <c r="F137" t="inlineStr">
        <is>
          <t>Food cost</t>
        </is>
      </c>
      <c r="G137" t="inlineStr">
        <is>
          <t>pressure</t>
        </is>
      </c>
      <c r="H137" t="inlineStr">
        <is>
          <t>yes</t>
        </is>
      </c>
      <c r="I137" t="inlineStr"/>
      <c r="J137" t="inlineStr"/>
      <c r="K137" t="inlineStr"/>
      <c r="L137" t="inlineStr"/>
      <c r="M137" t="inlineStr"/>
      <c r="N137" t="inlineStr"/>
    </row>
    <row r="138">
      <c r="A138" t="inlineStr">
        <is>
          <t>my-george-town</t>
        </is>
      </c>
      <c r="B138" t="inlineStr">
        <is>
          <t>George Town</t>
        </is>
      </c>
      <c r="C138" t="inlineStr">
        <is>
          <t>Malaysia</t>
        </is>
      </c>
      <c r="D138" t="inlineStr">
        <is>
          <t>Southeast Asia</t>
        </is>
      </c>
      <c r="E138" t="inlineStr">
        <is>
          <t>housing_burden_raw</t>
        </is>
      </c>
      <c r="F138" t="inlineStr">
        <is>
          <t>Housing burden raw</t>
        </is>
      </c>
      <c r="G138" t="inlineStr">
        <is>
          <t>pressure</t>
        </is>
      </c>
      <c r="H138" t="inlineStr">
        <is>
          <t>yes</t>
        </is>
      </c>
      <c r="I138" t="inlineStr"/>
      <c r="J138" t="inlineStr"/>
      <c r="K138" t="inlineStr"/>
      <c r="L138" t="inlineStr"/>
      <c r="M138" t="inlineStr"/>
      <c r="N138" t="inlineStr"/>
    </row>
    <row r="139">
      <c r="A139" t="inlineStr">
        <is>
          <t>my-george-town</t>
        </is>
      </c>
      <c r="B139" t="inlineStr">
        <is>
          <t>George Town</t>
        </is>
      </c>
      <c r="C139" t="inlineStr">
        <is>
          <t>Malaysia</t>
        </is>
      </c>
      <c r="D139" t="inlineStr">
        <is>
          <t>Southeast Asia</t>
        </is>
      </c>
      <c r="E139" t="inlineStr">
        <is>
          <t>household_debt_burden_raw</t>
        </is>
      </c>
      <c r="F139" t="inlineStr">
        <is>
          <t>Household debt burden raw</t>
        </is>
      </c>
      <c r="G139" t="inlineStr">
        <is>
          <t>pressure</t>
        </is>
      </c>
      <c r="H139" t="inlineStr">
        <is>
          <t>yes</t>
        </is>
      </c>
      <c r="I139" t="inlineStr"/>
      <c r="J139" t="inlineStr"/>
      <c r="K139" t="inlineStr"/>
      <c r="L139" t="inlineStr"/>
      <c r="M139" t="inlineStr"/>
      <c r="N139" t="inlineStr"/>
    </row>
    <row r="140">
      <c r="A140" t="inlineStr">
        <is>
          <t>my-george-town</t>
        </is>
      </c>
      <c r="B140" t="inlineStr">
        <is>
          <t>George Town</t>
        </is>
      </c>
      <c r="C140" t="inlineStr">
        <is>
          <t>Malaysia</t>
        </is>
      </c>
      <c r="D140" t="inlineStr">
        <is>
          <t>Southeast Asia</t>
        </is>
      </c>
      <c r="E140" t="inlineStr">
        <is>
          <t>working_time_pressure_raw</t>
        </is>
      </c>
      <c r="F140" t="inlineStr">
        <is>
          <t>Working time pressure raw</t>
        </is>
      </c>
      <c r="G140" t="inlineStr">
        <is>
          <t>pressure</t>
        </is>
      </c>
      <c r="H140" t="inlineStr">
        <is>
          <t>yes</t>
        </is>
      </c>
      <c r="I140" t="inlineStr"/>
      <c r="J140" t="inlineStr"/>
      <c r="K140" t="inlineStr"/>
      <c r="L140" t="inlineStr"/>
      <c r="M140" t="inlineStr"/>
      <c r="N140" t="inlineStr"/>
    </row>
    <row r="141">
      <c r="A141" t="inlineStr">
        <is>
          <t>my-george-town</t>
        </is>
      </c>
      <c r="B141" t="inlineStr">
        <is>
          <t>George Town</t>
        </is>
      </c>
      <c r="C141" t="inlineStr">
        <is>
          <t>Malaysia</t>
        </is>
      </c>
      <c r="D141" t="inlineStr">
        <is>
          <t>Southeast Asia</t>
        </is>
      </c>
      <c r="E141" t="inlineStr">
        <is>
          <t>suicide_mental_strain_raw</t>
        </is>
      </c>
      <c r="F141" t="inlineStr">
        <is>
          <t>Suicide or mental strain raw</t>
        </is>
      </c>
      <c r="G141" t="inlineStr">
        <is>
          <t>pressure</t>
        </is>
      </c>
      <c r="H141" t="inlineStr">
        <is>
          <t>yes</t>
        </is>
      </c>
      <c r="I141" t="inlineStr"/>
      <c r="J141" t="inlineStr"/>
      <c r="K141" t="inlineStr"/>
      <c r="L141" t="inlineStr"/>
      <c r="M141" t="inlineStr"/>
      <c r="N141" t="inlineStr"/>
    </row>
    <row r="142">
      <c r="A142" t="inlineStr">
        <is>
          <t>my-george-town</t>
        </is>
      </c>
      <c r="B142" t="inlineStr">
        <is>
          <t>George Town</t>
        </is>
      </c>
      <c r="C142" t="inlineStr">
        <is>
          <t>Malaysia</t>
        </is>
      </c>
      <c r="D142" t="inlineStr">
        <is>
          <t>Southeast Asia</t>
        </is>
      </c>
      <c r="E142" t="inlineStr">
        <is>
          <t>personal_safety_raw</t>
        </is>
      </c>
      <c r="F142" t="inlineStr">
        <is>
          <t>Personal safety raw</t>
        </is>
      </c>
      <c r="G142" t="inlineStr">
        <is>
          <t>viability</t>
        </is>
      </c>
      <c r="H142" t="inlineStr">
        <is>
          <t>yes</t>
        </is>
      </c>
      <c r="I142" t="inlineStr"/>
      <c r="J142" t="inlineStr"/>
      <c r="K142" t="inlineStr"/>
      <c r="L142" t="inlineStr"/>
      <c r="M142" t="inlineStr"/>
      <c r="N142" t="inlineStr"/>
    </row>
    <row r="143">
      <c r="A143" t="inlineStr">
        <is>
          <t>my-george-town</t>
        </is>
      </c>
      <c r="B143" t="inlineStr">
        <is>
          <t>George Town</t>
        </is>
      </c>
      <c r="C143" t="inlineStr">
        <is>
          <t>Malaysia</t>
        </is>
      </c>
      <c r="D143" t="inlineStr">
        <is>
          <t>Southeast Asia</t>
        </is>
      </c>
      <c r="E143" t="inlineStr">
        <is>
          <t>transit_access_commute_raw</t>
        </is>
      </c>
      <c r="F143" t="inlineStr">
        <is>
          <t>Transit access and commute raw</t>
        </is>
      </c>
      <c r="G143" t="inlineStr">
        <is>
          <t>viability</t>
        </is>
      </c>
      <c r="H143" t="inlineStr">
        <is>
          <t>yes</t>
        </is>
      </c>
      <c r="I143" t="inlineStr"/>
      <c r="J143" t="inlineStr"/>
      <c r="K143" t="inlineStr"/>
      <c r="L143" t="inlineStr"/>
      <c r="M143" t="inlineStr"/>
      <c r="N143" t="inlineStr"/>
    </row>
    <row r="144">
      <c r="A144" t="inlineStr">
        <is>
          <t>my-george-town</t>
        </is>
      </c>
      <c r="B144" t="inlineStr">
        <is>
          <t>George Town</t>
        </is>
      </c>
      <c r="C144" t="inlineStr">
        <is>
          <t>Malaysia</t>
        </is>
      </c>
      <c r="D144" t="inlineStr">
        <is>
          <t>Southeast Asia</t>
        </is>
      </c>
      <c r="E144" t="inlineStr">
        <is>
          <t>clean_air_raw</t>
        </is>
      </c>
      <c r="F144" t="inlineStr">
        <is>
          <t>Clean air raw</t>
        </is>
      </c>
      <c r="G144" t="inlineStr">
        <is>
          <t>viability</t>
        </is>
      </c>
      <c r="H144" t="inlineStr">
        <is>
          <t>yes</t>
        </is>
      </c>
      <c r="I144" t="inlineStr"/>
      <c r="J144" t="inlineStr"/>
      <c r="K144" t="inlineStr"/>
      <c r="L144" t="inlineStr"/>
      <c r="M144" t="inlineStr"/>
      <c r="N144" t="inlineStr"/>
    </row>
    <row r="145">
      <c r="A145" t="inlineStr">
        <is>
          <t>my-george-town</t>
        </is>
      </c>
      <c r="B145" t="inlineStr">
        <is>
          <t>George Town</t>
        </is>
      </c>
      <c r="C145" t="inlineStr">
        <is>
          <t>Malaysia</t>
        </is>
      </c>
      <c r="D145" t="inlineStr">
        <is>
          <t>Southeast Asia</t>
        </is>
      </c>
      <c r="E145" t="inlineStr">
        <is>
          <t>water_sanitation_utility_raw</t>
        </is>
      </c>
      <c r="F145" t="inlineStr">
        <is>
          <t>Water, sanitation, and utility raw</t>
        </is>
      </c>
      <c r="G145" t="inlineStr">
        <is>
          <t>viability</t>
        </is>
      </c>
      <c r="H145" t="inlineStr">
        <is>
          <t>yes</t>
        </is>
      </c>
      <c r="I145" t="inlineStr"/>
      <c r="J145" t="inlineStr"/>
      <c r="K145" t="inlineStr"/>
      <c r="L145" t="inlineStr"/>
      <c r="M145" t="inlineStr"/>
      <c r="N145" t="inlineStr"/>
    </row>
    <row r="146">
      <c r="A146" t="inlineStr">
        <is>
          <t>my-george-town</t>
        </is>
      </c>
      <c r="B146" t="inlineStr">
        <is>
          <t>George Town</t>
        </is>
      </c>
      <c r="C146" t="inlineStr">
        <is>
          <t>Malaysia</t>
        </is>
      </c>
      <c r="D146" t="inlineStr">
        <is>
          <t>Southeast Asia</t>
        </is>
      </c>
      <c r="E146" t="inlineStr">
        <is>
          <t>digital_infrastructure_raw</t>
        </is>
      </c>
      <c r="F146" t="inlineStr">
        <is>
          <t>Digital infrastructure raw</t>
        </is>
      </c>
      <c r="G146" t="inlineStr">
        <is>
          <t>viability</t>
        </is>
      </c>
      <c r="H146" t="inlineStr">
        <is>
          <t>yes</t>
        </is>
      </c>
      <c r="I146" t="inlineStr"/>
      <c r="J146" t="inlineStr"/>
      <c r="K146" t="inlineStr"/>
      <c r="L146" t="inlineStr"/>
      <c r="M146" t="inlineStr"/>
      <c r="N146" t="inlineStr"/>
    </row>
    <row r="147">
      <c r="A147" t="inlineStr">
        <is>
          <t>my-george-town</t>
        </is>
      </c>
      <c r="B147" t="inlineStr">
        <is>
          <t>George Town</t>
        </is>
      </c>
      <c r="C147" t="inlineStr">
        <is>
          <t>Malaysia</t>
        </is>
      </c>
      <c r="D147" t="inlineStr">
        <is>
          <t>Southeast Asia</t>
        </is>
      </c>
      <c r="E147" t="inlineStr">
        <is>
          <t>healthcare_quality_raw</t>
        </is>
      </c>
      <c r="F147" t="inlineStr">
        <is>
          <t>Healthcare quality raw</t>
        </is>
      </c>
      <c r="G147" t="inlineStr">
        <is>
          <t>capability</t>
        </is>
      </c>
      <c r="H147" t="inlineStr">
        <is>
          <t>yes</t>
        </is>
      </c>
      <c r="I147" t="inlineStr"/>
      <c r="J147" t="inlineStr"/>
      <c r="K147" t="inlineStr"/>
      <c r="L147" t="inlineStr"/>
      <c r="M147" t="inlineStr"/>
      <c r="N147" t="inlineStr"/>
    </row>
    <row r="148">
      <c r="A148" t="inlineStr">
        <is>
          <t>my-george-town</t>
        </is>
      </c>
      <c r="B148" t="inlineStr">
        <is>
          <t>George Town</t>
        </is>
      </c>
      <c r="C148" t="inlineStr">
        <is>
          <t>Malaysia</t>
        </is>
      </c>
      <c r="D148" t="inlineStr">
        <is>
          <t>Southeast Asia</t>
        </is>
      </c>
      <c r="E148" t="inlineStr">
        <is>
          <t>education_quality_raw</t>
        </is>
      </c>
      <c r="F148" t="inlineStr">
        <is>
          <t>Education quality raw</t>
        </is>
      </c>
      <c r="G148" t="inlineStr">
        <is>
          <t>capability</t>
        </is>
      </c>
      <c r="H148" t="inlineStr">
        <is>
          <t>yes</t>
        </is>
      </c>
      <c r="I148" t="inlineStr"/>
      <c r="J148" t="inlineStr"/>
      <c r="K148" t="inlineStr"/>
      <c r="L148" t="inlineStr"/>
      <c r="M148" t="inlineStr"/>
      <c r="N148" t="inlineStr"/>
    </row>
    <row r="149">
      <c r="A149" t="inlineStr">
        <is>
          <t>my-george-town</t>
        </is>
      </c>
      <c r="B149" t="inlineStr">
        <is>
          <t>George Town</t>
        </is>
      </c>
      <c r="C149" t="inlineStr">
        <is>
          <t>Malaysia</t>
        </is>
      </c>
      <c r="D149" t="inlineStr">
        <is>
          <t>Southeast Asia</t>
        </is>
      </c>
      <c r="E149" t="inlineStr">
        <is>
          <t>equal_opportunity_raw</t>
        </is>
      </c>
      <c r="F149" t="inlineStr">
        <is>
          <t>Equal opportunity raw</t>
        </is>
      </c>
      <c r="G149" t="inlineStr">
        <is>
          <t>capability</t>
        </is>
      </c>
      <c r="H149" t="inlineStr">
        <is>
          <t>yes</t>
        </is>
      </c>
      <c r="I149" t="inlineStr"/>
      <c r="J149" t="inlineStr"/>
      <c r="K149" t="inlineStr"/>
      <c r="L149" t="inlineStr"/>
      <c r="M149" t="inlineStr"/>
      <c r="N149" t="inlineStr"/>
    </row>
    <row r="150">
      <c r="A150" t="inlineStr">
        <is>
          <t>my-george-town</t>
        </is>
      </c>
      <c r="B150" t="inlineStr">
        <is>
          <t>George Town</t>
        </is>
      </c>
      <c r="C150" t="inlineStr">
        <is>
          <t>Malaysia</t>
        </is>
      </c>
      <c r="D150" t="inlineStr">
        <is>
          <t>Southeast Asia</t>
        </is>
      </c>
      <c r="E150" t="inlineStr">
        <is>
          <t>hospitality_belonging_raw</t>
        </is>
      </c>
      <c r="F150" t="inlineStr">
        <is>
          <t>Hospitality and belonging raw</t>
        </is>
      </c>
      <c r="G150" t="inlineStr">
        <is>
          <t>community</t>
        </is>
      </c>
      <c r="H150" t="inlineStr">
        <is>
          <t>yes</t>
        </is>
      </c>
      <c r="I150" t="inlineStr"/>
      <c r="J150" t="inlineStr"/>
      <c r="K150" t="inlineStr"/>
      <c r="L150" t="inlineStr"/>
      <c r="M150" t="inlineStr"/>
      <c r="N150" t="inlineStr"/>
    </row>
    <row r="151">
      <c r="A151" t="inlineStr">
        <is>
          <t>my-george-town</t>
        </is>
      </c>
      <c r="B151" t="inlineStr">
        <is>
          <t>George Town</t>
        </is>
      </c>
      <c r="C151" t="inlineStr">
        <is>
          <t>Malaysia</t>
        </is>
      </c>
      <c r="D151" t="inlineStr">
        <is>
          <t>Southeast Asia</t>
        </is>
      </c>
      <c r="E151" t="inlineStr">
        <is>
          <t>tolerance_pluralism_raw</t>
        </is>
      </c>
      <c r="F151" t="inlineStr">
        <is>
          <t>Tolerance and pluralism raw</t>
        </is>
      </c>
      <c r="G151" t="inlineStr">
        <is>
          <t>community</t>
        </is>
      </c>
      <c r="H151" t="inlineStr">
        <is>
          <t>yes</t>
        </is>
      </c>
      <c r="I151" t="inlineStr"/>
      <c r="J151" t="inlineStr"/>
      <c r="K151" t="inlineStr"/>
      <c r="L151" t="inlineStr"/>
      <c r="M151" t="inlineStr"/>
      <c r="N151" t="inlineStr"/>
    </row>
    <row r="152">
      <c r="A152" t="inlineStr">
        <is>
          <t>my-george-town</t>
        </is>
      </c>
      <c r="B152" t="inlineStr">
        <is>
          <t>George Town</t>
        </is>
      </c>
      <c r="C152" t="inlineStr">
        <is>
          <t>Malaysia</t>
        </is>
      </c>
      <c r="D152" t="inlineStr">
        <is>
          <t>Southeast Asia</t>
        </is>
      </c>
      <c r="E152" t="inlineStr">
        <is>
          <t>cultural_public_life_raw</t>
        </is>
      </c>
      <c r="F152" t="inlineStr">
        <is>
          <t>Cultural public life raw</t>
        </is>
      </c>
      <c r="G152" t="inlineStr">
        <is>
          <t>community</t>
        </is>
      </c>
      <c r="H152" t="inlineStr">
        <is>
          <t>yes</t>
        </is>
      </c>
      <c r="I152" t="inlineStr"/>
      <c r="J152" t="inlineStr"/>
      <c r="K152" t="inlineStr"/>
      <c r="L152" t="inlineStr"/>
      <c r="M152" t="inlineStr"/>
      <c r="N152" t="inlineStr"/>
    </row>
    <row r="153">
      <c r="A153" t="inlineStr">
        <is>
          <t>my-george-town</t>
        </is>
      </c>
      <c r="B153" t="inlineStr">
        <is>
          <t>George Town</t>
        </is>
      </c>
      <c r="C153" t="inlineStr">
        <is>
          <t>Malaysia</t>
        </is>
      </c>
      <c r="D153" t="inlineStr">
        <is>
          <t>Southeast Asia</t>
        </is>
      </c>
      <c r="E153" t="inlineStr">
        <is>
          <t>entrepreneurial_dynamism_raw</t>
        </is>
      </c>
      <c r="F153" t="inlineStr">
        <is>
          <t>Entrepreneurial dynamism raw</t>
        </is>
      </c>
      <c r="G153" t="inlineStr">
        <is>
          <t>creative</t>
        </is>
      </c>
      <c r="H153" t="inlineStr">
        <is>
          <t>yes</t>
        </is>
      </c>
      <c r="I153" t="inlineStr"/>
      <c r="J153" t="inlineStr"/>
      <c r="K153" t="inlineStr"/>
      <c r="L153" t="inlineStr"/>
      <c r="M153" t="inlineStr"/>
      <c r="N153" t="inlineStr"/>
    </row>
    <row r="154">
      <c r="A154" t="inlineStr">
        <is>
          <t>my-george-town</t>
        </is>
      </c>
      <c r="B154" t="inlineStr">
        <is>
          <t>George Town</t>
        </is>
      </c>
      <c r="C154" t="inlineStr">
        <is>
          <t>Malaysia</t>
        </is>
      </c>
      <c r="D154" t="inlineStr">
        <is>
          <t>Southeast Asia</t>
        </is>
      </c>
      <c r="E154" t="inlineStr">
        <is>
          <t>innovation_research_intensity_raw</t>
        </is>
      </c>
      <c r="F154" t="inlineStr">
        <is>
          <t>Innovation and research raw</t>
        </is>
      </c>
      <c r="G154" t="inlineStr">
        <is>
          <t>creative</t>
        </is>
      </c>
      <c r="H154" t="inlineStr">
        <is>
          <t>yes</t>
        </is>
      </c>
      <c r="I154" t="inlineStr"/>
      <c r="J154" t="inlineStr"/>
      <c r="K154" t="inlineStr"/>
      <c r="L154" t="inlineStr"/>
      <c r="M154" t="inlineStr"/>
      <c r="N154" t="inlineStr"/>
    </row>
    <row r="155">
      <c r="A155" t="inlineStr">
        <is>
          <t>my-george-town</t>
        </is>
      </c>
      <c r="B155" t="inlineStr">
        <is>
          <t>George Town</t>
        </is>
      </c>
      <c r="C155" t="inlineStr">
        <is>
          <t>Malaysia</t>
        </is>
      </c>
      <c r="D155" t="inlineStr">
        <is>
          <t>Southeast Asia</t>
        </is>
      </c>
      <c r="E155" t="inlineStr">
        <is>
          <t>investment_signal_raw</t>
        </is>
      </c>
      <c r="F155" t="inlineStr">
        <is>
          <t>Investment signal raw</t>
        </is>
      </c>
      <c r="G155" t="inlineStr">
        <is>
          <t>creative</t>
        </is>
      </c>
      <c r="H155" t="inlineStr">
        <is>
          <t>yes</t>
        </is>
      </c>
      <c r="I155" t="inlineStr"/>
      <c r="J155" t="inlineStr"/>
      <c r="K155" t="inlineStr"/>
      <c r="L155" t="inlineStr"/>
      <c r="M155" t="inlineStr"/>
      <c r="N155" t="inlineStr"/>
    </row>
    <row r="156">
      <c r="A156" t="inlineStr">
        <is>
          <t>my-george-town</t>
        </is>
      </c>
      <c r="B156" t="inlineStr">
        <is>
          <t>George Town</t>
        </is>
      </c>
      <c r="C156" t="inlineStr">
        <is>
          <t>Malaysia</t>
        </is>
      </c>
      <c r="D156" t="inlineStr">
        <is>
          <t>Southeast Asia</t>
        </is>
      </c>
      <c r="E156" t="inlineStr">
        <is>
          <t>administrative_investment_friction_raw</t>
        </is>
      </c>
      <c r="F156" t="inlineStr">
        <is>
          <t>Administrative investment friction raw</t>
        </is>
      </c>
      <c r="G156" t="inlineStr">
        <is>
          <t>creative</t>
        </is>
      </c>
      <c r="H156" t="inlineStr">
        <is>
          <t>yes</t>
        </is>
      </c>
      <c r="I156" t="inlineStr"/>
      <c r="J156" t="inlineStr"/>
      <c r="K156" t="inlineStr"/>
      <c r="L156" t="inlineStr"/>
      <c r="M156" t="inlineStr"/>
      <c r="N156" t="inlineStr"/>
    </row>
    <row r="157">
      <c r="A157" t="inlineStr">
        <is>
          <t>my-george-town</t>
        </is>
      </c>
      <c r="B157" t="inlineStr">
        <is>
          <t>George Town</t>
        </is>
      </c>
      <c r="C157" t="inlineStr">
        <is>
          <t>Malaysia</t>
        </is>
      </c>
      <c r="D157" t="inlineStr">
        <is>
          <t>Southeast Asia</t>
        </is>
      </c>
      <c r="E157" t="inlineStr">
        <is>
          <t>visitor_flow_context_raw</t>
        </is>
      </c>
      <c r="F157" t="inlineStr">
        <is>
          <t>Visitor flow context raw</t>
        </is>
      </c>
      <c r="G157" t="inlineStr">
        <is>
          <t>creative</t>
        </is>
      </c>
      <c r="H157" t="inlineStr">
        <is>
          <t>no</t>
        </is>
      </c>
      <c r="I157" t="inlineStr"/>
      <c r="J157" t="inlineStr"/>
      <c r="K157" t="inlineStr"/>
      <c r="L157" t="inlineStr"/>
      <c r="M157" t="inlineStr"/>
      <c r="N157" t="inlineStr"/>
    </row>
    <row r="158">
      <c r="A158" t="inlineStr">
        <is>
          <t>th-phuket</t>
        </is>
      </c>
      <c r="B158" t="inlineStr">
        <is>
          <t>Phuket</t>
        </is>
      </c>
      <c r="C158" t="inlineStr">
        <is>
          <t>Thailand</t>
        </is>
      </c>
      <c r="D158" t="inlineStr">
        <is>
          <t>Southeast Asia</t>
        </is>
      </c>
      <c r="E158" t="inlineStr">
        <is>
          <t>gross_income</t>
        </is>
      </c>
      <c r="F158" t="inlineStr">
        <is>
          <t>Gross income</t>
        </is>
      </c>
      <c r="G158" t="inlineStr">
        <is>
          <t>pressure</t>
        </is>
      </c>
      <c r="H158" t="inlineStr">
        <is>
          <t>yes</t>
        </is>
      </c>
      <c r="I158" t="inlineStr"/>
      <c r="J158" t="inlineStr"/>
      <c r="K158" t="inlineStr"/>
      <c r="L158" t="inlineStr"/>
      <c r="M158" t="inlineStr"/>
      <c r="N158" t="inlineStr"/>
    </row>
    <row r="159">
      <c r="A159" t="inlineStr">
        <is>
          <t>th-phuket</t>
        </is>
      </c>
      <c r="B159" t="inlineStr">
        <is>
          <t>Phuket</t>
        </is>
      </c>
      <c r="C159" t="inlineStr">
        <is>
          <t>Thailand</t>
        </is>
      </c>
      <c r="D159" t="inlineStr">
        <is>
          <t>Southeast Asia</t>
        </is>
      </c>
      <c r="E159" t="inlineStr">
        <is>
          <t>rent</t>
        </is>
      </c>
      <c r="F159" t="inlineStr">
        <is>
          <t>Rent</t>
        </is>
      </c>
      <c r="G159" t="inlineStr">
        <is>
          <t>pressure</t>
        </is>
      </c>
      <c r="H159" t="inlineStr">
        <is>
          <t>yes</t>
        </is>
      </c>
      <c r="I159" t="inlineStr"/>
      <c r="J159" t="inlineStr"/>
      <c r="K159" t="inlineStr"/>
      <c r="L159" t="inlineStr"/>
      <c r="M159" t="inlineStr"/>
      <c r="N159" t="inlineStr"/>
    </row>
    <row r="160">
      <c r="A160" t="inlineStr">
        <is>
          <t>th-phuket</t>
        </is>
      </c>
      <c r="B160" t="inlineStr">
        <is>
          <t>Phuket</t>
        </is>
      </c>
      <c r="C160" t="inlineStr">
        <is>
          <t>Thailand</t>
        </is>
      </c>
      <c r="D160" t="inlineStr">
        <is>
          <t>Southeast Asia</t>
        </is>
      </c>
      <c r="E160" t="inlineStr">
        <is>
          <t>utilities</t>
        </is>
      </c>
      <c r="F160" t="inlineStr">
        <is>
          <t>Utilities</t>
        </is>
      </c>
      <c r="G160" t="inlineStr">
        <is>
          <t>pressure</t>
        </is>
      </c>
      <c r="H160" t="inlineStr">
        <is>
          <t>yes</t>
        </is>
      </c>
      <c r="I160" t="inlineStr"/>
      <c r="J160" t="inlineStr"/>
      <c r="K160" t="inlineStr"/>
      <c r="L160" t="inlineStr"/>
      <c r="M160" t="inlineStr"/>
      <c r="N160" t="inlineStr"/>
    </row>
    <row r="161">
      <c r="A161" t="inlineStr">
        <is>
          <t>th-phuket</t>
        </is>
      </c>
      <c r="B161" t="inlineStr">
        <is>
          <t>Phuket</t>
        </is>
      </c>
      <c r="C161" t="inlineStr">
        <is>
          <t>Thailand</t>
        </is>
      </c>
      <c r="D161" t="inlineStr">
        <is>
          <t>Southeast Asia</t>
        </is>
      </c>
      <c r="E161" t="inlineStr">
        <is>
          <t>transit_cost</t>
        </is>
      </c>
      <c r="F161" t="inlineStr">
        <is>
          <t>Transit cost</t>
        </is>
      </c>
      <c r="G161" t="inlineStr">
        <is>
          <t>pressure</t>
        </is>
      </c>
      <c r="H161" t="inlineStr">
        <is>
          <t>yes</t>
        </is>
      </c>
      <c r="I161" t="inlineStr"/>
      <c r="J161" t="inlineStr"/>
      <c r="K161" t="inlineStr"/>
      <c r="L161" t="inlineStr"/>
      <c r="M161" t="inlineStr"/>
      <c r="N161" t="inlineStr"/>
    </row>
    <row r="162">
      <c r="A162" t="inlineStr">
        <is>
          <t>th-phuket</t>
        </is>
      </c>
      <c r="B162" t="inlineStr">
        <is>
          <t>Phuket</t>
        </is>
      </c>
      <c r="C162" t="inlineStr">
        <is>
          <t>Thailand</t>
        </is>
      </c>
      <c r="D162" t="inlineStr">
        <is>
          <t>Southeast Asia</t>
        </is>
      </c>
      <c r="E162" t="inlineStr">
        <is>
          <t>internet_cost</t>
        </is>
      </c>
      <c r="F162" t="inlineStr">
        <is>
          <t>Internet cost</t>
        </is>
      </c>
      <c r="G162" t="inlineStr">
        <is>
          <t>pressure</t>
        </is>
      </c>
      <c r="H162" t="inlineStr">
        <is>
          <t>yes</t>
        </is>
      </c>
      <c r="I162" t="inlineStr"/>
      <c r="J162" t="inlineStr"/>
      <c r="K162" t="inlineStr"/>
      <c r="L162" t="inlineStr"/>
      <c r="M162" t="inlineStr"/>
      <c r="N162" t="inlineStr"/>
    </row>
    <row r="163">
      <c r="A163" t="inlineStr">
        <is>
          <t>th-phuket</t>
        </is>
      </c>
      <c r="B163" t="inlineStr">
        <is>
          <t>Phuket</t>
        </is>
      </c>
      <c r="C163" t="inlineStr">
        <is>
          <t>Thailand</t>
        </is>
      </c>
      <c r="D163" t="inlineStr">
        <is>
          <t>Southeast Asia</t>
        </is>
      </c>
      <c r="E163" t="inlineStr">
        <is>
          <t>food_cost</t>
        </is>
      </c>
      <c r="F163" t="inlineStr">
        <is>
          <t>Food cost</t>
        </is>
      </c>
      <c r="G163" t="inlineStr">
        <is>
          <t>pressure</t>
        </is>
      </c>
      <c r="H163" t="inlineStr">
        <is>
          <t>yes</t>
        </is>
      </c>
      <c r="I163" t="inlineStr"/>
      <c r="J163" t="inlineStr"/>
      <c r="K163" t="inlineStr"/>
      <c r="L163" t="inlineStr"/>
      <c r="M163" t="inlineStr"/>
      <c r="N163" t="inlineStr"/>
    </row>
    <row r="164">
      <c r="A164" t="inlineStr">
        <is>
          <t>th-phuket</t>
        </is>
      </c>
      <c r="B164" t="inlineStr">
        <is>
          <t>Phuket</t>
        </is>
      </c>
      <c r="C164" t="inlineStr">
        <is>
          <t>Thailand</t>
        </is>
      </c>
      <c r="D164" t="inlineStr">
        <is>
          <t>Southeast Asia</t>
        </is>
      </c>
      <c r="E164" t="inlineStr">
        <is>
          <t>housing_burden_raw</t>
        </is>
      </c>
      <c r="F164" t="inlineStr">
        <is>
          <t>Housing burden raw</t>
        </is>
      </c>
      <c r="G164" t="inlineStr">
        <is>
          <t>pressure</t>
        </is>
      </c>
      <c r="H164" t="inlineStr">
        <is>
          <t>yes</t>
        </is>
      </c>
      <c r="I164" t="inlineStr"/>
      <c r="J164" t="inlineStr"/>
      <c r="K164" t="inlineStr"/>
      <c r="L164" t="inlineStr"/>
      <c r="M164" t="inlineStr"/>
      <c r="N164" t="inlineStr"/>
    </row>
    <row r="165">
      <c r="A165" t="inlineStr">
        <is>
          <t>th-phuket</t>
        </is>
      </c>
      <c r="B165" t="inlineStr">
        <is>
          <t>Phuket</t>
        </is>
      </c>
      <c r="C165" t="inlineStr">
        <is>
          <t>Thailand</t>
        </is>
      </c>
      <c r="D165" t="inlineStr">
        <is>
          <t>Southeast Asia</t>
        </is>
      </c>
      <c r="E165" t="inlineStr">
        <is>
          <t>household_debt_burden_raw</t>
        </is>
      </c>
      <c r="F165" t="inlineStr">
        <is>
          <t>Household debt burden raw</t>
        </is>
      </c>
      <c r="G165" t="inlineStr">
        <is>
          <t>pressure</t>
        </is>
      </c>
      <c r="H165" t="inlineStr">
        <is>
          <t>yes</t>
        </is>
      </c>
      <c r="I165" t="inlineStr"/>
      <c r="J165" t="inlineStr"/>
      <c r="K165" t="inlineStr"/>
      <c r="L165" t="inlineStr"/>
      <c r="M165" t="inlineStr"/>
      <c r="N165" t="inlineStr"/>
    </row>
    <row r="166">
      <c r="A166" t="inlineStr">
        <is>
          <t>th-phuket</t>
        </is>
      </c>
      <c r="B166" t="inlineStr">
        <is>
          <t>Phuket</t>
        </is>
      </c>
      <c r="C166" t="inlineStr">
        <is>
          <t>Thailand</t>
        </is>
      </c>
      <c r="D166" t="inlineStr">
        <is>
          <t>Southeast Asia</t>
        </is>
      </c>
      <c r="E166" t="inlineStr">
        <is>
          <t>working_time_pressure_raw</t>
        </is>
      </c>
      <c r="F166" t="inlineStr">
        <is>
          <t>Working time pressure raw</t>
        </is>
      </c>
      <c r="G166" t="inlineStr">
        <is>
          <t>pressure</t>
        </is>
      </c>
      <c r="H166" t="inlineStr">
        <is>
          <t>yes</t>
        </is>
      </c>
      <c r="I166" t="inlineStr"/>
      <c r="J166" t="inlineStr"/>
      <c r="K166" t="inlineStr"/>
      <c r="L166" t="inlineStr"/>
      <c r="M166" t="inlineStr"/>
      <c r="N166" t="inlineStr"/>
    </row>
    <row r="167">
      <c r="A167" t="inlineStr">
        <is>
          <t>th-phuket</t>
        </is>
      </c>
      <c r="B167" t="inlineStr">
        <is>
          <t>Phuket</t>
        </is>
      </c>
      <c r="C167" t="inlineStr">
        <is>
          <t>Thailand</t>
        </is>
      </c>
      <c r="D167" t="inlineStr">
        <is>
          <t>Southeast Asia</t>
        </is>
      </c>
      <c r="E167" t="inlineStr">
        <is>
          <t>suicide_mental_strain_raw</t>
        </is>
      </c>
      <c r="F167" t="inlineStr">
        <is>
          <t>Suicide or mental strain raw</t>
        </is>
      </c>
      <c r="G167" t="inlineStr">
        <is>
          <t>pressure</t>
        </is>
      </c>
      <c r="H167" t="inlineStr">
        <is>
          <t>yes</t>
        </is>
      </c>
      <c r="I167" t="inlineStr"/>
      <c r="J167" t="inlineStr"/>
      <c r="K167" t="inlineStr"/>
      <c r="L167" t="inlineStr"/>
      <c r="M167" t="inlineStr"/>
      <c r="N167" t="inlineStr"/>
    </row>
    <row r="168">
      <c r="A168" t="inlineStr">
        <is>
          <t>th-phuket</t>
        </is>
      </c>
      <c r="B168" t="inlineStr">
        <is>
          <t>Phuket</t>
        </is>
      </c>
      <c r="C168" t="inlineStr">
        <is>
          <t>Thailand</t>
        </is>
      </c>
      <c r="D168" t="inlineStr">
        <is>
          <t>Southeast Asia</t>
        </is>
      </c>
      <c r="E168" t="inlineStr">
        <is>
          <t>personal_safety_raw</t>
        </is>
      </c>
      <c r="F168" t="inlineStr">
        <is>
          <t>Personal safety raw</t>
        </is>
      </c>
      <c r="G168" t="inlineStr">
        <is>
          <t>viability</t>
        </is>
      </c>
      <c r="H168" t="inlineStr">
        <is>
          <t>yes</t>
        </is>
      </c>
      <c r="I168" t="inlineStr"/>
      <c r="J168" t="inlineStr"/>
      <c r="K168" t="inlineStr"/>
      <c r="L168" t="inlineStr"/>
      <c r="M168" t="inlineStr"/>
      <c r="N168" t="inlineStr"/>
    </row>
    <row r="169">
      <c r="A169" t="inlineStr">
        <is>
          <t>th-phuket</t>
        </is>
      </c>
      <c r="B169" t="inlineStr">
        <is>
          <t>Phuket</t>
        </is>
      </c>
      <c r="C169" t="inlineStr">
        <is>
          <t>Thailand</t>
        </is>
      </c>
      <c r="D169" t="inlineStr">
        <is>
          <t>Southeast Asia</t>
        </is>
      </c>
      <c r="E169" t="inlineStr">
        <is>
          <t>transit_access_commute_raw</t>
        </is>
      </c>
      <c r="F169" t="inlineStr">
        <is>
          <t>Transit access and commute raw</t>
        </is>
      </c>
      <c r="G169" t="inlineStr">
        <is>
          <t>viability</t>
        </is>
      </c>
      <c r="H169" t="inlineStr">
        <is>
          <t>yes</t>
        </is>
      </c>
      <c r="I169" t="inlineStr"/>
      <c r="J169" t="inlineStr"/>
      <c r="K169" t="inlineStr"/>
      <c r="L169" t="inlineStr"/>
      <c r="M169" t="inlineStr"/>
      <c r="N169" t="inlineStr"/>
    </row>
    <row r="170">
      <c r="A170" t="inlineStr">
        <is>
          <t>th-phuket</t>
        </is>
      </c>
      <c r="B170" t="inlineStr">
        <is>
          <t>Phuket</t>
        </is>
      </c>
      <c r="C170" t="inlineStr">
        <is>
          <t>Thailand</t>
        </is>
      </c>
      <c r="D170" t="inlineStr">
        <is>
          <t>Southeast Asia</t>
        </is>
      </c>
      <c r="E170" t="inlineStr">
        <is>
          <t>clean_air_raw</t>
        </is>
      </c>
      <c r="F170" t="inlineStr">
        <is>
          <t>Clean air raw</t>
        </is>
      </c>
      <c r="G170" t="inlineStr">
        <is>
          <t>viability</t>
        </is>
      </c>
      <c r="H170" t="inlineStr">
        <is>
          <t>yes</t>
        </is>
      </c>
      <c r="I170" t="inlineStr"/>
      <c r="J170" t="inlineStr"/>
      <c r="K170" t="inlineStr"/>
      <c r="L170" t="inlineStr"/>
      <c r="M170" t="inlineStr"/>
      <c r="N170" t="inlineStr"/>
    </row>
    <row r="171">
      <c r="A171" t="inlineStr">
        <is>
          <t>th-phuket</t>
        </is>
      </c>
      <c r="B171" t="inlineStr">
        <is>
          <t>Phuket</t>
        </is>
      </c>
      <c r="C171" t="inlineStr">
        <is>
          <t>Thailand</t>
        </is>
      </c>
      <c r="D171" t="inlineStr">
        <is>
          <t>Southeast Asia</t>
        </is>
      </c>
      <c r="E171" t="inlineStr">
        <is>
          <t>water_sanitation_utility_raw</t>
        </is>
      </c>
      <c r="F171" t="inlineStr">
        <is>
          <t>Water, sanitation, and utility raw</t>
        </is>
      </c>
      <c r="G171" t="inlineStr">
        <is>
          <t>viability</t>
        </is>
      </c>
      <c r="H171" t="inlineStr">
        <is>
          <t>yes</t>
        </is>
      </c>
      <c r="I171" t="inlineStr"/>
      <c r="J171" t="inlineStr"/>
      <c r="K171" t="inlineStr"/>
      <c r="L171" t="inlineStr"/>
      <c r="M171" t="inlineStr"/>
      <c r="N171" t="inlineStr"/>
    </row>
    <row r="172">
      <c r="A172" t="inlineStr">
        <is>
          <t>th-phuket</t>
        </is>
      </c>
      <c r="B172" t="inlineStr">
        <is>
          <t>Phuket</t>
        </is>
      </c>
      <c r="C172" t="inlineStr">
        <is>
          <t>Thailand</t>
        </is>
      </c>
      <c r="D172" t="inlineStr">
        <is>
          <t>Southeast Asia</t>
        </is>
      </c>
      <c r="E172" t="inlineStr">
        <is>
          <t>digital_infrastructure_raw</t>
        </is>
      </c>
      <c r="F172" t="inlineStr">
        <is>
          <t>Digital infrastructure raw</t>
        </is>
      </c>
      <c r="G172" t="inlineStr">
        <is>
          <t>viability</t>
        </is>
      </c>
      <c r="H172" t="inlineStr">
        <is>
          <t>yes</t>
        </is>
      </c>
      <c r="I172" t="inlineStr"/>
      <c r="J172" t="inlineStr"/>
      <c r="K172" t="inlineStr"/>
      <c r="L172" t="inlineStr"/>
      <c r="M172" t="inlineStr"/>
      <c r="N172" t="inlineStr"/>
    </row>
    <row r="173">
      <c r="A173" t="inlineStr">
        <is>
          <t>th-phuket</t>
        </is>
      </c>
      <c r="B173" t="inlineStr">
        <is>
          <t>Phuket</t>
        </is>
      </c>
      <c r="C173" t="inlineStr">
        <is>
          <t>Thailand</t>
        </is>
      </c>
      <c r="D173" t="inlineStr">
        <is>
          <t>Southeast Asia</t>
        </is>
      </c>
      <c r="E173" t="inlineStr">
        <is>
          <t>healthcare_quality_raw</t>
        </is>
      </c>
      <c r="F173" t="inlineStr">
        <is>
          <t>Healthcare quality raw</t>
        </is>
      </c>
      <c r="G173" t="inlineStr">
        <is>
          <t>capability</t>
        </is>
      </c>
      <c r="H173" t="inlineStr">
        <is>
          <t>yes</t>
        </is>
      </c>
      <c r="I173" t="inlineStr"/>
      <c r="J173" t="inlineStr"/>
      <c r="K173" t="inlineStr"/>
      <c r="L173" t="inlineStr"/>
      <c r="M173" t="inlineStr"/>
      <c r="N173" t="inlineStr"/>
    </row>
    <row r="174">
      <c r="A174" t="inlineStr">
        <is>
          <t>th-phuket</t>
        </is>
      </c>
      <c r="B174" t="inlineStr">
        <is>
          <t>Phuket</t>
        </is>
      </c>
      <c r="C174" t="inlineStr">
        <is>
          <t>Thailand</t>
        </is>
      </c>
      <c r="D174" t="inlineStr">
        <is>
          <t>Southeast Asia</t>
        </is>
      </c>
      <c r="E174" t="inlineStr">
        <is>
          <t>education_quality_raw</t>
        </is>
      </c>
      <c r="F174" t="inlineStr">
        <is>
          <t>Education quality raw</t>
        </is>
      </c>
      <c r="G174" t="inlineStr">
        <is>
          <t>capability</t>
        </is>
      </c>
      <c r="H174" t="inlineStr">
        <is>
          <t>yes</t>
        </is>
      </c>
      <c r="I174" t="inlineStr"/>
      <c r="J174" t="inlineStr"/>
      <c r="K174" t="inlineStr"/>
      <c r="L174" t="inlineStr"/>
      <c r="M174" t="inlineStr"/>
      <c r="N174" t="inlineStr"/>
    </row>
    <row r="175">
      <c r="A175" t="inlineStr">
        <is>
          <t>th-phuket</t>
        </is>
      </c>
      <c r="B175" t="inlineStr">
        <is>
          <t>Phuket</t>
        </is>
      </c>
      <c r="C175" t="inlineStr">
        <is>
          <t>Thailand</t>
        </is>
      </c>
      <c r="D175" t="inlineStr">
        <is>
          <t>Southeast Asia</t>
        </is>
      </c>
      <c r="E175" t="inlineStr">
        <is>
          <t>equal_opportunity_raw</t>
        </is>
      </c>
      <c r="F175" t="inlineStr">
        <is>
          <t>Equal opportunity raw</t>
        </is>
      </c>
      <c r="G175" t="inlineStr">
        <is>
          <t>capability</t>
        </is>
      </c>
      <c r="H175" t="inlineStr">
        <is>
          <t>yes</t>
        </is>
      </c>
      <c r="I175" t="inlineStr"/>
      <c r="J175" t="inlineStr"/>
      <c r="K175" t="inlineStr"/>
      <c r="L175" t="inlineStr"/>
      <c r="M175" t="inlineStr"/>
      <c r="N175" t="inlineStr"/>
    </row>
    <row r="176">
      <c r="A176" t="inlineStr">
        <is>
          <t>th-phuket</t>
        </is>
      </c>
      <c r="B176" t="inlineStr">
        <is>
          <t>Phuket</t>
        </is>
      </c>
      <c r="C176" t="inlineStr">
        <is>
          <t>Thailand</t>
        </is>
      </c>
      <c r="D176" t="inlineStr">
        <is>
          <t>Southeast Asia</t>
        </is>
      </c>
      <c r="E176" t="inlineStr">
        <is>
          <t>hospitality_belonging_raw</t>
        </is>
      </c>
      <c r="F176" t="inlineStr">
        <is>
          <t>Hospitality and belonging raw</t>
        </is>
      </c>
      <c r="G176" t="inlineStr">
        <is>
          <t>community</t>
        </is>
      </c>
      <c r="H176" t="inlineStr">
        <is>
          <t>yes</t>
        </is>
      </c>
      <c r="I176" t="inlineStr"/>
      <c r="J176" t="inlineStr"/>
      <c r="K176" t="inlineStr"/>
      <c r="L176" t="inlineStr"/>
      <c r="M176" t="inlineStr"/>
      <c r="N176" t="inlineStr"/>
    </row>
    <row r="177">
      <c r="A177" t="inlineStr">
        <is>
          <t>th-phuket</t>
        </is>
      </c>
      <c r="B177" t="inlineStr">
        <is>
          <t>Phuket</t>
        </is>
      </c>
      <c r="C177" t="inlineStr">
        <is>
          <t>Thailand</t>
        </is>
      </c>
      <c r="D177" t="inlineStr">
        <is>
          <t>Southeast Asia</t>
        </is>
      </c>
      <c r="E177" t="inlineStr">
        <is>
          <t>tolerance_pluralism_raw</t>
        </is>
      </c>
      <c r="F177" t="inlineStr">
        <is>
          <t>Tolerance and pluralism raw</t>
        </is>
      </c>
      <c r="G177" t="inlineStr">
        <is>
          <t>community</t>
        </is>
      </c>
      <c r="H177" t="inlineStr">
        <is>
          <t>yes</t>
        </is>
      </c>
      <c r="I177" t="inlineStr"/>
      <c r="J177" t="inlineStr"/>
      <c r="K177" t="inlineStr"/>
      <c r="L177" t="inlineStr"/>
      <c r="M177" t="inlineStr"/>
      <c r="N177" t="inlineStr"/>
    </row>
    <row r="178">
      <c r="A178" t="inlineStr">
        <is>
          <t>th-phuket</t>
        </is>
      </c>
      <c r="B178" t="inlineStr">
        <is>
          <t>Phuket</t>
        </is>
      </c>
      <c r="C178" t="inlineStr">
        <is>
          <t>Thailand</t>
        </is>
      </c>
      <c r="D178" t="inlineStr">
        <is>
          <t>Southeast Asia</t>
        </is>
      </c>
      <c r="E178" t="inlineStr">
        <is>
          <t>cultural_public_life_raw</t>
        </is>
      </c>
      <c r="F178" t="inlineStr">
        <is>
          <t>Cultural public life raw</t>
        </is>
      </c>
      <c r="G178" t="inlineStr">
        <is>
          <t>community</t>
        </is>
      </c>
      <c r="H178" t="inlineStr">
        <is>
          <t>yes</t>
        </is>
      </c>
      <c r="I178" t="inlineStr"/>
      <c r="J178" t="inlineStr"/>
      <c r="K178" t="inlineStr"/>
      <c r="L178" t="inlineStr"/>
      <c r="M178" t="inlineStr"/>
      <c r="N178" t="inlineStr"/>
    </row>
    <row r="179">
      <c r="A179" t="inlineStr">
        <is>
          <t>th-phuket</t>
        </is>
      </c>
      <c r="B179" t="inlineStr">
        <is>
          <t>Phuket</t>
        </is>
      </c>
      <c r="C179" t="inlineStr">
        <is>
          <t>Thailand</t>
        </is>
      </c>
      <c r="D179" t="inlineStr">
        <is>
          <t>Southeast Asia</t>
        </is>
      </c>
      <c r="E179" t="inlineStr">
        <is>
          <t>entrepreneurial_dynamism_raw</t>
        </is>
      </c>
      <c r="F179" t="inlineStr">
        <is>
          <t>Entrepreneurial dynamism raw</t>
        </is>
      </c>
      <c r="G179" t="inlineStr">
        <is>
          <t>creative</t>
        </is>
      </c>
      <c r="H179" t="inlineStr">
        <is>
          <t>yes</t>
        </is>
      </c>
      <c r="I179" t="inlineStr"/>
      <c r="J179" t="inlineStr"/>
      <c r="K179" t="inlineStr"/>
      <c r="L179" t="inlineStr"/>
      <c r="M179" t="inlineStr"/>
      <c r="N179" t="inlineStr"/>
    </row>
    <row r="180">
      <c r="A180" t="inlineStr">
        <is>
          <t>th-phuket</t>
        </is>
      </c>
      <c r="B180" t="inlineStr">
        <is>
          <t>Phuket</t>
        </is>
      </c>
      <c r="C180" t="inlineStr">
        <is>
          <t>Thailand</t>
        </is>
      </c>
      <c r="D180" t="inlineStr">
        <is>
          <t>Southeast Asia</t>
        </is>
      </c>
      <c r="E180" t="inlineStr">
        <is>
          <t>innovation_research_intensity_raw</t>
        </is>
      </c>
      <c r="F180" t="inlineStr">
        <is>
          <t>Innovation and research raw</t>
        </is>
      </c>
      <c r="G180" t="inlineStr">
        <is>
          <t>creative</t>
        </is>
      </c>
      <c r="H180" t="inlineStr">
        <is>
          <t>yes</t>
        </is>
      </c>
      <c r="I180" t="inlineStr"/>
      <c r="J180" t="inlineStr"/>
      <c r="K180" t="inlineStr"/>
      <c r="L180" t="inlineStr"/>
      <c r="M180" t="inlineStr"/>
      <c r="N180" t="inlineStr"/>
    </row>
    <row r="181">
      <c r="A181" t="inlineStr">
        <is>
          <t>th-phuket</t>
        </is>
      </c>
      <c r="B181" t="inlineStr">
        <is>
          <t>Phuket</t>
        </is>
      </c>
      <c r="C181" t="inlineStr">
        <is>
          <t>Thailand</t>
        </is>
      </c>
      <c r="D181" t="inlineStr">
        <is>
          <t>Southeast Asia</t>
        </is>
      </c>
      <c r="E181" t="inlineStr">
        <is>
          <t>investment_signal_raw</t>
        </is>
      </c>
      <c r="F181" t="inlineStr">
        <is>
          <t>Investment signal raw</t>
        </is>
      </c>
      <c r="G181" t="inlineStr">
        <is>
          <t>creative</t>
        </is>
      </c>
      <c r="H181" t="inlineStr">
        <is>
          <t>yes</t>
        </is>
      </c>
      <c r="I181" t="inlineStr"/>
      <c r="J181" t="inlineStr"/>
      <c r="K181" t="inlineStr"/>
      <c r="L181" t="inlineStr"/>
      <c r="M181" t="inlineStr"/>
      <c r="N181" t="inlineStr"/>
    </row>
    <row r="182">
      <c r="A182" t="inlineStr">
        <is>
          <t>th-phuket</t>
        </is>
      </c>
      <c r="B182" t="inlineStr">
        <is>
          <t>Phuket</t>
        </is>
      </c>
      <c r="C182" t="inlineStr">
        <is>
          <t>Thailand</t>
        </is>
      </c>
      <c r="D182" t="inlineStr">
        <is>
          <t>Southeast Asia</t>
        </is>
      </c>
      <c r="E182" t="inlineStr">
        <is>
          <t>administrative_investment_friction_raw</t>
        </is>
      </c>
      <c r="F182" t="inlineStr">
        <is>
          <t>Administrative investment friction raw</t>
        </is>
      </c>
      <c r="G182" t="inlineStr">
        <is>
          <t>creative</t>
        </is>
      </c>
      <c r="H182" t="inlineStr">
        <is>
          <t>yes</t>
        </is>
      </c>
      <c r="I182" t="inlineStr"/>
      <c r="J182" t="inlineStr"/>
      <c r="K182" t="inlineStr"/>
      <c r="L182" t="inlineStr"/>
      <c r="M182" t="inlineStr"/>
      <c r="N182" t="inlineStr"/>
    </row>
    <row r="183">
      <c r="A183" t="inlineStr">
        <is>
          <t>th-phuket</t>
        </is>
      </c>
      <c r="B183" t="inlineStr">
        <is>
          <t>Phuket</t>
        </is>
      </c>
      <c r="C183" t="inlineStr">
        <is>
          <t>Thailand</t>
        </is>
      </c>
      <c r="D183" t="inlineStr">
        <is>
          <t>Southeast Asia</t>
        </is>
      </c>
      <c r="E183" t="inlineStr">
        <is>
          <t>visitor_flow_context_raw</t>
        </is>
      </c>
      <c r="F183" t="inlineStr">
        <is>
          <t>Visitor flow context raw</t>
        </is>
      </c>
      <c r="G183" t="inlineStr">
        <is>
          <t>creative</t>
        </is>
      </c>
      <c r="H183" t="inlineStr">
        <is>
          <t>no</t>
        </is>
      </c>
      <c r="I183" t="inlineStr"/>
      <c r="J183" t="inlineStr"/>
      <c r="K183" t="inlineStr"/>
      <c r="L183" t="inlineStr"/>
      <c r="M183" t="inlineStr"/>
      <c r="N183" t="inlineStr"/>
    </row>
    <row r="184">
      <c r="A184" t="inlineStr">
        <is>
          <t>th-chiang-mai</t>
        </is>
      </c>
      <c r="B184" t="inlineStr">
        <is>
          <t>Chiang Mai</t>
        </is>
      </c>
      <c r="C184" t="inlineStr">
        <is>
          <t>Thailand</t>
        </is>
      </c>
      <c r="D184" t="inlineStr">
        <is>
          <t>Southeast Asia</t>
        </is>
      </c>
      <c r="E184" t="inlineStr">
        <is>
          <t>gross_income</t>
        </is>
      </c>
      <c r="F184" t="inlineStr">
        <is>
          <t>Gross income</t>
        </is>
      </c>
      <c r="G184" t="inlineStr">
        <is>
          <t>pressure</t>
        </is>
      </c>
      <c r="H184" t="inlineStr">
        <is>
          <t>yes</t>
        </is>
      </c>
      <c r="I184" t="inlineStr"/>
      <c r="J184" t="inlineStr"/>
      <c r="K184" t="inlineStr"/>
      <c r="L184" t="inlineStr"/>
      <c r="M184" t="inlineStr"/>
      <c r="N184" t="inlineStr"/>
    </row>
    <row r="185">
      <c r="A185" t="inlineStr">
        <is>
          <t>th-chiang-mai</t>
        </is>
      </c>
      <c r="B185" t="inlineStr">
        <is>
          <t>Chiang Mai</t>
        </is>
      </c>
      <c r="C185" t="inlineStr">
        <is>
          <t>Thailand</t>
        </is>
      </c>
      <c r="D185" t="inlineStr">
        <is>
          <t>Southeast Asia</t>
        </is>
      </c>
      <c r="E185" t="inlineStr">
        <is>
          <t>rent</t>
        </is>
      </c>
      <c r="F185" t="inlineStr">
        <is>
          <t>Rent</t>
        </is>
      </c>
      <c r="G185" t="inlineStr">
        <is>
          <t>pressure</t>
        </is>
      </c>
      <c r="H185" t="inlineStr">
        <is>
          <t>yes</t>
        </is>
      </c>
      <c r="I185" t="inlineStr"/>
      <c r="J185" t="inlineStr"/>
      <c r="K185" t="inlineStr"/>
      <c r="L185" t="inlineStr"/>
      <c r="M185" t="inlineStr"/>
      <c r="N185" t="inlineStr"/>
    </row>
    <row r="186">
      <c r="A186" t="inlineStr">
        <is>
          <t>th-chiang-mai</t>
        </is>
      </c>
      <c r="B186" t="inlineStr">
        <is>
          <t>Chiang Mai</t>
        </is>
      </c>
      <c r="C186" t="inlineStr">
        <is>
          <t>Thailand</t>
        </is>
      </c>
      <c r="D186" t="inlineStr">
        <is>
          <t>Southeast Asia</t>
        </is>
      </c>
      <c r="E186" t="inlineStr">
        <is>
          <t>utilities</t>
        </is>
      </c>
      <c r="F186" t="inlineStr">
        <is>
          <t>Utilities</t>
        </is>
      </c>
      <c r="G186" t="inlineStr">
        <is>
          <t>pressure</t>
        </is>
      </c>
      <c r="H186" t="inlineStr">
        <is>
          <t>yes</t>
        </is>
      </c>
      <c r="I186" t="inlineStr"/>
      <c r="J186" t="inlineStr"/>
      <c r="K186" t="inlineStr"/>
      <c r="L186" t="inlineStr"/>
      <c r="M186" t="inlineStr"/>
      <c r="N186" t="inlineStr"/>
    </row>
    <row r="187">
      <c r="A187" t="inlineStr">
        <is>
          <t>th-chiang-mai</t>
        </is>
      </c>
      <c r="B187" t="inlineStr">
        <is>
          <t>Chiang Mai</t>
        </is>
      </c>
      <c r="C187" t="inlineStr">
        <is>
          <t>Thailand</t>
        </is>
      </c>
      <c r="D187" t="inlineStr">
        <is>
          <t>Southeast Asia</t>
        </is>
      </c>
      <c r="E187" t="inlineStr">
        <is>
          <t>transit_cost</t>
        </is>
      </c>
      <c r="F187" t="inlineStr">
        <is>
          <t>Transit cost</t>
        </is>
      </c>
      <c r="G187" t="inlineStr">
        <is>
          <t>pressure</t>
        </is>
      </c>
      <c r="H187" t="inlineStr">
        <is>
          <t>yes</t>
        </is>
      </c>
      <c r="I187" t="inlineStr"/>
      <c r="J187" t="inlineStr"/>
      <c r="K187" t="inlineStr"/>
      <c r="L187" t="inlineStr"/>
      <c r="M187" t="inlineStr"/>
      <c r="N187" t="inlineStr"/>
    </row>
    <row r="188">
      <c r="A188" t="inlineStr">
        <is>
          <t>th-chiang-mai</t>
        </is>
      </c>
      <c r="B188" t="inlineStr">
        <is>
          <t>Chiang Mai</t>
        </is>
      </c>
      <c r="C188" t="inlineStr">
        <is>
          <t>Thailand</t>
        </is>
      </c>
      <c r="D188" t="inlineStr">
        <is>
          <t>Southeast Asia</t>
        </is>
      </c>
      <c r="E188" t="inlineStr">
        <is>
          <t>internet_cost</t>
        </is>
      </c>
      <c r="F188" t="inlineStr">
        <is>
          <t>Internet cost</t>
        </is>
      </c>
      <c r="G188" t="inlineStr">
        <is>
          <t>pressure</t>
        </is>
      </c>
      <c r="H188" t="inlineStr">
        <is>
          <t>yes</t>
        </is>
      </c>
      <c r="I188" t="inlineStr"/>
      <c r="J188" t="inlineStr"/>
      <c r="K188" t="inlineStr"/>
      <c r="L188" t="inlineStr"/>
      <c r="M188" t="inlineStr"/>
      <c r="N188" t="inlineStr"/>
    </row>
    <row r="189">
      <c r="A189" t="inlineStr">
        <is>
          <t>th-chiang-mai</t>
        </is>
      </c>
      <c r="B189" t="inlineStr">
        <is>
          <t>Chiang Mai</t>
        </is>
      </c>
      <c r="C189" t="inlineStr">
        <is>
          <t>Thailand</t>
        </is>
      </c>
      <c r="D189" t="inlineStr">
        <is>
          <t>Southeast Asia</t>
        </is>
      </c>
      <c r="E189" t="inlineStr">
        <is>
          <t>food_cost</t>
        </is>
      </c>
      <c r="F189" t="inlineStr">
        <is>
          <t>Food cost</t>
        </is>
      </c>
      <c r="G189" t="inlineStr">
        <is>
          <t>pressure</t>
        </is>
      </c>
      <c r="H189" t="inlineStr">
        <is>
          <t>yes</t>
        </is>
      </c>
      <c r="I189" t="inlineStr"/>
      <c r="J189" t="inlineStr"/>
      <c r="K189" t="inlineStr"/>
      <c r="L189" t="inlineStr"/>
      <c r="M189" t="inlineStr"/>
      <c r="N189" t="inlineStr"/>
    </row>
    <row r="190">
      <c r="A190" t="inlineStr">
        <is>
          <t>th-chiang-mai</t>
        </is>
      </c>
      <c r="B190" t="inlineStr">
        <is>
          <t>Chiang Mai</t>
        </is>
      </c>
      <c r="C190" t="inlineStr">
        <is>
          <t>Thailand</t>
        </is>
      </c>
      <c r="D190" t="inlineStr">
        <is>
          <t>Southeast Asia</t>
        </is>
      </c>
      <c r="E190" t="inlineStr">
        <is>
          <t>housing_burden_raw</t>
        </is>
      </c>
      <c r="F190" t="inlineStr">
        <is>
          <t>Housing burden raw</t>
        </is>
      </c>
      <c r="G190" t="inlineStr">
        <is>
          <t>pressure</t>
        </is>
      </c>
      <c r="H190" t="inlineStr">
        <is>
          <t>yes</t>
        </is>
      </c>
      <c r="I190" t="inlineStr"/>
      <c r="J190" t="inlineStr"/>
      <c r="K190" t="inlineStr"/>
      <c r="L190" t="inlineStr"/>
      <c r="M190" t="inlineStr"/>
      <c r="N190" t="inlineStr"/>
    </row>
    <row r="191">
      <c r="A191" t="inlineStr">
        <is>
          <t>th-chiang-mai</t>
        </is>
      </c>
      <c r="B191" t="inlineStr">
        <is>
          <t>Chiang Mai</t>
        </is>
      </c>
      <c r="C191" t="inlineStr">
        <is>
          <t>Thailand</t>
        </is>
      </c>
      <c r="D191" t="inlineStr">
        <is>
          <t>Southeast Asia</t>
        </is>
      </c>
      <c r="E191" t="inlineStr">
        <is>
          <t>household_debt_burden_raw</t>
        </is>
      </c>
      <c r="F191" t="inlineStr">
        <is>
          <t>Household debt burden raw</t>
        </is>
      </c>
      <c r="G191" t="inlineStr">
        <is>
          <t>pressure</t>
        </is>
      </c>
      <c r="H191" t="inlineStr">
        <is>
          <t>yes</t>
        </is>
      </c>
      <c r="I191" t="inlineStr"/>
      <c r="J191" t="inlineStr"/>
      <c r="K191" t="inlineStr"/>
      <c r="L191" t="inlineStr"/>
      <c r="M191" t="inlineStr"/>
      <c r="N191" t="inlineStr"/>
    </row>
    <row r="192">
      <c r="A192" t="inlineStr">
        <is>
          <t>th-chiang-mai</t>
        </is>
      </c>
      <c r="B192" t="inlineStr">
        <is>
          <t>Chiang Mai</t>
        </is>
      </c>
      <c r="C192" t="inlineStr">
        <is>
          <t>Thailand</t>
        </is>
      </c>
      <c r="D192" t="inlineStr">
        <is>
          <t>Southeast Asia</t>
        </is>
      </c>
      <c r="E192" t="inlineStr">
        <is>
          <t>working_time_pressure_raw</t>
        </is>
      </c>
      <c r="F192" t="inlineStr">
        <is>
          <t>Working time pressure raw</t>
        </is>
      </c>
      <c r="G192" t="inlineStr">
        <is>
          <t>pressure</t>
        </is>
      </c>
      <c r="H192" t="inlineStr">
        <is>
          <t>yes</t>
        </is>
      </c>
      <c r="I192" t="inlineStr"/>
      <c r="J192" t="inlineStr"/>
      <c r="K192" t="inlineStr"/>
      <c r="L192" t="inlineStr"/>
      <c r="M192" t="inlineStr"/>
      <c r="N192" t="inlineStr"/>
    </row>
    <row r="193">
      <c r="A193" t="inlineStr">
        <is>
          <t>th-chiang-mai</t>
        </is>
      </c>
      <c r="B193" t="inlineStr">
        <is>
          <t>Chiang Mai</t>
        </is>
      </c>
      <c r="C193" t="inlineStr">
        <is>
          <t>Thailand</t>
        </is>
      </c>
      <c r="D193" t="inlineStr">
        <is>
          <t>Southeast Asia</t>
        </is>
      </c>
      <c r="E193" t="inlineStr">
        <is>
          <t>suicide_mental_strain_raw</t>
        </is>
      </c>
      <c r="F193" t="inlineStr">
        <is>
          <t>Suicide or mental strain raw</t>
        </is>
      </c>
      <c r="G193" t="inlineStr">
        <is>
          <t>pressure</t>
        </is>
      </c>
      <c r="H193" t="inlineStr">
        <is>
          <t>yes</t>
        </is>
      </c>
      <c r="I193" t="inlineStr"/>
      <c r="J193" t="inlineStr"/>
      <c r="K193" t="inlineStr"/>
      <c r="L193" t="inlineStr"/>
      <c r="M193" t="inlineStr"/>
      <c r="N193" t="inlineStr"/>
    </row>
    <row r="194">
      <c r="A194" t="inlineStr">
        <is>
          <t>th-chiang-mai</t>
        </is>
      </c>
      <c r="B194" t="inlineStr">
        <is>
          <t>Chiang Mai</t>
        </is>
      </c>
      <c r="C194" t="inlineStr">
        <is>
          <t>Thailand</t>
        </is>
      </c>
      <c r="D194" t="inlineStr">
        <is>
          <t>Southeast Asia</t>
        </is>
      </c>
      <c r="E194" t="inlineStr">
        <is>
          <t>personal_safety_raw</t>
        </is>
      </c>
      <c r="F194" t="inlineStr">
        <is>
          <t>Personal safety raw</t>
        </is>
      </c>
      <c r="G194" t="inlineStr">
        <is>
          <t>viability</t>
        </is>
      </c>
      <c r="H194" t="inlineStr">
        <is>
          <t>yes</t>
        </is>
      </c>
      <c r="I194" t="inlineStr"/>
      <c r="J194" t="inlineStr"/>
      <c r="K194" t="inlineStr"/>
      <c r="L194" t="inlineStr"/>
      <c r="M194" t="inlineStr"/>
      <c r="N194" t="inlineStr"/>
    </row>
    <row r="195">
      <c r="A195" t="inlineStr">
        <is>
          <t>th-chiang-mai</t>
        </is>
      </c>
      <c r="B195" t="inlineStr">
        <is>
          <t>Chiang Mai</t>
        </is>
      </c>
      <c r="C195" t="inlineStr">
        <is>
          <t>Thailand</t>
        </is>
      </c>
      <c r="D195" t="inlineStr">
        <is>
          <t>Southeast Asia</t>
        </is>
      </c>
      <c r="E195" t="inlineStr">
        <is>
          <t>transit_access_commute_raw</t>
        </is>
      </c>
      <c r="F195" t="inlineStr">
        <is>
          <t>Transit access and commute raw</t>
        </is>
      </c>
      <c r="G195" t="inlineStr">
        <is>
          <t>viability</t>
        </is>
      </c>
      <c r="H195" t="inlineStr">
        <is>
          <t>yes</t>
        </is>
      </c>
      <c r="I195" t="inlineStr"/>
      <c r="J195" t="inlineStr"/>
      <c r="K195" t="inlineStr"/>
      <c r="L195" t="inlineStr"/>
      <c r="M195" t="inlineStr"/>
      <c r="N195" t="inlineStr"/>
    </row>
    <row r="196">
      <c r="A196" t="inlineStr">
        <is>
          <t>th-chiang-mai</t>
        </is>
      </c>
      <c r="B196" t="inlineStr">
        <is>
          <t>Chiang Mai</t>
        </is>
      </c>
      <c r="C196" t="inlineStr">
        <is>
          <t>Thailand</t>
        </is>
      </c>
      <c r="D196" t="inlineStr">
        <is>
          <t>Southeast Asia</t>
        </is>
      </c>
      <c r="E196" t="inlineStr">
        <is>
          <t>clean_air_raw</t>
        </is>
      </c>
      <c r="F196" t="inlineStr">
        <is>
          <t>Clean air raw</t>
        </is>
      </c>
      <c r="G196" t="inlineStr">
        <is>
          <t>viability</t>
        </is>
      </c>
      <c r="H196" t="inlineStr">
        <is>
          <t>yes</t>
        </is>
      </c>
      <c r="I196" t="inlineStr"/>
      <c r="J196" t="inlineStr"/>
      <c r="K196" t="inlineStr"/>
      <c r="L196" t="inlineStr"/>
      <c r="M196" t="inlineStr"/>
      <c r="N196" t="inlineStr"/>
    </row>
    <row r="197">
      <c r="A197" t="inlineStr">
        <is>
          <t>th-chiang-mai</t>
        </is>
      </c>
      <c r="B197" t="inlineStr">
        <is>
          <t>Chiang Mai</t>
        </is>
      </c>
      <c r="C197" t="inlineStr">
        <is>
          <t>Thailand</t>
        </is>
      </c>
      <c r="D197" t="inlineStr">
        <is>
          <t>Southeast Asia</t>
        </is>
      </c>
      <c r="E197" t="inlineStr">
        <is>
          <t>water_sanitation_utility_raw</t>
        </is>
      </c>
      <c r="F197" t="inlineStr">
        <is>
          <t>Water, sanitation, and utility raw</t>
        </is>
      </c>
      <c r="G197" t="inlineStr">
        <is>
          <t>viability</t>
        </is>
      </c>
      <c r="H197" t="inlineStr">
        <is>
          <t>yes</t>
        </is>
      </c>
      <c r="I197" t="inlineStr"/>
      <c r="J197" t="inlineStr"/>
      <c r="K197" t="inlineStr"/>
      <c r="L197" t="inlineStr"/>
      <c r="M197" t="inlineStr"/>
      <c r="N197" t="inlineStr"/>
    </row>
    <row r="198">
      <c r="A198" t="inlineStr">
        <is>
          <t>th-chiang-mai</t>
        </is>
      </c>
      <c r="B198" t="inlineStr">
        <is>
          <t>Chiang Mai</t>
        </is>
      </c>
      <c r="C198" t="inlineStr">
        <is>
          <t>Thailand</t>
        </is>
      </c>
      <c r="D198" t="inlineStr">
        <is>
          <t>Southeast Asia</t>
        </is>
      </c>
      <c r="E198" t="inlineStr">
        <is>
          <t>digital_infrastructure_raw</t>
        </is>
      </c>
      <c r="F198" t="inlineStr">
        <is>
          <t>Digital infrastructure raw</t>
        </is>
      </c>
      <c r="G198" t="inlineStr">
        <is>
          <t>viability</t>
        </is>
      </c>
      <c r="H198" t="inlineStr">
        <is>
          <t>yes</t>
        </is>
      </c>
      <c r="I198" t="inlineStr"/>
      <c r="J198" t="inlineStr"/>
      <c r="K198" t="inlineStr"/>
      <c r="L198" t="inlineStr"/>
      <c r="M198" t="inlineStr"/>
      <c r="N198" t="inlineStr"/>
    </row>
    <row r="199">
      <c r="A199" t="inlineStr">
        <is>
          <t>th-chiang-mai</t>
        </is>
      </c>
      <c r="B199" t="inlineStr">
        <is>
          <t>Chiang Mai</t>
        </is>
      </c>
      <c r="C199" t="inlineStr">
        <is>
          <t>Thailand</t>
        </is>
      </c>
      <c r="D199" t="inlineStr">
        <is>
          <t>Southeast Asia</t>
        </is>
      </c>
      <c r="E199" t="inlineStr">
        <is>
          <t>healthcare_quality_raw</t>
        </is>
      </c>
      <c r="F199" t="inlineStr">
        <is>
          <t>Healthcare quality raw</t>
        </is>
      </c>
      <c r="G199" t="inlineStr">
        <is>
          <t>capability</t>
        </is>
      </c>
      <c r="H199" t="inlineStr">
        <is>
          <t>yes</t>
        </is>
      </c>
      <c r="I199" t="inlineStr"/>
      <c r="J199" t="inlineStr"/>
      <c r="K199" t="inlineStr"/>
      <c r="L199" t="inlineStr"/>
      <c r="M199" t="inlineStr"/>
      <c r="N199" t="inlineStr"/>
    </row>
    <row r="200">
      <c r="A200" t="inlineStr">
        <is>
          <t>th-chiang-mai</t>
        </is>
      </c>
      <c r="B200" t="inlineStr">
        <is>
          <t>Chiang Mai</t>
        </is>
      </c>
      <c r="C200" t="inlineStr">
        <is>
          <t>Thailand</t>
        </is>
      </c>
      <c r="D200" t="inlineStr">
        <is>
          <t>Southeast Asia</t>
        </is>
      </c>
      <c r="E200" t="inlineStr">
        <is>
          <t>education_quality_raw</t>
        </is>
      </c>
      <c r="F200" t="inlineStr">
        <is>
          <t>Education quality raw</t>
        </is>
      </c>
      <c r="G200" t="inlineStr">
        <is>
          <t>capability</t>
        </is>
      </c>
      <c r="H200" t="inlineStr">
        <is>
          <t>yes</t>
        </is>
      </c>
      <c r="I200" t="inlineStr"/>
      <c r="J200" t="inlineStr"/>
      <c r="K200" t="inlineStr"/>
      <c r="L200" t="inlineStr"/>
      <c r="M200" t="inlineStr"/>
      <c r="N200" t="inlineStr"/>
    </row>
    <row r="201">
      <c r="A201" t="inlineStr">
        <is>
          <t>th-chiang-mai</t>
        </is>
      </c>
      <c r="B201" t="inlineStr">
        <is>
          <t>Chiang Mai</t>
        </is>
      </c>
      <c r="C201" t="inlineStr">
        <is>
          <t>Thailand</t>
        </is>
      </c>
      <c r="D201" t="inlineStr">
        <is>
          <t>Southeast Asia</t>
        </is>
      </c>
      <c r="E201" t="inlineStr">
        <is>
          <t>equal_opportunity_raw</t>
        </is>
      </c>
      <c r="F201" t="inlineStr">
        <is>
          <t>Equal opportunity raw</t>
        </is>
      </c>
      <c r="G201" t="inlineStr">
        <is>
          <t>capability</t>
        </is>
      </c>
      <c r="H201" t="inlineStr">
        <is>
          <t>yes</t>
        </is>
      </c>
      <c r="I201" t="inlineStr"/>
      <c r="J201" t="inlineStr"/>
      <c r="K201" t="inlineStr"/>
      <c r="L201" t="inlineStr"/>
      <c r="M201" t="inlineStr"/>
      <c r="N201" t="inlineStr"/>
    </row>
    <row r="202">
      <c r="A202" t="inlineStr">
        <is>
          <t>th-chiang-mai</t>
        </is>
      </c>
      <c r="B202" t="inlineStr">
        <is>
          <t>Chiang Mai</t>
        </is>
      </c>
      <c r="C202" t="inlineStr">
        <is>
          <t>Thailand</t>
        </is>
      </c>
      <c r="D202" t="inlineStr">
        <is>
          <t>Southeast Asia</t>
        </is>
      </c>
      <c r="E202" t="inlineStr">
        <is>
          <t>hospitality_belonging_raw</t>
        </is>
      </c>
      <c r="F202" t="inlineStr">
        <is>
          <t>Hospitality and belonging raw</t>
        </is>
      </c>
      <c r="G202" t="inlineStr">
        <is>
          <t>community</t>
        </is>
      </c>
      <c r="H202" t="inlineStr">
        <is>
          <t>yes</t>
        </is>
      </c>
      <c r="I202" t="inlineStr"/>
      <c r="J202" t="inlineStr"/>
      <c r="K202" t="inlineStr"/>
      <c r="L202" t="inlineStr"/>
      <c r="M202" t="inlineStr"/>
      <c r="N202" t="inlineStr"/>
    </row>
    <row r="203">
      <c r="A203" t="inlineStr">
        <is>
          <t>th-chiang-mai</t>
        </is>
      </c>
      <c r="B203" t="inlineStr">
        <is>
          <t>Chiang Mai</t>
        </is>
      </c>
      <c r="C203" t="inlineStr">
        <is>
          <t>Thailand</t>
        </is>
      </c>
      <c r="D203" t="inlineStr">
        <is>
          <t>Southeast Asia</t>
        </is>
      </c>
      <c r="E203" t="inlineStr">
        <is>
          <t>tolerance_pluralism_raw</t>
        </is>
      </c>
      <c r="F203" t="inlineStr">
        <is>
          <t>Tolerance and pluralism raw</t>
        </is>
      </c>
      <c r="G203" t="inlineStr">
        <is>
          <t>community</t>
        </is>
      </c>
      <c r="H203" t="inlineStr">
        <is>
          <t>yes</t>
        </is>
      </c>
      <c r="I203" t="inlineStr"/>
      <c r="J203" t="inlineStr"/>
      <c r="K203" t="inlineStr"/>
      <c r="L203" t="inlineStr"/>
      <c r="M203" t="inlineStr"/>
      <c r="N203" t="inlineStr"/>
    </row>
    <row r="204">
      <c r="A204" t="inlineStr">
        <is>
          <t>th-chiang-mai</t>
        </is>
      </c>
      <c r="B204" t="inlineStr">
        <is>
          <t>Chiang Mai</t>
        </is>
      </c>
      <c r="C204" t="inlineStr">
        <is>
          <t>Thailand</t>
        </is>
      </c>
      <c r="D204" t="inlineStr">
        <is>
          <t>Southeast Asia</t>
        </is>
      </c>
      <c r="E204" t="inlineStr">
        <is>
          <t>cultural_public_life_raw</t>
        </is>
      </c>
      <c r="F204" t="inlineStr">
        <is>
          <t>Cultural public life raw</t>
        </is>
      </c>
      <c r="G204" t="inlineStr">
        <is>
          <t>community</t>
        </is>
      </c>
      <c r="H204" t="inlineStr">
        <is>
          <t>yes</t>
        </is>
      </c>
      <c r="I204" t="inlineStr"/>
      <c r="J204" t="inlineStr"/>
      <c r="K204" t="inlineStr"/>
      <c r="L204" t="inlineStr"/>
      <c r="M204" t="inlineStr"/>
      <c r="N204" t="inlineStr"/>
    </row>
    <row r="205">
      <c r="A205" t="inlineStr">
        <is>
          <t>th-chiang-mai</t>
        </is>
      </c>
      <c r="B205" t="inlineStr">
        <is>
          <t>Chiang Mai</t>
        </is>
      </c>
      <c r="C205" t="inlineStr">
        <is>
          <t>Thailand</t>
        </is>
      </c>
      <c r="D205" t="inlineStr">
        <is>
          <t>Southeast Asia</t>
        </is>
      </c>
      <c r="E205" t="inlineStr">
        <is>
          <t>entrepreneurial_dynamism_raw</t>
        </is>
      </c>
      <c r="F205" t="inlineStr">
        <is>
          <t>Entrepreneurial dynamism raw</t>
        </is>
      </c>
      <c r="G205" t="inlineStr">
        <is>
          <t>creative</t>
        </is>
      </c>
      <c r="H205" t="inlineStr">
        <is>
          <t>yes</t>
        </is>
      </c>
      <c r="I205" t="inlineStr"/>
      <c r="J205" t="inlineStr"/>
      <c r="K205" t="inlineStr"/>
      <c r="L205" t="inlineStr"/>
      <c r="M205" t="inlineStr"/>
      <c r="N205" t="inlineStr"/>
    </row>
    <row r="206">
      <c r="A206" t="inlineStr">
        <is>
          <t>th-chiang-mai</t>
        </is>
      </c>
      <c r="B206" t="inlineStr">
        <is>
          <t>Chiang Mai</t>
        </is>
      </c>
      <c r="C206" t="inlineStr">
        <is>
          <t>Thailand</t>
        </is>
      </c>
      <c r="D206" t="inlineStr">
        <is>
          <t>Southeast Asia</t>
        </is>
      </c>
      <c r="E206" t="inlineStr">
        <is>
          <t>innovation_research_intensity_raw</t>
        </is>
      </c>
      <c r="F206" t="inlineStr">
        <is>
          <t>Innovation and research raw</t>
        </is>
      </c>
      <c r="G206" t="inlineStr">
        <is>
          <t>creative</t>
        </is>
      </c>
      <c r="H206" t="inlineStr">
        <is>
          <t>yes</t>
        </is>
      </c>
      <c r="I206" t="inlineStr"/>
      <c r="J206" t="inlineStr"/>
      <c r="K206" t="inlineStr"/>
      <c r="L206" t="inlineStr"/>
      <c r="M206" t="inlineStr"/>
      <c r="N206" t="inlineStr"/>
    </row>
    <row r="207">
      <c r="A207" t="inlineStr">
        <is>
          <t>th-chiang-mai</t>
        </is>
      </c>
      <c r="B207" t="inlineStr">
        <is>
          <t>Chiang Mai</t>
        </is>
      </c>
      <c r="C207" t="inlineStr">
        <is>
          <t>Thailand</t>
        </is>
      </c>
      <c r="D207" t="inlineStr">
        <is>
          <t>Southeast Asia</t>
        </is>
      </c>
      <c r="E207" t="inlineStr">
        <is>
          <t>investment_signal_raw</t>
        </is>
      </c>
      <c r="F207" t="inlineStr">
        <is>
          <t>Investment signal raw</t>
        </is>
      </c>
      <c r="G207" t="inlineStr">
        <is>
          <t>creative</t>
        </is>
      </c>
      <c r="H207" t="inlineStr">
        <is>
          <t>yes</t>
        </is>
      </c>
      <c r="I207" t="inlineStr"/>
      <c r="J207" t="inlineStr"/>
      <c r="K207" t="inlineStr"/>
      <c r="L207" t="inlineStr"/>
      <c r="M207" t="inlineStr"/>
      <c r="N207" t="inlineStr"/>
    </row>
    <row r="208">
      <c r="A208" t="inlineStr">
        <is>
          <t>th-chiang-mai</t>
        </is>
      </c>
      <c r="B208" t="inlineStr">
        <is>
          <t>Chiang Mai</t>
        </is>
      </c>
      <c r="C208" t="inlineStr">
        <is>
          <t>Thailand</t>
        </is>
      </c>
      <c r="D208" t="inlineStr">
        <is>
          <t>Southeast Asia</t>
        </is>
      </c>
      <c r="E208" t="inlineStr">
        <is>
          <t>administrative_investment_friction_raw</t>
        </is>
      </c>
      <c r="F208" t="inlineStr">
        <is>
          <t>Administrative investment friction raw</t>
        </is>
      </c>
      <c r="G208" t="inlineStr">
        <is>
          <t>creative</t>
        </is>
      </c>
      <c r="H208" t="inlineStr">
        <is>
          <t>yes</t>
        </is>
      </c>
      <c r="I208" t="inlineStr"/>
      <c r="J208" t="inlineStr"/>
      <c r="K208" t="inlineStr"/>
      <c r="L208" t="inlineStr"/>
      <c r="M208" t="inlineStr"/>
      <c r="N208" t="inlineStr"/>
    </row>
    <row r="209">
      <c r="A209" t="inlineStr">
        <is>
          <t>th-chiang-mai</t>
        </is>
      </c>
      <c r="B209" t="inlineStr">
        <is>
          <t>Chiang Mai</t>
        </is>
      </c>
      <c r="C209" t="inlineStr">
        <is>
          <t>Thailand</t>
        </is>
      </c>
      <c r="D209" t="inlineStr">
        <is>
          <t>Southeast Asia</t>
        </is>
      </c>
      <c r="E209" t="inlineStr">
        <is>
          <t>visitor_flow_context_raw</t>
        </is>
      </c>
      <c r="F209" t="inlineStr">
        <is>
          <t>Visitor flow context raw</t>
        </is>
      </c>
      <c r="G209" t="inlineStr">
        <is>
          <t>creative</t>
        </is>
      </c>
      <c r="H209" t="inlineStr">
        <is>
          <t>no</t>
        </is>
      </c>
      <c r="I209" t="inlineStr"/>
      <c r="J209" t="inlineStr"/>
      <c r="K209" t="inlineStr"/>
      <c r="L209" t="inlineStr"/>
      <c r="M209" t="inlineStr"/>
      <c r="N209" t="inlineStr"/>
    </row>
    <row r="210">
      <c r="A210" t="inlineStr">
        <is>
          <t>my-kuching</t>
        </is>
      </c>
      <c r="B210" t="inlineStr">
        <is>
          <t>Kuching</t>
        </is>
      </c>
      <c r="C210" t="inlineStr">
        <is>
          <t>Malaysia</t>
        </is>
      </c>
      <c r="D210" t="inlineStr">
        <is>
          <t>Southeast Asia</t>
        </is>
      </c>
      <c r="E210" t="inlineStr">
        <is>
          <t>gross_income</t>
        </is>
      </c>
      <c r="F210" t="inlineStr">
        <is>
          <t>Gross income</t>
        </is>
      </c>
      <c r="G210" t="inlineStr">
        <is>
          <t>pressure</t>
        </is>
      </c>
      <c r="H210" t="inlineStr">
        <is>
          <t>yes</t>
        </is>
      </c>
      <c r="I210" t="inlineStr"/>
      <c r="J210" t="inlineStr"/>
      <c r="K210" t="inlineStr"/>
      <c r="L210" t="inlineStr"/>
      <c r="M210" t="inlineStr"/>
      <c r="N210" t="inlineStr"/>
    </row>
    <row r="211">
      <c r="A211" t="inlineStr">
        <is>
          <t>my-kuching</t>
        </is>
      </c>
      <c r="B211" t="inlineStr">
        <is>
          <t>Kuching</t>
        </is>
      </c>
      <c r="C211" t="inlineStr">
        <is>
          <t>Malaysia</t>
        </is>
      </c>
      <c r="D211" t="inlineStr">
        <is>
          <t>Southeast Asia</t>
        </is>
      </c>
      <c r="E211" t="inlineStr">
        <is>
          <t>rent</t>
        </is>
      </c>
      <c r="F211" t="inlineStr">
        <is>
          <t>Rent</t>
        </is>
      </c>
      <c r="G211" t="inlineStr">
        <is>
          <t>pressure</t>
        </is>
      </c>
      <c r="H211" t="inlineStr">
        <is>
          <t>yes</t>
        </is>
      </c>
      <c r="I211" t="inlineStr"/>
      <c r="J211" t="inlineStr"/>
      <c r="K211" t="inlineStr"/>
      <c r="L211" t="inlineStr"/>
      <c r="M211" t="inlineStr"/>
      <c r="N211" t="inlineStr"/>
    </row>
    <row r="212">
      <c r="A212" t="inlineStr">
        <is>
          <t>my-kuching</t>
        </is>
      </c>
      <c r="B212" t="inlineStr">
        <is>
          <t>Kuching</t>
        </is>
      </c>
      <c r="C212" t="inlineStr">
        <is>
          <t>Malaysia</t>
        </is>
      </c>
      <c r="D212" t="inlineStr">
        <is>
          <t>Southeast Asia</t>
        </is>
      </c>
      <c r="E212" t="inlineStr">
        <is>
          <t>utilities</t>
        </is>
      </c>
      <c r="F212" t="inlineStr">
        <is>
          <t>Utilities</t>
        </is>
      </c>
      <c r="G212" t="inlineStr">
        <is>
          <t>pressure</t>
        </is>
      </c>
      <c r="H212" t="inlineStr">
        <is>
          <t>yes</t>
        </is>
      </c>
      <c r="I212" t="inlineStr"/>
      <c r="J212" t="inlineStr"/>
      <c r="K212" t="inlineStr"/>
      <c r="L212" t="inlineStr"/>
      <c r="M212" t="inlineStr"/>
      <c r="N212" t="inlineStr"/>
    </row>
    <row r="213">
      <c r="A213" t="inlineStr">
        <is>
          <t>my-kuching</t>
        </is>
      </c>
      <c r="B213" t="inlineStr">
        <is>
          <t>Kuching</t>
        </is>
      </c>
      <c r="C213" t="inlineStr">
        <is>
          <t>Malaysia</t>
        </is>
      </c>
      <c r="D213" t="inlineStr">
        <is>
          <t>Southeast Asia</t>
        </is>
      </c>
      <c r="E213" t="inlineStr">
        <is>
          <t>transit_cost</t>
        </is>
      </c>
      <c r="F213" t="inlineStr">
        <is>
          <t>Transit cost</t>
        </is>
      </c>
      <c r="G213" t="inlineStr">
        <is>
          <t>pressure</t>
        </is>
      </c>
      <c r="H213" t="inlineStr">
        <is>
          <t>yes</t>
        </is>
      </c>
      <c r="I213" t="inlineStr"/>
      <c r="J213" t="inlineStr"/>
      <c r="K213" t="inlineStr"/>
      <c r="L213" t="inlineStr"/>
      <c r="M213" t="inlineStr"/>
      <c r="N213" t="inlineStr"/>
    </row>
    <row r="214">
      <c r="A214" t="inlineStr">
        <is>
          <t>my-kuching</t>
        </is>
      </c>
      <c r="B214" t="inlineStr">
        <is>
          <t>Kuching</t>
        </is>
      </c>
      <c r="C214" t="inlineStr">
        <is>
          <t>Malaysia</t>
        </is>
      </c>
      <c r="D214" t="inlineStr">
        <is>
          <t>Southeast Asia</t>
        </is>
      </c>
      <c r="E214" t="inlineStr">
        <is>
          <t>internet_cost</t>
        </is>
      </c>
      <c r="F214" t="inlineStr">
        <is>
          <t>Internet cost</t>
        </is>
      </c>
      <c r="G214" t="inlineStr">
        <is>
          <t>pressure</t>
        </is>
      </c>
      <c r="H214" t="inlineStr">
        <is>
          <t>yes</t>
        </is>
      </c>
      <c r="I214" t="inlineStr"/>
      <c r="J214" t="inlineStr"/>
      <c r="K214" t="inlineStr"/>
      <c r="L214" t="inlineStr"/>
      <c r="M214" t="inlineStr"/>
      <c r="N214" t="inlineStr"/>
    </row>
    <row r="215">
      <c r="A215" t="inlineStr">
        <is>
          <t>my-kuching</t>
        </is>
      </c>
      <c r="B215" t="inlineStr">
        <is>
          <t>Kuching</t>
        </is>
      </c>
      <c r="C215" t="inlineStr">
        <is>
          <t>Malaysia</t>
        </is>
      </c>
      <c r="D215" t="inlineStr">
        <is>
          <t>Southeast Asia</t>
        </is>
      </c>
      <c r="E215" t="inlineStr">
        <is>
          <t>food_cost</t>
        </is>
      </c>
      <c r="F215" t="inlineStr">
        <is>
          <t>Food cost</t>
        </is>
      </c>
      <c r="G215" t="inlineStr">
        <is>
          <t>pressure</t>
        </is>
      </c>
      <c r="H215" t="inlineStr">
        <is>
          <t>yes</t>
        </is>
      </c>
      <c r="I215" t="inlineStr"/>
      <c r="J215" t="inlineStr"/>
      <c r="K215" t="inlineStr"/>
      <c r="L215" t="inlineStr"/>
      <c r="M215" t="inlineStr"/>
      <c r="N215" t="inlineStr"/>
    </row>
    <row r="216">
      <c r="A216" t="inlineStr">
        <is>
          <t>my-kuching</t>
        </is>
      </c>
      <c r="B216" t="inlineStr">
        <is>
          <t>Kuching</t>
        </is>
      </c>
      <c r="C216" t="inlineStr">
        <is>
          <t>Malaysia</t>
        </is>
      </c>
      <c r="D216" t="inlineStr">
        <is>
          <t>Southeast Asia</t>
        </is>
      </c>
      <c r="E216" t="inlineStr">
        <is>
          <t>housing_burden_raw</t>
        </is>
      </c>
      <c r="F216" t="inlineStr">
        <is>
          <t>Housing burden raw</t>
        </is>
      </c>
      <c r="G216" t="inlineStr">
        <is>
          <t>pressure</t>
        </is>
      </c>
      <c r="H216" t="inlineStr">
        <is>
          <t>yes</t>
        </is>
      </c>
      <c r="I216" t="inlineStr"/>
      <c r="J216" t="inlineStr"/>
      <c r="K216" t="inlineStr"/>
      <c r="L216" t="inlineStr"/>
      <c r="M216" t="inlineStr"/>
      <c r="N216" t="inlineStr"/>
    </row>
    <row r="217">
      <c r="A217" t="inlineStr">
        <is>
          <t>my-kuching</t>
        </is>
      </c>
      <c r="B217" t="inlineStr">
        <is>
          <t>Kuching</t>
        </is>
      </c>
      <c r="C217" t="inlineStr">
        <is>
          <t>Malaysia</t>
        </is>
      </c>
      <c r="D217" t="inlineStr">
        <is>
          <t>Southeast Asia</t>
        </is>
      </c>
      <c r="E217" t="inlineStr">
        <is>
          <t>household_debt_burden_raw</t>
        </is>
      </c>
      <c r="F217" t="inlineStr">
        <is>
          <t>Household debt burden raw</t>
        </is>
      </c>
      <c r="G217" t="inlineStr">
        <is>
          <t>pressure</t>
        </is>
      </c>
      <c r="H217" t="inlineStr">
        <is>
          <t>yes</t>
        </is>
      </c>
      <c r="I217" t="inlineStr"/>
      <c r="J217" t="inlineStr"/>
      <c r="K217" t="inlineStr"/>
      <c r="L217" t="inlineStr"/>
      <c r="M217" t="inlineStr"/>
      <c r="N217" t="inlineStr"/>
    </row>
    <row r="218">
      <c r="A218" t="inlineStr">
        <is>
          <t>my-kuching</t>
        </is>
      </c>
      <c r="B218" t="inlineStr">
        <is>
          <t>Kuching</t>
        </is>
      </c>
      <c r="C218" t="inlineStr">
        <is>
          <t>Malaysia</t>
        </is>
      </c>
      <c r="D218" t="inlineStr">
        <is>
          <t>Southeast Asia</t>
        </is>
      </c>
      <c r="E218" t="inlineStr">
        <is>
          <t>working_time_pressure_raw</t>
        </is>
      </c>
      <c r="F218" t="inlineStr">
        <is>
          <t>Working time pressure raw</t>
        </is>
      </c>
      <c r="G218" t="inlineStr">
        <is>
          <t>pressure</t>
        </is>
      </c>
      <c r="H218" t="inlineStr">
        <is>
          <t>yes</t>
        </is>
      </c>
      <c r="I218" t="inlineStr"/>
      <c r="J218" t="inlineStr"/>
      <c r="K218" t="inlineStr"/>
      <c r="L218" t="inlineStr"/>
      <c r="M218" t="inlineStr"/>
      <c r="N218" t="inlineStr"/>
    </row>
    <row r="219">
      <c r="A219" t="inlineStr">
        <is>
          <t>my-kuching</t>
        </is>
      </c>
      <c r="B219" t="inlineStr">
        <is>
          <t>Kuching</t>
        </is>
      </c>
      <c r="C219" t="inlineStr">
        <is>
          <t>Malaysia</t>
        </is>
      </c>
      <c r="D219" t="inlineStr">
        <is>
          <t>Southeast Asia</t>
        </is>
      </c>
      <c r="E219" t="inlineStr">
        <is>
          <t>suicide_mental_strain_raw</t>
        </is>
      </c>
      <c r="F219" t="inlineStr">
        <is>
          <t>Suicide or mental strain raw</t>
        </is>
      </c>
      <c r="G219" t="inlineStr">
        <is>
          <t>pressure</t>
        </is>
      </c>
      <c r="H219" t="inlineStr">
        <is>
          <t>yes</t>
        </is>
      </c>
      <c r="I219" t="inlineStr"/>
      <c r="J219" t="inlineStr"/>
      <c r="K219" t="inlineStr"/>
      <c r="L219" t="inlineStr"/>
      <c r="M219" t="inlineStr"/>
      <c r="N219" t="inlineStr"/>
    </row>
    <row r="220">
      <c r="A220" t="inlineStr">
        <is>
          <t>my-kuching</t>
        </is>
      </c>
      <c r="B220" t="inlineStr">
        <is>
          <t>Kuching</t>
        </is>
      </c>
      <c r="C220" t="inlineStr">
        <is>
          <t>Malaysia</t>
        </is>
      </c>
      <c r="D220" t="inlineStr">
        <is>
          <t>Southeast Asia</t>
        </is>
      </c>
      <c r="E220" t="inlineStr">
        <is>
          <t>personal_safety_raw</t>
        </is>
      </c>
      <c r="F220" t="inlineStr">
        <is>
          <t>Personal safety raw</t>
        </is>
      </c>
      <c r="G220" t="inlineStr">
        <is>
          <t>viability</t>
        </is>
      </c>
      <c r="H220" t="inlineStr">
        <is>
          <t>yes</t>
        </is>
      </c>
      <c r="I220" t="inlineStr"/>
      <c r="J220" t="inlineStr"/>
      <c r="K220" t="inlineStr"/>
      <c r="L220" t="inlineStr"/>
      <c r="M220" t="inlineStr"/>
      <c r="N220" t="inlineStr"/>
    </row>
    <row r="221">
      <c r="A221" t="inlineStr">
        <is>
          <t>my-kuching</t>
        </is>
      </c>
      <c r="B221" t="inlineStr">
        <is>
          <t>Kuching</t>
        </is>
      </c>
      <c r="C221" t="inlineStr">
        <is>
          <t>Malaysia</t>
        </is>
      </c>
      <c r="D221" t="inlineStr">
        <is>
          <t>Southeast Asia</t>
        </is>
      </c>
      <c r="E221" t="inlineStr">
        <is>
          <t>transit_access_commute_raw</t>
        </is>
      </c>
      <c r="F221" t="inlineStr">
        <is>
          <t>Transit access and commute raw</t>
        </is>
      </c>
      <c r="G221" t="inlineStr">
        <is>
          <t>viability</t>
        </is>
      </c>
      <c r="H221" t="inlineStr">
        <is>
          <t>yes</t>
        </is>
      </c>
      <c r="I221" t="inlineStr"/>
      <c r="J221" t="inlineStr"/>
      <c r="K221" t="inlineStr"/>
      <c r="L221" t="inlineStr"/>
      <c r="M221" t="inlineStr"/>
      <c r="N221" t="inlineStr"/>
    </row>
    <row r="222">
      <c r="A222" t="inlineStr">
        <is>
          <t>my-kuching</t>
        </is>
      </c>
      <c r="B222" t="inlineStr">
        <is>
          <t>Kuching</t>
        </is>
      </c>
      <c r="C222" t="inlineStr">
        <is>
          <t>Malaysia</t>
        </is>
      </c>
      <c r="D222" t="inlineStr">
        <is>
          <t>Southeast Asia</t>
        </is>
      </c>
      <c r="E222" t="inlineStr">
        <is>
          <t>clean_air_raw</t>
        </is>
      </c>
      <c r="F222" t="inlineStr">
        <is>
          <t>Clean air raw</t>
        </is>
      </c>
      <c r="G222" t="inlineStr">
        <is>
          <t>viability</t>
        </is>
      </c>
      <c r="H222" t="inlineStr">
        <is>
          <t>yes</t>
        </is>
      </c>
      <c r="I222" t="inlineStr"/>
      <c r="J222" t="inlineStr"/>
      <c r="K222" t="inlineStr"/>
      <c r="L222" t="inlineStr"/>
      <c r="M222" t="inlineStr"/>
      <c r="N222" t="inlineStr"/>
    </row>
    <row r="223">
      <c r="A223" t="inlineStr">
        <is>
          <t>my-kuching</t>
        </is>
      </c>
      <c r="B223" t="inlineStr">
        <is>
          <t>Kuching</t>
        </is>
      </c>
      <c r="C223" t="inlineStr">
        <is>
          <t>Malaysia</t>
        </is>
      </c>
      <c r="D223" t="inlineStr">
        <is>
          <t>Southeast Asia</t>
        </is>
      </c>
      <c r="E223" t="inlineStr">
        <is>
          <t>water_sanitation_utility_raw</t>
        </is>
      </c>
      <c r="F223" t="inlineStr">
        <is>
          <t>Water, sanitation, and utility raw</t>
        </is>
      </c>
      <c r="G223" t="inlineStr">
        <is>
          <t>viability</t>
        </is>
      </c>
      <c r="H223" t="inlineStr">
        <is>
          <t>yes</t>
        </is>
      </c>
      <c r="I223" t="inlineStr"/>
      <c r="J223" t="inlineStr"/>
      <c r="K223" t="inlineStr"/>
      <c r="L223" t="inlineStr"/>
      <c r="M223" t="inlineStr"/>
      <c r="N223" t="inlineStr"/>
    </row>
    <row r="224">
      <c r="A224" t="inlineStr">
        <is>
          <t>my-kuching</t>
        </is>
      </c>
      <c r="B224" t="inlineStr">
        <is>
          <t>Kuching</t>
        </is>
      </c>
      <c r="C224" t="inlineStr">
        <is>
          <t>Malaysia</t>
        </is>
      </c>
      <c r="D224" t="inlineStr">
        <is>
          <t>Southeast Asia</t>
        </is>
      </c>
      <c r="E224" t="inlineStr">
        <is>
          <t>digital_infrastructure_raw</t>
        </is>
      </c>
      <c r="F224" t="inlineStr">
        <is>
          <t>Digital infrastructure raw</t>
        </is>
      </c>
      <c r="G224" t="inlineStr">
        <is>
          <t>viability</t>
        </is>
      </c>
      <c r="H224" t="inlineStr">
        <is>
          <t>yes</t>
        </is>
      </c>
      <c r="I224" t="inlineStr"/>
      <c r="J224" t="inlineStr"/>
      <c r="K224" t="inlineStr"/>
      <c r="L224" t="inlineStr"/>
      <c r="M224" t="inlineStr"/>
      <c r="N224" t="inlineStr"/>
    </row>
    <row r="225">
      <c r="A225" t="inlineStr">
        <is>
          <t>my-kuching</t>
        </is>
      </c>
      <c r="B225" t="inlineStr">
        <is>
          <t>Kuching</t>
        </is>
      </c>
      <c r="C225" t="inlineStr">
        <is>
          <t>Malaysia</t>
        </is>
      </c>
      <c r="D225" t="inlineStr">
        <is>
          <t>Southeast Asia</t>
        </is>
      </c>
      <c r="E225" t="inlineStr">
        <is>
          <t>healthcare_quality_raw</t>
        </is>
      </c>
      <c r="F225" t="inlineStr">
        <is>
          <t>Healthcare quality raw</t>
        </is>
      </c>
      <c r="G225" t="inlineStr">
        <is>
          <t>capability</t>
        </is>
      </c>
      <c r="H225" t="inlineStr">
        <is>
          <t>yes</t>
        </is>
      </c>
      <c r="I225" t="inlineStr"/>
      <c r="J225" t="inlineStr"/>
      <c r="K225" t="inlineStr"/>
      <c r="L225" t="inlineStr"/>
      <c r="M225" t="inlineStr"/>
      <c r="N225" t="inlineStr"/>
    </row>
    <row r="226">
      <c r="A226" t="inlineStr">
        <is>
          <t>my-kuching</t>
        </is>
      </c>
      <c r="B226" t="inlineStr">
        <is>
          <t>Kuching</t>
        </is>
      </c>
      <c r="C226" t="inlineStr">
        <is>
          <t>Malaysia</t>
        </is>
      </c>
      <c r="D226" t="inlineStr">
        <is>
          <t>Southeast Asia</t>
        </is>
      </c>
      <c r="E226" t="inlineStr">
        <is>
          <t>education_quality_raw</t>
        </is>
      </c>
      <c r="F226" t="inlineStr">
        <is>
          <t>Education quality raw</t>
        </is>
      </c>
      <c r="G226" t="inlineStr">
        <is>
          <t>capability</t>
        </is>
      </c>
      <c r="H226" t="inlineStr">
        <is>
          <t>yes</t>
        </is>
      </c>
      <c r="I226" t="inlineStr"/>
      <c r="J226" t="inlineStr"/>
      <c r="K226" t="inlineStr"/>
      <c r="L226" t="inlineStr"/>
      <c r="M226" t="inlineStr"/>
      <c r="N226" t="inlineStr"/>
    </row>
    <row r="227">
      <c r="A227" t="inlineStr">
        <is>
          <t>my-kuching</t>
        </is>
      </c>
      <c r="B227" t="inlineStr">
        <is>
          <t>Kuching</t>
        </is>
      </c>
      <c r="C227" t="inlineStr">
        <is>
          <t>Malaysia</t>
        </is>
      </c>
      <c r="D227" t="inlineStr">
        <is>
          <t>Southeast Asia</t>
        </is>
      </c>
      <c r="E227" t="inlineStr">
        <is>
          <t>equal_opportunity_raw</t>
        </is>
      </c>
      <c r="F227" t="inlineStr">
        <is>
          <t>Equal opportunity raw</t>
        </is>
      </c>
      <c r="G227" t="inlineStr">
        <is>
          <t>capability</t>
        </is>
      </c>
      <c r="H227" t="inlineStr">
        <is>
          <t>yes</t>
        </is>
      </c>
      <c r="I227" t="inlineStr"/>
      <c r="J227" t="inlineStr"/>
      <c r="K227" t="inlineStr"/>
      <c r="L227" t="inlineStr"/>
      <c r="M227" t="inlineStr"/>
      <c r="N227" t="inlineStr"/>
    </row>
    <row r="228">
      <c r="A228" t="inlineStr">
        <is>
          <t>my-kuching</t>
        </is>
      </c>
      <c r="B228" t="inlineStr">
        <is>
          <t>Kuching</t>
        </is>
      </c>
      <c r="C228" t="inlineStr">
        <is>
          <t>Malaysia</t>
        </is>
      </c>
      <c r="D228" t="inlineStr">
        <is>
          <t>Southeast Asia</t>
        </is>
      </c>
      <c r="E228" t="inlineStr">
        <is>
          <t>hospitality_belonging_raw</t>
        </is>
      </c>
      <c r="F228" t="inlineStr">
        <is>
          <t>Hospitality and belonging raw</t>
        </is>
      </c>
      <c r="G228" t="inlineStr">
        <is>
          <t>community</t>
        </is>
      </c>
      <c r="H228" t="inlineStr">
        <is>
          <t>yes</t>
        </is>
      </c>
      <c r="I228" t="inlineStr"/>
      <c r="J228" t="inlineStr"/>
      <c r="K228" t="inlineStr"/>
      <c r="L228" t="inlineStr"/>
      <c r="M228" t="inlineStr"/>
      <c r="N228" t="inlineStr"/>
    </row>
    <row r="229">
      <c r="A229" t="inlineStr">
        <is>
          <t>my-kuching</t>
        </is>
      </c>
      <c r="B229" t="inlineStr">
        <is>
          <t>Kuching</t>
        </is>
      </c>
      <c r="C229" t="inlineStr">
        <is>
          <t>Malaysia</t>
        </is>
      </c>
      <c r="D229" t="inlineStr">
        <is>
          <t>Southeast Asia</t>
        </is>
      </c>
      <c r="E229" t="inlineStr">
        <is>
          <t>tolerance_pluralism_raw</t>
        </is>
      </c>
      <c r="F229" t="inlineStr">
        <is>
          <t>Tolerance and pluralism raw</t>
        </is>
      </c>
      <c r="G229" t="inlineStr">
        <is>
          <t>community</t>
        </is>
      </c>
      <c r="H229" t="inlineStr">
        <is>
          <t>yes</t>
        </is>
      </c>
      <c r="I229" t="inlineStr"/>
      <c r="J229" t="inlineStr"/>
      <c r="K229" t="inlineStr"/>
      <c r="L229" t="inlineStr"/>
      <c r="M229" t="inlineStr"/>
      <c r="N229" t="inlineStr"/>
    </row>
    <row r="230">
      <c r="A230" t="inlineStr">
        <is>
          <t>my-kuching</t>
        </is>
      </c>
      <c r="B230" t="inlineStr">
        <is>
          <t>Kuching</t>
        </is>
      </c>
      <c r="C230" t="inlineStr">
        <is>
          <t>Malaysia</t>
        </is>
      </c>
      <c r="D230" t="inlineStr">
        <is>
          <t>Southeast Asia</t>
        </is>
      </c>
      <c r="E230" t="inlineStr">
        <is>
          <t>cultural_public_life_raw</t>
        </is>
      </c>
      <c r="F230" t="inlineStr">
        <is>
          <t>Cultural public life raw</t>
        </is>
      </c>
      <c r="G230" t="inlineStr">
        <is>
          <t>community</t>
        </is>
      </c>
      <c r="H230" t="inlineStr">
        <is>
          <t>yes</t>
        </is>
      </c>
      <c r="I230" t="inlineStr"/>
      <c r="J230" t="inlineStr"/>
      <c r="K230" t="inlineStr"/>
      <c r="L230" t="inlineStr"/>
      <c r="M230" t="inlineStr"/>
      <c r="N230" t="inlineStr"/>
    </row>
    <row r="231">
      <c r="A231" t="inlineStr">
        <is>
          <t>my-kuching</t>
        </is>
      </c>
      <c r="B231" t="inlineStr">
        <is>
          <t>Kuching</t>
        </is>
      </c>
      <c r="C231" t="inlineStr">
        <is>
          <t>Malaysia</t>
        </is>
      </c>
      <c r="D231" t="inlineStr">
        <is>
          <t>Southeast Asia</t>
        </is>
      </c>
      <c r="E231" t="inlineStr">
        <is>
          <t>entrepreneurial_dynamism_raw</t>
        </is>
      </c>
      <c r="F231" t="inlineStr">
        <is>
          <t>Entrepreneurial dynamism raw</t>
        </is>
      </c>
      <c r="G231" t="inlineStr">
        <is>
          <t>creative</t>
        </is>
      </c>
      <c r="H231" t="inlineStr">
        <is>
          <t>yes</t>
        </is>
      </c>
      <c r="I231" t="inlineStr"/>
      <c r="J231" t="inlineStr"/>
      <c r="K231" t="inlineStr"/>
      <c r="L231" t="inlineStr"/>
      <c r="M231" t="inlineStr"/>
      <c r="N231" t="inlineStr"/>
    </row>
    <row r="232">
      <c r="A232" t="inlineStr">
        <is>
          <t>my-kuching</t>
        </is>
      </c>
      <c r="B232" t="inlineStr">
        <is>
          <t>Kuching</t>
        </is>
      </c>
      <c r="C232" t="inlineStr">
        <is>
          <t>Malaysia</t>
        </is>
      </c>
      <c r="D232" t="inlineStr">
        <is>
          <t>Southeast Asia</t>
        </is>
      </c>
      <c r="E232" t="inlineStr">
        <is>
          <t>innovation_research_intensity_raw</t>
        </is>
      </c>
      <c r="F232" t="inlineStr">
        <is>
          <t>Innovation and research raw</t>
        </is>
      </c>
      <c r="G232" t="inlineStr">
        <is>
          <t>creative</t>
        </is>
      </c>
      <c r="H232" t="inlineStr">
        <is>
          <t>yes</t>
        </is>
      </c>
      <c r="I232" t="inlineStr"/>
      <c r="J232" t="inlineStr"/>
      <c r="K232" t="inlineStr"/>
      <c r="L232" t="inlineStr"/>
      <c r="M232" t="inlineStr"/>
      <c r="N232" t="inlineStr"/>
    </row>
    <row r="233">
      <c r="A233" t="inlineStr">
        <is>
          <t>my-kuching</t>
        </is>
      </c>
      <c r="B233" t="inlineStr">
        <is>
          <t>Kuching</t>
        </is>
      </c>
      <c r="C233" t="inlineStr">
        <is>
          <t>Malaysia</t>
        </is>
      </c>
      <c r="D233" t="inlineStr">
        <is>
          <t>Southeast Asia</t>
        </is>
      </c>
      <c r="E233" t="inlineStr">
        <is>
          <t>investment_signal_raw</t>
        </is>
      </c>
      <c r="F233" t="inlineStr">
        <is>
          <t>Investment signal raw</t>
        </is>
      </c>
      <c r="G233" t="inlineStr">
        <is>
          <t>creative</t>
        </is>
      </c>
      <c r="H233" t="inlineStr">
        <is>
          <t>yes</t>
        </is>
      </c>
      <c r="I233" t="inlineStr"/>
      <c r="J233" t="inlineStr"/>
      <c r="K233" t="inlineStr"/>
      <c r="L233" t="inlineStr"/>
      <c r="M233" t="inlineStr"/>
      <c r="N233" t="inlineStr"/>
    </row>
    <row r="234">
      <c r="A234" t="inlineStr">
        <is>
          <t>my-kuching</t>
        </is>
      </c>
      <c r="B234" t="inlineStr">
        <is>
          <t>Kuching</t>
        </is>
      </c>
      <c r="C234" t="inlineStr">
        <is>
          <t>Malaysia</t>
        </is>
      </c>
      <c r="D234" t="inlineStr">
        <is>
          <t>Southeast Asia</t>
        </is>
      </c>
      <c r="E234" t="inlineStr">
        <is>
          <t>administrative_investment_friction_raw</t>
        </is>
      </c>
      <c r="F234" t="inlineStr">
        <is>
          <t>Administrative investment friction raw</t>
        </is>
      </c>
      <c r="G234" t="inlineStr">
        <is>
          <t>creative</t>
        </is>
      </c>
      <c r="H234" t="inlineStr">
        <is>
          <t>yes</t>
        </is>
      </c>
      <c r="I234" t="inlineStr"/>
      <c r="J234" t="inlineStr"/>
      <c r="K234" t="inlineStr"/>
      <c r="L234" t="inlineStr"/>
      <c r="M234" t="inlineStr"/>
      <c r="N234" t="inlineStr"/>
    </row>
    <row r="235">
      <c r="A235" t="inlineStr">
        <is>
          <t>my-kuching</t>
        </is>
      </c>
      <c r="B235" t="inlineStr">
        <is>
          <t>Kuching</t>
        </is>
      </c>
      <c r="C235" t="inlineStr">
        <is>
          <t>Malaysia</t>
        </is>
      </c>
      <c r="D235" t="inlineStr">
        <is>
          <t>Southeast Asia</t>
        </is>
      </c>
      <c r="E235" t="inlineStr">
        <is>
          <t>visitor_flow_context_raw</t>
        </is>
      </c>
      <c r="F235" t="inlineStr">
        <is>
          <t>Visitor flow context raw</t>
        </is>
      </c>
      <c r="G235" t="inlineStr">
        <is>
          <t>creative</t>
        </is>
      </c>
      <c r="H235" t="inlineStr">
        <is>
          <t>no</t>
        </is>
      </c>
      <c r="I235" t="inlineStr"/>
      <c r="J235" t="inlineStr"/>
      <c r="K235" t="inlineStr"/>
      <c r="L235" t="inlineStr"/>
      <c r="M235" t="inlineStr"/>
      <c r="N235" t="inlineStr"/>
    </row>
    <row r="236">
      <c r="A236" t="inlineStr">
        <is>
          <t>th-hat-yai</t>
        </is>
      </c>
      <c r="B236" t="inlineStr">
        <is>
          <t>Hat Yai</t>
        </is>
      </c>
      <c r="C236" t="inlineStr">
        <is>
          <t>Thailand</t>
        </is>
      </c>
      <c r="D236" t="inlineStr">
        <is>
          <t>Southeast Asia</t>
        </is>
      </c>
      <c r="E236" t="inlineStr">
        <is>
          <t>gross_income</t>
        </is>
      </c>
      <c r="F236" t="inlineStr">
        <is>
          <t>Gross income</t>
        </is>
      </c>
      <c r="G236" t="inlineStr">
        <is>
          <t>pressure</t>
        </is>
      </c>
      <c r="H236" t="inlineStr">
        <is>
          <t>yes</t>
        </is>
      </c>
      <c r="I236" t="inlineStr"/>
      <c r="J236" t="inlineStr"/>
      <c r="K236" t="inlineStr"/>
      <c r="L236" t="inlineStr"/>
      <c r="M236" t="inlineStr"/>
      <c r="N236" t="inlineStr"/>
    </row>
    <row r="237">
      <c r="A237" t="inlineStr">
        <is>
          <t>th-hat-yai</t>
        </is>
      </c>
      <c r="B237" t="inlineStr">
        <is>
          <t>Hat Yai</t>
        </is>
      </c>
      <c r="C237" t="inlineStr">
        <is>
          <t>Thailand</t>
        </is>
      </c>
      <c r="D237" t="inlineStr">
        <is>
          <t>Southeast Asia</t>
        </is>
      </c>
      <c r="E237" t="inlineStr">
        <is>
          <t>rent</t>
        </is>
      </c>
      <c r="F237" t="inlineStr">
        <is>
          <t>Rent</t>
        </is>
      </c>
      <c r="G237" t="inlineStr">
        <is>
          <t>pressure</t>
        </is>
      </c>
      <c r="H237" t="inlineStr">
        <is>
          <t>yes</t>
        </is>
      </c>
      <c r="I237" t="inlineStr"/>
      <c r="J237" t="inlineStr"/>
      <c r="K237" t="inlineStr"/>
      <c r="L237" t="inlineStr"/>
      <c r="M237" t="inlineStr"/>
      <c r="N237" t="inlineStr"/>
    </row>
    <row r="238">
      <c r="A238" t="inlineStr">
        <is>
          <t>th-hat-yai</t>
        </is>
      </c>
      <c r="B238" t="inlineStr">
        <is>
          <t>Hat Yai</t>
        </is>
      </c>
      <c r="C238" t="inlineStr">
        <is>
          <t>Thailand</t>
        </is>
      </c>
      <c r="D238" t="inlineStr">
        <is>
          <t>Southeast Asia</t>
        </is>
      </c>
      <c r="E238" t="inlineStr">
        <is>
          <t>utilities</t>
        </is>
      </c>
      <c r="F238" t="inlineStr">
        <is>
          <t>Utilities</t>
        </is>
      </c>
      <c r="G238" t="inlineStr">
        <is>
          <t>pressure</t>
        </is>
      </c>
      <c r="H238" t="inlineStr">
        <is>
          <t>yes</t>
        </is>
      </c>
      <c r="I238" t="inlineStr"/>
      <c r="J238" t="inlineStr"/>
      <c r="K238" t="inlineStr"/>
      <c r="L238" t="inlineStr"/>
      <c r="M238" t="inlineStr"/>
      <c r="N238" t="inlineStr"/>
    </row>
    <row r="239">
      <c r="A239" t="inlineStr">
        <is>
          <t>th-hat-yai</t>
        </is>
      </c>
      <c r="B239" t="inlineStr">
        <is>
          <t>Hat Yai</t>
        </is>
      </c>
      <c r="C239" t="inlineStr">
        <is>
          <t>Thailand</t>
        </is>
      </c>
      <c r="D239" t="inlineStr">
        <is>
          <t>Southeast Asia</t>
        </is>
      </c>
      <c r="E239" t="inlineStr">
        <is>
          <t>transit_cost</t>
        </is>
      </c>
      <c r="F239" t="inlineStr">
        <is>
          <t>Transit cost</t>
        </is>
      </c>
      <c r="G239" t="inlineStr">
        <is>
          <t>pressure</t>
        </is>
      </c>
      <c r="H239" t="inlineStr">
        <is>
          <t>yes</t>
        </is>
      </c>
      <c r="I239" t="inlineStr"/>
      <c r="J239" t="inlineStr"/>
      <c r="K239" t="inlineStr"/>
      <c r="L239" t="inlineStr"/>
      <c r="M239" t="inlineStr"/>
      <c r="N239" t="inlineStr"/>
    </row>
    <row r="240">
      <c r="A240" t="inlineStr">
        <is>
          <t>th-hat-yai</t>
        </is>
      </c>
      <c r="B240" t="inlineStr">
        <is>
          <t>Hat Yai</t>
        </is>
      </c>
      <c r="C240" t="inlineStr">
        <is>
          <t>Thailand</t>
        </is>
      </c>
      <c r="D240" t="inlineStr">
        <is>
          <t>Southeast Asia</t>
        </is>
      </c>
      <c r="E240" t="inlineStr">
        <is>
          <t>internet_cost</t>
        </is>
      </c>
      <c r="F240" t="inlineStr">
        <is>
          <t>Internet cost</t>
        </is>
      </c>
      <c r="G240" t="inlineStr">
        <is>
          <t>pressure</t>
        </is>
      </c>
      <c r="H240" t="inlineStr">
        <is>
          <t>yes</t>
        </is>
      </c>
      <c r="I240" t="inlineStr"/>
      <c r="J240" t="inlineStr"/>
      <c r="K240" t="inlineStr"/>
      <c r="L240" t="inlineStr"/>
      <c r="M240" t="inlineStr"/>
      <c r="N240" t="inlineStr"/>
    </row>
    <row r="241">
      <c r="A241" t="inlineStr">
        <is>
          <t>th-hat-yai</t>
        </is>
      </c>
      <c r="B241" t="inlineStr">
        <is>
          <t>Hat Yai</t>
        </is>
      </c>
      <c r="C241" t="inlineStr">
        <is>
          <t>Thailand</t>
        </is>
      </c>
      <c r="D241" t="inlineStr">
        <is>
          <t>Southeast Asia</t>
        </is>
      </c>
      <c r="E241" t="inlineStr">
        <is>
          <t>food_cost</t>
        </is>
      </c>
      <c r="F241" t="inlineStr">
        <is>
          <t>Food cost</t>
        </is>
      </c>
      <c r="G241" t="inlineStr">
        <is>
          <t>pressure</t>
        </is>
      </c>
      <c r="H241" t="inlineStr">
        <is>
          <t>yes</t>
        </is>
      </c>
      <c r="I241" t="inlineStr"/>
      <c r="J241" t="inlineStr"/>
      <c r="K241" t="inlineStr"/>
      <c r="L241" t="inlineStr"/>
      <c r="M241" t="inlineStr"/>
      <c r="N241" t="inlineStr"/>
    </row>
    <row r="242">
      <c r="A242" t="inlineStr">
        <is>
          <t>th-hat-yai</t>
        </is>
      </c>
      <c r="B242" t="inlineStr">
        <is>
          <t>Hat Yai</t>
        </is>
      </c>
      <c r="C242" t="inlineStr">
        <is>
          <t>Thailand</t>
        </is>
      </c>
      <c r="D242" t="inlineStr">
        <is>
          <t>Southeast Asia</t>
        </is>
      </c>
      <c r="E242" t="inlineStr">
        <is>
          <t>housing_burden_raw</t>
        </is>
      </c>
      <c r="F242" t="inlineStr">
        <is>
          <t>Housing burden raw</t>
        </is>
      </c>
      <c r="G242" t="inlineStr">
        <is>
          <t>pressure</t>
        </is>
      </c>
      <c r="H242" t="inlineStr">
        <is>
          <t>yes</t>
        </is>
      </c>
      <c r="I242" t="inlineStr"/>
      <c r="J242" t="inlineStr"/>
      <c r="K242" t="inlineStr"/>
      <c r="L242" t="inlineStr"/>
      <c r="M242" t="inlineStr"/>
      <c r="N242" t="inlineStr"/>
    </row>
    <row r="243">
      <c r="A243" t="inlineStr">
        <is>
          <t>th-hat-yai</t>
        </is>
      </c>
      <c r="B243" t="inlineStr">
        <is>
          <t>Hat Yai</t>
        </is>
      </c>
      <c r="C243" t="inlineStr">
        <is>
          <t>Thailand</t>
        </is>
      </c>
      <c r="D243" t="inlineStr">
        <is>
          <t>Southeast Asia</t>
        </is>
      </c>
      <c r="E243" t="inlineStr">
        <is>
          <t>household_debt_burden_raw</t>
        </is>
      </c>
      <c r="F243" t="inlineStr">
        <is>
          <t>Household debt burden raw</t>
        </is>
      </c>
      <c r="G243" t="inlineStr">
        <is>
          <t>pressure</t>
        </is>
      </c>
      <c r="H243" t="inlineStr">
        <is>
          <t>yes</t>
        </is>
      </c>
      <c r="I243" t="inlineStr"/>
      <c r="J243" t="inlineStr"/>
      <c r="K243" t="inlineStr"/>
      <c r="L243" t="inlineStr"/>
      <c r="M243" t="inlineStr"/>
      <c r="N243" t="inlineStr"/>
    </row>
    <row r="244">
      <c r="A244" t="inlineStr">
        <is>
          <t>th-hat-yai</t>
        </is>
      </c>
      <c r="B244" t="inlineStr">
        <is>
          <t>Hat Yai</t>
        </is>
      </c>
      <c r="C244" t="inlineStr">
        <is>
          <t>Thailand</t>
        </is>
      </c>
      <c r="D244" t="inlineStr">
        <is>
          <t>Southeast Asia</t>
        </is>
      </c>
      <c r="E244" t="inlineStr">
        <is>
          <t>working_time_pressure_raw</t>
        </is>
      </c>
      <c r="F244" t="inlineStr">
        <is>
          <t>Working time pressure raw</t>
        </is>
      </c>
      <c r="G244" t="inlineStr">
        <is>
          <t>pressure</t>
        </is>
      </c>
      <c r="H244" t="inlineStr">
        <is>
          <t>yes</t>
        </is>
      </c>
      <c r="I244" t="inlineStr"/>
      <c r="J244" t="inlineStr"/>
      <c r="K244" t="inlineStr"/>
      <c r="L244" t="inlineStr"/>
      <c r="M244" t="inlineStr"/>
      <c r="N244" t="inlineStr"/>
    </row>
    <row r="245">
      <c r="A245" t="inlineStr">
        <is>
          <t>th-hat-yai</t>
        </is>
      </c>
      <c r="B245" t="inlineStr">
        <is>
          <t>Hat Yai</t>
        </is>
      </c>
      <c r="C245" t="inlineStr">
        <is>
          <t>Thailand</t>
        </is>
      </c>
      <c r="D245" t="inlineStr">
        <is>
          <t>Southeast Asia</t>
        </is>
      </c>
      <c r="E245" t="inlineStr">
        <is>
          <t>suicide_mental_strain_raw</t>
        </is>
      </c>
      <c r="F245" t="inlineStr">
        <is>
          <t>Suicide or mental strain raw</t>
        </is>
      </c>
      <c r="G245" t="inlineStr">
        <is>
          <t>pressure</t>
        </is>
      </c>
      <c r="H245" t="inlineStr">
        <is>
          <t>yes</t>
        </is>
      </c>
      <c r="I245" t="inlineStr"/>
      <c r="J245" t="inlineStr"/>
      <c r="K245" t="inlineStr"/>
      <c r="L245" t="inlineStr"/>
      <c r="M245" t="inlineStr"/>
      <c r="N245" t="inlineStr"/>
    </row>
    <row r="246">
      <c r="A246" t="inlineStr">
        <is>
          <t>th-hat-yai</t>
        </is>
      </c>
      <c r="B246" t="inlineStr">
        <is>
          <t>Hat Yai</t>
        </is>
      </c>
      <c r="C246" t="inlineStr">
        <is>
          <t>Thailand</t>
        </is>
      </c>
      <c r="D246" t="inlineStr">
        <is>
          <t>Southeast Asia</t>
        </is>
      </c>
      <c r="E246" t="inlineStr">
        <is>
          <t>personal_safety_raw</t>
        </is>
      </c>
      <c r="F246" t="inlineStr">
        <is>
          <t>Personal safety raw</t>
        </is>
      </c>
      <c r="G246" t="inlineStr">
        <is>
          <t>viability</t>
        </is>
      </c>
      <c r="H246" t="inlineStr">
        <is>
          <t>yes</t>
        </is>
      </c>
      <c r="I246" t="inlineStr"/>
      <c r="J246" t="inlineStr"/>
      <c r="K246" t="inlineStr"/>
      <c r="L246" t="inlineStr"/>
      <c r="M246" t="inlineStr"/>
      <c r="N246" t="inlineStr"/>
    </row>
    <row r="247">
      <c r="A247" t="inlineStr">
        <is>
          <t>th-hat-yai</t>
        </is>
      </c>
      <c r="B247" t="inlineStr">
        <is>
          <t>Hat Yai</t>
        </is>
      </c>
      <c r="C247" t="inlineStr">
        <is>
          <t>Thailand</t>
        </is>
      </c>
      <c r="D247" t="inlineStr">
        <is>
          <t>Southeast Asia</t>
        </is>
      </c>
      <c r="E247" t="inlineStr">
        <is>
          <t>transit_access_commute_raw</t>
        </is>
      </c>
      <c r="F247" t="inlineStr">
        <is>
          <t>Transit access and commute raw</t>
        </is>
      </c>
      <c r="G247" t="inlineStr">
        <is>
          <t>viability</t>
        </is>
      </c>
      <c r="H247" t="inlineStr">
        <is>
          <t>yes</t>
        </is>
      </c>
      <c r="I247" t="inlineStr"/>
      <c r="J247" t="inlineStr"/>
      <c r="K247" t="inlineStr"/>
      <c r="L247" t="inlineStr"/>
      <c r="M247" t="inlineStr"/>
      <c r="N247" t="inlineStr"/>
    </row>
    <row r="248">
      <c r="A248" t="inlineStr">
        <is>
          <t>th-hat-yai</t>
        </is>
      </c>
      <c r="B248" t="inlineStr">
        <is>
          <t>Hat Yai</t>
        </is>
      </c>
      <c r="C248" t="inlineStr">
        <is>
          <t>Thailand</t>
        </is>
      </c>
      <c r="D248" t="inlineStr">
        <is>
          <t>Southeast Asia</t>
        </is>
      </c>
      <c r="E248" t="inlineStr">
        <is>
          <t>clean_air_raw</t>
        </is>
      </c>
      <c r="F248" t="inlineStr">
        <is>
          <t>Clean air raw</t>
        </is>
      </c>
      <c r="G248" t="inlineStr">
        <is>
          <t>viability</t>
        </is>
      </c>
      <c r="H248" t="inlineStr">
        <is>
          <t>yes</t>
        </is>
      </c>
      <c r="I248" t="inlineStr"/>
      <c r="J248" t="inlineStr"/>
      <c r="K248" t="inlineStr"/>
      <c r="L248" t="inlineStr"/>
      <c r="M248" t="inlineStr"/>
      <c r="N248" t="inlineStr"/>
    </row>
    <row r="249">
      <c r="A249" t="inlineStr">
        <is>
          <t>th-hat-yai</t>
        </is>
      </c>
      <c r="B249" t="inlineStr">
        <is>
          <t>Hat Yai</t>
        </is>
      </c>
      <c r="C249" t="inlineStr">
        <is>
          <t>Thailand</t>
        </is>
      </c>
      <c r="D249" t="inlineStr">
        <is>
          <t>Southeast Asia</t>
        </is>
      </c>
      <c r="E249" t="inlineStr">
        <is>
          <t>water_sanitation_utility_raw</t>
        </is>
      </c>
      <c r="F249" t="inlineStr">
        <is>
          <t>Water, sanitation, and utility raw</t>
        </is>
      </c>
      <c r="G249" t="inlineStr">
        <is>
          <t>viability</t>
        </is>
      </c>
      <c r="H249" t="inlineStr">
        <is>
          <t>yes</t>
        </is>
      </c>
      <c r="I249" t="inlineStr"/>
      <c r="J249" t="inlineStr"/>
      <c r="K249" t="inlineStr"/>
      <c r="L249" t="inlineStr"/>
      <c r="M249" t="inlineStr"/>
      <c r="N249" t="inlineStr"/>
    </row>
    <row r="250">
      <c r="A250" t="inlineStr">
        <is>
          <t>th-hat-yai</t>
        </is>
      </c>
      <c r="B250" t="inlineStr">
        <is>
          <t>Hat Yai</t>
        </is>
      </c>
      <c r="C250" t="inlineStr">
        <is>
          <t>Thailand</t>
        </is>
      </c>
      <c r="D250" t="inlineStr">
        <is>
          <t>Southeast Asia</t>
        </is>
      </c>
      <c r="E250" t="inlineStr">
        <is>
          <t>digital_infrastructure_raw</t>
        </is>
      </c>
      <c r="F250" t="inlineStr">
        <is>
          <t>Digital infrastructure raw</t>
        </is>
      </c>
      <c r="G250" t="inlineStr">
        <is>
          <t>viability</t>
        </is>
      </c>
      <c r="H250" t="inlineStr">
        <is>
          <t>yes</t>
        </is>
      </c>
      <c r="I250" t="inlineStr"/>
      <c r="J250" t="inlineStr"/>
      <c r="K250" t="inlineStr"/>
      <c r="L250" t="inlineStr"/>
      <c r="M250" t="inlineStr"/>
      <c r="N250" t="inlineStr"/>
    </row>
    <row r="251">
      <c r="A251" t="inlineStr">
        <is>
          <t>th-hat-yai</t>
        </is>
      </c>
      <c r="B251" t="inlineStr">
        <is>
          <t>Hat Yai</t>
        </is>
      </c>
      <c r="C251" t="inlineStr">
        <is>
          <t>Thailand</t>
        </is>
      </c>
      <c r="D251" t="inlineStr">
        <is>
          <t>Southeast Asia</t>
        </is>
      </c>
      <c r="E251" t="inlineStr">
        <is>
          <t>healthcare_quality_raw</t>
        </is>
      </c>
      <c r="F251" t="inlineStr">
        <is>
          <t>Healthcare quality raw</t>
        </is>
      </c>
      <c r="G251" t="inlineStr">
        <is>
          <t>capability</t>
        </is>
      </c>
      <c r="H251" t="inlineStr">
        <is>
          <t>yes</t>
        </is>
      </c>
      <c r="I251" t="inlineStr"/>
      <c r="J251" t="inlineStr"/>
      <c r="K251" t="inlineStr"/>
      <c r="L251" t="inlineStr"/>
      <c r="M251" t="inlineStr"/>
      <c r="N251" t="inlineStr"/>
    </row>
    <row r="252">
      <c r="A252" t="inlineStr">
        <is>
          <t>th-hat-yai</t>
        </is>
      </c>
      <c r="B252" t="inlineStr">
        <is>
          <t>Hat Yai</t>
        </is>
      </c>
      <c r="C252" t="inlineStr">
        <is>
          <t>Thailand</t>
        </is>
      </c>
      <c r="D252" t="inlineStr">
        <is>
          <t>Southeast Asia</t>
        </is>
      </c>
      <c r="E252" t="inlineStr">
        <is>
          <t>education_quality_raw</t>
        </is>
      </c>
      <c r="F252" t="inlineStr">
        <is>
          <t>Education quality raw</t>
        </is>
      </c>
      <c r="G252" t="inlineStr">
        <is>
          <t>capability</t>
        </is>
      </c>
      <c r="H252" t="inlineStr">
        <is>
          <t>yes</t>
        </is>
      </c>
      <c r="I252" t="inlineStr"/>
      <c r="J252" t="inlineStr"/>
      <c r="K252" t="inlineStr"/>
      <c r="L252" t="inlineStr"/>
      <c r="M252" t="inlineStr"/>
      <c r="N252" t="inlineStr"/>
    </row>
    <row r="253">
      <c r="A253" t="inlineStr">
        <is>
          <t>th-hat-yai</t>
        </is>
      </c>
      <c r="B253" t="inlineStr">
        <is>
          <t>Hat Yai</t>
        </is>
      </c>
      <c r="C253" t="inlineStr">
        <is>
          <t>Thailand</t>
        </is>
      </c>
      <c r="D253" t="inlineStr">
        <is>
          <t>Southeast Asia</t>
        </is>
      </c>
      <c r="E253" t="inlineStr">
        <is>
          <t>equal_opportunity_raw</t>
        </is>
      </c>
      <c r="F253" t="inlineStr">
        <is>
          <t>Equal opportunity raw</t>
        </is>
      </c>
      <c r="G253" t="inlineStr">
        <is>
          <t>capability</t>
        </is>
      </c>
      <c r="H253" t="inlineStr">
        <is>
          <t>yes</t>
        </is>
      </c>
      <c r="I253" t="inlineStr"/>
      <c r="J253" t="inlineStr"/>
      <c r="K253" t="inlineStr"/>
      <c r="L253" t="inlineStr"/>
      <c r="M253" t="inlineStr"/>
      <c r="N253" t="inlineStr"/>
    </row>
    <row r="254">
      <c r="A254" t="inlineStr">
        <is>
          <t>th-hat-yai</t>
        </is>
      </c>
      <c r="B254" t="inlineStr">
        <is>
          <t>Hat Yai</t>
        </is>
      </c>
      <c r="C254" t="inlineStr">
        <is>
          <t>Thailand</t>
        </is>
      </c>
      <c r="D254" t="inlineStr">
        <is>
          <t>Southeast Asia</t>
        </is>
      </c>
      <c r="E254" t="inlineStr">
        <is>
          <t>hospitality_belonging_raw</t>
        </is>
      </c>
      <c r="F254" t="inlineStr">
        <is>
          <t>Hospitality and belonging raw</t>
        </is>
      </c>
      <c r="G254" t="inlineStr">
        <is>
          <t>community</t>
        </is>
      </c>
      <c r="H254" t="inlineStr">
        <is>
          <t>yes</t>
        </is>
      </c>
      <c r="I254" t="inlineStr"/>
      <c r="J254" t="inlineStr"/>
      <c r="K254" t="inlineStr"/>
      <c r="L254" t="inlineStr"/>
      <c r="M254" t="inlineStr"/>
      <c r="N254" t="inlineStr"/>
    </row>
    <row r="255">
      <c r="A255" t="inlineStr">
        <is>
          <t>th-hat-yai</t>
        </is>
      </c>
      <c r="B255" t="inlineStr">
        <is>
          <t>Hat Yai</t>
        </is>
      </c>
      <c r="C255" t="inlineStr">
        <is>
          <t>Thailand</t>
        </is>
      </c>
      <c r="D255" t="inlineStr">
        <is>
          <t>Southeast Asia</t>
        </is>
      </c>
      <c r="E255" t="inlineStr">
        <is>
          <t>tolerance_pluralism_raw</t>
        </is>
      </c>
      <c r="F255" t="inlineStr">
        <is>
          <t>Tolerance and pluralism raw</t>
        </is>
      </c>
      <c r="G255" t="inlineStr">
        <is>
          <t>community</t>
        </is>
      </c>
      <c r="H255" t="inlineStr">
        <is>
          <t>yes</t>
        </is>
      </c>
      <c r="I255" t="inlineStr"/>
      <c r="J255" t="inlineStr"/>
      <c r="K255" t="inlineStr"/>
      <c r="L255" t="inlineStr"/>
      <c r="M255" t="inlineStr"/>
      <c r="N255" t="inlineStr"/>
    </row>
    <row r="256">
      <c r="A256" t="inlineStr">
        <is>
          <t>th-hat-yai</t>
        </is>
      </c>
      <c r="B256" t="inlineStr">
        <is>
          <t>Hat Yai</t>
        </is>
      </c>
      <c r="C256" t="inlineStr">
        <is>
          <t>Thailand</t>
        </is>
      </c>
      <c r="D256" t="inlineStr">
        <is>
          <t>Southeast Asia</t>
        </is>
      </c>
      <c r="E256" t="inlineStr">
        <is>
          <t>cultural_public_life_raw</t>
        </is>
      </c>
      <c r="F256" t="inlineStr">
        <is>
          <t>Cultural public life raw</t>
        </is>
      </c>
      <c r="G256" t="inlineStr">
        <is>
          <t>community</t>
        </is>
      </c>
      <c r="H256" t="inlineStr">
        <is>
          <t>yes</t>
        </is>
      </c>
      <c r="I256" t="inlineStr"/>
      <c r="J256" t="inlineStr"/>
      <c r="K256" t="inlineStr"/>
      <c r="L256" t="inlineStr"/>
      <c r="M256" t="inlineStr"/>
      <c r="N256" t="inlineStr"/>
    </row>
    <row r="257">
      <c r="A257" t="inlineStr">
        <is>
          <t>th-hat-yai</t>
        </is>
      </c>
      <c r="B257" t="inlineStr">
        <is>
          <t>Hat Yai</t>
        </is>
      </c>
      <c r="C257" t="inlineStr">
        <is>
          <t>Thailand</t>
        </is>
      </c>
      <c r="D257" t="inlineStr">
        <is>
          <t>Southeast Asia</t>
        </is>
      </c>
      <c r="E257" t="inlineStr">
        <is>
          <t>entrepreneurial_dynamism_raw</t>
        </is>
      </c>
      <c r="F257" t="inlineStr">
        <is>
          <t>Entrepreneurial dynamism raw</t>
        </is>
      </c>
      <c r="G257" t="inlineStr">
        <is>
          <t>creative</t>
        </is>
      </c>
      <c r="H257" t="inlineStr">
        <is>
          <t>yes</t>
        </is>
      </c>
      <c r="I257" t="inlineStr"/>
      <c r="J257" t="inlineStr"/>
      <c r="K257" t="inlineStr"/>
      <c r="L257" t="inlineStr"/>
      <c r="M257" t="inlineStr"/>
      <c r="N257" t="inlineStr"/>
    </row>
    <row r="258">
      <c r="A258" t="inlineStr">
        <is>
          <t>th-hat-yai</t>
        </is>
      </c>
      <c r="B258" t="inlineStr">
        <is>
          <t>Hat Yai</t>
        </is>
      </c>
      <c r="C258" t="inlineStr">
        <is>
          <t>Thailand</t>
        </is>
      </c>
      <c r="D258" t="inlineStr">
        <is>
          <t>Southeast Asia</t>
        </is>
      </c>
      <c r="E258" t="inlineStr">
        <is>
          <t>innovation_research_intensity_raw</t>
        </is>
      </c>
      <c r="F258" t="inlineStr">
        <is>
          <t>Innovation and research raw</t>
        </is>
      </c>
      <c r="G258" t="inlineStr">
        <is>
          <t>creative</t>
        </is>
      </c>
      <c r="H258" t="inlineStr">
        <is>
          <t>yes</t>
        </is>
      </c>
      <c r="I258" t="inlineStr"/>
      <c r="J258" t="inlineStr"/>
      <c r="K258" t="inlineStr"/>
      <c r="L258" t="inlineStr"/>
      <c r="M258" t="inlineStr"/>
      <c r="N258" t="inlineStr"/>
    </row>
    <row r="259">
      <c r="A259" t="inlineStr">
        <is>
          <t>th-hat-yai</t>
        </is>
      </c>
      <c r="B259" t="inlineStr">
        <is>
          <t>Hat Yai</t>
        </is>
      </c>
      <c r="C259" t="inlineStr">
        <is>
          <t>Thailand</t>
        </is>
      </c>
      <c r="D259" t="inlineStr">
        <is>
          <t>Southeast Asia</t>
        </is>
      </c>
      <c r="E259" t="inlineStr">
        <is>
          <t>investment_signal_raw</t>
        </is>
      </c>
      <c r="F259" t="inlineStr">
        <is>
          <t>Investment signal raw</t>
        </is>
      </c>
      <c r="G259" t="inlineStr">
        <is>
          <t>creative</t>
        </is>
      </c>
      <c r="H259" t="inlineStr">
        <is>
          <t>yes</t>
        </is>
      </c>
      <c r="I259" t="inlineStr"/>
      <c r="J259" t="inlineStr"/>
      <c r="K259" t="inlineStr"/>
      <c r="L259" t="inlineStr"/>
      <c r="M259" t="inlineStr"/>
      <c r="N259" t="inlineStr"/>
    </row>
    <row r="260">
      <c r="A260" t="inlineStr">
        <is>
          <t>th-hat-yai</t>
        </is>
      </c>
      <c r="B260" t="inlineStr">
        <is>
          <t>Hat Yai</t>
        </is>
      </c>
      <c r="C260" t="inlineStr">
        <is>
          <t>Thailand</t>
        </is>
      </c>
      <c r="D260" t="inlineStr">
        <is>
          <t>Southeast Asia</t>
        </is>
      </c>
      <c r="E260" t="inlineStr">
        <is>
          <t>administrative_investment_friction_raw</t>
        </is>
      </c>
      <c r="F260" t="inlineStr">
        <is>
          <t>Administrative investment friction raw</t>
        </is>
      </c>
      <c r="G260" t="inlineStr">
        <is>
          <t>creative</t>
        </is>
      </c>
      <c r="H260" t="inlineStr">
        <is>
          <t>yes</t>
        </is>
      </c>
      <c r="I260" t="inlineStr"/>
      <c r="J260" t="inlineStr"/>
      <c r="K260" t="inlineStr"/>
      <c r="L260" t="inlineStr"/>
      <c r="M260" t="inlineStr"/>
      <c r="N260" t="inlineStr"/>
    </row>
    <row r="261">
      <c r="A261" t="inlineStr">
        <is>
          <t>th-hat-yai</t>
        </is>
      </c>
      <c r="B261" t="inlineStr">
        <is>
          <t>Hat Yai</t>
        </is>
      </c>
      <c r="C261" t="inlineStr">
        <is>
          <t>Thailand</t>
        </is>
      </c>
      <c r="D261" t="inlineStr">
        <is>
          <t>Southeast Asia</t>
        </is>
      </c>
      <c r="E261" t="inlineStr">
        <is>
          <t>visitor_flow_context_raw</t>
        </is>
      </c>
      <c r="F261" t="inlineStr">
        <is>
          <t>Visitor flow context raw</t>
        </is>
      </c>
      <c r="G261" t="inlineStr">
        <is>
          <t>creative</t>
        </is>
      </c>
      <c r="H261" t="inlineStr">
        <is>
          <t>no</t>
        </is>
      </c>
      <c r="I261" t="inlineStr"/>
      <c r="J261" t="inlineStr"/>
      <c r="K261" t="inlineStr"/>
      <c r="L261" t="inlineStr"/>
      <c r="M261" t="inlineStr"/>
      <c r="N261" t="inlineStr"/>
    </row>
    <row r="262">
      <c r="A262" t="inlineStr">
        <is>
          <t>tw-taipei</t>
        </is>
      </c>
      <c r="B262" t="inlineStr">
        <is>
          <t>Taipei</t>
        </is>
      </c>
      <c r="C262" t="inlineStr">
        <is>
          <t>Taiwan</t>
        </is>
      </c>
      <c r="D262" t="inlineStr">
        <is>
          <t>East Asia</t>
        </is>
      </c>
      <c r="E262" t="inlineStr">
        <is>
          <t>gross_income</t>
        </is>
      </c>
      <c r="F262" t="inlineStr">
        <is>
          <t>Gross income</t>
        </is>
      </c>
      <c r="G262" t="inlineStr">
        <is>
          <t>pressure</t>
        </is>
      </c>
      <c r="H262" t="inlineStr">
        <is>
          <t>yes</t>
        </is>
      </c>
      <c r="I262" t="inlineStr"/>
      <c r="J262" t="inlineStr"/>
      <c r="K262" t="inlineStr"/>
      <c r="L262" t="inlineStr"/>
      <c r="M262" t="inlineStr"/>
      <c r="N262" t="inlineStr"/>
    </row>
    <row r="263">
      <c r="A263" t="inlineStr">
        <is>
          <t>tw-taipei</t>
        </is>
      </c>
      <c r="B263" t="inlineStr">
        <is>
          <t>Taipei</t>
        </is>
      </c>
      <c r="C263" t="inlineStr">
        <is>
          <t>Taiwan</t>
        </is>
      </c>
      <c r="D263" t="inlineStr">
        <is>
          <t>East Asia</t>
        </is>
      </c>
      <c r="E263" t="inlineStr">
        <is>
          <t>rent</t>
        </is>
      </c>
      <c r="F263" t="inlineStr">
        <is>
          <t>Rent</t>
        </is>
      </c>
      <c r="G263" t="inlineStr">
        <is>
          <t>pressure</t>
        </is>
      </c>
      <c r="H263" t="inlineStr">
        <is>
          <t>yes</t>
        </is>
      </c>
      <c r="I263" t="inlineStr"/>
      <c r="J263" t="inlineStr"/>
      <c r="K263" t="inlineStr"/>
      <c r="L263" t="inlineStr"/>
      <c r="M263" t="inlineStr"/>
      <c r="N263" t="inlineStr"/>
    </row>
    <row r="264">
      <c r="A264" t="inlineStr">
        <is>
          <t>tw-taipei</t>
        </is>
      </c>
      <c r="B264" t="inlineStr">
        <is>
          <t>Taipei</t>
        </is>
      </c>
      <c r="C264" t="inlineStr">
        <is>
          <t>Taiwan</t>
        </is>
      </c>
      <c r="D264" t="inlineStr">
        <is>
          <t>East Asia</t>
        </is>
      </c>
      <c r="E264" t="inlineStr">
        <is>
          <t>utilities</t>
        </is>
      </c>
      <c r="F264" t="inlineStr">
        <is>
          <t>Utilities</t>
        </is>
      </c>
      <c r="G264" t="inlineStr">
        <is>
          <t>pressure</t>
        </is>
      </c>
      <c r="H264" t="inlineStr">
        <is>
          <t>yes</t>
        </is>
      </c>
      <c r="I264" t="inlineStr"/>
      <c r="J264" t="inlineStr"/>
      <c r="K264" t="inlineStr"/>
      <c r="L264" t="inlineStr"/>
      <c r="M264" t="inlineStr"/>
      <c r="N264" t="inlineStr"/>
    </row>
    <row r="265">
      <c r="A265" t="inlineStr">
        <is>
          <t>tw-taipei</t>
        </is>
      </c>
      <c r="B265" t="inlineStr">
        <is>
          <t>Taipei</t>
        </is>
      </c>
      <c r="C265" t="inlineStr">
        <is>
          <t>Taiwan</t>
        </is>
      </c>
      <c r="D265" t="inlineStr">
        <is>
          <t>East Asia</t>
        </is>
      </c>
      <c r="E265" t="inlineStr">
        <is>
          <t>transit_cost</t>
        </is>
      </c>
      <c r="F265" t="inlineStr">
        <is>
          <t>Transit cost</t>
        </is>
      </c>
      <c r="G265" t="inlineStr">
        <is>
          <t>pressure</t>
        </is>
      </c>
      <c r="H265" t="inlineStr">
        <is>
          <t>yes</t>
        </is>
      </c>
      <c r="I265" t="inlineStr"/>
      <c r="J265" t="inlineStr"/>
      <c r="K265" t="inlineStr"/>
      <c r="L265" t="inlineStr"/>
      <c r="M265" t="inlineStr"/>
      <c r="N265" t="inlineStr"/>
    </row>
    <row r="266">
      <c r="A266" t="inlineStr">
        <is>
          <t>tw-taipei</t>
        </is>
      </c>
      <c r="B266" t="inlineStr">
        <is>
          <t>Taipei</t>
        </is>
      </c>
      <c r="C266" t="inlineStr">
        <is>
          <t>Taiwan</t>
        </is>
      </c>
      <c r="D266" t="inlineStr">
        <is>
          <t>East Asia</t>
        </is>
      </c>
      <c r="E266" t="inlineStr">
        <is>
          <t>internet_cost</t>
        </is>
      </c>
      <c r="F266" t="inlineStr">
        <is>
          <t>Internet cost</t>
        </is>
      </c>
      <c r="G266" t="inlineStr">
        <is>
          <t>pressure</t>
        </is>
      </c>
      <c r="H266" t="inlineStr">
        <is>
          <t>yes</t>
        </is>
      </c>
      <c r="I266" t="inlineStr"/>
      <c r="J266" t="inlineStr"/>
      <c r="K266" t="inlineStr"/>
      <c r="L266" t="inlineStr"/>
      <c r="M266" t="inlineStr"/>
      <c r="N266" t="inlineStr"/>
    </row>
    <row r="267">
      <c r="A267" t="inlineStr">
        <is>
          <t>tw-taipei</t>
        </is>
      </c>
      <c r="B267" t="inlineStr">
        <is>
          <t>Taipei</t>
        </is>
      </c>
      <c r="C267" t="inlineStr">
        <is>
          <t>Taiwan</t>
        </is>
      </c>
      <c r="D267" t="inlineStr">
        <is>
          <t>East Asia</t>
        </is>
      </c>
      <c r="E267" t="inlineStr">
        <is>
          <t>food_cost</t>
        </is>
      </c>
      <c r="F267" t="inlineStr">
        <is>
          <t>Food cost</t>
        </is>
      </c>
      <c r="G267" t="inlineStr">
        <is>
          <t>pressure</t>
        </is>
      </c>
      <c r="H267" t="inlineStr">
        <is>
          <t>yes</t>
        </is>
      </c>
      <c r="I267" t="inlineStr"/>
      <c r="J267" t="inlineStr"/>
      <c r="K267" t="inlineStr"/>
      <c r="L267" t="inlineStr"/>
      <c r="M267" t="inlineStr"/>
      <c r="N267" t="inlineStr"/>
    </row>
    <row r="268">
      <c r="A268" t="inlineStr">
        <is>
          <t>tw-taipei</t>
        </is>
      </c>
      <c r="B268" t="inlineStr">
        <is>
          <t>Taipei</t>
        </is>
      </c>
      <c r="C268" t="inlineStr">
        <is>
          <t>Taiwan</t>
        </is>
      </c>
      <c r="D268" t="inlineStr">
        <is>
          <t>East Asia</t>
        </is>
      </c>
      <c r="E268" t="inlineStr">
        <is>
          <t>housing_burden_raw</t>
        </is>
      </c>
      <c r="F268" t="inlineStr">
        <is>
          <t>Housing burden raw</t>
        </is>
      </c>
      <c r="G268" t="inlineStr">
        <is>
          <t>pressure</t>
        </is>
      </c>
      <c r="H268" t="inlineStr">
        <is>
          <t>yes</t>
        </is>
      </c>
      <c r="I268" t="inlineStr"/>
      <c r="J268" t="inlineStr"/>
      <c r="K268" t="inlineStr"/>
      <c r="L268" t="inlineStr"/>
      <c r="M268" t="inlineStr"/>
      <c r="N268" t="inlineStr"/>
    </row>
    <row r="269">
      <c r="A269" t="inlineStr">
        <is>
          <t>tw-taipei</t>
        </is>
      </c>
      <c r="B269" t="inlineStr">
        <is>
          <t>Taipei</t>
        </is>
      </c>
      <c r="C269" t="inlineStr">
        <is>
          <t>Taiwan</t>
        </is>
      </c>
      <c r="D269" t="inlineStr">
        <is>
          <t>East Asia</t>
        </is>
      </c>
      <c r="E269" t="inlineStr">
        <is>
          <t>household_debt_burden_raw</t>
        </is>
      </c>
      <c r="F269" t="inlineStr">
        <is>
          <t>Household debt burden raw</t>
        </is>
      </c>
      <c r="G269" t="inlineStr">
        <is>
          <t>pressure</t>
        </is>
      </c>
      <c r="H269" t="inlineStr">
        <is>
          <t>yes</t>
        </is>
      </c>
      <c r="I269" t="inlineStr"/>
      <c r="J269" t="inlineStr"/>
      <c r="K269" t="inlineStr"/>
      <c r="L269" t="inlineStr"/>
      <c r="M269" t="inlineStr"/>
      <c r="N269" t="inlineStr"/>
    </row>
    <row r="270">
      <c r="A270" t="inlineStr">
        <is>
          <t>tw-taipei</t>
        </is>
      </c>
      <c r="B270" t="inlineStr">
        <is>
          <t>Taipei</t>
        </is>
      </c>
      <c r="C270" t="inlineStr">
        <is>
          <t>Taiwan</t>
        </is>
      </c>
      <c r="D270" t="inlineStr">
        <is>
          <t>East Asia</t>
        </is>
      </c>
      <c r="E270" t="inlineStr">
        <is>
          <t>working_time_pressure_raw</t>
        </is>
      </c>
      <c r="F270" t="inlineStr">
        <is>
          <t>Working time pressure raw</t>
        </is>
      </c>
      <c r="G270" t="inlineStr">
        <is>
          <t>pressure</t>
        </is>
      </c>
      <c r="H270" t="inlineStr">
        <is>
          <t>yes</t>
        </is>
      </c>
      <c r="I270" t="inlineStr"/>
      <c r="J270" t="inlineStr"/>
      <c r="K270" t="inlineStr"/>
      <c r="L270" t="inlineStr"/>
      <c r="M270" t="inlineStr"/>
      <c r="N270" t="inlineStr"/>
    </row>
    <row r="271">
      <c r="A271" t="inlineStr">
        <is>
          <t>tw-taipei</t>
        </is>
      </c>
      <c r="B271" t="inlineStr">
        <is>
          <t>Taipei</t>
        </is>
      </c>
      <c r="C271" t="inlineStr">
        <is>
          <t>Taiwan</t>
        </is>
      </c>
      <c r="D271" t="inlineStr">
        <is>
          <t>East Asia</t>
        </is>
      </c>
      <c r="E271" t="inlineStr">
        <is>
          <t>suicide_mental_strain_raw</t>
        </is>
      </c>
      <c r="F271" t="inlineStr">
        <is>
          <t>Suicide or mental strain raw</t>
        </is>
      </c>
      <c r="G271" t="inlineStr">
        <is>
          <t>pressure</t>
        </is>
      </c>
      <c r="H271" t="inlineStr">
        <is>
          <t>yes</t>
        </is>
      </c>
      <c r="I271" t="inlineStr"/>
      <c r="J271" t="inlineStr"/>
      <c r="K271" t="inlineStr"/>
      <c r="L271" t="inlineStr"/>
      <c r="M271" t="inlineStr"/>
      <c r="N271" t="inlineStr"/>
    </row>
    <row r="272">
      <c r="A272" t="inlineStr">
        <is>
          <t>tw-taipei</t>
        </is>
      </c>
      <c r="B272" t="inlineStr">
        <is>
          <t>Taipei</t>
        </is>
      </c>
      <c r="C272" t="inlineStr">
        <is>
          <t>Taiwan</t>
        </is>
      </c>
      <c r="D272" t="inlineStr">
        <is>
          <t>East Asia</t>
        </is>
      </c>
      <c r="E272" t="inlineStr">
        <is>
          <t>personal_safety_raw</t>
        </is>
      </c>
      <c r="F272" t="inlineStr">
        <is>
          <t>Personal safety raw</t>
        </is>
      </c>
      <c r="G272" t="inlineStr">
        <is>
          <t>viability</t>
        </is>
      </c>
      <c r="H272" t="inlineStr">
        <is>
          <t>yes</t>
        </is>
      </c>
      <c r="I272" t="inlineStr"/>
      <c r="J272" t="inlineStr"/>
      <c r="K272" t="inlineStr"/>
      <c r="L272" t="inlineStr"/>
      <c r="M272" t="inlineStr"/>
      <c r="N272" t="inlineStr"/>
    </row>
    <row r="273">
      <c r="A273" t="inlineStr">
        <is>
          <t>tw-taipei</t>
        </is>
      </c>
      <c r="B273" t="inlineStr">
        <is>
          <t>Taipei</t>
        </is>
      </c>
      <c r="C273" t="inlineStr">
        <is>
          <t>Taiwan</t>
        </is>
      </c>
      <c r="D273" t="inlineStr">
        <is>
          <t>East Asia</t>
        </is>
      </c>
      <c r="E273" t="inlineStr">
        <is>
          <t>transit_access_commute_raw</t>
        </is>
      </c>
      <c r="F273" t="inlineStr">
        <is>
          <t>Transit access and commute raw</t>
        </is>
      </c>
      <c r="G273" t="inlineStr">
        <is>
          <t>viability</t>
        </is>
      </c>
      <c r="H273" t="inlineStr">
        <is>
          <t>yes</t>
        </is>
      </c>
      <c r="I273" t="inlineStr"/>
      <c r="J273" t="inlineStr"/>
      <c r="K273" t="inlineStr"/>
      <c r="L273" t="inlineStr"/>
      <c r="M273" t="inlineStr"/>
      <c r="N273" t="inlineStr"/>
    </row>
    <row r="274">
      <c r="A274" t="inlineStr">
        <is>
          <t>tw-taipei</t>
        </is>
      </c>
      <c r="B274" t="inlineStr">
        <is>
          <t>Taipei</t>
        </is>
      </c>
      <c r="C274" t="inlineStr">
        <is>
          <t>Taiwan</t>
        </is>
      </c>
      <c r="D274" t="inlineStr">
        <is>
          <t>East Asia</t>
        </is>
      </c>
      <c r="E274" t="inlineStr">
        <is>
          <t>clean_air_raw</t>
        </is>
      </c>
      <c r="F274" t="inlineStr">
        <is>
          <t>Clean air raw</t>
        </is>
      </c>
      <c r="G274" t="inlineStr">
        <is>
          <t>viability</t>
        </is>
      </c>
      <c r="H274" t="inlineStr">
        <is>
          <t>yes</t>
        </is>
      </c>
      <c r="I274" t="inlineStr"/>
      <c r="J274" t="inlineStr"/>
      <c r="K274" t="inlineStr"/>
      <c r="L274" t="inlineStr"/>
      <c r="M274" t="inlineStr"/>
      <c r="N274" t="inlineStr"/>
    </row>
    <row r="275">
      <c r="A275" t="inlineStr">
        <is>
          <t>tw-taipei</t>
        </is>
      </c>
      <c r="B275" t="inlineStr">
        <is>
          <t>Taipei</t>
        </is>
      </c>
      <c r="C275" t="inlineStr">
        <is>
          <t>Taiwan</t>
        </is>
      </c>
      <c r="D275" t="inlineStr">
        <is>
          <t>East Asia</t>
        </is>
      </c>
      <c r="E275" t="inlineStr">
        <is>
          <t>water_sanitation_utility_raw</t>
        </is>
      </c>
      <c r="F275" t="inlineStr">
        <is>
          <t>Water, sanitation, and utility raw</t>
        </is>
      </c>
      <c r="G275" t="inlineStr">
        <is>
          <t>viability</t>
        </is>
      </c>
      <c r="H275" t="inlineStr">
        <is>
          <t>yes</t>
        </is>
      </c>
      <c r="I275" t="inlineStr"/>
      <c r="J275" t="inlineStr"/>
      <c r="K275" t="inlineStr"/>
      <c r="L275" t="inlineStr"/>
      <c r="M275" t="inlineStr"/>
      <c r="N275" t="inlineStr"/>
    </row>
    <row r="276">
      <c r="A276" t="inlineStr">
        <is>
          <t>tw-taipei</t>
        </is>
      </c>
      <c r="B276" t="inlineStr">
        <is>
          <t>Taipei</t>
        </is>
      </c>
      <c r="C276" t="inlineStr">
        <is>
          <t>Taiwan</t>
        </is>
      </c>
      <c r="D276" t="inlineStr">
        <is>
          <t>East Asia</t>
        </is>
      </c>
      <c r="E276" t="inlineStr">
        <is>
          <t>digital_infrastructure_raw</t>
        </is>
      </c>
      <c r="F276" t="inlineStr">
        <is>
          <t>Digital infrastructure raw</t>
        </is>
      </c>
      <c r="G276" t="inlineStr">
        <is>
          <t>viability</t>
        </is>
      </c>
      <c r="H276" t="inlineStr">
        <is>
          <t>yes</t>
        </is>
      </c>
      <c r="I276" t="inlineStr"/>
      <c r="J276" t="inlineStr"/>
      <c r="K276" t="inlineStr"/>
      <c r="L276" t="inlineStr"/>
      <c r="M276" t="inlineStr"/>
      <c r="N276" t="inlineStr"/>
    </row>
    <row r="277">
      <c r="A277" t="inlineStr">
        <is>
          <t>tw-taipei</t>
        </is>
      </c>
      <c r="B277" t="inlineStr">
        <is>
          <t>Taipei</t>
        </is>
      </c>
      <c r="C277" t="inlineStr">
        <is>
          <t>Taiwan</t>
        </is>
      </c>
      <c r="D277" t="inlineStr">
        <is>
          <t>East Asia</t>
        </is>
      </c>
      <c r="E277" t="inlineStr">
        <is>
          <t>healthcare_quality_raw</t>
        </is>
      </c>
      <c r="F277" t="inlineStr">
        <is>
          <t>Healthcare quality raw</t>
        </is>
      </c>
      <c r="G277" t="inlineStr">
        <is>
          <t>capability</t>
        </is>
      </c>
      <c r="H277" t="inlineStr">
        <is>
          <t>yes</t>
        </is>
      </c>
      <c r="I277" t="inlineStr"/>
      <c r="J277" t="inlineStr"/>
      <c r="K277" t="inlineStr"/>
      <c r="L277" t="inlineStr"/>
      <c r="M277" t="inlineStr"/>
      <c r="N277" t="inlineStr"/>
    </row>
    <row r="278">
      <c r="A278" t="inlineStr">
        <is>
          <t>tw-taipei</t>
        </is>
      </c>
      <c r="B278" t="inlineStr">
        <is>
          <t>Taipei</t>
        </is>
      </c>
      <c r="C278" t="inlineStr">
        <is>
          <t>Taiwan</t>
        </is>
      </c>
      <c r="D278" t="inlineStr">
        <is>
          <t>East Asia</t>
        </is>
      </c>
      <c r="E278" t="inlineStr">
        <is>
          <t>education_quality_raw</t>
        </is>
      </c>
      <c r="F278" t="inlineStr">
        <is>
          <t>Education quality raw</t>
        </is>
      </c>
      <c r="G278" t="inlineStr">
        <is>
          <t>capability</t>
        </is>
      </c>
      <c r="H278" t="inlineStr">
        <is>
          <t>yes</t>
        </is>
      </c>
      <c r="I278" t="inlineStr"/>
      <c r="J278" t="inlineStr"/>
      <c r="K278" t="inlineStr"/>
      <c r="L278" t="inlineStr"/>
      <c r="M278" t="inlineStr"/>
      <c r="N278" t="inlineStr"/>
    </row>
    <row r="279">
      <c r="A279" t="inlineStr">
        <is>
          <t>tw-taipei</t>
        </is>
      </c>
      <c r="B279" t="inlineStr">
        <is>
          <t>Taipei</t>
        </is>
      </c>
      <c r="C279" t="inlineStr">
        <is>
          <t>Taiwan</t>
        </is>
      </c>
      <c r="D279" t="inlineStr">
        <is>
          <t>East Asia</t>
        </is>
      </c>
      <c r="E279" t="inlineStr">
        <is>
          <t>equal_opportunity_raw</t>
        </is>
      </c>
      <c r="F279" t="inlineStr">
        <is>
          <t>Equal opportunity raw</t>
        </is>
      </c>
      <c r="G279" t="inlineStr">
        <is>
          <t>capability</t>
        </is>
      </c>
      <c r="H279" t="inlineStr">
        <is>
          <t>yes</t>
        </is>
      </c>
      <c r="I279" t="inlineStr"/>
      <c r="J279" t="inlineStr"/>
      <c r="K279" t="inlineStr"/>
      <c r="L279" t="inlineStr"/>
      <c r="M279" t="inlineStr"/>
      <c r="N279" t="inlineStr"/>
    </row>
    <row r="280">
      <c r="A280" t="inlineStr">
        <is>
          <t>tw-taipei</t>
        </is>
      </c>
      <c r="B280" t="inlineStr">
        <is>
          <t>Taipei</t>
        </is>
      </c>
      <c r="C280" t="inlineStr">
        <is>
          <t>Taiwan</t>
        </is>
      </c>
      <c r="D280" t="inlineStr">
        <is>
          <t>East Asia</t>
        </is>
      </c>
      <c r="E280" t="inlineStr">
        <is>
          <t>hospitality_belonging_raw</t>
        </is>
      </c>
      <c r="F280" t="inlineStr">
        <is>
          <t>Hospitality and belonging raw</t>
        </is>
      </c>
      <c r="G280" t="inlineStr">
        <is>
          <t>community</t>
        </is>
      </c>
      <c r="H280" t="inlineStr">
        <is>
          <t>yes</t>
        </is>
      </c>
      <c r="I280" t="inlineStr"/>
      <c r="J280" t="inlineStr"/>
      <c r="K280" t="inlineStr"/>
      <c r="L280" t="inlineStr"/>
      <c r="M280" t="inlineStr"/>
      <c r="N280" t="inlineStr"/>
    </row>
    <row r="281">
      <c r="A281" t="inlineStr">
        <is>
          <t>tw-taipei</t>
        </is>
      </c>
      <c r="B281" t="inlineStr">
        <is>
          <t>Taipei</t>
        </is>
      </c>
      <c r="C281" t="inlineStr">
        <is>
          <t>Taiwan</t>
        </is>
      </c>
      <c r="D281" t="inlineStr">
        <is>
          <t>East Asia</t>
        </is>
      </c>
      <c r="E281" t="inlineStr">
        <is>
          <t>tolerance_pluralism_raw</t>
        </is>
      </c>
      <c r="F281" t="inlineStr">
        <is>
          <t>Tolerance and pluralism raw</t>
        </is>
      </c>
      <c r="G281" t="inlineStr">
        <is>
          <t>community</t>
        </is>
      </c>
      <c r="H281" t="inlineStr">
        <is>
          <t>yes</t>
        </is>
      </c>
      <c r="I281" t="inlineStr"/>
      <c r="J281" t="inlineStr"/>
      <c r="K281" t="inlineStr"/>
      <c r="L281" t="inlineStr"/>
      <c r="M281" t="inlineStr"/>
      <c r="N281" t="inlineStr"/>
    </row>
    <row r="282">
      <c r="A282" t="inlineStr">
        <is>
          <t>tw-taipei</t>
        </is>
      </c>
      <c r="B282" t="inlineStr">
        <is>
          <t>Taipei</t>
        </is>
      </c>
      <c r="C282" t="inlineStr">
        <is>
          <t>Taiwan</t>
        </is>
      </c>
      <c r="D282" t="inlineStr">
        <is>
          <t>East Asia</t>
        </is>
      </c>
      <c r="E282" t="inlineStr">
        <is>
          <t>cultural_public_life_raw</t>
        </is>
      </c>
      <c r="F282" t="inlineStr">
        <is>
          <t>Cultural public life raw</t>
        </is>
      </c>
      <c r="G282" t="inlineStr">
        <is>
          <t>community</t>
        </is>
      </c>
      <c r="H282" t="inlineStr">
        <is>
          <t>yes</t>
        </is>
      </c>
      <c r="I282" t="inlineStr"/>
      <c r="J282" t="inlineStr"/>
      <c r="K282" t="inlineStr"/>
      <c r="L282" t="inlineStr"/>
      <c r="M282" t="inlineStr"/>
      <c r="N282" t="inlineStr"/>
    </row>
    <row r="283">
      <c r="A283" t="inlineStr">
        <is>
          <t>tw-taipei</t>
        </is>
      </c>
      <c r="B283" t="inlineStr">
        <is>
          <t>Taipei</t>
        </is>
      </c>
      <c r="C283" t="inlineStr">
        <is>
          <t>Taiwan</t>
        </is>
      </c>
      <c r="D283" t="inlineStr">
        <is>
          <t>East Asia</t>
        </is>
      </c>
      <c r="E283" t="inlineStr">
        <is>
          <t>entrepreneurial_dynamism_raw</t>
        </is>
      </c>
      <c r="F283" t="inlineStr">
        <is>
          <t>Entrepreneurial dynamism raw</t>
        </is>
      </c>
      <c r="G283" t="inlineStr">
        <is>
          <t>creative</t>
        </is>
      </c>
      <c r="H283" t="inlineStr">
        <is>
          <t>yes</t>
        </is>
      </c>
      <c r="I283" t="inlineStr"/>
      <c r="J283" t="inlineStr"/>
      <c r="K283" t="inlineStr"/>
      <c r="L283" t="inlineStr"/>
      <c r="M283" t="inlineStr"/>
      <c r="N283" t="inlineStr"/>
    </row>
    <row r="284">
      <c r="A284" t="inlineStr">
        <is>
          <t>tw-taipei</t>
        </is>
      </c>
      <c r="B284" t="inlineStr">
        <is>
          <t>Taipei</t>
        </is>
      </c>
      <c r="C284" t="inlineStr">
        <is>
          <t>Taiwan</t>
        </is>
      </c>
      <c r="D284" t="inlineStr">
        <is>
          <t>East Asia</t>
        </is>
      </c>
      <c r="E284" t="inlineStr">
        <is>
          <t>innovation_research_intensity_raw</t>
        </is>
      </c>
      <c r="F284" t="inlineStr">
        <is>
          <t>Innovation and research raw</t>
        </is>
      </c>
      <c r="G284" t="inlineStr">
        <is>
          <t>creative</t>
        </is>
      </c>
      <c r="H284" t="inlineStr">
        <is>
          <t>yes</t>
        </is>
      </c>
      <c r="I284" t="inlineStr"/>
      <c r="J284" t="inlineStr"/>
      <c r="K284" t="inlineStr"/>
      <c r="L284" t="inlineStr"/>
      <c r="M284" t="inlineStr"/>
      <c r="N284" t="inlineStr"/>
    </row>
    <row r="285">
      <c r="A285" t="inlineStr">
        <is>
          <t>tw-taipei</t>
        </is>
      </c>
      <c r="B285" t="inlineStr">
        <is>
          <t>Taipei</t>
        </is>
      </c>
      <c r="C285" t="inlineStr">
        <is>
          <t>Taiwan</t>
        </is>
      </c>
      <c r="D285" t="inlineStr">
        <is>
          <t>East Asia</t>
        </is>
      </c>
      <c r="E285" t="inlineStr">
        <is>
          <t>investment_signal_raw</t>
        </is>
      </c>
      <c r="F285" t="inlineStr">
        <is>
          <t>Investment signal raw</t>
        </is>
      </c>
      <c r="G285" t="inlineStr">
        <is>
          <t>creative</t>
        </is>
      </c>
      <c r="H285" t="inlineStr">
        <is>
          <t>yes</t>
        </is>
      </c>
      <c r="I285" t="inlineStr"/>
      <c r="J285" t="inlineStr"/>
      <c r="K285" t="inlineStr"/>
      <c r="L285" t="inlineStr"/>
      <c r="M285" t="inlineStr"/>
      <c r="N285" t="inlineStr"/>
    </row>
    <row r="286">
      <c r="A286" t="inlineStr">
        <is>
          <t>tw-taipei</t>
        </is>
      </c>
      <c r="B286" t="inlineStr">
        <is>
          <t>Taipei</t>
        </is>
      </c>
      <c r="C286" t="inlineStr">
        <is>
          <t>Taiwan</t>
        </is>
      </c>
      <c r="D286" t="inlineStr">
        <is>
          <t>East Asia</t>
        </is>
      </c>
      <c r="E286" t="inlineStr">
        <is>
          <t>administrative_investment_friction_raw</t>
        </is>
      </c>
      <c r="F286" t="inlineStr">
        <is>
          <t>Administrative investment friction raw</t>
        </is>
      </c>
      <c r="G286" t="inlineStr">
        <is>
          <t>creative</t>
        </is>
      </c>
      <c r="H286" t="inlineStr">
        <is>
          <t>yes</t>
        </is>
      </c>
      <c r="I286" t="inlineStr"/>
      <c r="J286" t="inlineStr"/>
      <c r="K286" t="inlineStr"/>
      <c r="L286" t="inlineStr"/>
      <c r="M286" t="inlineStr"/>
      <c r="N286" t="inlineStr"/>
    </row>
    <row r="287">
      <c r="A287" t="inlineStr">
        <is>
          <t>tw-taipei</t>
        </is>
      </c>
      <c r="B287" t="inlineStr">
        <is>
          <t>Taipei</t>
        </is>
      </c>
      <c r="C287" t="inlineStr">
        <is>
          <t>Taiwan</t>
        </is>
      </c>
      <c r="D287" t="inlineStr">
        <is>
          <t>East Asia</t>
        </is>
      </c>
      <c r="E287" t="inlineStr">
        <is>
          <t>visitor_flow_context_raw</t>
        </is>
      </c>
      <c r="F287" t="inlineStr">
        <is>
          <t>Visitor flow context raw</t>
        </is>
      </c>
      <c r="G287" t="inlineStr">
        <is>
          <t>creative</t>
        </is>
      </c>
      <c r="H287" t="inlineStr">
        <is>
          <t>no</t>
        </is>
      </c>
      <c r="I287" t="inlineStr"/>
      <c r="J287" t="inlineStr"/>
      <c r="K287" t="inlineStr"/>
      <c r="L287" t="inlineStr"/>
      <c r="M287" t="inlineStr"/>
      <c r="N287" t="inlineStr"/>
    </row>
    <row r="288">
      <c r="A288" t="inlineStr">
        <is>
          <t>kr-busan</t>
        </is>
      </c>
      <c r="B288" t="inlineStr">
        <is>
          <t>Busan</t>
        </is>
      </c>
      <c r="C288" t="inlineStr">
        <is>
          <t>South Korea</t>
        </is>
      </c>
      <c r="D288" t="inlineStr">
        <is>
          <t>East Asia</t>
        </is>
      </c>
      <c r="E288" t="inlineStr">
        <is>
          <t>gross_income</t>
        </is>
      </c>
      <c r="F288" t="inlineStr">
        <is>
          <t>Gross income</t>
        </is>
      </c>
      <c r="G288" t="inlineStr">
        <is>
          <t>pressure</t>
        </is>
      </c>
      <c r="H288" t="inlineStr">
        <is>
          <t>yes</t>
        </is>
      </c>
      <c r="I288" t="inlineStr"/>
      <c r="J288" t="inlineStr"/>
      <c r="K288" t="inlineStr"/>
      <c r="L288" t="inlineStr"/>
      <c r="M288" t="inlineStr"/>
      <c r="N288" t="inlineStr"/>
    </row>
    <row r="289">
      <c r="A289" t="inlineStr">
        <is>
          <t>kr-busan</t>
        </is>
      </c>
      <c r="B289" t="inlineStr">
        <is>
          <t>Busan</t>
        </is>
      </c>
      <c r="C289" t="inlineStr">
        <is>
          <t>South Korea</t>
        </is>
      </c>
      <c r="D289" t="inlineStr">
        <is>
          <t>East Asia</t>
        </is>
      </c>
      <c r="E289" t="inlineStr">
        <is>
          <t>rent</t>
        </is>
      </c>
      <c r="F289" t="inlineStr">
        <is>
          <t>Rent</t>
        </is>
      </c>
      <c r="G289" t="inlineStr">
        <is>
          <t>pressure</t>
        </is>
      </c>
      <c r="H289" t="inlineStr">
        <is>
          <t>yes</t>
        </is>
      </c>
      <c r="I289" t="inlineStr"/>
      <c r="J289" t="inlineStr"/>
      <c r="K289" t="inlineStr"/>
      <c r="L289" t="inlineStr"/>
      <c r="M289" t="inlineStr"/>
      <c r="N289" t="inlineStr"/>
    </row>
    <row r="290">
      <c r="A290" t="inlineStr">
        <is>
          <t>kr-busan</t>
        </is>
      </c>
      <c r="B290" t="inlineStr">
        <is>
          <t>Busan</t>
        </is>
      </c>
      <c r="C290" t="inlineStr">
        <is>
          <t>South Korea</t>
        </is>
      </c>
      <c r="D290" t="inlineStr">
        <is>
          <t>East Asia</t>
        </is>
      </c>
      <c r="E290" t="inlineStr">
        <is>
          <t>utilities</t>
        </is>
      </c>
      <c r="F290" t="inlineStr">
        <is>
          <t>Utilities</t>
        </is>
      </c>
      <c r="G290" t="inlineStr">
        <is>
          <t>pressure</t>
        </is>
      </c>
      <c r="H290" t="inlineStr">
        <is>
          <t>yes</t>
        </is>
      </c>
      <c r="I290" t="inlineStr"/>
      <c r="J290" t="inlineStr"/>
      <c r="K290" t="inlineStr"/>
      <c r="L290" t="inlineStr"/>
      <c r="M290" t="inlineStr"/>
      <c r="N290" t="inlineStr"/>
    </row>
    <row r="291">
      <c r="A291" t="inlineStr">
        <is>
          <t>kr-busan</t>
        </is>
      </c>
      <c r="B291" t="inlineStr">
        <is>
          <t>Busan</t>
        </is>
      </c>
      <c r="C291" t="inlineStr">
        <is>
          <t>South Korea</t>
        </is>
      </c>
      <c r="D291" t="inlineStr">
        <is>
          <t>East Asia</t>
        </is>
      </c>
      <c r="E291" t="inlineStr">
        <is>
          <t>transit_cost</t>
        </is>
      </c>
      <c r="F291" t="inlineStr">
        <is>
          <t>Transit cost</t>
        </is>
      </c>
      <c r="G291" t="inlineStr">
        <is>
          <t>pressure</t>
        </is>
      </c>
      <c r="H291" t="inlineStr">
        <is>
          <t>yes</t>
        </is>
      </c>
      <c r="I291" t="inlineStr"/>
      <c r="J291" t="inlineStr"/>
      <c r="K291" t="inlineStr"/>
      <c r="L291" t="inlineStr"/>
      <c r="M291" t="inlineStr"/>
      <c r="N291" t="inlineStr"/>
    </row>
    <row r="292">
      <c r="A292" t="inlineStr">
        <is>
          <t>kr-busan</t>
        </is>
      </c>
      <c r="B292" t="inlineStr">
        <is>
          <t>Busan</t>
        </is>
      </c>
      <c r="C292" t="inlineStr">
        <is>
          <t>South Korea</t>
        </is>
      </c>
      <c r="D292" t="inlineStr">
        <is>
          <t>East Asia</t>
        </is>
      </c>
      <c r="E292" t="inlineStr">
        <is>
          <t>internet_cost</t>
        </is>
      </c>
      <c r="F292" t="inlineStr">
        <is>
          <t>Internet cost</t>
        </is>
      </c>
      <c r="G292" t="inlineStr">
        <is>
          <t>pressure</t>
        </is>
      </c>
      <c r="H292" t="inlineStr">
        <is>
          <t>yes</t>
        </is>
      </c>
      <c r="I292" t="inlineStr"/>
      <c r="J292" t="inlineStr"/>
      <c r="K292" t="inlineStr"/>
      <c r="L292" t="inlineStr"/>
      <c r="M292" t="inlineStr"/>
      <c r="N292" t="inlineStr"/>
    </row>
    <row r="293">
      <c r="A293" t="inlineStr">
        <is>
          <t>kr-busan</t>
        </is>
      </c>
      <c r="B293" t="inlineStr">
        <is>
          <t>Busan</t>
        </is>
      </c>
      <c r="C293" t="inlineStr">
        <is>
          <t>South Korea</t>
        </is>
      </c>
      <c r="D293" t="inlineStr">
        <is>
          <t>East Asia</t>
        </is>
      </c>
      <c r="E293" t="inlineStr">
        <is>
          <t>food_cost</t>
        </is>
      </c>
      <c r="F293" t="inlineStr">
        <is>
          <t>Food cost</t>
        </is>
      </c>
      <c r="G293" t="inlineStr">
        <is>
          <t>pressure</t>
        </is>
      </c>
      <c r="H293" t="inlineStr">
        <is>
          <t>yes</t>
        </is>
      </c>
      <c r="I293" t="inlineStr"/>
      <c r="J293" t="inlineStr"/>
      <c r="K293" t="inlineStr"/>
      <c r="L293" t="inlineStr"/>
      <c r="M293" t="inlineStr"/>
      <c r="N293" t="inlineStr"/>
    </row>
    <row r="294">
      <c r="A294" t="inlineStr">
        <is>
          <t>kr-busan</t>
        </is>
      </c>
      <c r="B294" t="inlineStr">
        <is>
          <t>Busan</t>
        </is>
      </c>
      <c r="C294" t="inlineStr">
        <is>
          <t>South Korea</t>
        </is>
      </c>
      <c r="D294" t="inlineStr">
        <is>
          <t>East Asia</t>
        </is>
      </c>
      <c r="E294" t="inlineStr">
        <is>
          <t>housing_burden_raw</t>
        </is>
      </c>
      <c r="F294" t="inlineStr">
        <is>
          <t>Housing burden raw</t>
        </is>
      </c>
      <c r="G294" t="inlineStr">
        <is>
          <t>pressure</t>
        </is>
      </c>
      <c r="H294" t="inlineStr">
        <is>
          <t>yes</t>
        </is>
      </c>
      <c r="I294" t="inlineStr"/>
      <c r="J294" t="inlineStr"/>
      <c r="K294" t="inlineStr"/>
      <c r="L294" t="inlineStr"/>
      <c r="M294" t="inlineStr"/>
      <c r="N294" t="inlineStr"/>
    </row>
    <row r="295">
      <c r="A295" t="inlineStr">
        <is>
          <t>kr-busan</t>
        </is>
      </c>
      <c r="B295" t="inlineStr">
        <is>
          <t>Busan</t>
        </is>
      </c>
      <c r="C295" t="inlineStr">
        <is>
          <t>South Korea</t>
        </is>
      </c>
      <c r="D295" t="inlineStr">
        <is>
          <t>East Asia</t>
        </is>
      </c>
      <c r="E295" t="inlineStr">
        <is>
          <t>household_debt_burden_raw</t>
        </is>
      </c>
      <c r="F295" t="inlineStr">
        <is>
          <t>Household debt burden raw</t>
        </is>
      </c>
      <c r="G295" t="inlineStr">
        <is>
          <t>pressure</t>
        </is>
      </c>
      <c r="H295" t="inlineStr">
        <is>
          <t>yes</t>
        </is>
      </c>
      <c r="I295" t="inlineStr"/>
      <c r="J295" t="inlineStr"/>
      <c r="K295" t="inlineStr"/>
      <c r="L295" t="inlineStr"/>
      <c r="M295" t="inlineStr"/>
      <c r="N295" t="inlineStr"/>
    </row>
    <row r="296">
      <c r="A296" t="inlineStr">
        <is>
          <t>kr-busan</t>
        </is>
      </c>
      <c r="B296" t="inlineStr">
        <is>
          <t>Busan</t>
        </is>
      </c>
      <c r="C296" t="inlineStr">
        <is>
          <t>South Korea</t>
        </is>
      </c>
      <c r="D296" t="inlineStr">
        <is>
          <t>East Asia</t>
        </is>
      </c>
      <c r="E296" t="inlineStr">
        <is>
          <t>working_time_pressure_raw</t>
        </is>
      </c>
      <c r="F296" t="inlineStr">
        <is>
          <t>Working time pressure raw</t>
        </is>
      </c>
      <c r="G296" t="inlineStr">
        <is>
          <t>pressure</t>
        </is>
      </c>
      <c r="H296" t="inlineStr">
        <is>
          <t>yes</t>
        </is>
      </c>
      <c r="I296" t="inlineStr"/>
      <c r="J296" t="inlineStr"/>
      <c r="K296" t="inlineStr"/>
      <c r="L296" t="inlineStr"/>
      <c r="M296" t="inlineStr"/>
      <c r="N296" t="inlineStr"/>
    </row>
    <row r="297">
      <c r="A297" t="inlineStr">
        <is>
          <t>kr-busan</t>
        </is>
      </c>
      <c r="B297" t="inlineStr">
        <is>
          <t>Busan</t>
        </is>
      </c>
      <c r="C297" t="inlineStr">
        <is>
          <t>South Korea</t>
        </is>
      </c>
      <c r="D297" t="inlineStr">
        <is>
          <t>East Asia</t>
        </is>
      </c>
      <c r="E297" t="inlineStr">
        <is>
          <t>suicide_mental_strain_raw</t>
        </is>
      </c>
      <c r="F297" t="inlineStr">
        <is>
          <t>Suicide or mental strain raw</t>
        </is>
      </c>
      <c r="G297" t="inlineStr">
        <is>
          <t>pressure</t>
        </is>
      </c>
      <c r="H297" t="inlineStr">
        <is>
          <t>yes</t>
        </is>
      </c>
      <c r="I297" t="inlineStr"/>
      <c r="J297" t="inlineStr"/>
      <c r="K297" t="inlineStr"/>
      <c r="L297" t="inlineStr"/>
      <c r="M297" t="inlineStr"/>
      <c r="N297" t="inlineStr"/>
    </row>
    <row r="298">
      <c r="A298" t="inlineStr">
        <is>
          <t>kr-busan</t>
        </is>
      </c>
      <c r="B298" t="inlineStr">
        <is>
          <t>Busan</t>
        </is>
      </c>
      <c r="C298" t="inlineStr">
        <is>
          <t>South Korea</t>
        </is>
      </c>
      <c r="D298" t="inlineStr">
        <is>
          <t>East Asia</t>
        </is>
      </c>
      <c r="E298" t="inlineStr">
        <is>
          <t>personal_safety_raw</t>
        </is>
      </c>
      <c r="F298" t="inlineStr">
        <is>
          <t>Personal safety raw</t>
        </is>
      </c>
      <c r="G298" t="inlineStr">
        <is>
          <t>viability</t>
        </is>
      </c>
      <c r="H298" t="inlineStr">
        <is>
          <t>yes</t>
        </is>
      </c>
      <c r="I298" t="inlineStr"/>
      <c r="J298" t="inlineStr"/>
      <c r="K298" t="inlineStr"/>
      <c r="L298" t="inlineStr"/>
      <c r="M298" t="inlineStr"/>
      <c r="N298" t="inlineStr"/>
    </row>
    <row r="299">
      <c r="A299" t="inlineStr">
        <is>
          <t>kr-busan</t>
        </is>
      </c>
      <c r="B299" t="inlineStr">
        <is>
          <t>Busan</t>
        </is>
      </c>
      <c r="C299" t="inlineStr">
        <is>
          <t>South Korea</t>
        </is>
      </c>
      <c r="D299" t="inlineStr">
        <is>
          <t>East Asia</t>
        </is>
      </c>
      <c r="E299" t="inlineStr">
        <is>
          <t>transit_access_commute_raw</t>
        </is>
      </c>
      <c r="F299" t="inlineStr">
        <is>
          <t>Transit access and commute raw</t>
        </is>
      </c>
      <c r="G299" t="inlineStr">
        <is>
          <t>viability</t>
        </is>
      </c>
      <c r="H299" t="inlineStr">
        <is>
          <t>yes</t>
        </is>
      </c>
      <c r="I299" t="inlineStr"/>
      <c r="J299" t="inlineStr"/>
      <c r="K299" t="inlineStr"/>
      <c r="L299" t="inlineStr"/>
      <c r="M299" t="inlineStr"/>
      <c r="N299" t="inlineStr"/>
    </row>
    <row r="300">
      <c r="A300" t="inlineStr">
        <is>
          <t>kr-busan</t>
        </is>
      </c>
      <c r="B300" t="inlineStr">
        <is>
          <t>Busan</t>
        </is>
      </c>
      <c r="C300" t="inlineStr">
        <is>
          <t>South Korea</t>
        </is>
      </c>
      <c r="D300" t="inlineStr">
        <is>
          <t>East Asia</t>
        </is>
      </c>
      <c r="E300" t="inlineStr">
        <is>
          <t>clean_air_raw</t>
        </is>
      </c>
      <c r="F300" t="inlineStr">
        <is>
          <t>Clean air raw</t>
        </is>
      </c>
      <c r="G300" t="inlineStr">
        <is>
          <t>viability</t>
        </is>
      </c>
      <c r="H300" t="inlineStr">
        <is>
          <t>yes</t>
        </is>
      </c>
      <c r="I300" t="inlineStr"/>
      <c r="J300" t="inlineStr"/>
      <c r="K300" t="inlineStr"/>
      <c r="L300" t="inlineStr"/>
      <c r="M300" t="inlineStr"/>
      <c r="N300" t="inlineStr"/>
    </row>
    <row r="301">
      <c r="A301" t="inlineStr">
        <is>
          <t>kr-busan</t>
        </is>
      </c>
      <c r="B301" t="inlineStr">
        <is>
          <t>Busan</t>
        </is>
      </c>
      <c r="C301" t="inlineStr">
        <is>
          <t>South Korea</t>
        </is>
      </c>
      <c r="D301" t="inlineStr">
        <is>
          <t>East Asia</t>
        </is>
      </c>
      <c r="E301" t="inlineStr">
        <is>
          <t>water_sanitation_utility_raw</t>
        </is>
      </c>
      <c r="F301" t="inlineStr">
        <is>
          <t>Water, sanitation, and utility raw</t>
        </is>
      </c>
      <c r="G301" t="inlineStr">
        <is>
          <t>viability</t>
        </is>
      </c>
      <c r="H301" t="inlineStr">
        <is>
          <t>yes</t>
        </is>
      </c>
      <c r="I301" t="inlineStr"/>
      <c r="J301" t="inlineStr"/>
      <c r="K301" t="inlineStr"/>
      <c r="L301" t="inlineStr"/>
      <c r="M301" t="inlineStr"/>
      <c r="N301" t="inlineStr"/>
    </row>
    <row r="302">
      <c r="A302" t="inlineStr">
        <is>
          <t>kr-busan</t>
        </is>
      </c>
      <c r="B302" t="inlineStr">
        <is>
          <t>Busan</t>
        </is>
      </c>
      <c r="C302" t="inlineStr">
        <is>
          <t>South Korea</t>
        </is>
      </c>
      <c r="D302" t="inlineStr">
        <is>
          <t>East Asia</t>
        </is>
      </c>
      <c r="E302" t="inlineStr">
        <is>
          <t>digital_infrastructure_raw</t>
        </is>
      </c>
      <c r="F302" t="inlineStr">
        <is>
          <t>Digital infrastructure raw</t>
        </is>
      </c>
      <c r="G302" t="inlineStr">
        <is>
          <t>viability</t>
        </is>
      </c>
      <c r="H302" t="inlineStr">
        <is>
          <t>yes</t>
        </is>
      </c>
      <c r="I302" t="inlineStr"/>
      <c r="J302" t="inlineStr"/>
      <c r="K302" t="inlineStr"/>
      <c r="L302" t="inlineStr"/>
      <c r="M302" t="inlineStr"/>
      <c r="N302" t="inlineStr"/>
    </row>
    <row r="303">
      <c r="A303" t="inlineStr">
        <is>
          <t>kr-busan</t>
        </is>
      </c>
      <c r="B303" t="inlineStr">
        <is>
          <t>Busan</t>
        </is>
      </c>
      <c r="C303" t="inlineStr">
        <is>
          <t>South Korea</t>
        </is>
      </c>
      <c r="D303" t="inlineStr">
        <is>
          <t>East Asia</t>
        </is>
      </c>
      <c r="E303" t="inlineStr">
        <is>
          <t>healthcare_quality_raw</t>
        </is>
      </c>
      <c r="F303" t="inlineStr">
        <is>
          <t>Healthcare quality raw</t>
        </is>
      </c>
      <c r="G303" t="inlineStr">
        <is>
          <t>capability</t>
        </is>
      </c>
      <c r="H303" t="inlineStr">
        <is>
          <t>yes</t>
        </is>
      </c>
      <c r="I303" t="inlineStr"/>
      <c r="J303" t="inlineStr"/>
      <c r="K303" t="inlineStr"/>
      <c r="L303" t="inlineStr"/>
      <c r="M303" t="inlineStr"/>
      <c r="N303" t="inlineStr"/>
    </row>
    <row r="304">
      <c r="A304" t="inlineStr">
        <is>
          <t>kr-busan</t>
        </is>
      </c>
      <c r="B304" t="inlineStr">
        <is>
          <t>Busan</t>
        </is>
      </c>
      <c r="C304" t="inlineStr">
        <is>
          <t>South Korea</t>
        </is>
      </c>
      <c r="D304" t="inlineStr">
        <is>
          <t>East Asia</t>
        </is>
      </c>
      <c r="E304" t="inlineStr">
        <is>
          <t>education_quality_raw</t>
        </is>
      </c>
      <c r="F304" t="inlineStr">
        <is>
          <t>Education quality raw</t>
        </is>
      </c>
      <c r="G304" t="inlineStr">
        <is>
          <t>capability</t>
        </is>
      </c>
      <c r="H304" t="inlineStr">
        <is>
          <t>yes</t>
        </is>
      </c>
      <c r="I304" t="inlineStr"/>
      <c r="J304" t="inlineStr"/>
      <c r="K304" t="inlineStr"/>
      <c r="L304" t="inlineStr"/>
      <c r="M304" t="inlineStr"/>
      <c r="N304" t="inlineStr"/>
    </row>
    <row r="305">
      <c r="A305" t="inlineStr">
        <is>
          <t>kr-busan</t>
        </is>
      </c>
      <c r="B305" t="inlineStr">
        <is>
          <t>Busan</t>
        </is>
      </c>
      <c r="C305" t="inlineStr">
        <is>
          <t>South Korea</t>
        </is>
      </c>
      <c r="D305" t="inlineStr">
        <is>
          <t>East Asia</t>
        </is>
      </c>
      <c r="E305" t="inlineStr">
        <is>
          <t>equal_opportunity_raw</t>
        </is>
      </c>
      <c r="F305" t="inlineStr">
        <is>
          <t>Equal opportunity raw</t>
        </is>
      </c>
      <c r="G305" t="inlineStr">
        <is>
          <t>capability</t>
        </is>
      </c>
      <c r="H305" t="inlineStr">
        <is>
          <t>yes</t>
        </is>
      </c>
      <c r="I305" t="inlineStr"/>
      <c r="J305" t="inlineStr"/>
      <c r="K305" t="inlineStr"/>
      <c r="L305" t="inlineStr"/>
      <c r="M305" t="inlineStr"/>
      <c r="N305" t="inlineStr"/>
    </row>
    <row r="306">
      <c r="A306" t="inlineStr">
        <is>
          <t>kr-busan</t>
        </is>
      </c>
      <c r="B306" t="inlineStr">
        <is>
          <t>Busan</t>
        </is>
      </c>
      <c r="C306" t="inlineStr">
        <is>
          <t>South Korea</t>
        </is>
      </c>
      <c r="D306" t="inlineStr">
        <is>
          <t>East Asia</t>
        </is>
      </c>
      <c r="E306" t="inlineStr">
        <is>
          <t>hospitality_belonging_raw</t>
        </is>
      </c>
      <c r="F306" t="inlineStr">
        <is>
          <t>Hospitality and belonging raw</t>
        </is>
      </c>
      <c r="G306" t="inlineStr">
        <is>
          <t>community</t>
        </is>
      </c>
      <c r="H306" t="inlineStr">
        <is>
          <t>yes</t>
        </is>
      </c>
      <c r="I306" t="inlineStr"/>
      <c r="J306" t="inlineStr"/>
      <c r="K306" t="inlineStr"/>
      <c r="L306" t="inlineStr"/>
      <c r="M306" t="inlineStr"/>
      <c r="N306" t="inlineStr"/>
    </row>
    <row r="307">
      <c r="A307" t="inlineStr">
        <is>
          <t>kr-busan</t>
        </is>
      </c>
      <c r="B307" t="inlineStr">
        <is>
          <t>Busan</t>
        </is>
      </c>
      <c r="C307" t="inlineStr">
        <is>
          <t>South Korea</t>
        </is>
      </c>
      <c r="D307" t="inlineStr">
        <is>
          <t>East Asia</t>
        </is>
      </c>
      <c r="E307" t="inlineStr">
        <is>
          <t>tolerance_pluralism_raw</t>
        </is>
      </c>
      <c r="F307" t="inlineStr">
        <is>
          <t>Tolerance and pluralism raw</t>
        </is>
      </c>
      <c r="G307" t="inlineStr">
        <is>
          <t>community</t>
        </is>
      </c>
      <c r="H307" t="inlineStr">
        <is>
          <t>yes</t>
        </is>
      </c>
      <c r="I307" t="inlineStr"/>
      <c r="J307" t="inlineStr"/>
      <c r="K307" t="inlineStr"/>
      <c r="L307" t="inlineStr"/>
      <c r="M307" t="inlineStr"/>
      <c r="N307" t="inlineStr"/>
    </row>
    <row r="308">
      <c r="A308" t="inlineStr">
        <is>
          <t>kr-busan</t>
        </is>
      </c>
      <c r="B308" t="inlineStr">
        <is>
          <t>Busan</t>
        </is>
      </c>
      <c r="C308" t="inlineStr">
        <is>
          <t>South Korea</t>
        </is>
      </c>
      <c r="D308" t="inlineStr">
        <is>
          <t>East Asia</t>
        </is>
      </c>
      <c r="E308" t="inlineStr">
        <is>
          <t>cultural_public_life_raw</t>
        </is>
      </c>
      <c r="F308" t="inlineStr">
        <is>
          <t>Cultural public life raw</t>
        </is>
      </c>
      <c r="G308" t="inlineStr">
        <is>
          <t>community</t>
        </is>
      </c>
      <c r="H308" t="inlineStr">
        <is>
          <t>yes</t>
        </is>
      </c>
      <c r="I308" t="inlineStr"/>
      <c r="J308" t="inlineStr"/>
      <c r="K308" t="inlineStr"/>
      <c r="L308" t="inlineStr"/>
      <c r="M308" t="inlineStr"/>
      <c r="N308" t="inlineStr"/>
    </row>
    <row r="309">
      <c r="A309" t="inlineStr">
        <is>
          <t>kr-busan</t>
        </is>
      </c>
      <c r="B309" t="inlineStr">
        <is>
          <t>Busan</t>
        </is>
      </c>
      <c r="C309" t="inlineStr">
        <is>
          <t>South Korea</t>
        </is>
      </c>
      <c r="D309" t="inlineStr">
        <is>
          <t>East Asia</t>
        </is>
      </c>
      <c r="E309" t="inlineStr">
        <is>
          <t>entrepreneurial_dynamism_raw</t>
        </is>
      </c>
      <c r="F309" t="inlineStr">
        <is>
          <t>Entrepreneurial dynamism raw</t>
        </is>
      </c>
      <c r="G309" t="inlineStr">
        <is>
          <t>creative</t>
        </is>
      </c>
      <c r="H309" t="inlineStr">
        <is>
          <t>yes</t>
        </is>
      </c>
      <c r="I309" t="inlineStr"/>
      <c r="J309" t="inlineStr"/>
      <c r="K309" t="inlineStr"/>
      <c r="L309" t="inlineStr"/>
      <c r="M309" t="inlineStr"/>
      <c r="N309" t="inlineStr"/>
    </row>
    <row r="310">
      <c r="A310" t="inlineStr">
        <is>
          <t>kr-busan</t>
        </is>
      </c>
      <c r="B310" t="inlineStr">
        <is>
          <t>Busan</t>
        </is>
      </c>
      <c r="C310" t="inlineStr">
        <is>
          <t>South Korea</t>
        </is>
      </c>
      <c r="D310" t="inlineStr">
        <is>
          <t>East Asia</t>
        </is>
      </c>
      <c r="E310" t="inlineStr">
        <is>
          <t>innovation_research_intensity_raw</t>
        </is>
      </c>
      <c r="F310" t="inlineStr">
        <is>
          <t>Innovation and research raw</t>
        </is>
      </c>
      <c r="G310" t="inlineStr">
        <is>
          <t>creative</t>
        </is>
      </c>
      <c r="H310" t="inlineStr">
        <is>
          <t>yes</t>
        </is>
      </c>
      <c r="I310" t="inlineStr"/>
      <c r="J310" t="inlineStr"/>
      <c r="K310" t="inlineStr"/>
      <c r="L310" t="inlineStr"/>
      <c r="M310" t="inlineStr"/>
      <c r="N310" t="inlineStr"/>
    </row>
    <row r="311">
      <c r="A311" t="inlineStr">
        <is>
          <t>kr-busan</t>
        </is>
      </c>
      <c r="B311" t="inlineStr">
        <is>
          <t>Busan</t>
        </is>
      </c>
      <c r="C311" t="inlineStr">
        <is>
          <t>South Korea</t>
        </is>
      </c>
      <c r="D311" t="inlineStr">
        <is>
          <t>East Asia</t>
        </is>
      </c>
      <c r="E311" t="inlineStr">
        <is>
          <t>investment_signal_raw</t>
        </is>
      </c>
      <c r="F311" t="inlineStr">
        <is>
          <t>Investment signal raw</t>
        </is>
      </c>
      <c r="G311" t="inlineStr">
        <is>
          <t>creative</t>
        </is>
      </c>
      <c r="H311" t="inlineStr">
        <is>
          <t>yes</t>
        </is>
      </c>
      <c r="I311" t="inlineStr"/>
      <c r="J311" t="inlineStr"/>
      <c r="K311" t="inlineStr"/>
      <c r="L311" t="inlineStr"/>
      <c r="M311" t="inlineStr"/>
      <c r="N311" t="inlineStr"/>
    </row>
    <row r="312">
      <c r="A312" t="inlineStr">
        <is>
          <t>kr-busan</t>
        </is>
      </c>
      <c r="B312" t="inlineStr">
        <is>
          <t>Busan</t>
        </is>
      </c>
      <c r="C312" t="inlineStr">
        <is>
          <t>South Korea</t>
        </is>
      </c>
      <c r="D312" t="inlineStr">
        <is>
          <t>East Asia</t>
        </is>
      </c>
      <c r="E312" t="inlineStr">
        <is>
          <t>administrative_investment_friction_raw</t>
        </is>
      </c>
      <c r="F312" t="inlineStr">
        <is>
          <t>Administrative investment friction raw</t>
        </is>
      </c>
      <c r="G312" t="inlineStr">
        <is>
          <t>creative</t>
        </is>
      </c>
      <c r="H312" t="inlineStr">
        <is>
          <t>yes</t>
        </is>
      </c>
      <c r="I312" t="inlineStr"/>
      <c r="J312" t="inlineStr"/>
      <c r="K312" t="inlineStr"/>
      <c r="L312" t="inlineStr"/>
      <c r="M312" t="inlineStr"/>
      <c r="N312" t="inlineStr"/>
    </row>
    <row r="313">
      <c r="A313" t="inlineStr">
        <is>
          <t>kr-busan</t>
        </is>
      </c>
      <c r="B313" t="inlineStr">
        <is>
          <t>Busan</t>
        </is>
      </c>
      <c r="C313" t="inlineStr">
        <is>
          <t>South Korea</t>
        </is>
      </c>
      <c r="D313" t="inlineStr">
        <is>
          <t>East Asia</t>
        </is>
      </c>
      <c r="E313" t="inlineStr">
        <is>
          <t>visitor_flow_context_raw</t>
        </is>
      </c>
      <c r="F313" t="inlineStr">
        <is>
          <t>Visitor flow context raw</t>
        </is>
      </c>
      <c r="G313" t="inlineStr">
        <is>
          <t>creative</t>
        </is>
      </c>
      <c r="H313" t="inlineStr">
        <is>
          <t>no</t>
        </is>
      </c>
      <c r="I313" t="inlineStr"/>
      <c r="J313" t="inlineStr"/>
      <c r="K313" t="inlineStr"/>
      <c r="L313" t="inlineStr"/>
      <c r="M313" t="inlineStr"/>
      <c r="N313" t="inlineStr"/>
    </row>
    <row r="314">
      <c r="A314" t="inlineStr">
        <is>
          <t>cn-shanghai</t>
        </is>
      </c>
      <c r="B314" t="inlineStr">
        <is>
          <t>Shanghai</t>
        </is>
      </c>
      <c r="C314" t="inlineStr">
        <is>
          <t>China</t>
        </is>
      </c>
      <c r="D314" t="inlineStr">
        <is>
          <t>East Asia</t>
        </is>
      </c>
      <c r="E314" t="inlineStr">
        <is>
          <t>gross_income</t>
        </is>
      </c>
      <c r="F314" t="inlineStr">
        <is>
          <t>Gross income</t>
        </is>
      </c>
      <c r="G314" t="inlineStr">
        <is>
          <t>pressure</t>
        </is>
      </c>
      <c r="H314" t="inlineStr">
        <is>
          <t>yes</t>
        </is>
      </c>
      <c r="I314" t="inlineStr"/>
      <c r="J314" t="inlineStr"/>
      <c r="K314" t="inlineStr"/>
      <c r="L314" t="inlineStr"/>
      <c r="M314" t="inlineStr"/>
      <c r="N314" t="inlineStr"/>
    </row>
    <row r="315">
      <c r="A315" t="inlineStr">
        <is>
          <t>cn-shanghai</t>
        </is>
      </c>
      <c r="B315" t="inlineStr">
        <is>
          <t>Shanghai</t>
        </is>
      </c>
      <c r="C315" t="inlineStr">
        <is>
          <t>China</t>
        </is>
      </c>
      <c r="D315" t="inlineStr">
        <is>
          <t>East Asia</t>
        </is>
      </c>
      <c r="E315" t="inlineStr">
        <is>
          <t>rent</t>
        </is>
      </c>
      <c r="F315" t="inlineStr">
        <is>
          <t>Rent</t>
        </is>
      </c>
      <c r="G315" t="inlineStr">
        <is>
          <t>pressure</t>
        </is>
      </c>
      <c r="H315" t="inlineStr">
        <is>
          <t>yes</t>
        </is>
      </c>
      <c r="I315" t="inlineStr"/>
      <c r="J315" t="inlineStr"/>
      <c r="K315" t="inlineStr"/>
      <c r="L315" t="inlineStr"/>
      <c r="M315" t="inlineStr"/>
      <c r="N315" t="inlineStr"/>
    </row>
    <row r="316">
      <c r="A316" t="inlineStr">
        <is>
          <t>cn-shanghai</t>
        </is>
      </c>
      <c r="B316" t="inlineStr">
        <is>
          <t>Shanghai</t>
        </is>
      </c>
      <c r="C316" t="inlineStr">
        <is>
          <t>China</t>
        </is>
      </c>
      <c r="D316" t="inlineStr">
        <is>
          <t>East Asia</t>
        </is>
      </c>
      <c r="E316" t="inlineStr">
        <is>
          <t>utilities</t>
        </is>
      </c>
      <c r="F316" t="inlineStr">
        <is>
          <t>Utilities</t>
        </is>
      </c>
      <c r="G316" t="inlineStr">
        <is>
          <t>pressure</t>
        </is>
      </c>
      <c r="H316" t="inlineStr">
        <is>
          <t>yes</t>
        </is>
      </c>
      <c r="I316" t="inlineStr"/>
      <c r="J316" t="inlineStr"/>
      <c r="K316" t="inlineStr"/>
      <c r="L316" t="inlineStr"/>
      <c r="M316" t="inlineStr"/>
      <c r="N316" t="inlineStr"/>
    </row>
    <row r="317">
      <c r="A317" t="inlineStr">
        <is>
          <t>cn-shanghai</t>
        </is>
      </c>
      <c r="B317" t="inlineStr">
        <is>
          <t>Shanghai</t>
        </is>
      </c>
      <c r="C317" t="inlineStr">
        <is>
          <t>China</t>
        </is>
      </c>
      <c r="D317" t="inlineStr">
        <is>
          <t>East Asia</t>
        </is>
      </c>
      <c r="E317" t="inlineStr">
        <is>
          <t>transit_cost</t>
        </is>
      </c>
      <c r="F317" t="inlineStr">
        <is>
          <t>Transit cost</t>
        </is>
      </c>
      <c r="G317" t="inlineStr">
        <is>
          <t>pressure</t>
        </is>
      </c>
      <c r="H317" t="inlineStr">
        <is>
          <t>yes</t>
        </is>
      </c>
      <c r="I317" t="inlineStr"/>
      <c r="J317" t="inlineStr"/>
      <c r="K317" t="inlineStr"/>
      <c r="L317" t="inlineStr"/>
      <c r="M317" t="inlineStr"/>
      <c r="N317" t="inlineStr"/>
    </row>
    <row r="318">
      <c r="A318" t="inlineStr">
        <is>
          <t>cn-shanghai</t>
        </is>
      </c>
      <c r="B318" t="inlineStr">
        <is>
          <t>Shanghai</t>
        </is>
      </c>
      <c r="C318" t="inlineStr">
        <is>
          <t>China</t>
        </is>
      </c>
      <c r="D318" t="inlineStr">
        <is>
          <t>East Asia</t>
        </is>
      </c>
      <c r="E318" t="inlineStr">
        <is>
          <t>internet_cost</t>
        </is>
      </c>
      <c r="F318" t="inlineStr">
        <is>
          <t>Internet cost</t>
        </is>
      </c>
      <c r="G318" t="inlineStr">
        <is>
          <t>pressure</t>
        </is>
      </c>
      <c r="H318" t="inlineStr">
        <is>
          <t>yes</t>
        </is>
      </c>
      <c r="I318" t="inlineStr"/>
      <c r="J318" t="inlineStr"/>
      <c r="K318" t="inlineStr"/>
      <c r="L318" t="inlineStr"/>
      <c r="M318" t="inlineStr"/>
      <c r="N318" t="inlineStr"/>
    </row>
    <row r="319">
      <c r="A319" t="inlineStr">
        <is>
          <t>cn-shanghai</t>
        </is>
      </c>
      <c r="B319" t="inlineStr">
        <is>
          <t>Shanghai</t>
        </is>
      </c>
      <c r="C319" t="inlineStr">
        <is>
          <t>China</t>
        </is>
      </c>
      <c r="D319" t="inlineStr">
        <is>
          <t>East Asia</t>
        </is>
      </c>
      <c r="E319" t="inlineStr">
        <is>
          <t>food_cost</t>
        </is>
      </c>
      <c r="F319" t="inlineStr">
        <is>
          <t>Food cost</t>
        </is>
      </c>
      <c r="G319" t="inlineStr">
        <is>
          <t>pressure</t>
        </is>
      </c>
      <c r="H319" t="inlineStr">
        <is>
          <t>yes</t>
        </is>
      </c>
      <c r="I319" t="inlineStr"/>
      <c r="J319" t="inlineStr"/>
      <c r="K319" t="inlineStr"/>
      <c r="L319" t="inlineStr"/>
      <c r="M319" t="inlineStr"/>
      <c r="N319" t="inlineStr"/>
    </row>
    <row r="320">
      <c r="A320" t="inlineStr">
        <is>
          <t>cn-shanghai</t>
        </is>
      </c>
      <c r="B320" t="inlineStr">
        <is>
          <t>Shanghai</t>
        </is>
      </c>
      <c r="C320" t="inlineStr">
        <is>
          <t>China</t>
        </is>
      </c>
      <c r="D320" t="inlineStr">
        <is>
          <t>East Asia</t>
        </is>
      </c>
      <c r="E320" t="inlineStr">
        <is>
          <t>housing_burden_raw</t>
        </is>
      </c>
      <c r="F320" t="inlineStr">
        <is>
          <t>Housing burden raw</t>
        </is>
      </c>
      <c r="G320" t="inlineStr">
        <is>
          <t>pressure</t>
        </is>
      </c>
      <c r="H320" t="inlineStr">
        <is>
          <t>yes</t>
        </is>
      </c>
      <c r="I320" t="inlineStr"/>
      <c r="J320" t="inlineStr"/>
      <c r="K320" t="inlineStr"/>
      <c r="L320" t="inlineStr"/>
      <c r="M320" t="inlineStr"/>
      <c r="N320" t="inlineStr"/>
    </row>
    <row r="321">
      <c r="A321" t="inlineStr">
        <is>
          <t>cn-shanghai</t>
        </is>
      </c>
      <c r="B321" t="inlineStr">
        <is>
          <t>Shanghai</t>
        </is>
      </c>
      <c r="C321" t="inlineStr">
        <is>
          <t>China</t>
        </is>
      </c>
      <c r="D321" t="inlineStr">
        <is>
          <t>East Asia</t>
        </is>
      </c>
      <c r="E321" t="inlineStr">
        <is>
          <t>household_debt_burden_raw</t>
        </is>
      </c>
      <c r="F321" t="inlineStr">
        <is>
          <t>Household debt burden raw</t>
        </is>
      </c>
      <c r="G321" t="inlineStr">
        <is>
          <t>pressure</t>
        </is>
      </c>
      <c r="H321" t="inlineStr">
        <is>
          <t>yes</t>
        </is>
      </c>
      <c r="I321" t="inlineStr"/>
      <c r="J321" t="inlineStr"/>
      <c r="K321" t="inlineStr"/>
      <c r="L321" t="inlineStr"/>
      <c r="M321" t="inlineStr"/>
      <c r="N321" t="inlineStr"/>
    </row>
    <row r="322">
      <c r="A322" t="inlineStr">
        <is>
          <t>cn-shanghai</t>
        </is>
      </c>
      <c r="B322" t="inlineStr">
        <is>
          <t>Shanghai</t>
        </is>
      </c>
      <c r="C322" t="inlineStr">
        <is>
          <t>China</t>
        </is>
      </c>
      <c r="D322" t="inlineStr">
        <is>
          <t>East Asia</t>
        </is>
      </c>
      <c r="E322" t="inlineStr">
        <is>
          <t>working_time_pressure_raw</t>
        </is>
      </c>
      <c r="F322" t="inlineStr">
        <is>
          <t>Working time pressure raw</t>
        </is>
      </c>
      <c r="G322" t="inlineStr">
        <is>
          <t>pressure</t>
        </is>
      </c>
      <c r="H322" t="inlineStr">
        <is>
          <t>yes</t>
        </is>
      </c>
      <c r="I322" t="inlineStr"/>
      <c r="J322" t="inlineStr"/>
      <c r="K322" t="inlineStr"/>
      <c r="L322" t="inlineStr"/>
      <c r="M322" t="inlineStr"/>
      <c r="N322" t="inlineStr"/>
    </row>
    <row r="323">
      <c r="A323" t="inlineStr">
        <is>
          <t>cn-shanghai</t>
        </is>
      </c>
      <c r="B323" t="inlineStr">
        <is>
          <t>Shanghai</t>
        </is>
      </c>
      <c r="C323" t="inlineStr">
        <is>
          <t>China</t>
        </is>
      </c>
      <c r="D323" t="inlineStr">
        <is>
          <t>East Asia</t>
        </is>
      </c>
      <c r="E323" t="inlineStr">
        <is>
          <t>suicide_mental_strain_raw</t>
        </is>
      </c>
      <c r="F323" t="inlineStr">
        <is>
          <t>Suicide or mental strain raw</t>
        </is>
      </c>
      <c r="G323" t="inlineStr">
        <is>
          <t>pressure</t>
        </is>
      </c>
      <c r="H323" t="inlineStr">
        <is>
          <t>yes</t>
        </is>
      </c>
      <c r="I323" t="inlineStr"/>
      <c r="J323" t="inlineStr"/>
      <c r="K323" t="inlineStr"/>
      <c r="L323" t="inlineStr"/>
      <c r="M323" t="inlineStr"/>
      <c r="N323" t="inlineStr"/>
    </row>
    <row r="324">
      <c r="A324" t="inlineStr">
        <is>
          <t>cn-shanghai</t>
        </is>
      </c>
      <c r="B324" t="inlineStr">
        <is>
          <t>Shanghai</t>
        </is>
      </c>
      <c r="C324" t="inlineStr">
        <is>
          <t>China</t>
        </is>
      </c>
      <c r="D324" t="inlineStr">
        <is>
          <t>East Asia</t>
        </is>
      </c>
      <c r="E324" t="inlineStr">
        <is>
          <t>personal_safety_raw</t>
        </is>
      </c>
      <c r="F324" t="inlineStr">
        <is>
          <t>Personal safety raw</t>
        </is>
      </c>
      <c r="G324" t="inlineStr">
        <is>
          <t>viability</t>
        </is>
      </c>
      <c r="H324" t="inlineStr">
        <is>
          <t>yes</t>
        </is>
      </c>
      <c r="I324" t="inlineStr"/>
      <c r="J324" t="inlineStr"/>
      <c r="K324" t="inlineStr"/>
      <c r="L324" t="inlineStr"/>
      <c r="M324" t="inlineStr"/>
      <c r="N324" t="inlineStr"/>
    </row>
    <row r="325">
      <c r="A325" t="inlineStr">
        <is>
          <t>cn-shanghai</t>
        </is>
      </c>
      <c r="B325" t="inlineStr">
        <is>
          <t>Shanghai</t>
        </is>
      </c>
      <c r="C325" t="inlineStr">
        <is>
          <t>China</t>
        </is>
      </c>
      <c r="D325" t="inlineStr">
        <is>
          <t>East Asia</t>
        </is>
      </c>
      <c r="E325" t="inlineStr">
        <is>
          <t>transit_access_commute_raw</t>
        </is>
      </c>
      <c r="F325" t="inlineStr">
        <is>
          <t>Transit access and commute raw</t>
        </is>
      </c>
      <c r="G325" t="inlineStr">
        <is>
          <t>viability</t>
        </is>
      </c>
      <c r="H325" t="inlineStr">
        <is>
          <t>yes</t>
        </is>
      </c>
      <c r="I325" t="inlineStr"/>
      <c r="J325" t="inlineStr"/>
      <c r="K325" t="inlineStr"/>
      <c r="L325" t="inlineStr"/>
      <c r="M325" t="inlineStr"/>
      <c r="N325" t="inlineStr"/>
    </row>
    <row r="326">
      <c r="A326" t="inlineStr">
        <is>
          <t>cn-shanghai</t>
        </is>
      </c>
      <c r="B326" t="inlineStr">
        <is>
          <t>Shanghai</t>
        </is>
      </c>
      <c r="C326" t="inlineStr">
        <is>
          <t>China</t>
        </is>
      </c>
      <c r="D326" t="inlineStr">
        <is>
          <t>East Asia</t>
        </is>
      </c>
      <c r="E326" t="inlineStr">
        <is>
          <t>clean_air_raw</t>
        </is>
      </c>
      <c r="F326" t="inlineStr">
        <is>
          <t>Clean air raw</t>
        </is>
      </c>
      <c r="G326" t="inlineStr">
        <is>
          <t>viability</t>
        </is>
      </c>
      <c r="H326" t="inlineStr">
        <is>
          <t>yes</t>
        </is>
      </c>
      <c r="I326" t="inlineStr"/>
      <c r="J326" t="inlineStr"/>
      <c r="K326" t="inlineStr"/>
      <c r="L326" t="inlineStr"/>
      <c r="M326" t="inlineStr"/>
      <c r="N326" t="inlineStr"/>
    </row>
    <row r="327">
      <c r="A327" t="inlineStr">
        <is>
          <t>cn-shanghai</t>
        </is>
      </c>
      <c r="B327" t="inlineStr">
        <is>
          <t>Shanghai</t>
        </is>
      </c>
      <c r="C327" t="inlineStr">
        <is>
          <t>China</t>
        </is>
      </c>
      <c r="D327" t="inlineStr">
        <is>
          <t>East Asia</t>
        </is>
      </c>
      <c r="E327" t="inlineStr">
        <is>
          <t>water_sanitation_utility_raw</t>
        </is>
      </c>
      <c r="F327" t="inlineStr">
        <is>
          <t>Water, sanitation, and utility raw</t>
        </is>
      </c>
      <c r="G327" t="inlineStr">
        <is>
          <t>viability</t>
        </is>
      </c>
      <c r="H327" t="inlineStr">
        <is>
          <t>yes</t>
        </is>
      </c>
      <c r="I327" t="inlineStr"/>
      <c r="J327" t="inlineStr"/>
      <c r="K327" t="inlineStr"/>
      <c r="L327" t="inlineStr"/>
      <c r="M327" t="inlineStr"/>
      <c r="N327" t="inlineStr"/>
    </row>
    <row r="328">
      <c r="A328" t="inlineStr">
        <is>
          <t>cn-shanghai</t>
        </is>
      </c>
      <c r="B328" t="inlineStr">
        <is>
          <t>Shanghai</t>
        </is>
      </c>
      <c r="C328" t="inlineStr">
        <is>
          <t>China</t>
        </is>
      </c>
      <c r="D328" t="inlineStr">
        <is>
          <t>East Asia</t>
        </is>
      </c>
      <c r="E328" t="inlineStr">
        <is>
          <t>digital_infrastructure_raw</t>
        </is>
      </c>
      <c r="F328" t="inlineStr">
        <is>
          <t>Digital infrastructure raw</t>
        </is>
      </c>
      <c r="G328" t="inlineStr">
        <is>
          <t>viability</t>
        </is>
      </c>
      <c r="H328" t="inlineStr">
        <is>
          <t>yes</t>
        </is>
      </c>
      <c r="I328" t="inlineStr"/>
      <c r="J328" t="inlineStr"/>
      <c r="K328" t="inlineStr"/>
      <c r="L328" t="inlineStr"/>
      <c r="M328" t="inlineStr"/>
      <c r="N328" t="inlineStr"/>
    </row>
    <row r="329">
      <c r="A329" t="inlineStr">
        <is>
          <t>cn-shanghai</t>
        </is>
      </c>
      <c r="B329" t="inlineStr">
        <is>
          <t>Shanghai</t>
        </is>
      </c>
      <c r="C329" t="inlineStr">
        <is>
          <t>China</t>
        </is>
      </c>
      <c r="D329" t="inlineStr">
        <is>
          <t>East Asia</t>
        </is>
      </c>
      <c r="E329" t="inlineStr">
        <is>
          <t>healthcare_quality_raw</t>
        </is>
      </c>
      <c r="F329" t="inlineStr">
        <is>
          <t>Healthcare quality raw</t>
        </is>
      </c>
      <c r="G329" t="inlineStr">
        <is>
          <t>capability</t>
        </is>
      </c>
      <c r="H329" t="inlineStr">
        <is>
          <t>yes</t>
        </is>
      </c>
      <c r="I329" t="inlineStr"/>
      <c r="J329" t="inlineStr"/>
      <c r="K329" t="inlineStr"/>
      <c r="L329" t="inlineStr"/>
      <c r="M329" t="inlineStr"/>
      <c r="N329" t="inlineStr"/>
    </row>
    <row r="330">
      <c r="A330" t="inlineStr">
        <is>
          <t>cn-shanghai</t>
        </is>
      </c>
      <c r="B330" t="inlineStr">
        <is>
          <t>Shanghai</t>
        </is>
      </c>
      <c r="C330" t="inlineStr">
        <is>
          <t>China</t>
        </is>
      </c>
      <c r="D330" t="inlineStr">
        <is>
          <t>East Asia</t>
        </is>
      </c>
      <c r="E330" t="inlineStr">
        <is>
          <t>education_quality_raw</t>
        </is>
      </c>
      <c r="F330" t="inlineStr">
        <is>
          <t>Education quality raw</t>
        </is>
      </c>
      <c r="G330" t="inlineStr">
        <is>
          <t>capability</t>
        </is>
      </c>
      <c r="H330" t="inlineStr">
        <is>
          <t>yes</t>
        </is>
      </c>
      <c r="I330" t="inlineStr"/>
      <c r="J330" t="inlineStr"/>
      <c r="K330" t="inlineStr"/>
      <c r="L330" t="inlineStr"/>
      <c r="M330" t="inlineStr"/>
      <c r="N330" t="inlineStr"/>
    </row>
    <row r="331">
      <c r="A331" t="inlineStr">
        <is>
          <t>cn-shanghai</t>
        </is>
      </c>
      <c r="B331" t="inlineStr">
        <is>
          <t>Shanghai</t>
        </is>
      </c>
      <c r="C331" t="inlineStr">
        <is>
          <t>China</t>
        </is>
      </c>
      <c r="D331" t="inlineStr">
        <is>
          <t>East Asia</t>
        </is>
      </c>
      <c r="E331" t="inlineStr">
        <is>
          <t>equal_opportunity_raw</t>
        </is>
      </c>
      <c r="F331" t="inlineStr">
        <is>
          <t>Equal opportunity raw</t>
        </is>
      </c>
      <c r="G331" t="inlineStr">
        <is>
          <t>capability</t>
        </is>
      </c>
      <c r="H331" t="inlineStr">
        <is>
          <t>yes</t>
        </is>
      </c>
      <c r="I331" t="inlineStr"/>
      <c r="J331" t="inlineStr"/>
      <c r="K331" t="inlineStr"/>
      <c r="L331" t="inlineStr"/>
      <c r="M331" t="inlineStr"/>
      <c r="N331" t="inlineStr"/>
    </row>
    <row r="332">
      <c r="A332" t="inlineStr">
        <is>
          <t>cn-shanghai</t>
        </is>
      </c>
      <c r="B332" t="inlineStr">
        <is>
          <t>Shanghai</t>
        </is>
      </c>
      <c r="C332" t="inlineStr">
        <is>
          <t>China</t>
        </is>
      </c>
      <c r="D332" t="inlineStr">
        <is>
          <t>East Asia</t>
        </is>
      </c>
      <c r="E332" t="inlineStr">
        <is>
          <t>hospitality_belonging_raw</t>
        </is>
      </c>
      <c r="F332" t="inlineStr">
        <is>
          <t>Hospitality and belonging raw</t>
        </is>
      </c>
      <c r="G332" t="inlineStr">
        <is>
          <t>community</t>
        </is>
      </c>
      <c r="H332" t="inlineStr">
        <is>
          <t>yes</t>
        </is>
      </c>
      <c r="I332" t="inlineStr"/>
      <c r="J332" t="inlineStr"/>
      <c r="K332" t="inlineStr"/>
      <c r="L332" t="inlineStr"/>
      <c r="M332" t="inlineStr"/>
      <c r="N332" t="inlineStr"/>
    </row>
    <row r="333">
      <c r="A333" t="inlineStr">
        <is>
          <t>cn-shanghai</t>
        </is>
      </c>
      <c r="B333" t="inlineStr">
        <is>
          <t>Shanghai</t>
        </is>
      </c>
      <c r="C333" t="inlineStr">
        <is>
          <t>China</t>
        </is>
      </c>
      <c r="D333" t="inlineStr">
        <is>
          <t>East Asia</t>
        </is>
      </c>
      <c r="E333" t="inlineStr">
        <is>
          <t>tolerance_pluralism_raw</t>
        </is>
      </c>
      <c r="F333" t="inlineStr">
        <is>
          <t>Tolerance and pluralism raw</t>
        </is>
      </c>
      <c r="G333" t="inlineStr">
        <is>
          <t>community</t>
        </is>
      </c>
      <c r="H333" t="inlineStr">
        <is>
          <t>yes</t>
        </is>
      </c>
      <c r="I333" t="inlineStr"/>
      <c r="J333" t="inlineStr"/>
      <c r="K333" t="inlineStr"/>
      <c r="L333" t="inlineStr"/>
      <c r="M333" t="inlineStr"/>
      <c r="N333" t="inlineStr"/>
    </row>
    <row r="334">
      <c r="A334" t="inlineStr">
        <is>
          <t>cn-shanghai</t>
        </is>
      </c>
      <c r="B334" t="inlineStr">
        <is>
          <t>Shanghai</t>
        </is>
      </c>
      <c r="C334" t="inlineStr">
        <is>
          <t>China</t>
        </is>
      </c>
      <c r="D334" t="inlineStr">
        <is>
          <t>East Asia</t>
        </is>
      </c>
      <c r="E334" t="inlineStr">
        <is>
          <t>cultural_public_life_raw</t>
        </is>
      </c>
      <c r="F334" t="inlineStr">
        <is>
          <t>Cultural public life raw</t>
        </is>
      </c>
      <c r="G334" t="inlineStr">
        <is>
          <t>community</t>
        </is>
      </c>
      <c r="H334" t="inlineStr">
        <is>
          <t>yes</t>
        </is>
      </c>
      <c r="I334" t="inlineStr"/>
      <c r="J334" t="inlineStr"/>
      <c r="K334" t="inlineStr"/>
      <c r="L334" t="inlineStr"/>
      <c r="M334" t="inlineStr"/>
      <c r="N334" t="inlineStr"/>
    </row>
    <row r="335">
      <c r="A335" t="inlineStr">
        <is>
          <t>cn-shanghai</t>
        </is>
      </c>
      <c r="B335" t="inlineStr">
        <is>
          <t>Shanghai</t>
        </is>
      </c>
      <c r="C335" t="inlineStr">
        <is>
          <t>China</t>
        </is>
      </c>
      <c r="D335" t="inlineStr">
        <is>
          <t>East Asia</t>
        </is>
      </c>
      <c r="E335" t="inlineStr">
        <is>
          <t>entrepreneurial_dynamism_raw</t>
        </is>
      </c>
      <c r="F335" t="inlineStr">
        <is>
          <t>Entrepreneurial dynamism raw</t>
        </is>
      </c>
      <c r="G335" t="inlineStr">
        <is>
          <t>creative</t>
        </is>
      </c>
      <c r="H335" t="inlineStr">
        <is>
          <t>yes</t>
        </is>
      </c>
      <c r="I335" t="inlineStr"/>
      <c r="J335" t="inlineStr"/>
      <c r="K335" t="inlineStr"/>
      <c r="L335" t="inlineStr"/>
      <c r="M335" t="inlineStr"/>
      <c r="N335" t="inlineStr"/>
    </row>
    <row r="336">
      <c r="A336" t="inlineStr">
        <is>
          <t>cn-shanghai</t>
        </is>
      </c>
      <c r="B336" t="inlineStr">
        <is>
          <t>Shanghai</t>
        </is>
      </c>
      <c r="C336" t="inlineStr">
        <is>
          <t>China</t>
        </is>
      </c>
      <c r="D336" t="inlineStr">
        <is>
          <t>East Asia</t>
        </is>
      </c>
      <c r="E336" t="inlineStr">
        <is>
          <t>innovation_research_intensity_raw</t>
        </is>
      </c>
      <c r="F336" t="inlineStr">
        <is>
          <t>Innovation and research raw</t>
        </is>
      </c>
      <c r="G336" t="inlineStr">
        <is>
          <t>creative</t>
        </is>
      </c>
      <c r="H336" t="inlineStr">
        <is>
          <t>yes</t>
        </is>
      </c>
      <c r="I336" t="inlineStr"/>
      <c r="J336" t="inlineStr"/>
      <c r="K336" t="inlineStr"/>
      <c r="L336" t="inlineStr"/>
      <c r="M336" t="inlineStr"/>
      <c r="N336" t="inlineStr"/>
    </row>
    <row r="337">
      <c r="A337" t="inlineStr">
        <is>
          <t>cn-shanghai</t>
        </is>
      </c>
      <c r="B337" t="inlineStr">
        <is>
          <t>Shanghai</t>
        </is>
      </c>
      <c r="C337" t="inlineStr">
        <is>
          <t>China</t>
        </is>
      </c>
      <c r="D337" t="inlineStr">
        <is>
          <t>East Asia</t>
        </is>
      </c>
      <c r="E337" t="inlineStr">
        <is>
          <t>investment_signal_raw</t>
        </is>
      </c>
      <c r="F337" t="inlineStr">
        <is>
          <t>Investment signal raw</t>
        </is>
      </c>
      <c r="G337" t="inlineStr">
        <is>
          <t>creative</t>
        </is>
      </c>
      <c r="H337" t="inlineStr">
        <is>
          <t>yes</t>
        </is>
      </c>
      <c r="I337" t="inlineStr"/>
      <c r="J337" t="inlineStr"/>
      <c r="K337" t="inlineStr"/>
      <c r="L337" t="inlineStr"/>
      <c r="M337" t="inlineStr"/>
      <c r="N337" t="inlineStr"/>
    </row>
    <row r="338">
      <c r="A338" t="inlineStr">
        <is>
          <t>cn-shanghai</t>
        </is>
      </c>
      <c r="B338" t="inlineStr">
        <is>
          <t>Shanghai</t>
        </is>
      </c>
      <c r="C338" t="inlineStr">
        <is>
          <t>China</t>
        </is>
      </c>
      <c r="D338" t="inlineStr">
        <is>
          <t>East Asia</t>
        </is>
      </c>
      <c r="E338" t="inlineStr">
        <is>
          <t>administrative_investment_friction_raw</t>
        </is>
      </c>
      <c r="F338" t="inlineStr">
        <is>
          <t>Administrative investment friction raw</t>
        </is>
      </c>
      <c r="G338" t="inlineStr">
        <is>
          <t>creative</t>
        </is>
      </c>
      <c r="H338" t="inlineStr">
        <is>
          <t>yes</t>
        </is>
      </c>
      <c r="I338" t="inlineStr"/>
      <c r="J338" t="inlineStr"/>
      <c r="K338" t="inlineStr"/>
      <c r="L338" t="inlineStr"/>
      <c r="M338" t="inlineStr"/>
      <c r="N338" t="inlineStr"/>
    </row>
    <row r="339">
      <c r="A339" t="inlineStr">
        <is>
          <t>cn-shanghai</t>
        </is>
      </c>
      <c r="B339" t="inlineStr">
        <is>
          <t>Shanghai</t>
        </is>
      </c>
      <c r="C339" t="inlineStr">
        <is>
          <t>China</t>
        </is>
      </c>
      <c r="D339" t="inlineStr">
        <is>
          <t>East Asia</t>
        </is>
      </c>
      <c r="E339" t="inlineStr">
        <is>
          <t>visitor_flow_context_raw</t>
        </is>
      </c>
      <c r="F339" t="inlineStr">
        <is>
          <t>Visitor flow context raw</t>
        </is>
      </c>
      <c r="G339" t="inlineStr">
        <is>
          <t>creative</t>
        </is>
      </c>
      <c r="H339" t="inlineStr">
        <is>
          <t>no</t>
        </is>
      </c>
      <c r="I339" t="inlineStr"/>
      <c r="J339" t="inlineStr"/>
      <c r="K339" t="inlineStr"/>
      <c r="L339" t="inlineStr"/>
      <c r="M339" t="inlineStr"/>
      <c r="N339" t="inlineStr"/>
    </row>
    <row r="340">
      <c r="A340" t="inlineStr">
        <is>
          <t>cn-shenzhen</t>
        </is>
      </c>
      <c r="B340" t="inlineStr">
        <is>
          <t>Shenzhen</t>
        </is>
      </c>
      <c r="C340" t="inlineStr">
        <is>
          <t>China</t>
        </is>
      </c>
      <c r="D340" t="inlineStr">
        <is>
          <t>East Asia</t>
        </is>
      </c>
      <c r="E340" t="inlineStr">
        <is>
          <t>gross_income</t>
        </is>
      </c>
      <c r="F340" t="inlineStr">
        <is>
          <t>Gross income</t>
        </is>
      </c>
      <c r="G340" t="inlineStr">
        <is>
          <t>pressure</t>
        </is>
      </c>
      <c r="H340" t="inlineStr">
        <is>
          <t>yes</t>
        </is>
      </c>
      <c r="I340" t="inlineStr"/>
      <c r="J340" t="inlineStr"/>
      <c r="K340" t="inlineStr"/>
      <c r="L340" t="inlineStr"/>
      <c r="M340" t="inlineStr"/>
      <c r="N340" t="inlineStr"/>
    </row>
    <row r="341">
      <c r="A341" t="inlineStr">
        <is>
          <t>cn-shenzhen</t>
        </is>
      </c>
      <c r="B341" t="inlineStr">
        <is>
          <t>Shenzhen</t>
        </is>
      </c>
      <c r="C341" t="inlineStr">
        <is>
          <t>China</t>
        </is>
      </c>
      <c r="D341" t="inlineStr">
        <is>
          <t>East Asia</t>
        </is>
      </c>
      <c r="E341" t="inlineStr">
        <is>
          <t>rent</t>
        </is>
      </c>
      <c r="F341" t="inlineStr">
        <is>
          <t>Rent</t>
        </is>
      </c>
      <c r="G341" t="inlineStr">
        <is>
          <t>pressure</t>
        </is>
      </c>
      <c r="H341" t="inlineStr">
        <is>
          <t>yes</t>
        </is>
      </c>
      <c r="I341" t="inlineStr"/>
      <c r="J341" t="inlineStr"/>
      <c r="K341" t="inlineStr"/>
      <c r="L341" t="inlineStr"/>
      <c r="M341" t="inlineStr"/>
      <c r="N341" t="inlineStr"/>
    </row>
    <row r="342">
      <c r="A342" t="inlineStr">
        <is>
          <t>cn-shenzhen</t>
        </is>
      </c>
      <c r="B342" t="inlineStr">
        <is>
          <t>Shenzhen</t>
        </is>
      </c>
      <c r="C342" t="inlineStr">
        <is>
          <t>China</t>
        </is>
      </c>
      <c r="D342" t="inlineStr">
        <is>
          <t>East Asia</t>
        </is>
      </c>
      <c r="E342" t="inlineStr">
        <is>
          <t>utilities</t>
        </is>
      </c>
      <c r="F342" t="inlineStr">
        <is>
          <t>Utilities</t>
        </is>
      </c>
      <c r="G342" t="inlineStr">
        <is>
          <t>pressure</t>
        </is>
      </c>
      <c r="H342" t="inlineStr">
        <is>
          <t>yes</t>
        </is>
      </c>
      <c r="I342" t="inlineStr"/>
      <c r="J342" t="inlineStr"/>
      <c r="K342" t="inlineStr"/>
      <c r="L342" t="inlineStr"/>
      <c r="M342" t="inlineStr"/>
      <c r="N342" t="inlineStr"/>
    </row>
    <row r="343">
      <c r="A343" t="inlineStr">
        <is>
          <t>cn-shenzhen</t>
        </is>
      </c>
      <c r="B343" t="inlineStr">
        <is>
          <t>Shenzhen</t>
        </is>
      </c>
      <c r="C343" t="inlineStr">
        <is>
          <t>China</t>
        </is>
      </c>
      <c r="D343" t="inlineStr">
        <is>
          <t>East Asia</t>
        </is>
      </c>
      <c r="E343" t="inlineStr">
        <is>
          <t>transit_cost</t>
        </is>
      </c>
      <c r="F343" t="inlineStr">
        <is>
          <t>Transit cost</t>
        </is>
      </c>
      <c r="G343" t="inlineStr">
        <is>
          <t>pressure</t>
        </is>
      </c>
      <c r="H343" t="inlineStr">
        <is>
          <t>yes</t>
        </is>
      </c>
      <c r="I343" t="inlineStr"/>
      <c r="J343" t="inlineStr"/>
      <c r="K343" t="inlineStr"/>
      <c r="L343" t="inlineStr"/>
      <c r="M343" t="inlineStr"/>
      <c r="N343" t="inlineStr"/>
    </row>
    <row r="344">
      <c r="A344" t="inlineStr">
        <is>
          <t>cn-shenzhen</t>
        </is>
      </c>
      <c r="B344" t="inlineStr">
        <is>
          <t>Shenzhen</t>
        </is>
      </c>
      <c r="C344" t="inlineStr">
        <is>
          <t>China</t>
        </is>
      </c>
      <c r="D344" t="inlineStr">
        <is>
          <t>East Asia</t>
        </is>
      </c>
      <c r="E344" t="inlineStr">
        <is>
          <t>internet_cost</t>
        </is>
      </c>
      <c r="F344" t="inlineStr">
        <is>
          <t>Internet cost</t>
        </is>
      </c>
      <c r="G344" t="inlineStr">
        <is>
          <t>pressure</t>
        </is>
      </c>
      <c r="H344" t="inlineStr">
        <is>
          <t>yes</t>
        </is>
      </c>
      <c r="I344" t="inlineStr"/>
      <c r="J344" t="inlineStr"/>
      <c r="K344" t="inlineStr"/>
      <c r="L344" t="inlineStr"/>
      <c r="M344" t="inlineStr"/>
      <c r="N344" t="inlineStr"/>
    </row>
    <row r="345">
      <c r="A345" t="inlineStr">
        <is>
          <t>cn-shenzhen</t>
        </is>
      </c>
      <c r="B345" t="inlineStr">
        <is>
          <t>Shenzhen</t>
        </is>
      </c>
      <c r="C345" t="inlineStr">
        <is>
          <t>China</t>
        </is>
      </c>
      <c r="D345" t="inlineStr">
        <is>
          <t>East Asia</t>
        </is>
      </c>
      <c r="E345" t="inlineStr">
        <is>
          <t>food_cost</t>
        </is>
      </c>
      <c r="F345" t="inlineStr">
        <is>
          <t>Food cost</t>
        </is>
      </c>
      <c r="G345" t="inlineStr">
        <is>
          <t>pressure</t>
        </is>
      </c>
      <c r="H345" t="inlineStr">
        <is>
          <t>yes</t>
        </is>
      </c>
      <c r="I345" t="inlineStr"/>
      <c r="J345" t="inlineStr"/>
      <c r="K345" t="inlineStr"/>
      <c r="L345" t="inlineStr"/>
      <c r="M345" t="inlineStr"/>
      <c r="N345" t="inlineStr"/>
    </row>
    <row r="346">
      <c r="A346" t="inlineStr">
        <is>
          <t>cn-shenzhen</t>
        </is>
      </c>
      <c r="B346" t="inlineStr">
        <is>
          <t>Shenzhen</t>
        </is>
      </c>
      <c r="C346" t="inlineStr">
        <is>
          <t>China</t>
        </is>
      </c>
      <c r="D346" t="inlineStr">
        <is>
          <t>East Asia</t>
        </is>
      </c>
      <c r="E346" t="inlineStr">
        <is>
          <t>housing_burden_raw</t>
        </is>
      </c>
      <c r="F346" t="inlineStr">
        <is>
          <t>Housing burden raw</t>
        </is>
      </c>
      <c r="G346" t="inlineStr">
        <is>
          <t>pressure</t>
        </is>
      </c>
      <c r="H346" t="inlineStr">
        <is>
          <t>yes</t>
        </is>
      </c>
      <c r="I346" t="inlineStr"/>
      <c r="J346" t="inlineStr"/>
      <c r="K346" t="inlineStr"/>
      <c r="L346" t="inlineStr"/>
      <c r="M346" t="inlineStr"/>
      <c r="N346" t="inlineStr"/>
    </row>
    <row r="347">
      <c r="A347" t="inlineStr">
        <is>
          <t>cn-shenzhen</t>
        </is>
      </c>
      <c r="B347" t="inlineStr">
        <is>
          <t>Shenzhen</t>
        </is>
      </c>
      <c r="C347" t="inlineStr">
        <is>
          <t>China</t>
        </is>
      </c>
      <c r="D347" t="inlineStr">
        <is>
          <t>East Asia</t>
        </is>
      </c>
      <c r="E347" t="inlineStr">
        <is>
          <t>household_debt_burden_raw</t>
        </is>
      </c>
      <c r="F347" t="inlineStr">
        <is>
          <t>Household debt burden raw</t>
        </is>
      </c>
      <c r="G347" t="inlineStr">
        <is>
          <t>pressure</t>
        </is>
      </c>
      <c r="H347" t="inlineStr">
        <is>
          <t>yes</t>
        </is>
      </c>
      <c r="I347" t="inlineStr"/>
      <c r="J347" t="inlineStr"/>
      <c r="K347" t="inlineStr"/>
      <c r="L347" t="inlineStr"/>
      <c r="M347" t="inlineStr"/>
      <c r="N347" t="inlineStr"/>
    </row>
    <row r="348">
      <c r="A348" t="inlineStr">
        <is>
          <t>cn-shenzhen</t>
        </is>
      </c>
      <c r="B348" t="inlineStr">
        <is>
          <t>Shenzhen</t>
        </is>
      </c>
      <c r="C348" t="inlineStr">
        <is>
          <t>China</t>
        </is>
      </c>
      <c r="D348" t="inlineStr">
        <is>
          <t>East Asia</t>
        </is>
      </c>
      <c r="E348" t="inlineStr">
        <is>
          <t>working_time_pressure_raw</t>
        </is>
      </c>
      <c r="F348" t="inlineStr">
        <is>
          <t>Working time pressure raw</t>
        </is>
      </c>
      <c r="G348" t="inlineStr">
        <is>
          <t>pressure</t>
        </is>
      </c>
      <c r="H348" t="inlineStr">
        <is>
          <t>yes</t>
        </is>
      </c>
      <c r="I348" t="inlineStr"/>
      <c r="J348" t="inlineStr"/>
      <c r="K348" t="inlineStr"/>
      <c r="L348" t="inlineStr"/>
      <c r="M348" t="inlineStr"/>
      <c r="N348" t="inlineStr"/>
    </row>
    <row r="349">
      <c r="A349" t="inlineStr">
        <is>
          <t>cn-shenzhen</t>
        </is>
      </c>
      <c r="B349" t="inlineStr">
        <is>
          <t>Shenzhen</t>
        </is>
      </c>
      <c r="C349" t="inlineStr">
        <is>
          <t>China</t>
        </is>
      </c>
      <c r="D349" t="inlineStr">
        <is>
          <t>East Asia</t>
        </is>
      </c>
      <c r="E349" t="inlineStr">
        <is>
          <t>suicide_mental_strain_raw</t>
        </is>
      </c>
      <c r="F349" t="inlineStr">
        <is>
          <t>Suicide or mental strain raw</t>
        </is>
      </c>
      <c r="G349" t="inlineStr">
        <is>
          <t>pressure</t>
        </is>
      </c>
      <c r="H349" t="inlineStr">
        <is>
          <t>yes</t>
        </is>
      </c>
      <c r="I349" t="inlineStr"/>
      <c r="J349" t="inlineStr"/>
      <c r="K349" t="inlineStr"/>
      <c r="L349" t="inlineStr"/>
      <c r="M349" t="inlineStr"/>
      <c r="N349" t="inlineStr"/>
    </row>
    <row r="350">
      <c r="A350" t="inlineStr">
        <is>
          <t>cn-shenzhen</t>
        </is>
      </c>
      <c r="B350" t="inlineStr">
        <is>
          <t>Shenzhen</t>
        </is>
      </c>
      <c r="C350" t="inlineStr">
        <is>
          <t>China</t>
        </is>
      </c>
      <c r="D350" t="inlineStr">
        <is>
          <t>East Asia</t>
        </is>
      </c>
      <c r="E350" t="inlineStr">
        <is>
          <t>personal_safety_raw</t>
        </is>
      </c>
      <c r="F350" t="inlineStr">
        <is>
          <t>Personal safety raw</t>
        </is>
      </c>
      <c r="G350" t="inlineStr">
        <is>
          <t>viability</t>
        </is>
      </c>
      <c r="H350" t="inlineStr">
        <is>
          <t>yes</t>
        </is>
      </c>
      <c r="I350" t="inlineStr"/>
      <c r="J350" t="inlineStr"/>
      <c r="K350" t="inlineStr"/>
      <c r="L350" t="inlineStr"/>
      <c r="M350" t="inlineStr"/>
      <c r="N350" t="inlineStr"/>
    </row>
    <row r="351">
      <c r="A351" t="inlineStr">
        <is>
          <t>cn-shenzhen</t>
        </is>
      </c>
      <c r="B351" t="inlineStr">
        <is>
          <t>Shenzhen</t>
        </is>
      </c>
      <c r="C351" t="inlineStr">
        <is>
          <t>China</t>
        </is>
      </c>
      <c r="D351" t="inlineStr">
        <is>
          <t>East Asia</t>
        </is>
      </c>
      <c r="E351" t="inlineStr">
        <is>
          <t>transit_access_commute_raw</t>
        </is>
      </c>
      <c r="F351" t="inlineStr">
        <is>
          <t>Transit access and commute raw</t>
        </is>
      </c>
      <c r="G351" t="inlineStr">
        <is>
          <t>viability</t>
        </is>
      </c>
      <c r="H351" t="inlineStr">
        <is>
          <t>yes</t>
        </is>
      </c>
      <c r="I351" t="inlineStr"/>
      <c r="J351" t="inlineStr"/>
      <c r="K351" t="inlineStr"/>
      <c r="L351" t="inlineStr"/>
      <c r="M351" t="inlineStr"/>
      <c r="N351" t="inlineStr"/>
    </row>
    <row r="352">
      <c r="A352" t="inlineStr">
        <is>
          <t>cn-shenzhen</t>
        </is>
      </c>
      <c r="B352" t="inlineStr">
        <is>
          <t>Shenzhen</t>
        </is>
      </c>
      <c r="C352" t="inlineStr">
        <is>
          <t>China</t>
        </is>
      </c>
      <c r="D352" t="inlineStr">
        <is>
          <t>East Asia</t>
        </is>
      </c>
      <c r="E352" t="inlineStr">
        <is>
          <t>clean_air_raw</t>
        </is>
      </c>
      <c r="F352" t="inlineStr">
        <is>
          <t>Clean air raw</t>
        </is>
      </c>
      <c r="G352" t="inlineStr">
        <is>
          <t>viability</t>
        </is>
      </c>
      <c r="H352" t="inlineStr">
        <is>
          <t>yes</t>
        </is>
      </c>
      <c r="I352" t="inlineStr"/>
      <c r="J352" t="inlineStr"/>
      <c r="K352" t="inlineStr"/>
      <c r="L352" t="inlineStr"/>
      <c r="M352" t="inlineStr"/>
      <c r="N352" t="inlineStr"/>
    </row>
    <row r="353">
      <c r="A353" t="inlineStr">
        <is>
          <t>cn-shenzhen</t>
        </is>
      </c>
      <c r="B353" t="inlineStr">
        <is>
          <t>Shenzhen</t>
        </is>
      </c>
      <c r="C353" t="inlineStr">
        <is>
          <t>China</t>
        </is>
      </c>
      <c r="D353" t="inlineStr">
        <is>
          <t>East Asia</t>
        </is>
      </c>
      <c r="E353" t="inlineStr">
        <is>
          <t>water_sanitation_utility_raw</t>
        </is>
      </c>
      <c r="F353" t="inlineStr">
        <is>
          <t>Water, sanitation, and utility raw</t>
        </is>
      </c>
      <c r="G353" t="inlineStr">
        <is>
          <t>viability</t>
        </is>
      </c>
      <c r="H353" t="inlineStr">
        <is>
          <t>yes</t>
        </is>
      </c>
      <c r="I353" t="inlineStr"/>
      <c r="J353" t="inlineStr"/>
      <c r="K353" t="inlineStr"/>
      <c r="L353" t="inlineStr"/>
      <c r="M353" t="inlineStr"/>
      <c r="N353" t="inlineStr"/>
    </row>
    <row r="354">
      <c r="A354" t="inlineStr">
        <is>
          <t>cn-shenzhen</t>
        </is>
      </c>
      <c r="B354" t="inlineStr">
        <is>
          <t>Shenzhen</t>
        </is>
      </c>
      <c r="C354" t="inlineStr">
        <is>
          <t>China</t>
        </is>
      </c>
      <c r="D354" t="inlineStr">
        <is>
          <t>East Asia</t>
        </is>
      </c>
      <c r="E354" t="inlineStr">
        <is>
          <t>digital_infrastructure_raw</t>
        </is>
      </c>
      <c r="F354" t="inlineStr">
        <is>
          <t>Digital infrastructure raw</t>
        </is>
      </c>
      <c r="G354" t="inlineStr">
        <is>
          <t>viability</t>
        </is>
      </c>
      <c r="H354" t="inlineStr">
        <is>
          <t>yes</t>
        </is>
      </c>
      <c r="I354" t="inlineStr"/>
      <c r="J354" t="inlineStr"/>
      <c r="K354" t="inlineStr"/>
      <c r="L354" t="inlineStr"/>
      <c r="M354" t="inlineStr"/>
      <c r="N354" t="inlineStr"/>
    </row>
    <row r="355">
      <c r="A355" t="inlineStr">
        <is>
          <t>cn-shenzhen</t>
        </is>
      </c>
      <c r="B355" t="inlineStr">
        <is>
          <t>Shenzhen</t>
        </is>
      </c>
      <c r="C355" t="inlineStr">
        <is>
          <t>China</t>
        </is>
      </c>
      <c r="D355" t="inlineStr">
        <is>
          <t>East Asia</t>
        </is>
      </c>
      <c r="E355" t="inlineStr">
        <is>
          <t>healthcare_quality_raw</t>
        </is>
      </c>
      <c r="F355" t="inlineStr">
        <is>
          <t>Healthcare quality raw</t>
        </is>
      </c>
      <c r="G355" t="inlineStr">
        <is>
          <t>capability</t>
        </is>
      </c>
      <c r="H355" t="inlineStr">
        <is>
          <t>yes</t>
        </is>
      </c>
      <c r="I355" t="inlineStr"/>
      <c r="J355" t="inlineStr"/>
      <c r="K355" t="inlineStr"/>
      <c r="L355" t="inlineStr"/>
      <c r="M355" t="inlineStr"/>
      <c r="N355" t="inlineStr"/>
    </row>
    <row r="356">
      <c r="A356" t="inlineStr">
        <is>
          <t>cn-shenzhen</t>
        </is>
      </c>
      <c r="B356" t="inlineStr">
        <is>
          <t>Shenzhen</t>
        </is>
      </c>
      <c r="C356" t="inlineStr">
        <is>
          <t>China</t>
        </is>
      </c>
      <c r="D356" t="inlineStr">
        <is>
          <t>East Asia</t>
        </is>
      </c>
      <c r="E356" t="inlineStr">
        <is>
          <t>education_quality_raw</t>
        </is>
      </c>
      <c r="F356" t="inlineStr">
        <is>
          <t>Education quality raw</t>
        </is>
      </c>
      <c r="G356" t="inlineStr">
        <is>
          <t>capability</t>
        </is>
      </c>
      <c r="H356" t="inlineStr">
        <is>
          <t>yes</t>
        </is>
      </c>
      <c r="I356" t="inlineStr"/>
      <c r="J356" t="inlineStr"/>
      <c r="K356" t="inlineStr"/>
      <c r="L356" t="inlineStr"/>
      <c r="M356" t="inlineStr"/>
      <c r="N356" t="inlineStr"/>
    </row>
    <row r="357">
      <c r="A357" t="inlineStr">
        <is>
          <t>cn-shenzhen</t>
        </is>
      </c>
      <c r="B357" t="inlineStr">
        <is>
          <t>Shenzhen</t>
        </is>
      </c>
      <c r="C357" t="inlineStr">
        <is>
          <t>China</t>
        </is>
      </c>
      <c r="D357" t="inlineStr">
        <is>
          <t>East Asia</t>
        </is>
      </c>
      <c r="E357" t="inlineStr">
        <is>
          <t>equal_opportunity_raw</t>
        </is>
      </c>
      <c r="F357" t="inlineStr">
        <is>
          <t>Equal opportunity raw</t>
        </is>
      </c>
      <c r="G357" t="inlineStr">
        <is>
          <t>capability</t>
        </is>
      </c>
      <c r="H357" t="inlineStr">
        <is>
          <t>yes</t>
        </is>
      </c>
      <c r="I357" t="inlineStr"/>
      <c r="J357" t="inlineStr"/>
      <c r="K357" t="inlineStr"/>
      <c r="L357" t="inlineStr"/>
      <c r="M357" t="inlineStr"/>
      <c r="N357" t="inlineStr"/>
    </row>
    <row r="358">
      <c r="A358" t="inlineStr">
        <is>
          <t>cn-shenzhen</t>
        </is>
      </c>
      <c r="B358" t="inlineStr">
        <is>
          <t>Shenzhen</t>
        </is>
      </c>
      <c r="C358" t="inlineStr">
        <is>
          <t>China</t>
        </is>
      </c>
      <c r="D358" t="inlineStr">
        <is>
          <t>East Asia</t>
        </is>
      </c>
      <c r="E358" t="inlineStr">
        <is>
          <t>hospitality_belonging_raw</t>
        </is>
      </c>
      <c r="F358" t="inlineStr">
        <is>
          <t>Hospitality and belonging raw</t>
        </is>
      </c>
      <c r="G358" t="inlineStr">
        <is>
          <t>community</t>
        </is>
      </c>
      <c r="H358" t="inlineStr">
        <is>
          <t>yes</t>
        </is>
      </c>
      <c r="I358" t="inlineStr"/>
      <c r="J358" t="inlineStr"/>
      <c r="K358" t="inlineStr"/>
      <c r="L358" t="inlineStr"/>
      <c r="M358" t="inlineStr"/>
      <c r="N358" t="inlineStr"/>
    </row>
    <row r="359">
      <c r="A359" t="inlineStr">
        <is>
          <t>cn-shenzhen</t>
        </is>
      </c>
      <c r="B359" t="inlineStr">
        <is>
          <t>Shenzhen</t>
        </is>
      </c>
      <c r="C359" t="inlineStr">
        <is>
          <t>China</t>
        </is>
      </c>
      <c r="D359" t="inlineStr">
        <is>
          <t>East Asia</t>
        </is>
      </c>
      <c r="E359" t="inlineStr">
        <is>
          <t>tolerance_pluralism_raw</t>
        </is>
      </c>
      <c r="F359" t="inlineStr">
        <is>
          <t>Tolerance and pluralism raw</t>
        </is>
      </c>
      <c r="G359" t="inlineStr">
        <is>
          <t>community</t>
        </is>
      </c>
      <c r="H359" t="inlineStr">
        <is>
          <t>yes</t>
        </is>
      </c>
      <c r="I359" t="inlineStr"/>
      <c r="J359" t="inlineStr"/>
      <c r="K359" t="inlineStr"/>
      <c r="L359" t="inlineStr"/>
      <c r="M359" t="inlineStr"/>
      <c r="N359" t="inlineStr"/>
    </row>
    <row r="360">
      <c r="A360" t="inlineStr">
        <is>
          <t>cn-shenzhen</t>
        </is>
      </c>
      <c r="B360" t="inlineStr">
        <is>
          <t>Shenzhen</t>
        </is>
      </c>
      <c r="C360" t="inlineStr">
        <is>
          <t>China</t>
        </is>
      </c>
      <c r="D360" t="inlineStr">
        <is>
          <t>East Asia</t>
        </is>
      </c>
      <c r="E360" t="inlineStr">
        <is>
          <t>cultural_public_life_raw</t>
        </is>
      </c>
      <c r="F360" t="inlineStr">
        <is>
          <t>Cultural public life raw</t>
        </is>
      </c>
      <c r="G360" t="inlineStr">
        <is>
          <t>community</t>
        </is>
      </c>
      <c r="H360" t="inlineStr">
        <is>
          <t>yes</t>
        </is>
      </c>
      <c r="I360" t="inlineStr"/>
      <c r="J360" t="inlineStr"/>
      <c r="K360" t="inlineStr"/>
      <c r="L360" t="inlineStr"/>
      <c r="M360" t="inlineStr"/>
      <c r="N360" t="inlineStr"/>
    </row>
    <row r="361">
      <c r="A361" t="inlineStr">
        <is>
          <t>cn-shenzhen</t>
        </is>
      </c>
      <c r="B361" t="inlineStr">
        <is>
          <t>Shenzhen</t>
        </is>
      </c>
      <c r="C361" t="inlineStr">
        <is>
          <t>China</t>
        </is>
      </c>
      <c r="D361" t="inlineStr">
        <is>
          <t>East Asia</t>
        </is>
      </c>
      <c r="E361" t="inlineStr">
        <is>
          <t>entrepreneurial_dynamism_raw</t>
        </is>
      </c>
      <c r="F361" t="inlineStr">
        <is>
          <t>Entrepreneurial dynamism raw</t>
        </is>
      </c>
      <c r="G361" t="inlineStr">
        <is>
          <t>creative</t>
        </is>
      </c>
      <c r="H361" t="inlineStr">
        <is>
          <t>yes</t>
        </is>
      </c>
      <c r="I361" t="inlineStr"/>
      <c r="J361" t="inlineStr"/>
      <c r="K361" t="inlineStr"/>
      <c r="L361" t="inlineStr"/>
      <c r="M361" t="inlineStr"/>
      <c r="N361" t="inlineStr"/>
    </row>
    <row r="362">
      <c r="A362" t="inlineStr">
        <is>
          <t>cn-shenzhen</t>
        </is>
      </c>
      <c r="B362" t="inlineStr">
        <is>
          <t>Shenzhen</t>
        </is>
      </c>
      <c r="C362" t="inlineStr">
        <is>
          <t>China</t>
        </is>
      </c>
      <c r="D362" t="inlineStr">
        <is>
          <t>East Asia</t>
        </is>
      </c>
      <c r="E362" t="inlineStr">
        <is>
          <t>innovation_research_intensity_raw</t>
        </is>
      </c>
      <c r="F362" t="inlineStr">
        <is>
          <t>Innovation and research raw</t>
        </is>
      </c>
      <c r="G362" t="inlineStr">
        <is>
          <t>creative</t>
        </is>
      </c>
      <c r="H362" t="inlineStr">
        <is>
          <t>yes</t>
        </is>
      </c>
      <c r="I362" t="inlineStr"/>
      <c r="J362" t="inlineStr"/>
      <c r="K362" t="inlineStr"/>
      <c r="L362" t="inlineStr"/>
      <c r="M362" t="inlineStr"/>
      <c r="N362" t="inlineStr"/>
    </row>
    <row r="363">
      <c r="A363" t="inlineStr">
        <is>
          <t>cn-shenzhen</t>
        </is>
      </c>
      <c r="B363" t="inlineStr">
        <is>
          <t>Shenzhen</t>
        </is>
      </c>
      <c r="C363" t="inlineStr">
        <is>
          <t>China</t>
        </is>
      </c>
      <c r="D363" t="inlineStr">
        <is>
          <t>East Asia</t>
        </is>
      </c>
      <c r="E363" t="inlineStr">
        <is>
          <t>investment_signal_raw</t>
        </is>
      </c>
      <c r="F363" t="inlineStr">
        <is>
          <t>Investment signal raw</t>
        </is>
      </c>
      <c r="G363" t="inlineStr">
        <is>
          <t>creative</t>
        </is>
      </c>
      <c r="H363" t="inlineStr">
        <is>
          <t>yes</t>
        </is>
      </c>
      <c r="I363" t="inlineStr"/>
      <c r="J363" t="inlineStr"/>
      <c r="K363" t="inlineStr"/>
      <c r="L363" t="inlineStr"/>
      <c r="M363" t="inlineStr"/>
      <c r="N363" t="inlineStr"/>
    </row>
    <row r="364">
      <c r="A364" t="inlineStr">
        <is>
          <t>cn-shenzhen</t>
        </is>
      </c>
      <c r="B364" t="inlineStr">
        <is>
          <t>Shenzhen</t>
        </is>
      </c>
      <c r="C364" t="inlineStr">
        <is>
          <t>China</t>
        </is>
      </c>
      <c r="D364" t="inlineStr">
        <is>
          <t>East Asia</t>
        </is>
      </c>
      <c r="E364" t="inlineStr">
        <is>
          <t>administrative_investment_friction_raw</t>
        </is>
      </c>
      <c r="F364" t="inlineStr">
        <is>
          <t>Administrative investment friction raw</t>
        </is>
      </c>
      <c r="G364" t="inlineStr">
        <is>
          <t>creative</t>
        </is>
      </c>
      <c r="H364" t="inlineStr">
        <is>
          <t>yes</t>
        </is>
      </c>
      <c r="I364" t="inlineStr"/>
      <c r="J364" t="inlineStr"/>
      <c r="K364" t="inlineStr"/>
      <c r="L364" t="inlineStr"/>
      <c r="M364" t="inlineStr"/>
      <c r="N364" t="inlineStr"/>
    </row>
    <row r="365">
      <c r="A365" t="inlineStr">
        <is>
          <t>cn-shenzhen</t>
        </is>
      </c>
      <c r="B365" t="inlineStr">
        <is>
          <t>Shenzhen</t>
        </is>
      </c>
      <c r="C365" t="inlineStr">
        <is>
          <t>China</t>
        </is>
      </c>
      <c r="D365" t="inlineStr">
        <is>
          <t>East Asia</t>
        </is>
      </c>
      <c r="E365" t="inlineStr">
        <is>
          <t>visitor_flow_context_raw</t>
        </is>
      </c>
      <c r="F365" t="inlineStr">
        <is>
          <t>Visitor flow context raw</t>
        </is>
      </c>
      <c r="G365" t="inlineStr">
        <is>
          <t>creative</t>
        </is>
      </c>
      <c r="H365" t="inlineStr">
        <is>
          <t>no</t>
        </is>
      </c>
      <c r="I365" t="inlineStr"/>
      <c r="J365" t="inlineStr"/>
      <c r="K365" t="inlineStr"/>
      <c r="L365" t="inlineStr"/>
      <c r="M365" t="inlineStr"/>
      <c r="N365" t="inlineStr"/>
    </row>
    <row r="366">
      <c r="A366" t="inlineStr">
        <is>
          <t>jp-hiroshima</t>
        </is>
      </c>
      <c r="B366" t="inlineStr">
        <is>
          <t>Hiroshima</t>
        </is>
      </c>
      <c r="C366" t="inlineStr">
        <is>
          <t>Japan</t>
        </is>
      </c>
      <c r="D366" t="inlineStr">
        <is>
          <t>East Asia</t>
        </is>
      </c>
      <c r="E366" t="inlineStr">
        <is>
          <t>gross_income</t>
        </is>
      </c>
      <c r="F366" t="inlineStr">
        <is>
          <t>Gross income</t>
        </is>
      </c>
      <c r="G366" t="inlineStr">
        <is>
          <t>pressure</t>
        </is>
      </c>
      <c r="H366" t="inlineStr">
        <is>
          <t>yes</t>
        </is>
      </c>
      <c r="I366" t="inlineStr"/>
      <c r="J366" t="inlineStr"/>
      <c r="K366" t="inlineStr"/>
      <c r="L366" t="inlineStr"/>
      <c r="M366" t="inlineStr"/>
      <c r="N366" t="inlineStr"/>
    </row>
    <row r="367">
      <c r="A367" t="inlineStr">
        <is>
          <t>jp-hiroshima</t>
        </is>
      </c>
      <c r="B367" t="inlineStr">
        <is>
          <t>Hiroshima</t>
        </is>
      </c>
      <c r="C367" t="inlineStr">
        <is>
          <t>Japan</t>
        </is>
      </c>
      <c r="D367" t="inlineStr">
        <is>
          <t>East Asia</t>
        </is>
      </c>
      <c r="E367" t="inlineStr">
        <is>
          <t>rent</t>
        </is>
      </c>
      <c r="F367" t="inlineStr">
        <is>
          <t>Rent</t>
        </is>
      </c>
      <c r="G367" t="inlineStr">
        <is>
          <t>pressure</t>
        </is>
      </c>
      <c r="H367" t="inlineStr">
        <is>
          <t>yes</t>
        </is>
      </c>
      <c r="I367" t="inlineStr"/>
      <c r="J367" t="inlineStr"/>
      <c r="K367" t="inlineStr"/>
      <c r="L367" t="inlineStr"/>
      <c r="M367" t="inlineStr"/>
      <c r="N367" t="inlineStr"/>
    </row>
    <row r="368">
      <c r="A368" t="inlineStr">
        <is>
          <t>jp-hiroshima</t>
        </is>
      </c>
      <c r="B368" t="inlineStr">
        <is>
          <t>Hiroshima</t>
        </is>
      </c>
      <c r="C368" t="inlineStr">
        <is>
          <t>Japan</t>
        </is>
      </c>
      <c r="D368" t="inlineStr">
        <is>
          <t>East Asia</t>
        </is>
      </c>
      <c r="E368" t="inlineStr">
        <is>
          <t>utilities</t>
        </is>
      </c>
      <c r="F368" t="inlineStr">
        <is>
          <t>Utilities</t>
        </is>
      </c>
      <c r="G368" t="inlineStr">
        <is>
          <t>pressure</t>
        </is>
      </c>
      <c r="H368" t="inlineStr">
        <is>
          <t>yes</t>
        </is>
      </c>
      <c r="I368" t="inlineStr"/>
      <c r="J368" t="inlineStr"/>
      <c r="K368" t="inlineStr"/>
      <c r="L368" t="inlineStr"/>
      <c r="M368" t="inlineStr"/>
      <c r="N368" t="inlineStr"/>
    </row>
    <row r="369">
      <c r="A369" t="inlineStr">
        <is>
          <t>jp-hiroshima</t>
        </is>
      </c>
      <c r="B369" t="inlineStr">
        <is>
          <t>Hiroshima</t>
        </is>
      </c>
      <c r="C369" t="inlineStr">
        <is>
          <t>Japan</t>
        </is>
      </c>
      <c r="D369" t="inlineStr">
        <is>
          <t>East Asia</t>
        </is>
      </c>
      <c r="E369" t="inlineStr">
        <is>
          <t>transit_cost</t>
        </is>
      </c>
      <c r="F369" t="inlineStr">
        <is>
          <t>Transit cost</t>
        </is>
      </c>
      <c r="G369" t="inlineStr">
        <is>
          <t>pressure</t>
        </is>
      </c>
      <c r="H369" t="inlineStr">
        <is>
          <t>yes</t>
        </is>
      </c>
      <c r="I369" t="inlineStr"/>
      <c r="J369" t="inlineStr"/>
      <c r="K369" t="inlineStr"/>
      <c r="L369" t="inlineStr"/>
      <c r="M369" t="inlineStr"/>
      <c r="N369" t="inlineStr"/>
    </row>
    <row r="370">
      <c r="A370" t="inlineStr">
        <is>
          <t>jp-hiroshima</t>
        </is>
      </c>
      <c r="B370" t="inlineStr">
        <is>
          <t>Hiroshima</t>
        </is>
      </c>
      <c r="C370" t="inlineStr">
        <is>
          <t>Japan</t>
        </is>
      </c>
      <c r="D370" t="inlineStr">
        <is>
          <t>East Asia</t>
        </is>
      </c>
      <c r="E370" t="inlineStr">
        <is>
          <t>internet_cost</t>
        </is>
      </c>
      <c r="F370" t="inlineStr">
        <is>
          <t>Internet cost</t>
        </is>
      </c>
      <c r="G370" t="inlineStr">
        <is>
          <t>pressure</t>
        </is>
      </c>
      <c r="H370" t="inlineStr">
        <is>
          <t>yes</t>
        </is>
      </c>
      <c r="I370" t="inlineStr"/>
      <c r="J370" t="inlineStr"/>
      <c r="K370" t="inlineStr"/>
      <c r="L370" t="inlineStr"/>
      <c r="M370" t="inlineStr"/>
      <c r="N370" t="inlineStr"/>
    </row>
    <row r="371">
      <c r="A371" t="inlineStr">
        <is>
          <t>jp-hiroshima</t>
        </is>
      </c>
      <c r="B371" t="inlineStr">
        <is>
          <t>Hiroshima</t>
        </is>
      </c>
      <c r="C371" t="inlineStr">
        <is>
          <t>Japan</t>
        </is>
      </c>
      <c r="D371" t="inlineStr">
        <is>
          <t>East Asia</t>
        </is>
      </c>
      <c r="E371" t="inlineStr">
        <is>
          <t>food_cost</t>
        </is>
      </c>
      <c r="F371" t="inlineStr">
        <is>
          <t>Food cost</t>
        </is>
      </c>
      <c r="G371" t="inlineStr">
        <is>
          <t>pressure</t>
        </is>
      </c>
      <c r="H371" t="inlineStr">
        <is>
          <t>yes</t>
        </is>
      </c>
      <c r="I371" t="inlineStr"/>
      <c r="J371" t="inlineStr"/>
      <c r="K371" t="inlineStr"/>
      <c r="L371" t="inlineStr"/>
      <c r="M371" t="inlineStr"/>
      <c r="N371" t="inlineStr"/>
    </row>
    <row r="372">
      <c r="A372" t="inlineStr">
        <is>
          <t>jp-hiroshima</t>
        </is>
      </c>
      <c r="B372" t="inlineStr">
        <is>
          <t>Hiroshima</t>
        </is>
      </c>
      <c r="C372" t="inlineStr">
        <is>
          <t>Japan</t>
        </is>
      </c>
      <c r="D372" t="inlineStr">
        <is>
          <t>East Asia</t>
        </is>
      </c>
      <c r="E372" t="inlineStr">
        <is>
          <t>housing_burden_raw</t>
        </is>
      </c>
      <c r="F372" t="inlineStr">
        <is>
          <t>Housing burden raw</t>
        </is>
      </c>
      <c r="G372" t="inlineStr">
        <is>
          <t>pressure</t>
        </is>
      </c>
      <c r="H372" t="inlineStr">
        <is>
          <t>yes</t>
        </is>
      </c>
      <c r="I372" t="inlineStr"/>
      <c r="J372" t="inlineStr"/>
      <c r="K372" t="inlineStr"/>
      <c r="L372" t="inlineStr"/>
      <c r="M372" t="inlineStr"/>
      <c r="N372" t="inlineStr"/>
    </row>
    <row r="373">
      <c r="A373" t="inlineStr">
        <is>
          <t>jp-hiroshima</t>
        </is>
      </c>
      <c r="B373" t="inlineStr">
        <is>
          <t>Hiroshima</t>
        </is>
      </c>
      <c r="C373" t="inlineStr">
        <is>
          <t>Japan</t>
        </is>
      </c>
      <c r="D373" t="inlineStr">
        <is>
          <t>East Asia</t>
        </is>
      </c>
      <c r="E373" t="inlineStr">
        <is>
          <t>household_debt_burden_raw</t>
        </is>
      </c>
      <c r="F373" t="inlineStr">
        <is>
          <t>Household debt burden raw</t>
        </is>
      </c>
      <c r="G373" t="inlineStr">
        <is>
          <t>pressure</t>
        </is>
      </c>
      <c r="H373" t="inlineStr">
        <is>
          <t>yes</t>
        </is>
      </c>
      <c r="I373" t="inlineStr"/>
      <c r="J373" t="inlineStr"/>
      <c r="K373" t="inlineStr"/>
      <c r="L373" t="inlineStr"/>
      <c r="M373" t="inlineStr"/>
      <c r="N373" t="inlineStr"/>
    </row>
    <row r="374">
      <c r="A374" t="inlineStr">
        <is>
          <t>jp-hiroshima</t>
        </is>
      </c>
      <c r="B374" t="inlineStr">
        <is>
          <t>Hiroshima</t>
        </is>
      </c>
      <c r="C374" t="inlineStr">
        <is>
          <t>Japan</t>
        </is>
      </c>
      <c r="D374" t="inlineStr">
        <is>
          <t>East Asia</t>
        </is>
      </c>
      <c r="E374" t="inlineStr">
        <is>
          <t>working_time_pressure_raw</t>
        </is>
      </c>
      <c r="F374" t="inlineStr">
        <is>
          <t>Working time pressure raw</t>
        </is>
      </c>
      <c r="G374" t="inlineStr">
        <is>
          <t>pressure</t>
        </is>
      </c>
      <c r="H374" t="inlineStr">
        <is>
          <t>yes</t>
        </is>
      </c>
      <c r="I374" t="inlineStr"/>
      <c r="J374" t="inlineStr"/>
      <c r="K374" t="inlineStr"/>
      <c r="L374" t="inlineStr"/>
      <c r="M374" t="inlineStr"/>
      <c r="N374" t="inlineStr"/>
    </row>
    <row r="375">
      <c r="A375" t="inlineStr">
        <is>
          <t>jp-hiroshima</t>
        </is>
      </c>
      <c r="B375" t="inlineStr">
        <is>
          <t>Hiroshima</t>
        </is>
      </c>
      <c r="C375" t="inlineStr">
        <is>
          <t>Japan</t>
        </is>
      </c>
      <c r="D375" t="inlineStr">
        <is>
          <t>East Asia</t>
        </is>
      </c>
      <c r="E375" t="inlineStr">
        <is>
          <t>suicide_mental_strain_raw</t>
        </is>
      </c>
      <c r="F375" t="inlineStr">
        <is>
          <t>Suicide or mental strain raw</t>
        </is>
      </c>
      <c r="G375" t="inlineStr">
        <is>
          <t>pressure</t>
        </is>
      </c>
      <c r="H375" t="inlineStr">
        <is>
          <t>yes</t>
        </is>
      </c>
      <c r="I375" t="inlineStr"/>
      <c r="J375" t="inlineStr"/>
      <c r="K375" t="inlineStr"/>
      <c r="L375" t="inlineStr"/>
      <c r="M375" t="inlineStr"/>
      <c r="N375" t="inlineStr"/>
    </row>
    <row r="376">
      <c r="A376" t="inlineStr">
        <is>
          <t>jp-hiroshima</t>
        </is>
      </c>
      <c r="B376" t="inlineStr">
        <is>
          <t>Hiroshima</t>
        </is>
      </c>
      <c r="C376" t="inlineStr">
        <is>
          <t>Japan</t>
        </is>
      </c>
      <c r="D376" t="inlineStr">
        <is>
          <t>East Asia</t>
        </is>
      </c>
      <c r="E376" t="inlineStr">
        <is>
          <t>personal_safety_raw</t>
        </is>
      </c>
      <c r="F376" t="inlineStr">
        <is>
          <t>Personal safety raw</t>
        </is>
      </c>
      <c r="G376" t="inlineStr">
        <is>
          <t>viability</t>
        </is>
      </c>
      <c r="H376" t="inlineStr">
        <is>
          <t>yes</t>
        </is>
      </c>
      <c r="I376" t="inlineStr"/>
      <c r="J376" t="inlineStr"/>
      <c r="K376" t="inlineStr"/>
      <c r="L376" t="inlineStr"/>
      <c r="M376" t="inlineStr"/>
      <c r="N376" t="inlineStr"/>
    </row>
    <row r="377">
      <c r="A377" t="inlineStr">
        <is>
          <t>jp-hiroshima</t>
        </is>
      </c>
      <c r="B377" t="inlineStr">
        <is>
          <t>Hiroshima</t>
        </is>
      </c>
      <c r="C377" t="inlineStr">
        <is>
          <t>Japan</t>
        </is>
      </c>
      <c r="D377" t="inlineStr">
        <is>
          <t>East Asia</t>
        </is>
      </c>
      <c r="E377" t="inlineStr">
        <is>
          <t>transit_access_commute_raw</t>
        </is>
      </c>
      <c r="F377" t="inlineStr">
        <is>
          <t>Transit access and commute raw</t>
        </is>
      </c>
      <c r="G377" t="inlineStr">
        <is>
          <t>viability</t>
        </is>
      </c>
      <c r="H377" t="inlineStr">
        <is>
          <t>yes</t>
        </is>
      </c>
      <c r="I377" t="inlineStr"/>
      <c r="J377" t="inlineStr"/>
      <c r="K377" t="inlineStr"/>
      <c r="L377" t="inlineStr"/>
      <c r="M377" t="inlineStr"/>
      <c r="N377" t="inlineStr"/>
    </row>
    <row r="378">
      <c r="A378" t="inlineStr">
        <is>
          <t>jp-hiroshima</t>
        </is>
      </c>
      <c r="B378" t="inlineStr">
        <is>
          <t>Hiroshima</t>
        </is>
      </c>
      <c r="C378" t="inlineStr">
        <is>
          <t>Japan</t>
        </is>
      </c>
      <c r="D378" t="inlineStr">
        <is>
          <t>East Asia</t>
        </is>
      </c>
      <c r="E378" t="inlineStr">
        <is>
          <t>clean_air_raw</t>
        </is>
      </c>
      <c r="F378" t="inlineStr">
        <is>
          <t>Clean air raw</t>
        </is>
      </c>
      <c r="G378" t="inlineStr">
        <is>
          <t>viability</t>
        </is>
      </c>
      <c r="H378" t="inlineStr">
        <is>
          <t>yes</t>
        </is>
      </c>
      <c r="I378" t="inlineStr"/>
      <c r="J378" t="inlineStr"/>
      <c r="K378" t="inlineStr"/>
      <c r="L378" t="inlineStr"/>
      <c r="M378" t="inlineStr"/>
      <c r="N378" t="inlineStr"/>
    </row>
    <row r="379">
      <c r="A379" t="inlineStr">
        <is>
          <t>jp-hiroshima</t>
        </is>
      </c>
      <c r="B379" t="inlineStr">
        <is>
          <t>Hiroshima</t>
        </is>
      </c>
      <c r="C379" t="inlineStr">
        <is>
          <t>Japan</t>
        </is>
      </c>
      <c r="D379" t="inlineStr">
        <is>
          <t>East Asia</t>
        </is>
      </c>
      <c r="E379" t="inlineStr">
        <is>
          <t>water_sanitation_utility_raw</t>
        </is>
      </c>
      <c r="F379" t="inlineStr">
        <is>
          <t>Water, sanitation, and utility raw</t>
        </is>
      </c>
      <c r="G379" t="inlineStr">
        <is>
          <t>viability</t>
        </is>
      </c>
      <c r="H379" t="inlineStr">
        <is>
          <t>yes</t>
        </is>
      </c>
      <c r="I379" t="inlineStr"/>
      <c r="J379" t="inlineStr"/>
      <c r="K379" t="inlineStr"/>
      <c r="L379" t="inlineStr"/>
      <c r="M379" t="inlineStr"/>
      <c r="N379" t="inlineStr"/>
    </row>
    <row r="380">
      <c r="A380" t="inlineStr">
        <is>
          <t>jp-hiroshima</t>
        </is>
      </c>
      <c r="B380" t="inlineStr">
        <is>
          <t>Hiroshima</t>
        </is>
      </c>
      <c r="C380" t="inlineStr">
        <is>
          <t>Japan</t>
        </is>
      </c>
      <c r="D380" t="inlineStr">
        <is>
          <t>East Asia</t>
        </is>
      </c>
      <c r="E380" t="inlineStr">
        <is>
          <t>digital_infrastructure_raw</t>
        </is>
      </c>
      <c r="F380" t="inlineStr">
        <is>
          <t>Digital infrastructure raw</t>
        </is>
      </c>
      <c r="G380" t="inlineStr">
        <is>
          <t>viability</t>
        </is>
      </c>
      <c r="H380" t="inlineStr">
        <is>
          <t>yes</t>
        </is>
      </c>
      <c r="I380" t="inlineStr"/>
      <c r="J380" t="inlineStr"/>
      <c r="K380" t="inlineStr"/>
      <c r="L380" t="inlineStr"/>
      <c r="M380" t="inlineStr"/>
      <c r="N380" t="inlineStr"/>
    </row>
    <row r="381">
      <c r="A381" t="inlineStr">
        <is>
          <t>jp-hiroshima</t>
        </is>
      </c>
      <c r="B381" t="inlineStr">
        <is>
          <t>Hiroshima</t>
        </is>
      </c>
      <c r="C381" t="inlineStr">
        <is>
          <t>Japan</t>
        </is>
      </c>
      <c r="D381" t="inlineStr">
        <is>
          <t>East Asia</t>
        </is>
      </c>
      <c r="E381" t="inlineStr">
        <is>
          <t>healthcare_quality_raw</t>
        </is>
      </c>
      <c r="F381" t="inlineStr">
        <is>
          <t>Healthcare quality raw</t>
        </is>
      </c>
      <c r="G381" t="inlineStr">
        <is>
          <t>capability</t>
        </is>
      </c>
      <c r="H381" t="inlineStr">
        <is>
          <t>yes</t>
        </is>
      </c>
      <c r="I381" t="inlineStr"/>
      <c r="J381" t="inlineStr"/>
      <c r="K381" t="inlineStr"/>
      <c r="L381" t="inlineStr"/>
      <c r="M381" t="inlineStr"/>
      <c r="N381" t="inlineStr"/>
    </row>
    <row r="382">
      <c r="A382" t="inlineStr">
        <is>
          <t>jp-hiroshima</t>
        </is>
      </c>
      <c r="B382" t="inlineStr">
        <is>
          <t>Hiroshima</t>
        </is>
      </c>
      <c r="C382" t="inlineStr">
        <is>
          <t>Japan</t>
        </is>
      </c>
      <c r="D382" t="inlineStr">
        <is>
          <t>East Asia</t>
        </is>
      </c>
      <c r="E382" t="inlineStr">
        <is>
          <t>education_quality_raw</t>
        </is>
      </c>
      <c r="F382" t="inlineStr">
        <is>
          <t>Education quality raw</t>
        </is>
      </c>
      <c r="G382" t="inlineStr">
        <is>
          <t>capability</t>
        </is>
      </c>
      <c r="H382" t="inlineStr">
        <is>
          <t>yes</t>
        </is>
      </c>
      <c r="I382" t="inlineStr"/>
      <c r="J382" t="inlineStr"/>
      <c r="K382" t="inlineStr"/>
      <c r="L382" t="inlineStr"/>
      <c r="M382" t="inlineStr"/>
      <c r="N382" t="inlineStr"/>
    </row>
    <row r="383">
      <c r="A383" t="inlineStr">
        <is>
          <t>jp-hiroshima</t>
        </is>
      </c>
      <c r="B383" t="inlineStr">
        <is>
          <t>Hiroshima</t>
        </is>
      </c>
      <c r="C383" t="inlineStr">
        <is>
          <t>Japan</t>
        </is>
      </c>
      <c r="D383" t="inlineStr">
        <is>
          <t>East Asia</t>
        </is>
      </c>
      <c r="E383" t="inlineStr">
        <is>
          <t>equal_opportunity_raw</t>
        </is>
      </c>
      <c r="F383" t="inlineStr">
        <is>
          <t>Equal opportunity raw</t>
        </is>
      </c>
      <c r="G383" t="inlineStr">
        <is>
          <t>capability</t>
        </is>
      </c>
      <c r="H383" t="inlineStr">
        <is>
          <t>yes</t>
        </is>
      </c>
      <c r="I383" t="inlineStr"/>
      <c r="J383" t="inlineStr"/>
      <c r="K383" t="inlineStr"/>
      <c r="L383" t="inlineStr"/>
      <c r="M383" t="inlineStr"/>
      <c r="N383" t="inlineStr"/>
    </row>
    <row r="384">
      <c r="A384" t="inlineStr">
        <is>
          <t>jp-hiroshima</t>
        </is>
      </c>
      <c r="B384" t="inlineStr">
        <is>
          <t>Hiroshima</t>
        </is>
      </c>
      <c r="C384" t="inlineStr">
        <is>
          <t>Japan</t>
        </is>
      </c>
      <c r="D384" t="inlineStr">
        <is>
          <t>East Asia</t>
        </is>
      </c>
      <c r="E384" t="inlineStr">
        <is>
          <t>hospitality_belonging_raw</t>
        </is>
      </c>
      <c r="F384" t="inlineStr">
        <is>
          <t>Hospitality and belonging raw</t>
        </is>
      </c>
      <c r="G384" t="inlineStr">
        <is>
          <t>community</t>
        </is>
      </c>
      <c r="H384" t="inlineStr">
        <is>
          <t>yes</t>
        </is>
      </c>
      <c r="I384" t="inlineStr"/>
      <c r="J384" t="inlineStr"/>
      <c r="K384" t="inlineStr"/>
      <c r="L384" t="inlineStr"/>
      <c r="M384" t="inlineStr"/>
      <c r="N384" t="inlineStr"/>
    </row>
    <row r="385">
      <c r="A385" t="inlineStr">
        <is>
          <t>jp-hiroshima</t>
        </is>
      </c>
      <c r="B385" t="inlineStr">
        <is>
          <t>Hiroshima</t>
        </is>
      </c>
      <c r="C385" t="inlineStr">
        <is>
          <t>Japan</t>
        </is>
      </c>
      <c r="D385" t="inlineStr">
        <is>
          <t>East Asia</t>
        </is>
      </c>
      <c r="E385" t="inlineStr">
        <is>
          <t>tolerance_pluralism_raw</t>
        </is>
      </c>
      <c r="F385" t="inlineStr">
        <is>
          <t>Tolerance and pluralism raw</t>
        </is>
      </c>
      <c r="G385" t="inlineStr">
        <is>
          <t>community</t>
        </is>
      </c>
      <c r="H385" t="inlineStr">
        <is>
          <t>yes</t>
        </is>
      </c>
      <c r="I385" t="inlineStr"/>
      <c r="J385" t="inlineStr"/>
      <c r="K385" t="inlineStr"/>
      <c r="L385" t="inlineStr"/>
      <c r="M385" t="inlineStr"/>
      <c r="N385" t="inlineStr"/>
    </row>
    <row r="386">
      <c r="A386" t="inlineStr">
        <is>
          <t>jp-hiroshima</t>
        </is>
      </c>
      <c r="B386" t="inlineStr">
        <is>
          <t>Hiroshima</t>
        </is>
      </c>
      <c r="C386" t="inlineStr">
        <is>
          <t>Japan</t>
        </is>
      </c>
      <c r="D386" t="inlineStr">
        <is>
          <t>East Asia</t>
        </is>
      </c>
      <c r="E386" t="inlineStr">
        <is>
          <t>cultural_public_life_raw</t>
        </is>
      </c>
      <c r="F386" t="inlineStr">
        <is>
          <t>Cultural public life raw</t>
        </is>
      </c>
      <c r="G386" t="inlineStr">
        <is>
          <t>community</t>
        </is>
      </c>
      <c r="H386" t="inlineStr">
        <is>
          <t>yes</t>
        </is>
      </c>
      <c r="I386" t="inlineStr"/>
      <c r="J386" t="inlineStr"/>
      <c r="K386" t="inlineStr"/>
      <c r="L386" t="inlineStr"/>
      <c r="M386" t="inlineStr"/>
      <c r="N386" t="inlineStr"/>
    </row>
    <row r="387">
      <c r="A387" t="inlineStr">
        <is>
          <t>jp-hiroshima</t>
        </is>
      </c>
      <c r="B387" t="inlineStr">
        <is>
          <t>Hiroshima</t>
        </is>
      </c>
      <c r="C387" t="inlineStr">
        <is>
          <t>Japan</t>
        </is>
      </c>
      <c r="D387" t="inlineStr">
        <is>
          <t>East Asia</t>
        </is>
      </c>
      <c r="E387" t="inlineStr">
        <is>
          <t>entrepreneurial_dynamism_raw</t>
        </is>
      </c>
      <c r="F387" t="inlineStr">
        <is>
          <t>Entrepreneurial dynamism raw</t>
        </is>
      </c>
      <c r="G387" t="inlineStr">
        <is>
          <t>creative</t>
        </is>
      </c>
      <c r="H387" t="inlineStr">
        <is>
          <t>yes</t>
        </is>
      </c>
      <c r="I387" t="inlineStr"/>
      <c r="J387" t="inlineStr"/>
      <c r="K387" t="inlineStr"/>
      <c r="L387" t="inlineStr"/>
      <c r="M387" t="inlineStr"/>
      <c r="N387" t="inlineStr"/>
    </row>
    <row r="388">
      <c r="A388" t="inlineStr">
        <is>
          <t>jp-hiroshima</t>
        </is>
      </c>
      <c r="B388" t="inlineStr">
        <is>
          <t>Hiroshima</t>
        </is>
      </c>
      <c r="C388" t="inlineStr">
        <is>
          <t>Japan</t>
        </is>
      </c>
      <c r="D388" t="inlineStr">
        <is>
          <t>East Asia</t>
        </is>
      </c>
      <c r="E388" t="inlineStr">
        <is>
          <t>innovation_research_intensity_raw</t>
        </is>
      </c>
      <c r="F388" t="inlineStr">
        <is>
          <t>Innovation and research raw</t>
        </is>
      </c>
      <c r="G388" t="inlineStr">
        <is>
          <t>creative</t>
        </is>
      </c>
      <c r="H388" t="inlineStr">
        <is>
          <t>yes</t>
        </is>
      </c>
      <c r="I388" t="inlineStr"/>
      <c r="J388" t="inlineStr"/>
      <c r="K388" t="inlineStr"/>
      <c r="L388" t="inlineStr"/>
      <c r="M388" t="inlineStr"/>
      <c r="N388" t="inlineStr"/>
    </row>
    <row r="389">
      <c r="A389" t="inlineStr">
        <is>
          <t>jp-hiroshima</t>
        </is>
      </c>
      <c r="B389" t="inlineStr">
        <is>
          <t>Hiroshima</t>
        </is>
      </c>
      <c r="C389" t="inlineStr">
        <is>
          <t>Japan</t>
        </is>
      </c>
      <c r="D389" t="inlineStr">
        <is>
          <t>East Asia</t>
        </is>
      </c>
      <c r="E389" t="inlineStr">
        <is>
          <t>investment_signal_raw</t>
        </is>
      </c>
      <c r="F389" t="inlineStr">
        <is>
          <t>Investment signal raw</t>
        </is>
      </c>
      <c r="G389" t="inlineStr">
        <is>
          <t>creative</t>
        </is>
      </c>
      <c r="H389" t="inlineStr">
        <is>
          <t>yes</t>
        </is>
      </c>
      <c r="I389" t="inlineStr"/>
      <c r="J389" t="inlineStr"/>
      <c r="K389" t="inlineStr"/>
      <c r="L389" t="inlineStr"/>
      <c r="M389" t="inlineStr"/>
      <c r="N389" t="inlineStr"/>
    </row>
    <row r="390">
      <c r="A390" t="inlineStr">
        <is>
          <t>jp-hiroshima</t>
        </is>
      </c>
      <c r="B390" t="inlineStr">
        <is>
          <t>Hiroshima</t>
        </is>
      </c>
      <c r="C390" t="inlineStr">
        <is>
          <t>Japan</t>
        </is>
      </c>
      <c r="D390" t="inlineStr">
        <is>
          <t>East Asia</t>
        </is>
      </c>
      <c r="E390" t="inlineStr">
        <is>
          <t>administrative_investment_friction_raw</t>
        </is>
      </c>
      <c r="F390" t="inlineStr">
        <is>
          <t>Administrative investment friction raw</t>
        </is>
      </c>
      <c r="G390" t="inlineStr">
        <is>
          <t>creative</t>
        </is>
      </c>
      <c r="H390" t="inlineStr">
        <is>
          <t>yes</t>
        </is>
      </c>
      <c r="I390" t="inlineStr"/>
      <c r="J390" t="inlineStr"/>
      <c r="K390" t="inlineStr"/>
      <c r="L390" t="inlineStr"/>
      <c r="M390" t="inlineStr"/>
      <c r="N390" t="inlineStr"/>
    </row>
    <row r="391">
      <c r="A391" t="inlineStr">
        <is>
          <t>jp-hiroshima</t>
        </is>
      </c>
      <c r="B391" t="inlineStr">
        <is>
          <t>Hiroshima</t>
        </is>
      </c>
      <c r="C391" t="inlineStr">
        <is>
          <t>Japan</t>
        </is>
      </c>
      <c r="D391" t="inlineStr">
        <is>
          <t>East Asia</t>
        </is>
      </c>
      <c r="E391" t="inlineStr">
        <is>
          <t>visitor_flow_context_raw</t>
        </is>
      </c>
      <c r="F391" t="inlineStr">
        <is>
          <t>Visitor flow context raw</t>
        </is>
      </c>
      <c r="G391" t="inlineStr">
        <is>
          <t>creative</t>
        </is>
      </c>
      <c r="H391" t="inlineStr">
        <is>
          <t>no</t>
        </is>
      </c>
      <c r="I391" t="inlineStr"/>
      <c r="J391" t="inlineStr"/>
      <c r="K391" t="inlineStr"/>
      <c r="L391" t="inlineStr"/>
      <c r="M391" t="inlineStr"/>
      <c r="N391" t="inlineStr"/>
    </row>
    <row r="392">
      <c r="A392" t="inlineStr">
        <is>
          <t>kr-jeju-city</t>
        </is>
      </c>
      <c r="B392" t="inlineStr">
        <is>
          <t>Jeju City</t>
        </is>
      </c>
      <c r="C392" t="inlineStr">
        <is>
          <t>South Korea</t>
        </is>
      </c>
      <c r="D392" t="inlineStr">
        <is>
          <t>East Asia</t>
        </is>
      </c>
      <c r="E392" t="inlineStr">
        <is>
          <t>gross_income</t>
        </is>
      </c>
      <c r="F392" t="inlineStr">
        <is>
          <t>Gross income</t>
        </is>
      </c>
      <c r="G392" t="inlineStr">
        <is>
          <t>pressure</t>
        </is>
      </c>
      <c r="H392" t="inlineStr">
        <is>
          <t>yes</t>
        </is>
      </c>
      <c r="I392" t="inlineStr"/>
      <c r="J392" t="inlineStr"/>
      <c r="K392" t="inlineStr"/>
      <c r="L392" t="inlineStr"/>
      <c r="M392" t="inlineStr"/>
      <c r="N392" t="inlineStr"/>
    </row>
    <row r="393">
      <c r="A393" t="inlineStr">
        <is>
          <t>kr-jeju-city</t>
        </is>
      </c>
      <c r="B393" t="inlineStr">
        <is>
          <t>Jeju City</t>
        </is>
      </c>
      <c r="C393" t="inlineStr">
        <is>
          <t>South Korea</t>
        </is>
      </c>
      <c r="D393" t="inlineStr">
        <is>
          <t>East Asia</t>
        </is>
      </c>
      <c r="E393" t="inlineStr">
        <is>
          <t>rent</t>
        </is>
      </c>
      <c r="F393" t="inlineStr">
        <is>
          <t>Rent</t>
        </is>
      </c>
      <c r="G393" t="inlineStr">
        <is>
          <t>pressure</t>
        </is>
      </c>
      <c r="H393" t="inlineStr">
        <is>
          <t>yes</t>
        </is>
      </c>
      <c r="I393" t="inlineStr"/>
      <c r="J393" t="inlineStr"/>
      <c r="K393" t="inlineStr"/>
      <c r="L393" t="inlineStr"/>
      <c r="M393" t="inlineStr"/>
      <c r="N393" t="inlineStr"/>
    </row>
    <row r="394">
      <c r="A394" t="inlineStr">
        <is>
          <t>kr-jeju-city</t>
        </is>
      </c>
      <c r="B394" t="inlineStr">
        <is>
          <t>Jeju City</t>
        </is>
      </c>
      <c r="C394" t="inlineStr">
        <is>
          <t>South Korea</t>
        </is>
      </c>
      <c r="D394" t="inlineStr">
        <is>
          <t>East Asia</t>
        </is>
      </c>
      <c r="E394" t="inlineStr">
        <is>
          <t>utilities</t>
        </is>
      </c>
      <c r="F394" t="inlineStr">
        <is>
          <t>Utilities</t>
        </is>
      </c>
      <c r="G394" t="inlineStr">
        <is>
          <t>pressure</t>
        </is>
      </c>
      <c r="H394" t="inlineStr">
        <is>
          <t>yes</t>
        </is>
      </c>
      <c r="I394" t="inlineStr"/>
      <c r="J394" t="inlineStr"/>
      <c r="K394" t="inlineStr"/>
      <c r="L394" t="inlineStr"/>
      <c r="M394" t="inlineStr"/>
      <c r="N394" t="inlineStr"/>
    </row>
    <row r="395">
      <c r="A395" t="inlineStr">
        <is>
          <t>kr-jeju-city</t>
        </is>
      </c>
      <c r="B395" t="inlineStr">
        <is>
          <t>Jeju City</t>
        </is>
      </c>
      <c r="C395" t="inlineStr">
        <is>
          <t>South Korea</t>
        </is>
      </c>
      <c r="D395" t="inlineStr">
        <is>
          <t>East Asia</t>
        </is>
      </c>
      <c r="E395" t="inlineStr">
        <is>
          <t>transit_cost</t>
        </is>
      </c>
      <c r="F395" t="inlineStr">
        <is>
          <t>Transit cost</t>
        </is>
      </c>
      <c r="G395" t="inlineStr">
        <is>
          <t>pressure</t>
        </is>
      </c>
      <c r="H395" t="inlineStr">
        <is>
          <t>yes</t>
        </is>
      </c>
      <c r="I395" t="inlineStr"/>
      <c r="J395" t="inlineStr"/>
      <c r="K395" t="inlineStr"/>
      <c r="L395" t="inlineStr"/>
      <c r="M395" t="inlineStr"/>
      <c r="N395" t="inlineStr"/>
    </row>
    <row r="396">
      <c r="A396" t="inlineStr">
        <is>
          <t>kr-jeju-city</t>
        </is>
      </c>
      <c r="B396" t="inlineStr">
        <is>
          <t>Jeju City</t>
        </is>
      </c>
      <c r="C396" t="inlineStr">
        <is>
          <t>South Korea</t>
        </is>
      </c>
      <c r="D396" t="inlineStr">
        <is>
          <t>East Asia</t>
        </is>
      </c>
      <c r="E396" t="inlineStr">
        <is>
          <t>internet_cost</t>
        </is>
      </c>
      <c r="F396" t="inlineStr">
        <is>
          <t>Internet cost</t>
        </is>
      </c>
      <c r="G396" t="inlineStr">
        <is>
          <t>pressure</t>
        </is>
      </c>
      <c r="H396" t="inlineStr">
        <is>
          <t>yes</t>
        </is>
      </c>
      <c r="I396" t="inlineStr"/>
      <c r="J396" t="inlineStr"/>
      <c r="K396" t="inlineStr"/>
      <c r="L396" t="inlineStr"/>
      <c r="M396" t="inlineStr"/>
      <c r="N396" t="inlineStr"/>
    </row>
    <row r="397">
      <c r="A397" t="inlineStr">
        <is>
          <t>kr-jeju-city</t>
        </is>
      </c>
      <c r="B397" t="inlineStr">
        <is>
          <t>Jeju City</t>
        </is>
      </c>
      <c r="C397" t="inlineStr">
        <is>
          <t>South Korea</t>
        </is>
      </c>
      <c r="D397" t="inlineStr">
        <is>
          <t>East Asia</t>
        </is>
      </c>
      <c r="E397" t="inlineStr">
        <is>
          <t>food_cost</t>
        </is>
      </c>
      <c r="F397" t="inlineStr">
        <is>
          <t>Food cost</t>
        </is>
      </c>
      <c r="G397" t="inlineStr">
        <is>
          <t>pressure</t>
        </is>
      </c>
      <c r="H397" t="inlineStr">
        <is>
          <t>yes</t>
        </is>
      </c>
      <c r="I397" t="inlineStr"/>
      <c r="J397" t="inlineStr"/>
      <c r="K397" t="inlineStr"/>
      <c r="L397" t="inlineStr"/>
      <c r="M397" t="inlineStr"/>
      <c r="N397" t="inlineStr"/>
    </row>
    <row r="398">
      <c r="A398" t="inlineStr">
        <is>
          <t>kr-jeju-city</t>
        </is>
      </c>
      <c r="B398" t="inlineStr">
        <is>
          <t>Jeju City</t>
        </is>
      </c>
      <c r="C398" t="inlineStr">
        <is>
          <t>South Korea</t>
        </is>
      </c>
      <c r="D398" t="inlineStr">
        <is>
          <t>East Asia</t>
        </is>
      </c>
      <c r="E398" t="inlineStr">
        <is>
          <t>housing_burden_raw</t>
        </is>
      </c>
      <c r="F398" t="inlineStr">
        <is>
          <t>Housing burden raw</t>
        </is>
      </c>
      <c r="G398" t="inlineStr">
        <is>
          <t>pressure</t>
        </is>
      </c>
      <c r="H398" t="inlineStr">
        <is>
          <t>yes</t>
        </is>
      </c>
      <c r="I398" t="inlineStr"/>
      <c r="J398" t="inlineStr"/>
      <c r="K398" t="inlineStr"/>
      <c r="L398" t="inlineStr"/>
      <c r="M398" t="inlineStr"/>
      <c r="N398" t="inlineStr"/>
    </row>
    <row r="399">
      <c r="A399" t="inlineStr">
        <is>
          <t>kr-jeju-city</t>
        </is>
      </c>
      <c r="B399" t="inlineStr">
        <is>
          <t>Jeju City</t>
        </is>
      </c>
      <c r="C399" t="inlineStr">
        <is>
          <t>South Korea</t>
        </is>
      </c>
      <c r="D399" t="inlineStr">
        <is>
          <t>East Asia</t>
        </is>
      </c>
      <c r="E399" t="inlineStr">
        <is>
          <t>household_debt_burden_raw</t>
        </is>
      </c>
      <c r="F399" t="inlineStr">
        <is>
          <t>Household debt burden raw</t>
        </is>
      </c>
      <c r="G399" t="inlineStr">
        <is>
          <t>pressure</t>
        </is>
      </c>
      <c r="H399" t="inlineStr">
        <is>
          <t>yes</t>
        </is>
      </c>
      <c r="I399" t="inlineStr"/>
      <c r="J399" t="inlineStr"/>
      <c r="K399" t="inlineStr"/>
      <c r="L399" t="inlineStr"/>
      <c r="M399" t="inlineStr"/>
      <c r="N399" t="inlineStr"/>
    </row>
    <row r="400">
      <c r="A400" t="inlineStr">
        <is>
          <t>kr-jeju-city</t>
        </is>
      </c>
      <c r="B400" t="inlineStr">
        <is>
          <t>Jeju City</t>
        </is>
      </c>
      <c r="C400" t="inlineStr">
        <is>
          <t>South Korea</t>
        </is>
      </c>
      <c r="D400" t="inlineStr">
        <is>
          <t>East Asia</t>
        </is>
      </c>
      <c r="E400" t="inlineStr">
        <is>
          <t>working_time_pressure_raw</t>
        </is>
      </c>
      <c r="F400" t="inlineStr">
        <is>
          <t>Working time pressure raw</t>
        </is>
      </c>
      <c r="G400" t="inlineStr">
        <is>
          <t>pressure</t>
        </is>
      </c>
      <c r="H400" t="inlineStr">
        <is>
          <t>yes</t>
        </is>
      </c>
      <c r="I400" t="inlineStr"/>
      <c r="J400" t="inlineStr"/>
      <c r="K400" t="inlineStr"/>
      <c r="L400" t="inlineStr"/>
      <c r="M400" t="inlineStr"/>
      <c r="N400" t="inlineStr"/>
    </row>
    <row r="401">
      <c r="A401" t="inlineStr">
        <is>
          <t>kr-jeju-city</t>
        </is>
      </c>
      <c r="B401" t="inlineStr">
        <is>
          <t>Jeju City</t>
        </is>
      </c>
      <c r="C401" t="inlineStr">
        <is>
          <t>South Korea</t>
        </is>
      </c>
      <c r="D401" t="inlineStr">
        <is>
          <t>East Asia</t>
        </is>
      </c>
      <c r="E401" t="inlineStr">
        <is>
          <t>suicide_mental_strain_raw</t>
        </is>
      </c>
      <c r="F401" t="inlineStr">
        <is>
          <t>Suicide or mental strain raw</t>
        </is>
      </c>
      <c r="G401" t="inlineStr">
        <is>
          <t>pressure</t>
        </is>
      </c>
      <c r="H401" t="inlineStr">
        <is>
          <t>yes</t>
        </is>
      </c>
      <c r="I401" t="inlineStr"/>
      <c r="J401" t="inlineStr"/>
      <c r="K401" t="inlineStr"/>
      <c r="L401" t="inlineStr"/>
      <c r="M401" t="inlineStr"/>
      <c r="N401" t="inlineStr"/>
    </row>
    <row r="402">
      <c r="A402" t="inlineStr">
        <is>
          <t>kr-jeju-city</t>
        </is>
      </c>
      <c r="B402" t="inlineStr">
        <is>
          <t>Jeju City</t>
        </is>
      </c>
      <c r="C402" t="inlineStr">
        <is>
          <t>South Korea</t>
        </is>
      </c>
      <c r="D402" t="inlineStr">
        <is>
          <t>East Asia</t>
        </is>
      </c>
      <c r="E402" t="inlineStr">
        <is>
          <t>personal_safety_raw</t>
        </is>
      </c>
      <c r="F402" t="inlineStr">
        <is>
          <t>Personal safety raw</t>
        </is>
      </c>
      <c r="G402" t="inlineStr">
        <is>
          <t>viability</t>
        </is>
      </c>
      <c r="H402" t="inlineStr">
        <is>
          <t>yes</t>
        </is>
      </c>
      <c r="I402" t="inlineStr"/>
      <c r="J402" t="inlineStr"/>
      <c r="K402" t="inlineStr"/>
      <c r="L402" t="inlineStr"/>
      <c r="M402" t="inlineStr"/>
      <c r="N402" t="inlineStr"/>
    </row>
    <row r="403">
      <c r="A403" t="inlineStr">
        <is>
          <t>kr-jeju-city</t>
        </is>
      </c>
      <c r="B403" t="inlineStr">
        <is>
          <t>Jeju City</t>
        </is>
      </c>
      <c r="C403" t="inlineStr">
        <is>
          <t>South Korea</t>
        </is>
      </c>
      <c r="D403" t="inlineStr">
        <is>
          <t>East Asia</t>
        </is>
      </c>
      <c r="E403" t="inlineStr">
        <is>
          <t>transit_access_commute_raw</t>
        </is>
      </c>
      <c r="F403" t="inlineStr">
        <is>
          <t>Transit access and commute raw</t>
        </is>
      </c>
      <c r="G403" t="inlineStr">
        <is>
          <t>viability</t>
        </is>
      </c>
      <c r="H403" t="inlineStr">
        <is>
          <t>yes</t>
        </is>
      </c>
      <c r="I403" t="inlineStr"/>
      <c r="J403" t="inlineStr"/>
      <c r="K403" t="inlineStr"/>
      <c r="L403" t="inlineStr"/>
      <c r="M403" t="inlineStr"/>
      <c r="N403" t="inlineStr"/>
    </row>
    <row r="404">
      <c r="A404" t="inlineStr">
        <is>
          <t>kr-jeju-city</t>
        </is>
      </c>
      <c r="B404" t="inlineStr">
        <is>
          <t>Jeju City</t>
        </is>
      </c>
      <c r="C404" t="inlineStr">
        <is>
          <t>South Korea</t>
        </is>
      </c>
      <c r="D404" t="inlineStr">
        <is>
          <t>East Asia</t>
        </is>
      </c>
      <c r="E404" t="inlineStr">
        <is>
          <t>clean_air_raw</t>
        </is>
      </c>
      <c r="F404" t="inlineStr">
        <is>
          <t>Clean air raw</t>
        </is>
      </c>
      <c r="G404" t="inlineStr">
        <is>
          <t>viability</t>
        </is>
      </c>
      <c r="H404" t="inlineStr">
        <is>
          <t>yes</t>
        </is>
      </c>
      <c r="I404" t="inlineStr"/>
      <c r="J404" t="inlineStr"/>
      <c r="K404" t="inlineStr"/>
      <c r="L404" t="inlineStr"/>
      <c r="M404" t="inlineStr"/>
      <c r="N404" t="inlineStr"/>
    </row>
    <row r="405">
      <c r="A405" t="inlineStr">
        <is>
          <t>kr-jeju-city</t>
        </is>
      </c>
      <c r="B405" t="inlineStr">
        <is>
          <t>Jeju City</t>
        </is>
      </c>
      <c r="C405" t="inlineStr">
        <is>
          <t>South Korea</t>
        </is>
      </c>
      <c r="D405" t="inlineStr">
        <is>
          <t>East Asia</t>
        </is>
      </c>
      <c r="E405" t="inlineStr">
        <is>
          <t>water_sanitation_utility_raw</t>
        </is>
      </c>
      <c r="F405" t="inlineStr">
        <is>
          <t>Water, sanitation, and utility raw</t>
        </is>
      </c>
      <c r="G405" t="inlineStr">
        <is>
          <t>viability</t>
        </is>
      </c>
      <c r="H405" t="inlineStr">
        <is>
          <t>yes</t>
        </is>
      </c>
      <c r="I405" t="inlineStr"/>
      <c r="J405" t="inlineStr"/>
      <c r="K405" t="inlineStr"/>
      <c r="L405" t="inlineStr"/>
      <c r="M405" t="inlineStr"/>
      <c r="N405" t="inlineStr"/>
    </row>
    <row r="406">
      <c r="A406" t="inlineStr">
        <is>
          <t>kr-jeju-city</t>
        </is>
      </c>
      <c r="B406" t="inlineStr">
        <is>
          <t>Jeju City</t>
        </is>
      </c>
      <c r="C406" t="inlineStr">
        <is>
          <t>South Korea</t>
        </is>
      </c>
      <c r="D406" t="inlineStr">
        <is>
          <t>East Asia</t>
        </is>
      </c>
      <c r="E406" t="inlineStr">
        <is>
          <t>digital_infrastructure_raw</t>
        </is>
      </c>
      <c r="F406" t="inlineStr">
        <is>
          <t>Digital infrastructure raw</t>
        </is>
      </c>
      <c r="G406" t="inlineStr">
        <is>
          <t>viability</t>
        </is>
      </c>
      <c r="H406" t="inlineStr">
        <is>
          <t>yes</t>
        </is>
      </c>
      <c r="I406" t="inlineStr"/>
      <c r="J406" t="inlineStr"/>
      <c r="K406" t="inlineStr"/>
      <c r="L406" t="inlineStr"/>
      <c r="M406" t="inlineStr"/>
      <c r="N406" t="inlineStr"/>
    </row>
    <row r="407">
      <c r="A407" t="inlineStr">
        <is>
          <t>kr-jeju-city</t>
        </is>
      </c>
      <c r="B407" t="inlineStr">
        <is>
          <t>Jeju City</t>
        </is>
      </c>
      <c r="C407" t="inlineStr">
        <is>
          <t>South Korea</t>
        </is>
      </c>
      <c r="D407" t="inlineStr">
        <is>
          <t>East Asia</t>
        </is>
      </c>
      <c r="E407" t="inlineStr">
        <is>
          <t>healthcare_quality_raw</t>
        </is>
      </c>
      <c r="F407" t="inlineStr">
        <is>
          <t>Healthcare quality raw</t>
        </is>
      </c>
      <c r="G407" t="inlineStr">
        <is>
          <t>capability</t>
        </is>
      </c>
      <c r="H407" t="inlineStr">
        <is>
          <t>yes</t>
        </is>
      </c>
      <c r="I407" t="inlineStr"/>
      <c r="J407" t="inlineStr"/>
      <c r="K407" t="inlineStr"/>
      <c r="L407" t="inlineStr"/>
      <c r="M407" t="inlineStr"/>
      <c r="N407" t="inlineStr"/>
    </row>
    <row r="408">
      <c r="A408" t="inlineStr">
        <is>
          <t>kr-jeju-city</t>
        </is>
      </c>
      <c r="B408" t="inlineStr">
        <is>
          <t>Jeju City</t>
        </is>
      </c>
      <c r="C408" t="inlineStr">
        <is>
          <t>South Korea</t>
        </is>
      </c>
      <c r="D408" t="inlineStr">
        <is>
          <t>East Asia</t>
        </is>
      </c>
      <c r="E408" t="inlineStr">
        <is>
          <t>education_quality_raw</t>
        </is>
      </c>
      <c r="F408" t="inlineStr">
        <is>
          <t>Education quality raw</t>
        </is>
      </c>
      <c r="G408" t="inlineStr">
        <is>
          <t>capability</t>
        </is>
      </c>
      <c r="H408" t="inlineStr">
        <is>
          <t>yes</t>
        </is>
      </c>
      <c r="I408" t="inlineStr"/>
      <c r="J408" t="inlineStr"/>
      <c r="K408" t="inlineStr"/>
      <c r="L408" t="inlineStr"/>
      <c r="M408" t="inlineStr"/>
      <c r="N408" t="inlineStr"/>
    </row>
    <row r="409">
      <c r="A409" t="inlineStr">
        <is>
          <t>kr-jeju-city</t>
        </is>
      </c>
      <c r="B409" t="inlineStr">
        <is>
          <t>Jeju City</t>
        </is>
      </c>
      <c r="C409" t="inlineStr">
        <is>
          <t>South Korea</t>
        </is>
      </c>
      <c r="D409" t="inlineStr">
        <is>
          <t>East Asia</t>
        </is>
      </c>
      <c r="E409" t="inlineStr">
        <is>
          <t>equal_opportunity_raw</t>
        </is>
      </c>
      <c r="F409" t="inlineStr">
        <is>
          <t>Equal opportunity raw</t>
        </is>
      </c>
      <c r="G409" t="inlineStr">
        <is>
          <t>capability</t>
        </is>
      </c>
      <c r="H409" t="inlineStr">
        <is>
          <t>yes</t>
        </is>
      </c>
      <c r="I409" t="inlineStr"/>
      <c r="J409" t="inlineStr"/>
      <c r="K409" t="inlineStr"/>
      <c r="L409" t="inlineStr"/>
      <c r="M409" t="inlineStr"/>
      <c r="N409" t="inlineStr"/>
    </row>
    <row r="410">
      <c r="A410" t="inlineStr">
        <is>
          <t>kr-jeju-city</t>
        </is>
      </c>
      <c r="B410" t="inlineStr">
        <is>
          <t>Jeju City</t>
        </is>
      </c>
      <c r="C410" t="inlineStr">
        <is>
          <t>South Korea</t>
        </is>
      </c>
      <c r="D410" t="inlineStr">
        <is>
          <t>East Asia</t>
        </is>
      </c>
      <c r="E410" t="inlineStr">
        <is>
          <t>hospitality_belonging_raw</t>
        </is>
      </c>
      <c r="F410" t="inlineStr">
        <is>
          <t>Hospitality and belonging raw</t>
        </is>
      </c>
      <c r="G410" t="inlineStr">
        <is>
          <t>community</t>
        </is>
      </c>
      <c r="H410" t="inlineStr">
        <is>
          <t>yes</t>
        </is>
      </c>
      <c r="I410" t="inlineStr"/>
      <c r="J410" t="inlineStr"/>
      <c r="K410" t="inlineStr"/>
      <c r="L410" t="inlineStr"/>
      <c r="M410" t="inlineStr"/>
      <c r="N410" t="inlineStr"/>
    </row>
    <row r="411">
      <c r="A411" t="inlineStr">
        <is>
          <t>kr-jeju-city</t>
        </is>
      </c>
      <c r="B411" t="inlineStr">
        <is>
          <t>Jeju City</t>
        </is>
      </c>
      <c r="C411" t="inlineStr">
        <is>
          <t>South Korea</t>
        </is>
      </c>
      <c r="D411" t="inlineStr">
        <is>
          <t>East Asia</t>
        </is>
      </c>
      <c r="E411" t="inlineStr">
        <is>
          <t>tolerance_pluralism_raw</t>
        </is>
      </c>
      <c r="F411" t="inlineStr">
        <is>
          <t>Tolerance and pluralism raw</t>
        </is>
      </c>
      <c r="G411" t="inlineStr">
        <is>
          <t>community</t>
        </is>
      </c>
      <c r="H411" t="inlineStr">
        <is>
          <t>yes</t>
        </is>
      </c>
      <c r="I411" t="inlineStr"/>
      <c r="J411" t="inlineStr"/>
      <c r="K411" t="inlineStr"/>
      <c r="L411" t="inlineStr"/>
      <c r="M411" t="inlineStr"/>
      <c r="N411" t="inlineStr"/>
    </row>
    <row r="412">
      <c r="A412" t="inlineStr">
        <is>
          <t>kr-jeju-city</t>
        </is>
      </c>
      <c r="B412" t="inlineStr">
        <is>
          <t>Jeju City</t>
        </is>
      </c>
      <c r="C412" t="inlineStr">
        <is>
          <t>South Korea</t>
        </is>
      </c>
      <c r="D412" t="inlineStr">
        <is>
          <t>East Asia</t>
        </is>
      </c>
      <c r="E412" t="inlineStr">
        <is>
          <t>cultural_public_life_raw</t>
        </is>
      </c>
      <c r="F412" t="inlineStr">
        <is>
          <t>Cultural public life raw</t>
        </is>
      </c>
      <c r="G412" t="inlineStr">
        <is>
          <t>community</t>
        </is>
      </c>
      <c r="H412" t="inlineStr">
        <is>
          <t>yes</t>
        </is>
      </c>
      <c r="I412" t="inlineStr"/>
      <c r="J412" t="inlineStr"/>
      <c r="K412" t="inlineStr"/>
      <c r="L412" t="inlineStr"/>
      <c r="M412" t="inlineStr"/>
      <c r="N412" t="inlineStr"/>
    </row>
    <row r="413">
      <c r="A413" t="inlineStr">
        <is>
          <t>kr-jeju-city</t>
        </is>
      </c>
      <c r="B413" t="inlineStr">
        <is>
          <t>Jeju City</t>
        </is>
      </c>
      <c r="C413" t="inlineStr">
        <is>
          <t>South Korea</t>
        </is>
      </c>
      <c r="D413" t="inlineStr">
        <is>
          <t>East Asia</t>
        </is>
      </c>
      <c r="E413" t="inlineStr">
        <is>
          <t>entrepreneurial_dynamism_raw</t>
        </is>
      </c>
      <c r="F413" t="inlineStr">
        <is>
          <t>Entrepreneurial dynamism raw</t>
        </is>
      </c>
      <c r="G413" t="inlineStr">
        <is>
          <t>creative</t>
        </is>
      </c>
      <c r="H413" t="inlineStr">
        <is>
          <t>yes</t>
        </is>
      </c>
      <c r="I413" t="inlineStr"/>
      <c r="J413" t="inlineStr"/>
      <c r="K413" t="inlineStr"/>
      <c r="L413" t="inlineStr"/>
      <c r="M413" t="inlineStr"/>
      <c r="N413" t="inlineStr"/>
    </row>
    <row r="414">
      <c r="A414" t="inlineStr">
        <is>
          <t>kr-jeju-city</t>
        </is>
      </c>
      <c r="B414" t="inlineStr">
        <is>
          <t>Jeju City</t>
        </is>
      </c>
      <c r="C414" t="inlineStr">
        <is>
          <t>South Korea</t>
        </is>
      </c>
      <c r="D414" t="inlineStr">
        <is>
          <t>East Asia</t>
        </is>
      </c>
      <c r="E414" t="inlineStr">
        <is>
          <t>innovation_research_intensity_raw</t>
        </is>
      </c>
      <c r="F414" t="inlineStr">
        <is>
          <t>Innovation and research raw</t>
        </is>
      </c>
      <c r="G414" t="inlineStr">
        <is>
          <t>creative</t>
        </is>
      </c>
      <c r="H414" t="inlineStr">
        <is>
          <t>yes</t>
        </is>
      </c>
      <c r="I414" t="inlineStr"/>
      <c r="J414" t="inlineStr"/>
      <c r="K414" t="inlineStr"/>
      <c r="L414" t="inlineStr"/>
      <c r="M414" t="inlineStr"/>
      <c r="N414" t="inlineStr"/>
    </row>
    <row r="415">
      <c r="A415" t="inlineStr">
        <is>
          <t>kr-jeju-city</t>
        </is>
      </c>
      <c r="B415" t="inlineStr">
        <is>
          <t>Jeju City</t>
        </is>
      </c>
      <c r="C415" t="inlineStr">
        <is>
          <t>South Korea</t>
        </is>
      </c>
      <c r="D415" t="inlineStr">
        <is>
          <t>East Asia</t>
        </is>
      </c>
      <c r="E415" t="inlineStr">
        <is>
          <t>investment_signal_raw</t>
        </is>
      </c>
      <c r="F415" t="inlineStr">
        <is>
          <t>Investment signal raw</t>
        </is>
      </c>
      <c r="G415" t="inlineStr">
        <is>
          <t>creative</t>
        </is>
      </c>
      <c r="H415" t="inlineStr">
        <is>
          <t>yes</t>
        </is>
      </c>
      <c r="I415" t="inlineStr"/>
      <c r="J415" t="inlineStr"/>
      <c r="K415" t="inlineStr"/>
      <c r="L415" t="inlineStr"/>
      <c r="M415" t="inlineStr"/>
      <c r="N415" t="inlineStr"/>
    </row>
    <row r="416">
      <c r="A416" t="inlineStr">
        <is>
          <t>kr-jeju-city</t>
        </is>
      </c>
      <c r="B416" t="inlineStr">
        <is>
          <t>Jeju City</t>
        </is>
      </c>
      <c r="C416" t="inlineStr">
        <is>
          <t>South Korea</t>
        </is>
      </c>
      <c r="D416" t="inlineStr">
        <is>
          <t>East Asia</t>
        </is>
      </c>
      <c r="E416" t="inlineStr">
        <is>
          <t>administrative_investment_friction_raw</t>
        </is>
      </c>
      <c r="F416" t="inlineStr">
        <is>
          <t>Administrative investment friction raw</t>
        </is>
      </c>
      <c r="G416" t="inlineStr">
        <is>
          <t>creative</t>
        </is>
      </c>
      <c r="H416" t="inlineStr">
        <is>
          <t>yes</t>
        </is>
      </c>
      <c r="I416" t="inlineStr"/>
      <c r="J416" t="inlineStr"/>
      <c r="K416" t="inlineStr"/>
      <c r="L416" t="inlineStr"/>
      <c r="M416" t="inlineStr"/>
      <c r="N416" t="inlineStr"/>
    </row>
    <row r="417">
      <c r="A417" t="inlineStr">
        <is>
          <t>kr-jeju-city</t>
        </is>
      </c>
      <c r="B417" t="inlineStr">
        <is>
          <t>Jeju City</t>
        </is>
      </c>
      <c r="C417" t="inlineStr">
        <is>
          <t>South Korea</t>
        </is>
      </c>
      <c r="D417" t="inlineStr">
        <is>
          <t>East Asia</t>
        </is>
      </c>
      <c r="E417" t="inlineStr">
        <is>
          <t>visitor_flow_context_raw</t>
        </is>
      </c>
      <c r="F417" t="inlineStr">
        <is>
          <t>Visitor flow context raw</t>
        </is>
      </c>
      <c r="G417" t="inlineStr">
        <is>
          <t>creative</t>
        </is>
      </c>
      <c r="H417" t="inlineStr">
        <is>
          <t>no</t>
        </is>
      </c>
      <c r="I417" t="inlineStr"/>
      <c r="J417" t="inlineStr"/>
      <c r="K417" t="inlineStr"/>
      <c r="L417" t="inlineStr"/>
      <c r="M417" t="inlineStr"/>
      <c r="N417" t="inlineStr"/>
    </row>
    <row r="418">
      <c r="A418" t="inlineStr">
        <is>
          <t>jp-fukuoka</t>
        </is>
      </c>
      <c r="B418" t="inlineStr">
        <is>
          <t>Fukuoka</t>
        </is>
      </c>
      <c r="C418" t="inlineStr">
        <is>
          <t>Japan</t>
        </is>
      </c>
      <c r="D418" t="inlineStr">
        <is>
          <t>East Asia</t>
        </is>
      </c>
      <c r="E418" t="inlineStr">
        <is>
          <t>gross_income</t>
        </is>
      </c>
      <c r="F418" t="inlineStr">
        <is>
          <t>Gross income</t>
        </is>
      </c>
      <c r="G418" t="inlineStr">
        <is>
          <t>pressure</t>
        </is>
      </c>
      <c r="H418" t="inlineStr">
        <is>
          <t>yes</t>
        </is>
      </c>
      <c r="I418" t="inlineStr"/>
      <c r="J418" t="inlineStr"/>
      <c r="K418" t="inlineStr"/>
      <c r="L418" t="inlineStr"/>
      <c r="M418" t="inlineStr"/>
      <c r="N418" t="inlineStr"/>
    </row>
    <row r="419">
      <c r="A419" t="inlineStr">
        <is>
          <t>jp-fukuoka</t>
        </is>
      </c>
      <c r="B419" t="inlineStr">
        <is>
          <t>Fukuoka</t>
        </is>
      </c>
      <c r="C419" t="inlineStr">
        <is>
          <t>Japan</t>
        </is>
      </c>
      <c r="D419" t="inlineStr">
        <is>
          <t>East Asia</t>
        </is>
      </c>
      <c r="E419" t="inlineStr">
        <is>
          <t>rent</t>
        </is>
      </c>
      <c r="F419" t="inlineStr">
        <is>
          <t>Rent</t>
        </is>
      </c>
      <c r="G419" t="inlineStr">
        <is>
          <t>pressure</t>
        </is>
      </c>
      <c r="H419" t="inlineStr">
        <is>
          <t>yes</t>
        </is>
      </c>
      <c r="I419" t="inlineStr"/>
      <c r="J419" t="inlineStr"/>
      <c r="K419" t="inlineStr"/>
      <c r="L419" t="inlineStr"/>
      <c r="M419" t="inlineStr"/>
      <c r="N419" t="inlineStr"/>
    </row>
    <row r="420">
      <c r="A420" t="inlineStr">
        <is>
          <t>jp-fukuoka</t>
        </is>
      </c>
      <c r="B420" t="inlineStr">
        <is>
          <t>Fukuoka</t>
        </is>
      </c>
      <c r="C420" t="inlineStr">
        <is>
          <t>Japan</t>
        </is>
      </c>
      <c r="D420" t="inlineStr">
        <is>
          <t>East Asia</t>
        </is>
      </c>
      <c r="E420" t="inlineStr">
        <is>
          <t>utilities</t>
        </is>
      </c>
      <c r="F420" t="inlineStr">
        <is>
          <t>Utilities</t>
        </is>
      </c>
      <c r="G420" t="inlineStr">
        <is>
          <t>pressure</t>
        </is>
      </c>
      <c r="H420" t="inlineStr">
        <is>
          <t>yes</t>
        </is>
      </c>
      <c r="I420" t="inlineStr"/>
      <c r="J420" t="inlineStr"/>
      <c r="K420" t="inlineStr"/>
      <c r="L420" t="inlineStr"/>
      <c r="M420" t="inlineStr"/>
      <c r="N420" t="inlineStr"/>
    </row>
    <row r="421">
      <c r="A421" t="inlineStr">
        <is>
          <t>jp-fukuoka</t>
        </is>
      </c>
      <c r="B421" t="inlineStr">
        <is>
          <t>Fukuoka</t>
        </is>
      </c>
      <c r="C421" t="inlineStr">
        <is>
          <t>Japan</t>
        </is>
      </c>
      <c r="D421" t="inlineStr">
        <is>
          <t>East Asia</t>
        </is>
      </c>
      <c r="E421" t="inlineStr">
        <is>
          <t>transit_cost</t>
        </is>
      </c>
      <c r="F421" t="inlineStr">
        <is>
          <t>Transit cost</t>
        </is>
      </c>
      <c r="G421" t="inlineStr">
        <is>
          <t>pressure</t>
        </is>
      </c>
      <c r="H421" t="inlineStr">
        <is>
          <t>yes</t>
        </is>
      </c>
      <c r="I421" t="inlineStr"/>
      <c r="J421" t="inlineStr"/>
      <c r="K421" t="inlineStr"/>
      <c r="L421" t="inlineStr"/>
      <c r="M421" t="inlineStr"/>
      <c r="N421" t="inlineStr"/>
    </row>
    <row r="422">
      <c r="A422" t="inlineStr">
        <is>
          <t>jp-fukuoka</t>
        </is>
      </c>
      <c r="B422" t="inlineStr">
        <is>
          <t>Fukuoka</t>
        </is>
      </c>
      <c r="C422" t="inlineStr">
        <is>
          <t>Japan</t>
        </is>
      </c>
      <c r="D422" t="inlineStr">
        <is>
          <t>East Asia</t>
        </is>
      </c>
      <c r="E422" t="inlineStr">
        <is>
          <t>internet_cost</t>
        </is>
      </c>
      <c r="F422" t="inlineStr">
        <is>
          <t>Internet cost</t>
        </is>
      </c>
      <c r="G422" t="inlineStr">
        <is>
          <t>pressure</t>
        </is>
      </c>
      <c r="H422" t="inlineStr">
        <is>
          <t>yes</t>
        </is>
      </c>
      <c r="I422" t="inlineStr"/>
      <c r="J422" t="inlineStr"/>
      <c r="K422" t="inlineStr"/>
      <c r="L422" t="inlineStr"/>
      <c r="M422" t="inlineStr"/>
      <c r="N422" t="inlineStr"/>
    </row>
    <row r="423">
      <c r="A423" t="inlineStr">
        <is>
          <t>jp-fukuoka</t>
        </is>
      </c>
      <c r="B423" t="inlineStr">
        <is>
          <t>Fukuoka</t>
        </is>
      </c>
      <c r="C423" t="inlineStr">
        <is>
          <t>Japan</t>
        </is>
      </c>
      <c r="D423" t="inlineStr">
        <is>
          <t>East Asia</t>
        </is>
      </c>
      <c r="E423" t="inlineStr">
        <is>
          <t>food_cost</t>
        </is>
      </c>
      <c r="F423" t="inlineStr">
        <is>
          <t>Food cost</t>
        </is>
      </c>
      <c r="G423" t="inlineStr">
        <is>
          <t>pressure</t>
        </is>
      </c>
      <c r="H423" t="inlineStr">
        <is>
          <t>yes</t>
        </is>
      </c>
      <c r="I423" t="inlineStr"/>
      <c r="J423" t="inlineStr"/>
      <c r="K423" t="inlineStr"/>
      <c r="L423" t="inlineStr"/>
      <c r="M423" t="inlineStr"/>
      <c r="N423" t="inlineStr"/>
    </row>
    <row r="424">
      <c r="A424" t="inlineStr">
        <is>
          <t>jp-fukuoka</t>
        </is>
      </c>
      <c r="B424" t="inlineStr">
        <is>
          <t>Fukuoka</t>
        </is>
      </c>
      <c r="C424" t="inlineStr">
        <is>
          <t>Japan</t>
        </is>
      </c>
      <c r="D424" t="inlineStr">
        <is>
          <t>East Asia</t>
        </is>
      </c>
      <c r="E424" t="inlineStr">
        <is>
          <t>housing_burden_raw</t>
        </is>
      </c>
      <c r="F424" t="inlineStr">
        <is>
          <t>Housing burden raw</t>
        </is>
      </c>
      <c r="G424" t="inlineStr">
        <is>
          <t>pressure</t>
        </is>
      </c>
      <c r="H424" t="inlineStr">
        <is>
          <t>yes</t>
        </is>
      </c>
      <c r="I424" t="inlineStr"/>
      <c r="J424" t="inlineStr"/>
      <c r="K424" t="inlineStr"/>
      <c r="L424" t="inlineStr"/>
      <c r="M424" t="inlineStr"/>
      <c r="N424" t="inlineStr"/>
    </row>
    <row r="425">
      <c r="A425" t="inlineStr">
        <is>
          <t>jp-fukuoka</t>
        </is>
      </c>
      <c r="B425" t="inlineStr">
        <is>
          <t>Fukuoka</t>
        </is>
      </c>
      <c r="C425" t="inlineStr">
        <is>
          <t>Japan</t>
        </is>
      </c>
      <c r="D425" t="inlineStr">
        <is>
          <t>East Asia</t>
        </is>
      </c>
      <c r="E425" t="inlineStr">
        <is>
          <t>household_debt_burden_raw</t>
        </is>
      </c>
      <c r="F425" t="inlineStr">
        <is>
          <t>Household debt burden raw</t>
        </is>
      </c>
      <c r="G425" t="inlineStr">
        <is>
          <t>pressure</t>
        </is>
      </c>
      <c r="H425" t="inlineStr">
        <is>
          <t>yes</t>
        </is>
      </c>
      <c r="I425" t="inlineStr"/>
      <c r="J425" t="inlineStr"/>
      <c r="K425" t="inlineStr"/>
      <c r="L425" t="inlineStr"/>
      <c r="M425" t="inlineStr"/>
      <c r="N425" t="inlineStr"/>
    </row>
    <row r="426">
      <c r="A426" t="inlineStr">
        <is>
          <t>jp-fukuoka</t>
        </is>
      </c>
      <c r="B426" t="inlineStr">
        <is>
          <t>Fukuoka</t>
        </is>
      </c>
      <c r="C426" t="inlineStr">
        <is>
          <t>Japan</t>
        </is>
      </c>
      <c r="D426" t="inlineStr">
        <is>
          <t>East Asia</t>
        </is>
      </c>
      <c r="E426" t="inlineStr">
        <is>
          <t>working_time_pressure_raw</t>
        </is>
      </c>
      <c r="F426" t="inlineStr">
        <is>
          <t>Working time pressure raw</t>
        </is>
      </c>
      <c r="G426" t="inlineStr">
        <is>
          <t>pressure</t>
        </is>
      </c>
      <c r="H426" t="inlineStr">
        <is>
          <t>yes</t>
        </is>
      </c>
      <c r="I426" t="inlineStr"/>
      <c r="J426" t="inlineStr"/>
      <c r="K426" t="inlineStr"/>
      <c r="L426" t="inlineStr"/>
      <c r="M426" t="inlineStr"/>
      <c r="N426" t="inlineStr"/>
    </row>
    <row r="427">
      <c r="A427" t="inlineStr">
        <is>
          <t>jp-fukuoka</t>
        </is>
      </c>
      <c r="B427" t="inlineStr">
        <is>
          <t>Fukuoka</t>
        </is>
      </c>
      <c r="C427" t="inlineStr">
        <is>
          <t>Japan</t>
        </is>
      </c>
      <c r="D427" t="inlineStr">
        <is>
          <t>East Asia</t>
        </is>
      </c>
      <c r="E427" t="inlineStr">
        <is>
          <t>suicide_mental_strain_raw</t>
        </is>
      </c>
      <c r="F427" t="inlineStr">
        <is>
          <t>Suicide or mental strain raw</t>
        </is>
      </c>
      <c r="G427" t="inlineStr">
        <is>
          <t>pressure</t>
        </is>
      </c>
      <c r="H427" t="inlineStr">
        <is>
          <t>yes</t>
        </is>
      </c>
      <c r="I427" t="inlineStr"/>
      <c r="J427" t="inlineStr"/>
      <c r="K427" t="inlineStr"/>
      <c r="L427" t="inlineStr"/>
      <c r="M427" t="inlineStr"/>
      <c r="N427" t="inlineStr"/>
    </row>
    <row r="428">
      <c r="A428" t="inlineStr">
        <is>
          <t>jp-fukuoka</t>
        </is>
      </c>
      <c r="B428" t="inlineStr">
        <is>
          <t>Fukuoka</t>
        </is>
      </c>
      <c r="C428" t="inlineStr">
        <is>
          <t>Japan</t>
        </is>
      </c>
      <c r="D428" t="inlineStr">
        <is>
          <t>East Asia</t>
        </is>
      </c>
      <c r="E428" t="inlineStr">
        <is>
          <t>personal_safety_raw</t>
        </is>
      </c>
      <c r="F428" t="inlineStr">
        <is>
          <t>Personal safety raw</t>
        </is>
      </c>
      <c r="G428" t="inlineStr">
        <is>
          <t>viability</t>
        </is>
      </c>
      <c r="H428" t="inlineStr">
        <is>
          <t>yes</t>
        </is>
      </c>
      <c r="I428" t="inlineStr"/>
      <c r="J428" t="inlineStr"/>
      <c r="K428" t="inlineStr"/>
      <c r="L428" t="inlineStr"/>
      <c r="M428" t="inlineStr"/>
      <c r="N428" t="inlineStr"/>
    </row>
    <row r="429">
      <c r="A429" t="inlineStr">
        <is>
          <t>jp-fukuoka</t>
        </is>
      </c>
      <c r="B429" t="inlineStr">
        <is>
          <t>Fukuoka</t>
        </is>
      </c>
      <c r="C429" t="inlineStr">
        <is>
          <t>Japan</t>
        </is>
      </c>
      <c r="D429" t="inlineStr">
        <is>
          <t>East Asia</t>
        </is>
      </c>
      <c r="E429" t="inlineStr">
        <is>
          <t>transit_access_commute_raw</t>
        </is>
      </c>
      <c r="F429" t="inlineStr">
        <is>
          <t>Transit access and commute raw</t>
        </is>
      </c>
      <c r="G429" t="inlineStr">
        <is>
          <t>viability</t>
        </is>
      </c>
      <c r="H429" t="inlineStr">
        <is>
          <t>yes</t>
        </is>
      </c>
      <c r="I429" t="inlineStr"/>
      <c r="J429" t="inlineStr"/>
      <c r="K429" t="inlineStr"/>
      <c r="L429" t="inlineStr"/>
      <c r="M429" t="inlineStr"/>
      <c r="N429" t="inlineStr"/>
    </row>
    <row r="430">
      <c r="A430" t="inlineStr">
        <is>
          <t>jp-fukuoka</t>
        </is>
      </c>
      <c r="B430" t="inlineStr">
        <is>
          <t>Fukuoka</t>
        </is>
      </c>
      <c r="C430" t="inlineStr">
        <is>
          <t>Japan</t>
        </is>
      </c>
      <c r="D430" t="inlineStr">
        <is>
          <t>East Asia</t>
        </is>
      </c>
      <c r="E430" t="inlineStr">
        <is>
          <t>clean_air_raw</t>
        </is>
      </c>
      <c r="F430" t="inlineStr">
        <is>
          <t>Clean air raw</t>
        </is>
      </c>
      <c r="G430" t="inlineStr">
        <is>
          <t>viability</t>
        </is>
      </c>
      <c r="H430" t="inlineStr">
        <is>
          <t>yes</t>
        </is>
      </c>
      <c r="I430" t="inlineStr"/>
      <c r="J430" t="inlineStr"/>
      <c r="K430" t="inlineStr"/>
      <c r="L430" t="inlineStr"/>
      <c r="M430" t="inlineStr"/>
      <c r="N430" t="inlineStr"/>
    </row>
    <row r="431">
      <c r="A431" t="inlineStr">
        <is>
          <t>jp-fukuoka</t>
        </is>
      </c>
      <c r="B431" t="inlineStr">
        <is>
          <t>Fukuoka</t>
        </is>
      </c>
      <c r="C431" t="inlineStr">
        <is>
          <t>Japan</t>
        </is>
      </c>
      <c r="D431" t="inlineStr">
        <is>
          <t>East Asia</t>
        </is>
      </c>
      <c r="E431" t="inlineStr">
        <is>
          <t>water_sanitation_utility_raw</t>
        </is>
      </c>
      <c r="F431" t="inlineStr">
        <is>
          <t>Water, sanitation, and utility raw</t>
        </is>
      </c>
      <c r="G431" t="inlineStr">
        <is>
          <t>viability</t>
        </is>
      </c>
      <c r="H431" t="inlineStr">
        <is>
          <t>yes</t>
        </is>
      </c>
      <c r="I431" t="inlineStr"/>
      <c r="J431" t="inlineStr"/>
      <c r="K431" t="inlineStr"/>
      <c r="L431" t="inlineStr"/>
      <c r="M431" t="inlineStr"/>
      <c r="N431" t="inlineStr"/>
    </row>
    <row r="432">
      <c r="A432" t="inlineStr">
        <is>
          <t>jp-fukuoka</t>
        </is>
      </c>
      <c r="B432" t="inlineStr">
        <is>
          <t>Fukuoka</t>
        </is>
      </c>
      <c r="C432" t="inlineStr">
        <is>
          <t>Japan</t>
        </is>
      </c>
      <c r="D432" t="inlineStr">
        <is>
          <t>East Asia</t>
        </is>
      </c>
      <c r="E432" t="inlineStr">
        <is>
          <t>digital_infrastructure_raw</t>
        </is>
      </c>
      <c r="F432" t="inlineStr">
        <is>
          <t>Digital infrastructure raw</t>
        </is>
      </c>
      <c r="G432" t="inlineStr">
        <is>
          <t>viability</t>
        </is>
      </c>
      <c r="H432" t="inlineStr">
        <is>
          <t>yes</t>
        </is>
      </c>
      <c r="I432" t="inlineStr"/>
      <c r="J432" t="inlineStr"/>
      <c r="K432" t="inlineStr"/>
      <c r="L432" t="inlineStr"/>
      <c r="M432" t="inlineStr"/>
      <c r="N432" t="inlineStr"/>
    </row>
    <row r="433">
      <c r="A433" t="inlineStr">
        <is>
          <t>jp-fukuoka</t>
        </is>
      </c>
      <c r="B433" t="inlineStr">
        <is>
          <t>Fukuoka</t>
        </is>
      </c>
      <c r="C433" t="inlineStr">
        <is>
          <t>Japan</t>
        </is>
      </c>
      <c r="D433" t="inlineStr">
        <is>
          <t>East Asia</t>
        </is>
      </c>
      <c r="E433" t="inlineStr">
        <is>
          <t>healthcare_quality_raw</t>
        </is>
      </c>
      <c r="F433" t="inlineStr">
        <is>
          <t>Healthcare quality raw</t>
        </is>
      </c>
      <c r="G433" t="inlineStr">
        <is>
          <t>capability</t>
        </is>
      </c>
      <c r="H433" t="inlineStr">
        <is>
          <t>yes</t>
        </is>
      </c>
      <c r="I433" t="inlineStr"/>
      <c r="J433" t="inlineStr"/>
      <c r="K433" t="inlineStr"/>
      <c r="L433" t="inlineStr"/>
      <c r="M433" t="inlineStr"/>
      <c r="N433" t="inlineStr"/>
    </row>
    <row r="434">
      <c r="A434" t="inlineStr">
        <is>
          <t>jp-fukuoka</t>
        </is>
      </c>
      <c r="B434" t="inlineStr">
        <is>
          <t>Fukuoka</t>
        </is>
      </c>
      <c r="C434" t="inlineStr">
        <is>
          <t>Japan</t>
        </is>
      </c>
      <c r="D434" t="inlineStr">
        <is>
          <t>East Asia</t>
        </is>
      </c>
      <c r="E434" t="inlineStr">
        <is>
          <t>education_quality_raw</t>
        </is>
      </c>
      <c r="F434" t="inlineStr">
        <is>
          <t>Education quality raw</t>
        </is>
      </c>
      <c r="G434" t="inlineStr">
        <is>
          <t>capability</t>
        </is>
      </c>
      <c r="H434" t="inlineStr">
        <is>
          <t>yes</t>
        </is>
      </c>
      <c r="I434" t="inlineStr"/>
      <c r="J434" t="inlineStr"/>
      <c r="K434" t="inlineStr"/>
      <c r="L434" t="inlineStr"/>
      <c r="M434" t="inlineStr"/>
      <c r="N434" t="inlineStr"/>
    </row>
    <row r="435">
      <c r="A435" t="inlineStr">
        <is>
          <t>jp-fukuoka</t>
        </is>
      </c>
      <c r="B435" t="inlineStr">
        <is>
          <t>Fukuoka</t>
        </is>
      </c>
      <c r="C435" t="inlineStr">
        <is>
          <t>Japan</t>
        </is>
      </c>
      <c r="D435" t="inlineStr">
        <is>
          <t>East Asia</t>
        </is>
      </c>
      <c r="E435" t="inlineStr">
        <is>
          <t>equal_opportunity_raw</t>
        </is>
      </c>
      <c r="F435" t="inlineStr">
        <is>
          <t>Equal opportunity raw</t>
        </is>
      </c>
      <c r="G435" t="inlineStr">
        <is>
          <t>capability</t>
        </is>
      </c>
      <c r="H435" t="inlineStr">
        <is>
          <t>yes</t>
        </is>
      </c>
      <c r="I435" t="inlineStr"/>
      <c r="J435" t="inlineStr"/>
      <c r="K435" t="inlineStr"/>
      <c r="L435" t="inlineStr"/>
      <c r="M435" t="inlineStr"/>
      <c r="N435" t="inlineStr"/>
    </row>
    <row r="436">
      <c r="A436" t="inlineStr">
        <is>
          <t>jp-fukuoka</t>
        </is>
      </c>
      <c r="B436" t="inlineStr">
        <is>
          <t>Fukuoka</t>
        </is>
      </c>
      <c r="C436" t="inlineStr">
        <is>
          <t>Japan</t>
        </is>
      </c>
      <c r="D436" t="inlineStr">
        <is>
          <t>East Asia</t>
        </is>
      </c>
      <c r="E436" t="inlineStr">
        <is>
          <t>hospitality_belonging_raw</t>
        </is>
      </c>
      <c r="F436" t="inlineStr">
        <is>
          <t>Hospitality and belonging raw</t>
        </is>
      </c>
      <c r="G436" t="inlineStr">
        <is>
          <t>community</t>
        </is>
      </c>
      <c r="H436" t="inlineStr">
        <is>
          <t>yes</t>
        </is>
      </c>
      <c r="I436" t="inlineStr"/>
      <c r="J436" t="inlineStr"/>
      <c r="K436" t="inlineStr"/>
      <c r="L436" t="inlineStr"/>
      <c r="M436" t="inlineStr"/>
      <c r="N436" t="inlineStr"/>
    </row>
    <row r="437">
      <c r="A437" t="inlineStr">
        <is>
          <t>jp-fukuoka</t>
        </is>
      </c>
      <c r="B437" t="inlineStr">
        <is>
          <t>Fukuoka</t>
        </is>
      </c>
      <c r="C437" t="inlineStr">
        <is>
          <t>Japan</t>
        </is>
      </c>
      <c r="D437" t="inlineStr">
        <is>
          <t>East Asia</t>
        </is>
      </c>
      <c r="E437" t="inlineStr">
        <is>
          <t>tolerance_pluralism_raw</t>
        </is>
      </c>
      <c r="F437" t="inlineStr">
        <is>
          <t>Tolerance and pluralism raw</t>
        </is>
      </c>
      <c r="G437" t="inlineStr">
        <is>
          <t>community</t>
        </is>
      </c>
      <c r="H437" t="inlineStr">
        <is>
          <t>yes</t>
        </is>
      </c>
      <c r="I437" t="inlineStr"/>
      <c r="J437" t="inlineStr"/>
      <c r="K437" t="inlineStr"/>
      <c r="L437" t="inlineStr"/>
      <c r="M437" t="inlineStr"/>
      <c r="N437" t="inlineStr"/>
    </row>
    <row r="438">
      <c r="A438" t="inlineStr">
        <is>
          <t>jp-fukuoka</t>
        </is>
      </c>
      <c r="B438" t="inlineStr">
        <is>
          <t>Fukuoka</t>
        </is>
      </c>
      <c r="C438" t="inlineStr">
        <is>
          <t>Japan</t>
        </is>
      </c>
      <c r="D438" t="inlineStr">
        <is>
          <t>East Asia</t>
        </is>
      </c>
      <c r="E438" t="inlineStr">
        <is>
          <t>cultural_public_life_raw</t>
        </is>
      </c>
      <c r="F438" t="inlineStr">
        <is>
          <t>Cultural public life raw</t>
        </is>
      </c>
      <c r="G438" t="inlineStr">
        <is>
          <t>community</t>
        </is>
      </c>
      <c r="H438" t="inlineStr">
        <is>
          <t>yes</t>
        </is>
      </c>
      <c r="I438" t="inlineStr"/>
      <c r="J438" t="inlineStr"/>
      <c r="K438" t="inlineStr"/>
      <c r="L438" t="inlineStr"/>
      <c r="M438" t="inlineStr"/>
      <c r="N438" t="inlineStr"/>
    </row>
    <row r="439">
      <c r="A439" t="inlineStr">
        <is>
          <t>jp-fukuoka</t>
        </is>
      </c>
      <c r="B439" t="inlineStr">
        <is>
          <t>Fukuoka</t>
        </is>
      </c>
      <c r="C439" t="inlineStr">
        <is>
          <t>Japan</t>
        </is>
      </c>
      <c r="D439" t="inlineStr">
        <is>
          <t>East Asia</t>
        </is>
      </c>
      <c r="E439" t="inlineStr">
        <is>
          <t>entrepreneurial_dynamism_raw</t>
        </is>
      </c>
      <c r="F439" t="inlineStr">
        <is>
          <t>Entrepreneurial dynamism raw</t>
        </is>
      </c>
      <c r="G439" t="inlineStr">
        <is>
          <t>creative</t>
        </is>
      </c>
      <c r="H439" t="inlineStr">
        <is>
          <t>yes</t>
        </is>
      </c>
      <c r="I439" t="inlineStr"/>
      <c r="J439" t="inlineStr"/>
      <c r="K439" t="inlineStr"/>
      <c r="L439" t="inlineStr"/>
      <c r="M439" t="inlineStr"/>
      <c r="N439" t="inlineStr"/>
    </row>
    <row r="440">
      <c r="A440" t="inlineStr">
        <is>
          <t>jp-fukuoka</t>
        </is>
      </c>
      <c r="B440" t="inlineStr">
        <is>
          <t>Fukuoka</t>
        </is>
      </c>
      <c r="C440" t="inlineStr">
        <is>
          <t>Japan</t>
        </is>
      </c>
      <c r="D440" t="inlineStr">
        <is>
          <t>East Asia</t>
        </is>
      </c>
      <c r="E440" t="inlineStr">
        <is>
          <t>innovation_research_intensity_raw</t>
        </is>
      </c>
      <c r="F440" t="inlineStr">
        <is>
          <t>Innovation and research raw</t>
        </is>
      </c>
      <c r="G440" t="inlineStr">
        <is>
          <t>creative</t>
        </is>
      </c>
      <c r="H440" t="inlineStr">
        <is>
          <t>yes</t>
        </is>
      </c>
      <c r="I440" t="inlineStr"/>
      <c r="J440" t="inlineStr"/>
      <c r="K440" t="inlineStr"/>
      <c r="L440" t="inlineStr"/>
      <c r="M440" t="inlineStr"/>
      <c r="N440" t="inlineStr"/>
    </row>
    <row r="441">
      <c r="A441" t="inlineStr">
        <is>
          <t>jp-fukuoka</t>
        </is>
      </c>
      <c r="B441" t="inlineStr">
        <is>
          <t>Fukuoka</t>
        </is>
      </c>
      <c r="C441" t="inlineStr">
        <is>
          <t>Japan</t>
        </is>
      </c>
      <c r="D441" t="inlineStr">
        <is>
          <t>East Asia</t>
        </is>
      </c>
      <c r="E441" t="inlineStr">
        <is>
          <t>investment_signal_raw</t>
        </is>
      </c>
      <c r="F441" t="inlineStr">
        <is>
          <t>Investment signal raw</t>
        </is>
      </c>
      <c r="G441" t="inlineStr">
        <is>
          <t>creative</t>
        </is>
      </c>
      <c r="H441" t="inlineStr">
        <is>
          <t>yes</t>
        </is>
      </c>
      <c r="I441" t="inlineStr"/>
      <c r="J441" t="inlineStr"/>
      <c r="K441" t="inlineStr"/>
      <c r="L441" t="inlineStr"/>
      <c r="M441" t="inlineStr"/>
      <c r="N441" t="inlineStr"/>
    </row>
    <row r="442">
      <c r="A442" t="inlineStr">
        <is>
          <t>jp-fukuoka</t>
        </is>
      </c>
      <c r="B442" t="inlineStr">
        <is>
          <t>Fukuoka</t>
        </is>
      </c>
      <c r="C442" t="inlineStr">
        <is>
          <t>Japan</t>
        </is>
      </c>
      <c r="D442" t="inlineStr">
        <is>
          <t>East Asia</t>
        </is>
      </c>
      <c r="E442" t="inlineStr">
        <is>
          <t>administrative_investment_friction_raw</t>
        </is>
      </c>
      <c r="F442" t="inlineStr">
        <is>
          <t>Administrative investment friction raw</t>
        </is>
      </c>
      <c r="G442" t="inlineStr">
        <is>
          <t>creative</t>
        </is>
      </c>
      <c r="H442" t="inlineStr">
        <is>
          <t>yes</t>
        </is>
      </c>
      <c r="I442" t="inlineStr"/>
      <c r="J442" t="inlineStr"/>
      <c r="K442" t="inlineStr"/>
      <c r="L442" t="inlineStr"/>
      <c r="M442" t="inlineStr"/>
      <c r="N442" t="inlineStr"/>
    </row>
    <row r="443">
      <c r="A443" t="inlineStr">
        <is>
          <t>jp-fukuoka</t>
        </is>
      </c>
      <c r="B443" t="inlineStr">
        <is>
          <t>Fukuoka</t>
        </is>
      </c>
      <c r="C443" t="inlineStr">
        <is>
          <t>Japan</t>
        </is>
      </c>
      <c r="D443" t="inlineStr">
        <is>
          <t>East Asia</t>
        </is>
      </c>
      <c r="E443" t="inlineStr">
        <is>
          <t>visitor_flow_context_raw</t>
        </is>
      </c>
      <c r="F443" t="inlineStr">
        <is>
          <t>Visitor flow context raw</t>
        </is>
      </c>
      <c r="G443" t="inlineStr">
        <is>
          <t>creative</t>
        </is>
      </c>
      <c r="H443" t="inlineStr">
        <is>
          <t>no</t>
        </is>
      </c>
      <c r="I443" t="inlineStr"/>
      <c r="J443" t="inlineStr"/>
      <c r="K443" t="inlineStr"/>
      <c r="L443" t="inlineStr"/>
      <c r="M443" t="inlineStr"/>
      <c r="N443" t="inlineStr"/>
    </row>
    <row r="444">
      <c r="A444" t="inlineStr">
        <is>
          <t>jp-kobe</t>
        </is>
      </c>
      <c r="B444" t="inlineStr">
        <is>
          <t>Kobe</t>
        </is>
      </c>
      <c r="C444" t="inlineStr">
        <is>
          <t>Japan</t>
        </is>
      </c>
      <c r="D444" t="inlineStr">
        <is>
          <t>East Asia</t>
        </is>
      </c>
      <c r="E444" t="inlineStr">
        <is>
          <t>gross_income</t>
        </is>
      </c>
      <c r="F444" t="inlineStr">
        <is>
          <t>Gross income</t>
        </is>
      </c>
      <c r="G444" t="inlineStr">
        <is>
          <t>pressure</t>
        </is>
      </c>
      <c r="H444" t="inlineStr">
        <is>
          <t>yes</t>
        </is>
      </c>
      <c r="I444" t="inlineStr"/>
      <c r="J444" t="inlineStr"/>
      <c r="K444" t="inlineStr"/>
      <c r="L444" t="inlineStr"/>
      <c r="M444" t="inlineStr"/>
      <c r="N444" t="inlineStr"/>
    </row>
    <row r="445">
      <c r="A445" t="inlineStr">
        <is>
          <t>jp-kobe</t>
        </is>
      </c>
      <c r="B445" t="inlineStr">
        <is>
          <t>Kobe</t>
        </is>
      </c>
      <c r="C445" t="inlineStr">
        <is>
          <t>Japan</t>
        </is>
      </c>
      <c r="D445" t="inlineStr">
        <is>
          <t>East Asia</t>
        </is>
      </c>
      <c r="E445" t="inlineStr">
        <is>
          <t>rent</t>
        </is>
      </c>
      <c r="F445" t="inlineStr">
        <is>
          <t>Rent</t>
        </is>
      </c>
      <c r="G445" t="inlineStr">
        <is>
          <t>pressure</t>
        </is>
      </c>
      <c r="H445" t="inlineStr">
        <is>
          <t>yes</t>
        </is>
      </c>
      <c r="I445" t="inlineStr"/>
      <c r="J445" t="inlineStr"/>
      <c r="K445" t="inlineStr"/>
      <c r="L445" t="inlineStr"/>
      <c r="M445" t="inlineStr"/>
      <c r="N445" t="inlineStr"/>
    </row>
    <row r="446">
      <c r="A446" t="inlineStr">
        <is>
          <t>jp-kobe</t>
        </is>
      </c>
      <c r="B446" t="inlineStr">
        <is>
          <t>Kobe</t>
        </is>
      </c>
      <c r="C446" t="inlineStr">
        <is>
          <t>Japan</t>
        </is>
      </c>
      <c r="D446" t="inlineStr">
        <is>
          <t>East Asia</t>
        </is>
      </c>
      <c r="E446" t="inlineStr">
        <is>
          <t>utilities</t>
        </is>
      </c>
      <c r="F446" t="inlineStr">
        <is>
          <t>Utilities</t>
        </is>
      </c>
      <c r="G446" t="inlineStr">
        <is>
          <t>pressure</t>
        </is>
      </c>
      <c r="H446" t="inlineStr">
        <is>
          <t>yes</t>
        </is>
      </c>
      <c r="I446" t="inlineStr"/>
      <c r="J446" t="inlineStr"/>
      <c r="K446" t="inlineStr"/>
      <c r="L446" t="inlineStr"/>
      <c r="M446" t="inlineStr"/>
      <c r="N446" t="inlineStr"/>
    </row>
    <row r="447">
      <c r="A447" t="inlineStr">
        <is>
          <t>jp-kobe</t>
        </is>
      </c>
      <c r="B447" t="inlineStr">
        <is>
          <t>Kobe</t>
        </is>
      </c>
      <c r="C447" t="inlineStr">
        <is>
          <t>Japan</t>
        </is>
      </c>
      <c r="D447" t="inlineStr">
        <is>
          <t>East Asia</t>
        </is>
      </c>
      <c r="E447" t="inlineStr">
        <is>
          <t>transit_cost</t>
        </is>
      </c>
      <c r="F447" t="inlineStr">
        <is>
          <t>Transit cost</t>
        </is>
      </c>
      <c r="G447" t="inlineStr">
        <is>
          <t>pressure</t>
        </is>
      </c>
      <c r="H447" t="inlineStr">
        <is>
          <t>yes</t>
        </is>
      </c>
      <c r="I447" t="inlineStr"/>
      <c r="J447" t="inlineStr"/>
      <c r="K447" t="inlineStr"/>
      <c r="L447" t="inlineStr"/>
      <c r="M447" t="inlineStr"/>
      <c r="N447" t="inlineStr"/>
    </row>
    <row r="448">
      <c r="A448" t="inlineStr">
        <is>
          <t>jp-kobe</t>
        </is>
      </c>
      <c r="B448" t="inlineStr">
        <is>
          <t>Kobe</t>
        </is>
      </c>
      <c r="C448" t="inlineStr">
        <is>
          <t>Japan</t>
        </is>
      </c>
      <c r="D448" t="inlineStr">
        <is>
          <t>East Asia</t>
        </is>
      </c>
      <c r="E448" t="inlineStr">
        <is>
          <t>internet_cost</t>
        </is>
      </c>
      <c r="F448" t="inlineStr">
        <is>
          <t>Internet cost</t>
        </is>
      </c>
      <c r="G448" t="inlineStr">
        <is>
          <t>pressure</t>
        </is>
      </c>
      <c r="H448" t="inlineStr">
        <is>
          <t>yes</t>
        </is>
      </c>
      <c r="I448" t="inlineStr"/>
      <c r="J448" t="inlineStr"/>
      <c r="K448" t="inlineStr"/>
      <c r="L448" t="inlineStr"/>
      <c r="M448" t="inlineStr"/>
      <c r="N448" t="inlineStr"/>
    </row>
    <row r="449">
      <c r="A449" t="inlineStr">
        <is>
          <t>jp-kobe</t>
        </is>
      </c>
      <c r="B449" t="inlineStr">
        <is>
          <t>Kobe</t>
        </is>
      </c>
      <c r="C449" t="inlineStr">
        <is>
          <t>Japan</t>
        </is>
      </c>
      <c r="D449" t="inlineStr">
        <is>
          <t>East Asia</t>
        </is>
      </c>
      <c r="E449" t="inlineStr">
        <is>
          <t>food_cost</t>
        </is>
      </c>
      <c r="F449" t="inlineStr">
        <is>
          <t>Food cost</t>
        </is>
      </c>
      <c r="G449" t="inlineStr">
        <is>
          <t>pressure</t>
        </is>
      </c>
      <c r="H449" t="inlineStr">
        <is>
          <t>yes</t>
        </is>
      </c>
      <c r="I449" t="inlineStr"/>
      <c r="J449" t="inlineStr"/>
      <c r="K449" t="inlineStr"/>
      <c r="L449" t="inlineStr"/>
      <c r="M449" t="inlineStr"/>
      <c r="N449" t="inlineStr"/>
    </row>
    <row r="450">
      <c r="A450" t="inlineStr">
        <is>
          <t>jp-kobe</t>
        </is>
      </c>
      <c r="B450" t="inlineStr">
        <is>
          <t>Kobe</t>
        </is>
      </c>
      <c r="C450" t="inlineStr">
        <is>
          <t>Japan</t>
        </is>
      </c>
      <c r="D450" t="inlineStr">
        <is>
          <t>East Asia</t>
        </is>
      </c>
      <c r="E450" t="inlineStr">
        <is>
          <t>housing_burden_raw</t>
        </is>
      </c>
      <c r="F450" t="inlineStr">
        <is>
          <t>Housing burden raw</t>
        </is>
      </c>
      <c r="G450" t="inlineStr">
        <is>
          <t>pressure</t>
        </is>
      </c>
      <c r="H450" t="inlineStr">
        <is>
          <t>yes</t>
        </is>
      </c>
      <c r="I450" t="inlineStr"/>
      <c r="J450" t="inlineStr"/>
      <c r="K450" t="inlineStr"/>
      <c r="L450" t="inlineStr"/>
      <c r="M450" t="inlineStr"/>
      <c r="N450" t="inlineStr"/>
    </row>
    <row r="451">
      <c r="A451" t="inlineStr">
        <is>
          <t>jp-kobe</t>
        </is>
      </c>
      <c r="B451" t="inlineStr">
        <is>
          <t>Kobe</t>
        </is>
      </c>
      <c r="C451" t="inlineStr">
        <is>
          <t>Japan</t>
        </is>
      </c>
      <c r="D451" t="inlineStr">
        <is>
          <t>East Asia</t>
        </is>
      </c>
      <c r="E451" t="inlineStr">
        <is>
          <t>household_debt_burden_raw</t>
        </is>
      </c>
      <c r="F451" t="inlineStr">
        <is>
          <t>Household debt burden raw</t>
        </is>
      </c>
      <c r="G451" t="inlineStr">
        <is>
          <t>pressure</t>
        </is>
      </c>
      <c r="H451" t="inlineStr">
        <is>
          <t>yes</t>
        </is>
      </c>
      <c r="I451" t="inlineStr"/>
      <c r="J451" t="inlineStr"/>
      <c r="K451" t="inlineStr"/>
      <c r="L451" t="inlineStr"/>
      <c r="M451" t="inlineStr"/>
      <c r="N451" t="inlineStr"/>
    </row>
    <row r="452">
      <c r="A452" t="inlineStr">
        <is>
          <t>jp-kobe</t>
        </is>
      </c>
      <c r="B452" t="inlineStr">
        <is>
          <t>Kobe</t>
        </is>
      </c>
      <c r="C452" t="inlineStr">
        <is>
          <t>Japan</t>
        </is>
      </c>
      <c r="D452" t="inlineStr">
        <is>
          <t>East Asia</t>
        </is>
      </c>
      <c r="E452" t="inlineStr">
        <is>
          <t>working_time_pressure_raw</t>
        </is>
      </c>
      <c r="F452" t="inlineStr">
        <is>
          <t>Working time pressure raw</t>
        </is>
      </c>
      <c r="G452" t="inlineStr">
        <is>
          <t>pressure</t>
        </is>
      </c>
      <c r="H452" t="inlineStr">
        <is>
          <t>yes</t>
        </is>
      </c>
      <c r="I452" t="inlineStr"/>
      <c r="J452" t="inlineStr"/>
      <c r="K452" t="inlineStr"/>
      <c r="L452" t="inlineStr"/>
      <c r="M452" t="inlineStr"/>
      <c r="N452" t="inlineStr"/>
    </row>
    <row r="453">
      <c r="A453" t="inlineStr">
        <is>
          <t>jp-kobe</t>
        </is>
      </c>
      <c r="B453" t="inlineStr">
        <is>
          <t>Kobe</t>
        </is>
      </c>
      <c r="C453" t="inlineStr">
        <is>
          <t>Japan</t>
        </is>
      </c>
      <c r="D453" t="inlineStr">
        <is>
          <t>East Asia</t>
        </is>
      </c>
      <c r="E453" t="inlineStr">
        <is>
          <t>suicide_mental_strain_raw</t>
        </is>
      </c>
      <c r="F453" t="inlineStr">
        <is>
          <t>Suicide or mental strain raw</t>
        </is>
      </c>
      <c r="G453" t="inlineStr">
        <is>
          <t>pressure</t>
        </is>
      </c>
      <c r="H453" t="inlineStr">
        <is>
          <t>yes</t>
        </is>
      </c>
      <c r="I453" t="inlineStr"/>
      <c r="J453" t="inlineStr"/>
      <c r="K453" t="inlineStr"/>
      <c r="L453" t="inlineStr"/>
      <c r="M453" t="inlineStr"/>
      <c r="N453" t="inlineStr"/>
    </row>
    <row r="454">
      <c r="A454" t="inlineStr">
        <is>
          <t>jp-kobe</t>
        </is>
      </c>
      <c r="B454" t="inlineStr">
        <is>
          <t>Kobe</t>
        </is>
      </c>
      <c r="C454" t="inlineStr">
        <is>
          <t>Japan</t>
        </is>
      </c>
      <c r="D454" t="inlineStr">
        <is>
          <t>East Asia</t>
        </is>
      </c>
      <c r="E454" t="inlineStr">
        <is>
          <t>personal_safety_raw</t>
        </is>
      </c>
      <c r="F454" t="inlineStr">
        <is>
          <t>Personal safety raw</t>
        </is>
      </c>
      <c r="G454" t="inlineStr">
        <is>
          <t>viability</t>
        </is>
      </c>
      <c r="H454" t="inlineStr">
        <is>
          <t>yes</t>
        </is>
      </c>
      <c r="I454" t="inlineStr"/>
      <c r="J454" t="inlineStr"/>
      <c r="K454" t="inlineStr"/>
      <c r="L454" t="inlineStr"/>
      <c r="M454" t="inlineStr"/>
      <c r="N454" t="inlineStr"/>
    </row>
    <row r="455">
      <c r="A455" t="inlineStr">
        <is>
          <t>jp-kobe</t>
        </is>
      </c>
      <c r="B455" t="inlineStr">
        <is>
          <t>Kobe</t>
        </is>
      </c>
      <c r="C455" t="inlineStr">
        <is>
          <t>Japan</t>
        </is>
      </c>
      <c r="D455" t="inlineStr">
        <is>
          <t>East Asia</t>
        </is>
      </c>
      <c r="E455" t="inlineStr">
        <is>
          <t>transit_access_commute_raw</t>
        </is>
      </c>
      <c r="F455" t="inlineStr">
        <is>
          <t>Transit access and commute raw</t>
        </is>
      </c>
      <c r="G455" t="inlineStr">
        <is>
          <t>viability</t>
        </is>
      </c>
      <c r="H455" t="inlineStr">
        <is>
          <t>yes</t>
        </is>
      </c>
      <c r="I455" t="inlineStr"/>
      <c r="J455" t="inlineStr"/>
      <c r="K455" t="inlineStr"/>
      <c r="L455" t="inlineStr"/>
      <c r="M455" t="inlineStr"/>
      <c r="N455" t="inlineStr"/>
    </row>
    <row r="456">
      <c r="A456" t="inlineStr">
        <is>
          <t>jp-kobe</t>
        </is>
      </c>
      <c r="B456" t="inlineStr">
        <is>
          <t>Kobe</t>
        </is>
      </c>
      <c r="C456" t="inlineStr">
        <is>
          <t>Japan</t>
        </is>
      </c>
      <c r="D456" t="inlineStr">
        <is>
          <t>East Asia</t>
        </is>
      </c>
      <c r="E456" t="inlineStr">
        <is>
          <t>clean_air_raw</t>
        </is>
      </c>
      <c r="F456" t="inlineStr">
        <is>
          <t>Clean air raw</t>
        </is>
      </c>
      <c r="G456" t="inlineStr">
        <is>
          <t>viability</t>
        </is>
      </c>
      <c r="H456" t="inlineStr">
        <is>
          <t>yes</t>
        </is>
      </c>
      <c r="I456" t="inlineStr"/>
      <c r="J456" t="inlineStr"/>
      <c r="K456" t="inlineStr"/>
      <c r="L456" t="inlineStr"/>
      <c r="M456" t="inlineStr"/>
      <c r="N456" t="inlineStr"/>
    </row>
    <row r="457">
      <c r="A457" t="inlineStr">
        <is>
          <t>jp-kobe</t>
        </is>
      </c>
      <c r="B457" t="inlineStr">
        <is>
          <t>Kobe</t>
        </is>
      </c>
      <c r="C457" t="inlineStr">
        <is>
          <t>Japan</t>
        </is>
      </c>
      <c r="D457" t="inlineStr">
        <is>
          <t>East Asia</t>
        </is>
      </c>
      <c r="E457" t="inlineStr">
        <is>
          <t>water_sanitation_utility_raw</t>
        </is>
      </c>
      <c r="F457" t="inlineStr">
        <is>
          <t>Water, sanitation, and utility raw</t>
        </is>
      </c>
      <c r="G457" t="inlineStr">
        <is>
          <t>viability</t>
        </is>
      </c>
      <c r="H457" t="inlineStr">
        <is>
          <t>yes</t>
        </is>
      </c>
      <c r="I457" t="inlineStr"/>
      <c r="J457" t="inlineStr"/>
      <c r="K457" t="inlineStr"/>
      <c r="L457" t="inlineStr"/>
      <c r="M457" t="inlineStr"/>
      <c r="N457" t="inlineStr"/>
    </row>
    <row r="458">
      <c r="A458" t="inlineStr">
        <is>
          <t>jp-kobe</t>
        </is>
      </c>
      <c r="B458" t="inlineStr">
        <is>
          <t>Kobe</t>
        </is>
      </c>
      <c r="C458" t="inlineStr">
        <is>
          <t>Japan</t>
        </is>
      </c>
      <c r="D458" t="inlineStr">
        <is>
          <t>East Asia</t>
        </is>
      </c>
      <c r="E458" t="inlineStr">
        <is>
          <t>digital_infrastructure_raw</t>
        </is>
      </c>
      <c r="F458" t="inlineStr">
        <is>
          <t>Digital infrastructure raw</t>
        </is>
      </c>
      <c r="G458" t="inlineStr">
        <is>
          <t>viability</t>
        </is>
      </c>
      <c r="H458" t="inlineStr">
        <is>
          <t>yes</t>
        </is>
      </c>
      <c r="I458" t="inlineStr"/>
      <c r="J458" t="inlineStr"/>
      <c r="K458" t="inlineStr"/>
      <c r="L458" t="inlineStr"/>
      <c r="M458" t="inlineStr"/>
      <c r="N458" t="inlineStr"/>
    </row>
    <row r="459">
      <c r="A459" t="inlineStr">
        <is>
          <t>jp-kobe</t>
        </is>
      </c>
      <c r="B459" t="inlineStr">
        <is>
          <t>Kobe</t>
        </is>
      </c>
      <c r="C459" t="inlineStr">
        <is>
          <t>Japan</t>
        </is>
      </c>
      <c r="D459" t="inlineStr">
        <is>
          <t>East Asia</t>
        </is>
      </c>
      <c r="E459" t="inlineStr">
        <is>
          <t>healthcare_quality_raw</t>
        </is>
      </c>
      <c r="F459" t="inlineStr">
        <is>
          <t>Healthcare quality raw</t>
        </is>
      </c>
      <c r="G459" t="inlineStr">
        <is>
          <t>capability</t>
        </is>
      </c>
      <c r="H459" t="inlineStr">
        <is>
          <t>yes</t>
        </is>
      </c>
      <c r="I459" t="inlineStr"/>
      <c r="J459" t="inlineStr"/>
      <c r="K459" t="inlineStr"/>
      <c r="L459" t="inlineStr"/>
      <c r="M459" t="inlineStr"/>
      <c r="N459" t="inlineStr"/>
    </row>
    <row r="460">
      <c r="A460" t="inlineStr">
        <is>
          <t>jp-kobe</t>
        </is>
      </c>
      <c r="B460" t="inlineStr">
        <is>
          <t>Kobe</t>
        </is>
      </c>
      <c r="C460" t="inlineStr">
        <is>
          <t>Japan</t>
        </is>
      </c>
      <c r="D460" t="inlineStr">
        <is>
          <t>East Asia</t>
        </is>
      </c>
      <c r="E460" t="inlineStr">
        <is>
          <t>education_quality_raw</t>
        </is>
      </c>
      <c r="F460" t="inlineStr">
        <is>
          <t>Education quality raw</t>
        </is>
      </c>
      <c r="G460" t="inlineStr">
        <is>
          <t>capability</t>
        </is>
      </c>
      <c r="H460" t="inlineStr">
        <is>
          <t>yes</t>
        </is>
      </c>
      <c r="I460" t="inlineStr"/>
      <c r="J460" t="inlineStr"/>
      <c r="K460" t="inlineStr"/>
      <c r="L460" t="inlineStr"/>
      <c r="M460" t="inlineStr"/>
      <c r="N460" t="inlineStr"/>
    </row>
    <row r="461">
      <c r="A461" t="inlineStr">
        <is>
          <t>jp-kobe</t>
        </is>
      </c>
      <c r="B461" t="inlineStr">
        <is>
          <t>Kobe</t>
        </is>
      </c>
      <c r="C461" t="inlineStr">
        <is>
          <t>Japan</t>
        </is>
      </c>
      <c r="D461" t="inlineStr">
        <is>
          <t>East Asia</t>
        </is>
      </c>
      <c r="E461" t="inlineStr">
        <is>
          <t>equal_opportunity_raw</t>
        </is>
      </c>
      <c r="F461" t="inlineStr">
        <is>
          <t>Equal opportunity raw</t>
        </is>
      </c>
      <c r="G461" t="inlineStr">
        <is>
          <t>capability</t>
        </is>
      </c>
      <c r="H461" t="inlineStr">
        <is>
          <t>yes</t>
        </is>
      </c>
      <c r="I461" t="inlineStr"/>
      <c r="J461" t="inlineStr"/>
      <c r="K461" t="inlineStr"/>
      <c r="L461" t="inlineStr"/>
      <c r="M461" t="inlineStr"/>
      <c r="N461" t="inlineStr"/>
    </row>
    <row r="462">
      <c r="A462" t="inlineStr">
        <is>
          <t>jp-kobe</t>
        </is>
      </c>
      <c r="B462" t="inlineStr">
        <is>
          <t>Kobe</t>
        </is>
      </c>
      <c r="C462" t="inlineStr">
        <is>
          <t>Japan</t>
        </is>
      </c>
      <c r="D462" t="inlineStr">
        <is>
          <t>East Asia</t>
        </is>
      </c>
      <c r="E462" t="inlineStr">
        <is>
          <t>hospitality_belonging_raw</t>
        </is>
      </c>
      <c r="F462" t="inlineStr">
        <is>
          <t>Hospitality and belonging raw</t>
        </is>
      </c>
      <c r="G462" t="inlineStr">
        <is>
          <t>community</t>
        </is>
      </c>
      <c r="H462" t="inlineStr">
        <is>
          <t>yes</t>
        </is>
      </c>
      <c r="I462" t="inlineStr"/>
      <c r="J462" t="inlineStr"/>
      <c r="K462" t="inlineStr"/>
      <c r="L462" t="inlineStr"/>
      <c r="M462" t="inlineStr"/>
      <c r="N462" t="inlineStr"/>
    </row>
    <row r="463">
      <c r="A463" t="inlineStr">
        <is>
          <t>jp-kobe</t>
        </is>
      </c>
      <c r="B463" t="inlineStr">
        <is>
          <t>Kobe</t>
        </is>
      </c>
      <c r="C463" t="inlineStr">
        <is>
          <t>Japan</t>
        </is>
      </c>
      <c r="D463" t="inlineStr">
        <is>
          <t>East Asia</t>
        </is>
      </c>
      <c r="E463" t="inlineStr">
        <is>
          <t>tolerance_pluralism_raw</t>
        </is>
      </c>
      <c r="F463" t="inlineStr">
        <is>
          <t>Tolerance and pluralism raw</t>
        </is>
      </c>
      <c r="G463" t="inlineStr">
        <is>
          <t>community</t>
        </is>
      </c>
      <c r="H463" t="inlineStr">
        <is>
          <t>yes</t>
        </is>
      </c>
      <c r="I463" t="inlineStr"/>
      <c r="J463" t="inlineStr"/>
      <c r="K463" t="inlineStr"/>
      <c r="L463" t="inlineStr"/>
      <c r="M463" t="inlineStr"/>
      <c r="N463" t="inlineStr"/>
    </row>
    <row r="464">
      <c r="A464" t="inlineStr">
        <is>
          <t>jp-kobe</t>
        </is>
      </c>
      <c r="B464" t="inlineStr">
        <is>
          <t>Kobe</t>
        </is>
      </c>
      <c r="C464" t="inlineStr">
        <is>
          <t>Japan</t>
        </is>
      </c>
      <c r="D464" t="inlineStr">
        <is>
          <t>East Asia</t>
        </is>
      </c>
      <c r="E464" t="inlineStr">
        <is>
          <t>cultural_public_life_raw</t>
        </is>
      </c>
      <c r="F464" t="inlineStr">
        <is>
          <t>Cultural public life raw</t>
        </is>
      </c>
      <c r="G464" t="inlineStr">
        <is>
          <t>community</t>
        </is>
      </c>
      <c r="H464" t="inlineStr">
        <is>
          <t>yes</t>
        </is>
      </c>
      <c r="I464" t="inlineStr"/>
      <c r="J464" t="inlineStr"/>
      <c r="K464" t="inlineStr"/>
      <c r="L464" t="inlineStr"/>
      <c r="M464" t="inlineStr"/>
      <c r="N464" t="inlineStr"/>
    </row>
    <row r="465">
      <c r="A465" t="inlineStr">
        <is>
          <t>jp-kobe</t>
        </is>
      </c>
      <c r="B465" t="inlineStr">
        <is>
          <t>Kobe</t>
        </is>
      </c>
      <c r="C465" t="inlineStr">
        <is>
          <t>Japan</t>
        </is>
      </c>
      <c r="D465" t="inlineStr">
        <is>
          <t>East Asia</t>
        </is>
      </c>
      <c r="E465" t="inlineStr">
        <is>
          <t>entrepreneurial_dynamism_raw</t>
        </is>
      </c>
      <c r="F465" t="inlineStr">
        <is>
          <t>Entrepreneurial dynamism raw</t>
        </is>
      </c>
      <c r="G465" t="inlineStr">
        <is>
          <t>creative</t>
        </is>
      </c>
      <c r="H465" t="inlineStr">
        <is>
          <t>yes</t>
        </is>
      </c>
      <c r="I465" t="inlineStr"/>
      <c r="J465" t="inlineStr"/>
      <c r="K465" t="inlineStr"/>
      <c r="L465" t="inlineStr"/>
      <c r="M465" t="inlineStr"/>
      <c r="N465" t="inlineStr"/>
    </row>
    <row r="466">
      <c r="A466" t="inlineStr">
        <is>
          <t>jp-kobe</t>
        </is>
      </c>
      <c r="B466" t="inlineStr">
        <is>
          <t>Kobe</t>
        </is>
      </c>
      <c r="C466" t="inlineStr">
        <is>
          <t>Japan</t>
        </is>
      </c>
      <c r="D466" t="inlineStr">
        <is>
          <t>East Asia</t>
        </is>
      </c>
      <c r="E466" t="inlineStr">
        <is>
          <t>innovation_research_intensity_raw</t>
        </is>
      </c>
      <c r="F466" t="inlineStr">
        <is>
          <t>Innovation and research raw</t>
        </is>
      </c>
      <c r="G466" t="inlineStr">
        <is>
          <t>creative</t>
        </is>
      </c>
      <c r="H466" t="inlineStr">
        <is>
          <t>yes</t>
        </is>
      </c>
      <c r="I466" t="inlineStr"/>
      <c r="J466" t="inlineStr"/>
      <c r="K466" t="inlineStr"/>
      <c r="L466" t="inlineStr"/>
      <c r="M466" t="inlineStr"/>
      <c r="N466" t="inlineStr"/>
    </row>
    <row r="467">
      <c r="A467" t="inlineStr">
        <is>
          <t>jp-kobe</t>
        </is>
      </c>
      <c r="B467" t="inlineStr">
        <is>
          <t>Kobe</t>
        </is>
      </c>
      <c r="C467" t="inlineStr">
        <is>
          <t>Japan</t>
        </is>
      </c>
      <c r="D467" t="inlineStr">
        <is>
          <t>East Asia</t>
        </is>
      </c>
      <c r="E467" t="inlineStr">
        <is>
          <t>investment_signal_raw</t>
        </is>
      </c>
      <c r="F467" t="inlineStr">
        <is>
          <t>Investment signal raw</t>
        </is>
      </c>
      <c r="G467" t="inlineStr">
        <is>
          <t>creative</t>
        </is>
      </c>
      <c r="H467" t="inlineStr">
        <is>
          <t>yes</t>
        </is>
      </c>
      <c r="I467" t="inlineStr"/>
      <c r="J467" t="inlineStr"/>
      <c r="K467" t="inlineStr"/>
      <c r="L467" t="inlineStr"/>
      <c r="M467" t="inlineStr"/>
      <c r="N467" t="inlineStr"/>
    </row>
    <row r="468">
      <c r="A468" t="inlineStr">
        <is>
          <t>jp-kobe</t>
        </is>
      </c>
      <c r="B468" t="inlineStr">
        <is>
          <t>Kobe</t>
        </is>
      </c>
      <c r="C468" t="inlineStr">
        <is>
          <t>Japan</t>
        </is>
      </c>
      <c r="D468" t="inlineStr">
        <is>
          <t>East Asia</t>
        </is>
      </c>
      <c r="E468" t="inlineStr">
        <is>
          <t>administrative_investment_friction_raw</t>
        </is>
      </c>
      <c r="F468" t="inlineStr">
        <is>
          <t>Administrative investment friction raw</t>
        </is>
      </c>
      <c r="G468" t="inlineStr">
        <is>
          <t>creative</t>
        </is>
      </c>
      <c r="H468" t="inlineStr">
        <is>
          <t>yes</t>
        </is>
      </c>
      <c r="I468" t="inlineStr"/>
      <c r="J468" t="inlineStr"/>
      <c r="K468" t="inlineStr"/>
      <c r="L468" t="inlineStr"/>
      <c r="M468" t="inlineStr"/>
      <c r="N468" t="inlineStr"/>
    </row>
    <row r="469">
      <c r="A469" t="inlineStr">
        <is>
          <t>jp-kobe</t>
        </is>
      </c>
      <c r="B469" t="inlineStr">
        <is>
          <t>Kobe</t>
        </is>
      </c>
      <c r="C469" t="inlineStr">
        <is>
          <t>Japan</t>
        </is>
      </c>
      <c r="D469" t="inlineStr">
        <is>
          <t>East Asia</t>
        </is>
      </c>
      <c r="E469" t="inlineStr">
        <is>
          <t>visitor_flow_context_raw</t>
        </is>
      </c>
      <c r="F469" t="inlineStr">
        <is>
          <t>Visitor flow context raw</t>
        </is>
      </c>
      <c r="G469" t="inlineStr">
        <is>
          <t>creative</t>
        </is>
      </c>
      <c r="H469" t="inlineStr">
        <is>
          <t>no</t>
        </is>
      </c>
      <c r="I469" t="inlineStr"/>
      <c r="J469" t="inlineStr"/>
      <c r="K469" t="inlineStr"/>
      <c r="L469" t="inlineStr"/>
      <c r="M469" t="inlineStr"/>
      <c r="N469" t="inlineStr"/>
    </row>
    <row r="470">
      <c r="A470" t="inlineStr">
        <is>
          <t>jp-sapporo</t>
        </is>
      </c>
      <c r="B470" t="inlineStr">
        <is>
          <t>Sapporo</t>
        </is>
      </c>
      <c r="C470" t="inlineStr">
        <is>
          <t>Japan</t>
        </is>
      </c>
      <c r="D470" t="inlineStr">
        <is>
          <t>East Asia</t>
        </is>
      </c>
      <c r="E470" t="inlineStr">
        <is>
          <t>gross_income</t>
        </is>
      </c>
      <c r="F470" t="inlineStr">
        <is>
          <t>Gross income</t>
        </is>
      </c>
      <c r="G470" t="inlineStr">
        <is>
          <t>pressure</t>
        </is>
      </c>
      <c r="H470" t="inlineStr">
        <is>
          <t>yes</t>
        </is>
      </c>
      <c r="I470" t="inlineStr"/>
      <c r="J470" t="inlineStr"/>
      <c r="K470" t="inlineStr"/>
      <c r="L470" t="inlineStr"/>
      <c r="M470" t="inlineStr"/>
      <c r="N470" t="inlineStr"/>
    </row>
    <row r="471">
      <c r="A471" t="inlineStr">
        <is>
          <t>jp-sapporo</t>
        </is>
      </c>
      <c r="B471" t="inlineStr">
        <is>
          <t>Sapporo</t>
        </is>
      </c>
      <c r="C471" t="inlineStr">
        <is>
          <t>Japan</t>
        </is>
      </c>
      <c r="D471" t="inlineStr">
        <is>
          <t>East Asia</t>
        </is>
      </c>
      <c r="E471" t="inlineStr">
        <is>
          <t>rent</t>
        </is>
      </c>
      <c r="F471" t="inlineStr">
        <is>
          <t>Rent</t>
        </is>
      </c>
      <c r="G471" t="inlineStr">
        <is>
          <t>pressure</t>
        </is>
      </c>
      <c r="H471" t="inlineStr">
        <is>
          <t>yes</t>
        </is>
      </c>
      <c r="I471" t="inlineStr"/>
      <c r="J471" t="inlineStr"/>
      <c r="K471" t="inlineStr"/>
      <c r="L471" t="inlineStr"/>
      <c r="M471" t="inlineStr"/>
      <c r="N471" t="inlineStr"/>
    </row>
    <row r="472">
      <c r="A472" t="inlineStr">
        <is>
          <t>jp-sapporo</t>
        </is>
      </c>
      <c r="B472" t="inlineStr">
        <is>
          <t>Sapporo</t>
        </is>
      </c>
      <c r="C472" t="inlineStr">
        <is>
          <t>Japan</t>
        </is>
      </c>
      <c r="D472" t="inlineStr">
        <is>
          <t>East Asia</t>
        </is>
      </c>
      <c r="E472" t="inlineStr">
        <is>
          <t>utilities</t>
        </is>
      </c>
      <c r="F472" t="inlineStr">
        <is>
          <t>Utilities</t>
        </is>
      </c>
      <c r="G472" t="inlineStr">
        <is>
          <t>pressure</t>
        </is>
      </c>
      <c r="H472" t="inlineStr">
        <is>
          <t>yes</t>
        </is>
      </c>
      <c r="I472" t="inlineStr"/>
      <c r="J472" t="inlineStr"/>
      <c r="K472" t="inlineStr"/>
      <c r="L472" t="inlineStr"/>
      <c r="M472" t="inlineStr"/>
      <c r="N472" t="inlineStr"/>
    </row>
    <row r="473">
      <c r="A473" t="inlineStr">
        <is>
          <t>jp-sapporo</t>
        </is>
      </c>
      <c r="B473" t="inlineStr">
        <is>
          <t>Sapporo</t>
        </is>
      </c>
      <c r="C473" t="inlineStr">
        <is>
          <t>Japan</t>
        </is>
      </c>
      <c r="D473" t="inlineStr">
        <is>
          <t>East Asia</t>
        </is>
      </c>
      <c r="E473" t="inlineStr">
        <is>
          <t>transit_cost</t>
        </is>
      </c>
      <c r="F473" t="inlineStr">
        <is>
          <t>Transit cost</t>
        </is>
      </c>
      <c r="G473" t="inlineStr">
        <is>
          <t>pressure</t>
        </is>
      </c>
      <c r="H473" t="inlineStr">
        <is>
          <t>yes</t>
        </is>
      </c>
      <c r="I473" t="inlineStr"/>
      <c r="J473" t="inlineStr"/>
      <c r="K473" t="inlineStr"/>
      <c r="L473" t="inlineStr"/>
      <c r="M473" t="inlineStr"/>
      <c r="N473" t="inlineStr"/>
    </row>
    <row r="474">
      <c r="A474" t="inlineStr">
        <is>
          <t>jp-sapporo</t>
        </is>
      </c>
      <c r="B474" t="inlineStr">
        <is>
          <t>Sapporo</t>
        </is>
      </c>
      <c r="C474" t="inlineStr">
        <is>
          <t>Japan</t>
        </is>
      </c>
      <c r="D474" t="inlineStr">
        <is>
          <t>East Asia</t>
        </is>
      </c>
      <c r="E474" t="inlineStr">
        <is>
          <t>internet_cost</t>
        </is>
      </c>
      <c r="F474" t="inlineStr">
        <is>
          <t>Internet cost</t>
        </is>
      </c>
      <c r="G474" t="inlineStr">
        <is>
          <t>pressure</t>
        </is>
      </c>
      <c r="H474" t="inlineStr">
        <is>
          <t>yes</t>
        </is>
      </c>
      <c r="I474" t="inlineStr"/>
      <c r="J474" t="inlineStr"/>
      <c r="K474" t="inlineStr"/>
      <c r="L474" t="inlineStr"/>
      <c r="M474" t="inlineStr"/>
      <c r="N474" t="inlineStr"/>
    </row>
    <row r="475">
      <c r="A475" t="inlineStr">
        <is>
          <t>jp-sapporo</t>
        </is>
      </c>
      <c r="B475" t="inlineStr">
        <is>
          <t>Sapporo</t>
        </is>
      </c>
      <c r="C475" t="inlineStr">
        <is>
          <t>Japan</t>
        </is>
      </c>
      <c r="D475" t="inlineStr">
        <is>
          <t>East Asia</t>
        </is>
      </c>
      <c r="E475" t="inlineStr">
        <is>
          <t>food_cost</t>
        </is>
      </c>
      <c r="F475" t="inlineStr">
        <is>
          <t>Food cost</t>
        </is>
      </c>
      <c r="G475" t="inlineStr">
        <is>
          <t>pressure</t>
        </is>
      </c>
      <c r="H475" t="inlineStr">
        <is>
          <t>yes</t>
        </is>
      </c>
      <c r="I475" t="inlineStr"/>
      <c r="J475" t="inlineStr"/>
      <c r="K475" t="inlineStr"/>
      <c r="L475" t="inlineStr"/>
      <c r="M475" t="inlineStr"/>
      <c r="N475" t="inlineStr"/>
    </row>
    <row r="476">
      <c r="A476" t="inlineStr">
        <is>
          <t>jp-sapporo</t>
        </is>
      </c>
      <c r="B476" t="inlineStr">
        <is>
          <t>Sapporo</t>
        </is>
      </c>
      <c r="C476" t="inlineStr">
        <is>
          <t>Japan</t>
        </is>
      </c>
      <c r="D476" t="inlineStr">
        <is>
          <t>East Asia</t>
        </is>
      </c>
      <c r="E476" t="inlineStr">
        <is>
          <t>housing_burden_raw</t>
        </is>
      </c>
      <c r="F476" t="inlineStr">
        <is>
          <t>Housing burden raw</t>
        </is>
      </c>
      <c r="G476" t="inlineStr">
        <is>
          <t>pressure</t>
        </is>
      </c>
      <c r="H476" t="inlineStr">
        <is>
          <t>yes</t>
        </is>
      </c>
      <c r="I476" t="inlineStr"/>
      <c r="J476" t="inlineStr"/>
      <c r="K476" t="inlineStr"/>
      <c r="L476" t="inlineStr"/>
      <c r="M476" t="inlineStr"/>
      <c r="N476" t="inlineStr"/>
    </row>
    <row r="477">
      <c r="A477" t="inlineStr">
        <is>
          <t>jp-sapporo</t>
        </is>
      </c>
      <c r="B477" t="inlineStr">
        <is>
          <t>Sapporo</t>
        </is>
      </c>
      <c r="C477" t="inlineStr">
        <is>
          <t>Japan</t>
        </is>
      </c>
      <c r="D477" t="inlineStr">
        <is>
          <t>East Asia</t>
        </is>
      </c>
      <c r="E477" t="inlineStr">
        <is>
          <t>household_debt_burden_raw</t>
        </is>
      </c>
      <c r="F477" t="inlineStr">
        <is>
          <t>Household debt burden raw</t>
        </is>
      </c>
      <c r="G477" t="inlineStr">
        <is>
          <t>pressure</t>
        </is>
      </c>
      <c r="H477" t="inlineStr">
        <is>
          <t>yes</t>
        </is>
      </c>
      <c r="I477" t="inlineStr"/>
      <c r="J477" t="inlineStr"/>
      <c r="K477" t="inlineStr"/>
      <c r="L477" t="inlineStr"/>
      <c r="M477" t="inlineStr"/>
      <c r="N477" t="inlineStr"/>
    </row>
    <row r="478">
      <c r="A478" t="inlineStr">
        <is>
          <t>jp-sapporo</t>
        </is>
      </c>
      <c r="B478" t="inlineStr">
        <is>
          <t>Sapporo</t>
        </is>
      </c>
      <c r="C478" t="inlineStr">
        <is>
          <t>Japan</t>
        </is>
      </c>
      <c r="D478" t="inlineStr">
        <is>
          <t>East Asia</t>
        </is>
      </c>
      <c r="E478" t="inlineStr">
        <is>
          <t>working_time_pressure_raw</t>
        </is>
      </c>
      <c r="F478" t="inlineStr">
        <is>
          <t>Working time pressure raw</t>
        </is>
      </c>
      <c r="G478" t="inlineStr">
        <is>
          <t>pressure</t>
        </is>
      </c>
      <c r="H478" t="inlineStr">
        <is>
          <t>yes</t>
        </is>
      </c>
      <c r="I478" t="inlineStr"/>
      <c r="J478" t="inlineStr"/>
      <c r="K478" t="inlineStr"/>
      <c r="L478" t="inlineStr"/>
      <c r="M478" t="inlineStr"/>
      <c r="N478" t="inlineStr"/>
    </row>
    <row r="479">
      <c r="A479" t="inlineStr">
        <is>
          <t>jp-sapporo</t>
        </is>
      </c>
      <c r="B479" t="inlineStr">
        <is>
          <t>Sapporo</t>
        </is>
      </c>
      <c r="C479" t="inlineStr">
        <is>
          <t>Japan</t>
        </is>
      </c>
      <c r="D479" t="inlineStr">
        <is>
          <t>East Asia</t>
        </is>
      </c>
      <c r="E479" t="inlineStr">
        <is>
          <t>suicide_mental_strain_raw</t>
        </is>
      </c>
      <c r="F479" t="inlineStr">
        <is>
          <t>Suicide or mental strain raw</t>
        </is>
      </c>
      <c r="G479" t="inlineStr">
        <is>
          <t>pressure</t>
        </is>
      </c>
      <c r="H479" t="inlineStr">
        <is>
          <t>yes</t>
        </is>
      </c>
      <c r="I479" t="inlineStr"/>
      <c r="J479" t="inlineStr"/>
      <c r="K479" t="inlineStr"/>
      <c r="L479" t="inlineStr"/>
      <c r="M479" t="inlineStr"/>
      <c r="N479" t="inlineStr"/>
    </row>
    <row r="480">
      <c r="A480" t="inlineStr">
        <is>
          <t>jp-sapporo</t>
        </is>
      </c>
      <c r="B480" t="inlineStr">
        <is>
          <t>Sapporo</t>
        </is>
      </c>
      <c r="C480" t="inlineStr">
        <is>
          <t>Japan</t>
        </is>
      </c>
      <c r="D480" t="inlineStr">
        <is>
          <t>East Asia</t>
        </is>
      </c>
      <c r="E480" t="inlineStr">
        <is>
          <t>personal_safety_raw</t>
        </is>
      </c>
      <c r="F480" t="inlineStr">
        <is>
          <t>Personal safety raw</t>
        </is>
      </c>
      <c r="G480" t="inlineStr">
        <is>
          <t>viability</t>
        </is>
      </c>
      <c r="H480" t="inlineStr">
        <is>
          <t>yes</t>
        </is>
      </c>
      <c r="I480" t="inlineStr"/>
      <c r="J480" t="inlineStr"/>
      <c r="K480" t="inlineStr"/>
      <c r="L480" t="inlineStr"/>
      <c r="M480" t="inlineStr"/>
      <c r="N480" t="inlineStr"/>
    </row>
    <row r="481">
      <c r="A481" t="inlineStr">
        <is>
          <t>jp-sapporo</t>
        </is>
      </c>
      <c r="B481" t="inlineStr">
        <is>
          <t>Sapporo</t>
        </is>
      </c>
      <c r="C481" t="inlineStr">
        <is>
          <t>Japan</t>
        </is>
      </c>
      <c r="D481" t="inlineStr">
        <is>
          <t>East Asia</t>
        </is>
      </c>
      <c r="E481" t="inlineStr">
        <is>
          <t>transit_access_commute_raw</t>
        </is>
      </c>
      <c r="F481" t="inlineStr">
        <is>
          <t>Transit access and commute raw</t>
        </is>
      </c>
      <c r="G481" t="inlineStr">
        <is>
          <t>viability</t>
        </is>
      </c>
      <c r="H481" t="inlineStr">
        <is>
          <t>yes</t>
        </is>
      </c>
      <c r="I481" t="inlineStr"/>
      <c r="J481" t="inlineStr"/>
      <c r="K481" t="inlineStr"/>
      <c r="L481" t="inlineStr"/>
      <c r="M481" t="inlineStr"/>
      <c r="N481" t="inlineStr"/>
    </row>
    <row r="482">
      <c r="A482" t="inlineStr">
        <is>
          <t>jp-sapporo</t>
        </is>
      </c>
      <c r="B482" t="inlineStr">
        <is>
          <t>Sapporo</t>
        </is>
      </c>
      <c r="C482" t="inlineStr">
        <is>
          <t>Japan</t>
        </is>
      </c>
      <c r="D482" t="inlineStr">
        <is>
          <t>East Asia</t>
        </is>
      </c>
      <c r="E482" t="inlineStr">
        <is>
          <t>clean_air_raw</t>
        </is>
      </c>
      <c r="F482" t="inlineStr">
        <is>
          <t>Clean air raw</t>
        </is>
      </c>
      <c r="G482" t="inlineStr">
        <is>
          <t>viability</t>
        </is>
      </c>
      <c r="H482" t="inlineStr">
        <is>
          <t>yes</t>
        </is>
      </c>
      <c r="I482" t="inlineStr"/>
      <c r="J482" t="inlineStr"/>
      <c r="K482" t="inlineStr"/>
      <c r="L482" t="inlineStr"/>
      <c r="M482" t="inlineStr"/>
      <c r="N482" t="inlineStr"/>
    </row>
    <row r="483">
      <c r="A483" t="inlineStr">
        <is>
          <t>jp-sapporo</t>
        </is>
      </c>
      <c r="B483" t="inlineStr">
        <is>
          <t>Sapporo</t>
        </is>
      </c>
      <c r="C483" t="inlineStr">
        <is>
          <t>Japan</t>
        </is>
      </c>
      <c r="D483" t="inlineStr">
        <is>
          <t>East Asia</t>
        </is>
      </c>
      <c r="E483" t="inlineStr">
        <is>
          <t>water_sanitation_utility_raw</t>
        </is>
      </c>
      <c r="F483" t="inlineStr">
        <is>
          <t>Water, sanitation, and utility raw</t>
        </is>
      </c>
      <c r="G483" t="inlineStr">
        <is>
          <t>viability</t>
        </is>
      </c>
      <c r="H483" t="inlineStr">
        <is>
          <t>yes</t>
        </is>
      </c>
      <c r="I483" t="inlineStr"/>
      <c r="J483" t="inlineStr"/>
      <c r="K483" t="inlineStr"/>
      <c r="L483" t="inlineStr"/>
      <c r="M483" t="inlineStr"/>
      <c r="N483" t="inlineStr"/>
    </row>
    <row r="484">
      <c r="A484" t="inlineStr">
        <is>
          <t>jp-sapporo</t>
        </is>
      </c>
      <c r="B484" t="inlineStr">
        <is>
          <t>Sapporo</t>
        </is>
      </c>
      <c r="C484" t="inlineStr">
        <is>
          <t>Japan</t>
        </is>
      </c>
      <c r="D484" t="inlineStr">
        <is>
          <t>East Asia</t>
        </is>
      </c>
      <c r="E484" t="inlineStr">
        <is>
          <t>digital_infrastructure_raw</t>
        </is>
      </c>
      <c r="F484" t="inlineStr">
        <is>
          <t>Digital infrastructure raw</t>
        </is>
      </c>
      <c r="G484" t="inlineStr">
        <is>
          <t>viability</t>
        </is>
      </c>
      <c r="H484" t="inlineStr">
        <is>
          <t>yes</t>
        </is>
      </c>
      <c r="I484" t="inlineStr"/>
      <c r="J484" t="inlineStr"/>
      <c r="K484" t="inlineStr"/>
      <c r="L484" t="inlineStr"/>
      <c r="M484" t="inlineStr"/>
      <c r="N484" t="inlineStr"/>
    </row>
    <row r="485">
      <c r="A485" t="inlineStr">
        <is>
          <t>jp-sapporo</t>
        </is>
      </c>
      <c r="B485" t="inlineStr">
        <is>
          <t>Sapporo</t>
        </is>
      </c>
      <c r="C485" t="inlineStr">
        <is>
          <t>Japan</t>
        </is>
      </c>
      <c r="D485" t="inlineStr">
        <is>
          <t>East Asia</t>
        </is>
      </c>
      <c r="E485" t="inlineStr">
        <is>
          <t>healthcare_quality_raw</t>
        </is>
      </c>
      <c r="F485" t="inlineStr">
        <is>
          <t>Healthcare quality raw</t>
        </is>
      </c>
      <c r="G485" t="inlineStr">
        <is>
          <t>capability</t>
        </is>
      </c>
      <c r="H485" t="inlineStr">
        <is>
          <t>yes</t>
        </is>
      </c>
      <c r="I485" t="inlineStr"/>
      <c r="J485" t="inlineStr"/>
      <c r="K485" t="inlineStr"/>
      <c r="L485" t="inlineStr"/>
      <c r="M485" t="inlineStr"/>
      <c r="N485" t="inlineStr"/>
    </row>
    <row r="486">
      <c r="A486" t="inlineStr">
        <is>
          <t>jp-sapporo</t>
        </is>
      </c>
      <c r="B486" t="inlineStr">
        <is>
          <t>Sapporo</t>
        </is>
      </c>
      <c r="C486" t="inlineStr">
        <is>
          <t>Japan</t>
        </is>
      </c>
      <c r="D486" t="inlineStr">
        <is>
          <t>East Asia</t>
        </is>
      </c>
      <c r="E486" t="inlineStr">
        <is>
          <t>education_quality_raw</t>
        </is>
      </c>
      <c r="F486" t="inlineStr">
        <is>
          <t>Education quality raw</t>
        </is>
      </c>
      <c r="G486" t="inlineStr">
        <is>
          <t>capability</t>
        </is>
      </c>
      <c r="H486" t="inlineStr">
        <is>
          <t>yes</t>
        </is>
      </c>
      <c r="I486" t="inlineStr"/>
      <c r="J486" t="inlineStr"/>
      <c r="K486" t="inlineStr"/>
      <c r="L486" t="inlineStr"/>
      <c r="M486" t="inlineStr"/>
      <c r="N486" t="inlineStr"/>
    </row>
    <row r="487">
      <c r="A487" t="inlineStr">
        <is>
          <t>jp-sapporo</t>
        </is>
      </c>
      <c r="B487" t="inlineStr">
        <is>
          <t>Sapporo</t>
        </is>
      </c>
      <c r="C487" t="inlineStr">
        <is>
          <t>Japan</t>
        </is>
      </c>
      <c r="D487" t="inlineStr">
        <is>
          <t>East Asia</t>
        </is>
      </c>
      <c r="E487" t="inlineStr">
        <is>
          <t>equal_opportunity_raw</t>
        </is>
      </c>
      <c r="F487" t="inlineStr">
        <is>
          <t>Equal opportunity raw</t>
        </is>
      </c>
      <c r="G487" t="inlineStr">
        <is>
          <t>capability</t>
        </is>
      </c>
      <c r="H487" t="inlineStr">
        <is>
          <t>yes</t>
        </is>
      </c>
      <c r="I487" t="inlineStr"/>
      <c r="J487" t="inlineStr"/>
      <c r="K487" t="inlineStr"/>
      <c r="L487" t="inlineStr"/>
      <c r="M487" t="inlineStr"/>
      <c r="N487" t="inlineStr"/>
    </row>
    <row r="488">
      <c r="A488" t="inlineStr">
        <is>
          <t>jp-sapporo</t>
        </is>
      </c>
      <c r="B488" t="inlineStr">
        <is>
          <t>Sapporo</t>
        </is>
      </c>
      <c r="C488" t="inlineStr">
        <is>
          <t>Japan</t>
        </is>
      </c>
      <c r="D488" t="inlineStr">
        <is>
          <t>East Asia</t>
        </is>
      </c>
      <c r="E488" t="inlineStr">
        <is>
          <t>hospitality_belonging_raw</t>
        </is>
      </c>
      <c r="F488" t="inlineStr">
        <is>
          <t>Hospitality and belonging raw</t>
        </is>
      </c>
      <c r="G488" t="inlineStr">
        <is>
          <t>community</t>
        </is>
      </c>
      <c r="H488" t="inlineStr">
        <is>
          <t>yes</t>
        </is>
      </c>
      <c r="I488" t="inlineStr"/>
      <c r="J488" t="inlineStr"/>
      <c r="K488" t="inlineStr"/>
      <c r="L488" t="inlineStr"/>
      <c r="M488" t="inlineStr"/>
      <c r="N488" t="inlineStr"/>
    </row>
    <row r="489">
      <c r="A489" t="inlineStr">
        <is>
          <t>jp-sapporo</t>
        </is>
      </c>
      <c r="B489" t="inlineStr">
        <is>
          <t>Sapporo</t>
        </is>
      </c>
      <c r="C489" t="inlineStr">
        <is>
          <t>Japan</t>
        </is>
      </c>
      <c r="D489" t="inlineStr">
        <is>
          <t>East Asia</t>
        </is>
      </c>
      <c r="E489" t="inlineStr">
        <is>
          <t>tolerance_pluralism_raw</t>
        </is>
      </c>
      <c r="F489" t="inlineStr">
        <is>
          <t>Tolerance and pluralism raw</t>
        </is>
      </c>
      <c r="G489" t="inlineStr">
        <is>
          <t>community</t>
        </is>
      </c>
      <c r="H489" t="inlineStr">
        <is>
          <t>yes</t>
        </is>
      </c>
      <c r="I489" t="inlineStr"/>
      <c r="J489" t="inlineStr"/>
      <c r="K489" t="inlineStr"/>
      <c r="L489" t="inlineStr"/>
      <c r="M489" t="inlineStr"/>
      <c r="N489" t="inlineStr"/>
    </row>
    <row r="490">
      <c r="A490" t="inlineStr">
        <is>
          <t>jp-sapporo</t>
        </is>
      </c>
      <c r="B490" t="inlineStr">
        <is>
          <t>Sapporo</t>
        </is>
      </c>
      <c r="C490" t="inlineStr">
        <is>
          <t>Japan</t>
        </is>
      </c>
      <c r="D490" t="inlineStr">
        <is>
          <t>East Asia</t>
        </is>
      </c>
      <c r="E490" t="inlineStr">
        <is>
          <t>cultural_public_life_raw</t>
        </is>
      </c>
      <c r="F490" t="inlineStr">
        <is>
          <t>Cultural public life raw</t>
        </is>
      </c>
      <c r="G490" t="inlineStr">
        <is>
          <t>community</t>
        </is>
      </c>
      <c r="H490" t="inlineStr">
        <is>
          <t>yes</t>
        </is>
      </c>
      <c r="I490" t="inlineStr"/>
      <c r="J490" t="inlineStr"/>
      <c r="K490" t="inlineStr"/>
      <c r="L490" t="inlineStr"/>
      <c r="M490" t="inlineStr"/>
      <c r="N490" t="inlineStr"/>
    </row>
    <row r="491">
      <c r="A491" t="inlineStr">
        <is>
          <t>jp-sapporo</t>
        </is>
      </c>
      <c r="B491" t="inlineStr">
        <is>
          <t>Sapporo</t>
        </is>
      </c>
      <c r="C491" t="inlineStr">
        <is>
          <t>Japan</t>
        </is>
      </c>
      <c r="D491" t="inlineStr">
        <is>
          <t>East Asia</t>
        </is>
      </c>
      <c r="E491" t="inlineStr">
        <is>
          <t>entrepreneurial_dynamism_raw</t>
        </is>
      </c>
      <c r="F491" t="inlineStr">
        <is>
          <t>Entrepreneurial dynamism raw</t>
        </is>
      </c>
      <c r="G491" t="inlineStr">
        <is>
          <t>creative</t>
        </is>
      </c>
      <c r="H491" t="inlineStr">
        <is>
          <t>yes</t>
        </is>
      </c>
      <c r="I491" t="inlineStr"/>
      <c r="J491" t="inlineStr"/>
      <c r="K491" t="inlineStr"/>
      <c r="L491" t="inlineStr"/>
      <c r="M491" t="inlineStr"/>
      <c r="N491" t="inlineStr"/>
    </row>
    <row r="492">
      <c r="A492" t="inlineStr">
        <is>
          <t>jp-sapporo</t>
        </is>
      </c>
      <c r="B492" t="inlineStr">
        <is>
          <t>Sapporo</t>
        </is>
      </c>
      <c r="C492" t="inlineStr">
        <is>
          <t>Japan</t>
        </is>
      </c>
      <c r="D492" t="inlineStr">
        <is>
          <t>East Asia</t>
        </is>
      </c>
      <c r="E492" t="inlineStr">
        <is>
          <t>innovation_research_intensity_raw</t>
        </is>
      </c>
      <c r="F492" t="inlineStr">
        <is>
          <t>Innovation and research raw</t>
        </is>
      </c>
      <c r="G492" t="inlineStr">
        <is>
          <t>creative</t>
        </is>
      </c>
      <c r="H492" t="inlineStr">
        <is>
          <t>yes</t>
        </is>
      </c>
      <c r="I492" t="inlineStr"/>
      <c r="J492" t="inlineStr"/>
      <c r="K492" t="inlineStr"/>
      <c r="L492" t="inlineStr"/>
      <c r="M492" t="inlineStr"/>
      <c r="N492" t="inlineStr"/>
    </row>
    <row r="493">
      <c r="A493" t="inlineStr">
        <is>
          <t>jp-sapporo</t>
        </is>
      </c>
      <c r="B493" t="inlineStr">
        <is>
          <t>Sapporo</t>
        </is>
      </c>
      <c r="C493" t="inlineStr">
        <is>
          <t>Japan</t>
        </is>
      </c>
      <c r="D493" t="inlineStr">
        <is>
          <t>East Asia</t>
        </is>
      </c>
      <c r="E493" t="inlineStr">
        <is>
          <t>investment_signal_raw</t>
        </is>
      </c>
      <c r="F493" t="inlineStr">
        <is>
          <t>Investment signal raw</t>
        </is>
      </c>
      <c r="G493" t="inlineStr">
        <is>
          <t>creative</t>
        </is>
      </c>
      <c r="H493" t="inlineStr">
        <is>
          <t>yes</t>
        </is>
      </c>
      <c r="I493" t="inlineStr"/>
      <c r="J493" t="inlineStr"/>
      <c r="K493" t="inlineStr"/>
      <c r="L493" t="inlineStr"/>
      <c r="M493" t="inlineStr"/>
      <c r="N493" t="inlineStr"/>
    </row>
    <row r="494">
      <c r="A494" t="inlineStr">
        <is>
          <t>jp-sapporo</t>
        </is>
      </c>
      <c r="B494" t="inlineStr">
        <is>
          <t>Sapporo</t>
        </is>
      </c>
      <c r="C494" t="inlineStr">
        <is>
          <t>Japan</t>
        </is>
      </c>
      <c r="D494" t="inlineStr">
        <is>
          <t>East Asia</t>
        </is>
      </c>
      <c r="E494" t="inlineStr">
        <is>
          <t>administrative_investment_friction_raw</t>
        </is>
      </c>
      <c r="F494" t="inlineStr">
        <is>
          <t>Administrative investment friction raw</t>
        </is>
      </c>
      <c r="G494" t="inlineStr">
        <is>
          <t>creative</t>
        </is>
      </c>
      <c r="H494" t="inlineStr">
        <is>
          <t>yes</t>
        </is>
      </c>
      <c r="I494" t="inlineStr"/>
      <c r="J494" t="inlineStr"/>
      <c r="K494" t="inlineStr"/>
      <c r="L494" t="inlineStr"/>
      <c r="M494" t="inlineStr"/>
      <c r="N494" t="inlineStr"/>
    </row>
    <row r="495">
      <c r="A495" t="inlineStr">
        <is>
          <t>jp-sapporo</t>
        </is>
      </c>
      <c r="B495" t="inlineStr">
        <is>
          <t>Sapporo</t>
        </is>
      </c>
      <c r="C495" t="inlineStr">
        <is>
          <t>Japan</t>
        </is>
      </c>
      <c r="D495" t="inlineStr">
        <is>
          <t>East Asia</t>
        </is>
      </c>
      <c r="E495" t="inlineStr">
        <is>
          <t>visitor_flow_context_raw</t>
        </is>
      </c>
      <c r="F495" t="inlineStr">
        <is>
          <t>Visitor flow context raw</t>
        </is>
      </c>
      <c r="G495" t="inlineStr">
        <is>
          <t>creative</t>
        </is>
      </c>
      <c r="H495" t="inlineStr">
        <is>
          <t>no</t>
        </is>
      </c>
      <c r="I495" t="inlineStr"/>
      <c r="J495" t="inlineStr"/>
      <c r="K495" t="inlineStr"/>
      <c r="L495" t="inlineStr"/>
      <c r="M495" t="inlineStr"/>
      <c r="N495" t="inlineStr"/>
    </row>
    <row r="496">
      <c r="A496" t="inlineStr">
        <is>
          <t>cn-tianjin</t>
        </is>
      </c>
      <c r="B496" t="inlineStr">
        <is>
          <t>Tianjin</t>
        </is>
      </c>
      <c r="C496" t="inlineStr">
        <is>
          <t>China</t>
        </is>
      </c>
      <c r="D496" t="inlineStr">
        <is>
          <t>East Asia</t>
        </is>
      </c>
      <c r="E496" t="inlineStr">
        <is>
          <t>gross_income</t>
        </is>
      </c>
      <c r="F496" t="inlineStr">
        <is>
          <t>Gross income</t>
        </is>
      </c>
      <c r="G496" t="inlineStr">
        <is>
          <t>pressure</t>
        </is>
      </c>
      <c r="H496" t="inlineStr">
        <is>
          <t>yes</t>
        </is>
      </c>
      <c r="I496" t="inlineStr"/>
      <c r="J496" t="inlineStr"/>
      <c r="K496" t="inlineStr"/>
      <c r="L496" t="inlineStr"/>
      <c r="M496" t="inlineStr"/>
      <c r="N496" t="inlineStr"/>
    </row>
    <row r="497">
      <c r="A497" t="inlineStr">
        <is>
          <t>cn-tianjin</t>
        </is>
      </c>
      <c r="B497" t="inlineStr">
        <is>
          <t>Tianjin</t>
        </is>
      </c>
      <c r="C497" t="inlineStr">
        <is>
          <t>China</t>
        </is>
      </c>
      <c r="D497" t="inlineStr">
        <is>
          <t>East Asia</t>
        </is>
      </c>
      <c r="E497" t="inlineStr">
        <is>
          <t>rent</t>
        </is>
      </c>
      <c r="F497" t="inlineStr">
        <is>
          <t>Rent</t>
        </is>
      </c>
      <c r="G497" t="inlineStr">
        <is>
          <t>pressure</t>
        </is>
      </c>
      <c r="H497" t="inlineStr">
        <is>
          <t>yes</t>
        </is>
      </c>
      <c r="I497" t="inlineStr"/>
      <c r="J497" t="inlineStr"/>
      <c r="K497" t="inlineStr"/>
      <c r="L497" t="inlineStr"/>
      <c r="M497" t="inlineStr"/>
      <c r="N497" t="inlineStr"/>
    </row>
    <row r="498">
      <c r="A498" t="inlineStr">
        <is>
          <t>cn-tianjin</t>
        </is>
      </c>
      <c r="B498" t="inlineStr">
        <is>
          <t>Tianjin</t>
        </is>
      </c>
      <c r="C498" t="inlineStr">
        <is>
          <t>China</t>
        </is>
      </c>
      <c r="D498" t="inlineStr">
        <is>
          <t>East Asia</t>
        </is>
      </c>
      <c r="E498" t="inlineStr">
        <is>
          <t>utilities</t>
        </is>
      </c>
      <c r="F498" t="inlineStr">
        <is>
          <t>Utilities</t>
        </is>
      </c>
      <c r="G498" t="inlineStr">
        <is>
          <t>pressure</t>
        </is>
      </c>
      <c r="H498" t="inlineStr">
        <is>
          <t>yes</t>
        </is>
      </c>
      <c r="I498" t="inlineStr"/>
      <c r="J498" t="inlineStr"/>
      <c r="K498" t="inlineStr"/>
      <c r="L498" t="inlineStr"/>
      <c r="M498" t="inlineStr"/>
      <c r="N498" t="inlineStr"/>
    </row>
    <row r="499">
      <c r="A499" t="inlineStr">
        <is>
          <t>cn-tianjin</t>
        </is>
      </c>
      <c r="B499" t="inlineStr">
        <is>
          <t>Tianjin</t>
        </is>
      </c>
      <c r="C499" t="inlineStr">
        <is>
          <t>China</t>
        </is>
      </c>
      <c r="D499" t="inlineStr">
        <is>
          <t>East Asia</t>
        </is>
      </c>
      <c r="E499" t="inlineStr">
        <is>
          <t>transit_cost</t>
        </is>
      </c>
      <c r="F499" t="inlineStr">
        <is>
          <t>Transit cost</t>
        </is>
      </c>
      <c r="G499" t="inlineStr">
        <is>
          <t>pressure</t>
        </is>
      </c>
      <c r="H499" t="inlineStr">
        <is>
          <t>yes</t>
        </is>
      </c>
      <c r="I499" t="inlineStr"/>
      <c r="J499" t="inlineStr"/>
      <c r="K499" t="inlineStr"/>
      <c r="L499" t="inlineStr"/>
      <c r="M499" t="inlineStr"/>
      <c r="N499" t="inlineStr"/>
    </row>
    <row r="500">
      <c r="A500" t="inlineStr">
        <is>
          <t>cn-tianjin</t>
        </is>
      </c>
      <c r="B500" t="inlineStr">
        <is>
          <t>Tianjin</t>
        </is>
      </c>
      <c r="C500" t="inlineStr">
        <is>
          <t>China</t>
        </is>
      </c>
      <c r="D500" t="inlineStr">
        <is>
          <t>East Asia</t>
        </is>
      </c>
      <c r="E500" t="inlineStr">
        <is>
          <t>internet_cost</t>
        </is>
      </c>
      <c r="F500" t="inlineStr">
        <is>
          <t>Internet cost</t>
        </is>
      </c>
      <c r="G500" t="inlineStr">
        <is>
          <t>pressure</t>
        </is>
      </c>
      <c r="H500" t="inlineStr">
        <is>
          <t>yes</t>
        </is>
      </c>
      <c r="I500" t="inlineStr"/>
      <c r="J500" t="inlineStr"/>
      <c r="K500" t="inlineStr"/>
      <c r="L500" t="inlineStr"/>
      <c r="M500" t="inlineStr"/>
      <c r="N500" t="inlineStr"/>
    </row>
    <row r="501">
      <c r="A501" t="inlineStr">
        <is>
          <t>cn-tianjin</t>
        </is>
      </c>
      <c r="B501" t="inlineStr">
        <is>
          <t>Tianjin</t>
        </is>
      </c>
      <c r="C501" t="inlineStr">
        <is>
          <t>China</t>
        </is>
      </c>
      <c r="D501" t="inlineStr">
        <is>
          <t>East Asia</t>
        </is>
      </c>
      <c r="E501" t="inlineStr">
        <is>
          <t>food_cost</t>
        </is>
      </c>
      <c r="F501" t="inlineStr">
        <is>
          <t>Food cost</t>
        </is>
      </c>
      <c r="G501" t="inlineStr">
        <is>
          <t>pressure</t>
        </is>
      </c>
      <c r="H501" t="inlineStr">
        <is>
          <t>yes</t>
        </is>
      </c>
      <c r="I501" t="inlineStr"/>
      <c r="J501" t="inlineStr"/>
      <c r="K501" t="inlineStr"/>
      <c r="L501" t="inlineStr"/>
      <c r="M501" t="inlineStr"/>
      <c r="N501" t="inlineStr"/>
    </row>
    <row r="502">
      <c r="A502" t="inlineStr">
        <is>
          <t>cn-tianjin</t>
        </is>
      </c>
      <c r="B502" t="inlineStr">
        <is>
          <t>Tianjin</t>
        </is>
      </c>
      <c r="C502" t="inlineStr">
        <is>
          <t>China</t>
        </is>
      </c>
      <c r="D502" t="inlineStr">
        <is>
          <t>East Asia</t>
        </is>
      </c>
      <c r="E502" t="inlineStr">
        <is>
          <t>housing_burden_raw</t>
        </is>
      </c>
      <c r="F502" t="inlineStr">
        <is>
          <t>Housing burden raw</t>
        </is>
      </c>
      <c r="G502" t="inlineStr">
        <is>
          <t>pressure</t>
        </is>
      </c>
      <c r="H502" t="inlineStr">
        <is>
          <t>yes</t>
        </is>
      </c>
      <c r="I502" t="inlineStr"/>
      <c r="J502" t="inlineStr"/>
      <c r="K502" t="inlineStr"/>
      <c r="L502" t="inlineStr"/>
      <c r="M502" t="inlineStr"/>
      <c r="N502" t="inlineStr"/>
    </row>
    <row r="503">
      <c r="A503" t="inlineStr">
        <is>
          <t>cn-tianjin</t>
        </is>
      </c>
      <c r="B503" t="inlineStr">
        <is>
          <t>Tianjin</t>
        </is>
      </c>
      <c r="C503" t="inlineStr">
        <is>
          <t>China</t>
        </is>
      </c>
      <c r="D503" t="inlineStr">
        <is>
          <t>East Asia</t>
        </is>
      </c>
      <c r="E503" t="inlineStr">
        <is>
          <t>household_debt_burden_raw</t>
        </is>
      </c>
      <c r="F503" t="inlineStr">
        <is>
          <t>Household debt burden raw</t>
        </is>
      </c>
      <c r="G503" t="inlineStr">
        <is>
          <t>pressure</t>
        </is>
      </c>
      <c r="H503" t="inlineStr">
        <is>
          <t>yes</t>
        </is>
      </c>
      <c r="I503" t="inlineStr"/>
      <c r="J503" t="inlineStr"/>
      <c r="K503" t="inlineStr"/>
      <c r="L503" t="inlineStr"/>
      <c r="M503" t="inlineStr"/>
      <c r="N503" t="inlineStr"/>
    </row>
    <row r="504">
      <c r="A504" t="inlineStr">
        <is>
          <t>cn-tianjin</t>
        </is>
      </c>
      <c r="B504" t="inlineStr">
        <is>
          <t>Tianjin</t>
        </is>
      </c>
      <c r="C504" t="inlineStr">
        <is>
          <t>China</t>
        </is>
      </c>
      <c r="D504" t="inlineStr">
        <is>
          <t>East Asia</t>
        </is>
      </c>
      <c r="E504" t="inlineStr">
        <is>
          <t>working_time_pressure_raw</t>
        </is>
      </c>
      <c r="F504" t="inlineStr">
        <is>
          <t>Working time pressure raw</t>
        </is>
      </c>
      <c r="G504" t="inlineStr">
        <is>
          <t>pressure</t>
        </is>
      </c>
      <c r="H504" t="inlineStr">
        <is>
          <t>yes</t>
        </is>
      </c>
      <c r="I504" t="inlineStr"/>
      <c r="J504" t="inlineStr"/>
      <c r="K504" t="inlineStr"/>
      <c r="L504" t="inlineStr"/>
      <c r="M504" t="inlineStr"/>
      <c r="N504" t="inlineStr"/>
    </row>
    <row r="505">
      <c r="A505" t="inlineStr">
        <is>
          <t>cn-tianjin</t>
        </is>
      </c>
      <c r="B505" t="inlineStr">
        <is>
          <t>Tianjin</t>
        </is>
      </c>
      <c r="C505" t="inlineStr">
        <is>
          <t>China</t>
        </is>
      </c>
      <c r="D505" t="inlineStr">
        <is>
          <t>East Asia</t>
        </is>
      </c>
      <c r="E505" t="inlineStr">
        <is>
          <t>suicide_mental_strain_raw</t>
        </is>
      </c>
      <c r="F505" t="inlineStr">
        <is>
          <t>Suicide or mental strain raw</t>
        </is>
      </c>
      <c r="G505" t="inlineStr">
        <is>
          <t>pressure</t>
        </is>
      </c>
      <c r="H505" t="inlineStr">
        <is>
          <t>yes</t>
        </is>
      </c>
      <c r="I505" t="inlineStr"/>
      <c r="J505" t="inlineStr"/>
      <c r="K505" t="inlineStr"/>
      <c r="L505" t="inlineStr"/>
      <c r="M505" t="inlineStr"/>
      <c r="N505" t="inlineStr"/>
    </row>
    <row r="506">
      <c r="A506" t="inlineStr">
        <is>
          <t>cn-tianjin</t>
        </is>
      </c>
      <c r="B506" t="inlineStr">
        <is>
          <t>Tianjin</t>
        </is>
      </c>
      <c r="C506" t="inlineStr">
        <is>
          <t>China</t>
        </is>
      </c>
      <c r="D506" t="inlineStr">
        <is>
          <t>East Asia</t>
        </is>
      </c>
      <c r="E506" t="inlineStr">
        <is>
          <t>personal_safety_raw</t>
        </is>
      </c>
      <c r="F506" t="inlineStr">
        <is>
          <t>Personal safety raw</t>
        </is>
      </c>
      <c r="G506" t="inlineStr">
        <is>
          <t>viability</t>
        </is>
      </c>
      <c r="H506" t="inlineStr">
        <is>
          <t>yes</t>
        </is>
      </c>
      <c r="I506" t="inlineStr"/>
      <c r="J506" t="inlineStr"/>
      <c r="K506" t="inlineStr"/>
      <c r="L506" t="inlineStr"/>
      <c r="M506" t="inlineStr"/>
      <c r="N506" t="inlineStr"/>
    </row>
    <row r="507">
      <c r="A507" t="inlineStr">
        <is>
          <t>cn-tianjin</t>
        </is>
      </c>
      <c r="B507" t="inlineStr">
        <is>
          <t>Tianjin</t>
        </is>
      </c>
      <c r="C507" t="inlineStr">
        <is>
          <t>China</t>
        </is>
      </c>
      <c r="D507" t="inlineStr">
        <is>
          <t>East Asia</t>
        </is>
      </c>
      <c r="E507" t="inlineStr">
        <is>
          <t>transit_access_commute_raw</t>
        </is>
      </c>
      <c r="F507" t="inlineStr">
        <is>
          <t>Transit access and commute raw</t>
        </is>
      </c>
      <c r="G507" t="inlineStr">
        <is>
          <t>viability</t>
        </is>
      </c>
      <c r="H507" t="inlineStr">
        <is>
          <t>yes</t>
        </is>
      </c>
      <c r="I507" t="inlineStr"/>
      <c r="J507" t="inlineStr"/>
      <c r="K507" t="inlineStr"/>
      <c r="L507" t="inlineStr"/>
      <c r="M507" t="inlineStr"/>
      <c r="N507" t="inlineStr"/>
    </row>
    <row r="508">
      <c r="A508" t="inlineStr">
        <is>
          <t>cn-tianjin</t>
        </is>
      </c>
      <c r="B508" t="inlineStr">
        <is>
          <t>Tianjin</t>
        </is>
      </c>
      <c r="C508" t="inlineStr">
        <is>
          <t>China</t>
        </is>
      </c>
      <c r="D508" t="inlineStr">
        <is>
          <t>East Asia</t>
        </is>
      </c>
      <c r="E508" t="inlineStr">
        <is>
          <t>clean_air_raw</t>
        </is>
      </c>
      <c r="F508" t="inlineStr">
        <is>
          <t>Clean air raw</t>
        </is>
      </c>
      <c r="G508" t="inlineStr">
        <is>
          <t>viability</t>
        </is>
      </c>
      <c r="H508" t="inlineStr">
        <is>
          <t>yes</t>
        </is>
      </c>
      <c r="I508" t="inlineStr"/>
      <c r="J508" t="inlineStr"/>
      <c r="K508" t="inlineStr"/>
      <c r="L508" t="inlineStr"/>
      <c r="M508" t="inlineStr"/>
      <c r="N508" t="inlineStr"/>
    </row>
    <row r="509">
      <c r="A509" t="inlineStr">
        <is>
          <t>cn-tianjin</t>
        </is>
      </c>
      <c r="B509" t="inlineStr">
        <is>
          <t>Tianjin</t>
        </is>
      </c>
      <c r="C509" t="inlineStr">
        <is>
          <t>China</t>
        </is>
      </c>
      <c r="D509" t="inlineStr">
        <is>
          <t>East Asia</t>
        </is>
      </c>
      <c r="E509" t="inlineStr">
        <is>
          <t>water_sanitation_utility_raw</t>
        </is>
      </c>
      <c r="F509" t="inlineStr">
        <is>
          <t>Water, sanitation, and utility raw</t>
        </is>
      </c>
      <c r="G509" t="inlineStr">
        <is>
          <t>viability</t>
        </is>
      </c>
      <c r="H509" t="inlineStr">
        <is>
          <t>yes</t>
        </is>
      </c>
      <c r="I509" t="inlineStr"/>
      <c r="J509" t="inlineStr"/>
      <c r="K509" t="inlineStr"/>
      <c r="L509" t="inlineStr"/>
      <c r="M509" t="inlineStr"/>
      <c r="N509" t="inlineStr"/>
    </row>
    <row r="510">
      <c r="A510" t="inlineStr">
        <is>
          <t>cn-tianjin</t>
        </is>
      </c>
      <c r="B510" t="inlineStr">
        <is>
          <t>Tianjin</t>
        </is>
      </c>
      <c r="C510" t="inlineStr">
        <is>
          <t>China</t>
        </is>
      </c>
      <c r="D510" t="inlineStr">
        <is>
          <t>East Asia</t>
        </is>
      </c>
      <c r="E510" t="inlineStr">
        <is>
          <t>digital_infrastructure_raw</t>
        </is>
      </c>
      <c r="F510" t="inlineStr">
        <is>
          <t>Digital infrastructure raw</t>
        </is>
      </c>
      <c r="G510" t="inlineStr">
        <is>
          <t>viability</t>
        </is>
      </c>
      <c r="H510" t="inlineStr">
        <is>
          <t>yes</t>
        </is>
      </c>
      <c r="I510" t="inlineStr"/>
      <c r="J510" t="inlineStr"/>
      <c r="K510" t="inlineStr"/>
      <c r="L510" t="inlineStr"/>
      <c r="M510" t="inlineStr"/>
      <c r="N510" t="inlineStr"/>
    </row>
    <row r="511">
      <c r="A511" t="inlineStr">
        <is>
          <t>cn-tianjin</t>
        </is>
      </c>
      <c r="B511" t="inlineStr">
        <is>
          <t>Tianjin</t>
        </is>
      </c>
      <c r="C511" t="inlineStr">
        <is>
          <t>China</t>
        </is>
      </c>
      <c r="D511" t="inlineStr">
        <is>
          <t>East Asia</t>
        </is>
      </c>
      <c r="E511" t="inlineStr">
        <is>
          <t>healthcare_quality_raw</t>
        </is>
      </c>
      <c r="F511" t="inlineStr">
        <is>
          <t>Healthcare quality raw</t>
        </is>
      </c>
      <c r="G511" t="inlineStr">
        <is>
          <t>capability</t>
        </is>
      </c>
      <c r="H511" t="inlineStr">
        <is>
          <t>yes</t>
        </is>
      </c>
      <c r="I511" t="inlineStr"/>
      <c r="J511" t="inlineStr"/>
      <c r="K511" t="inlineStr"/>
      <c r="L511" t="inlineStr"/>
      <c r="M511" t="inlineStr"/>
      <c r="N511" t="inlineStr"/>
    </row>
    <row r="512">
      <c r="A512" t="inlineStr">
        <is>
          <t>cn-tianjin</t>
        </is>
      </c>
      <c r="B512" t="inlineStr">
        <is>
          <t>Tianjin</t>
        </is>
      </c>
      <c r="C512" t="inlineStr">
        <is>
          <t>China</t>
        </is>
      </c>
      <c r="D512" t="inlineStr">
        <is>
          <t>East Asia</t>
        </is>
      </c>
      <c r="E512" t="inlineStr">
        <is>
          <t>education_quality_raw</t>
        </is>
      </c>
      <c r="F512" t="inlineStr">
        <is>
          <t>Education quality raw</t>
        </is>
      </c>
      <c r="G512" t="inlineStr">
        <is>
          <t>capability</t>
        </is>
      </c>
      <c r="H512" t="inlineStr">
        <is>
          <t>yes</t>
        </is>
      </c>
      <c r="I512" t="inlineStr"/>
      <c r="J512" t="inlineStr"/>
      <c r="K512" t="inlineStr"/>
      <c r="L512" t="inlineStr"/>
      <c r="M512" t="inlineStr"/>
      <c r="N512" t="inlineStr"/>
    </row>
    <row r="513">
      <c r="A513" t="inlineStr">
        <is>
          <t>cn-tianjin</t>
        </is>
      </c>
      <c r="B513" t="inlineStr">
        <is>
          <t>Tianjin</t>
        </is>
      </c>
      <c r="C513" t="inlineStr">
        <is>
          <t>China</t>
        </is>
      </c>
      <c r="D513" t="inlineStr">
        <is>
          <t>East Asia</t>
        </is>
      </c>
      <c r="E513" t="inlineStr">
        <is>
          <t>equal_opportunity_raw</t>
        </is>
      </c>
      <c r="F513" t="inlineStr">
        <is>
          <t>Equal opportunity raw</t>
        </is>
      </c>
      <c r="G513" t="inlineStr">
        <is>
          <t>capability</t>
        </is>
      </c>
      <c r="H513" t="inlineStr">
        <is>
          <t>yes</t>
        </is>
      </c>
      <c r="I513" t="inlineStr"/>
      <c r="J513" t="inlineStr"/>
      <c r="K513" t="inlineStr"/>
      <c r="L513" t="inlineStr"/>
      <c r="M513" t="inlineStr"/>
      <c r="N513" t="inlineStr"/>
    </row>
    <row r="514">
      <c r="A514" t="inlineStr">
        <is>
          <t>cn-tianjin</t>
        </is>
      </c>
      <c r="B514" t="inlineStr">
        <is>
          <t>Tianjin</t>
        </is>
      </c>
      <c r="C514" t="inlineStr">
        <is>
          <t>China</t>
        </is>
      </c>
      <c r="D514" t="inlineStr">
        <is>
          <t>East Asia</t>
        </is>
      </c>
      <c r="E514" t="inlineStr">
        <is>
          <t>hospitality_belonging_raw</t>
        </is>
      </c>
      <c r="F514" t="inlineStr">
        <is>
          <t>Hospitality and belonging raw</t>
        </is>
      </c>
      <c r="G514" t="inlineStr">
        <is>
          <t>community</t>
        </is>
      </c>
      <c r="H514" t="inlineStr">
        <is>
          <t>yes</t>
        </is>
      </c>
      <c r="I514" t="inlineStr"/>
      <c r="J514" t="inlineStr"/>
      <c r="K514" t="inlineStr"/>
      <c r="L514" t="inlineStr"/>
      <c r="M514" t="inlineStr"/>
      <c r="N514" t="inlineStr"/>
    </row>
    <row r="515">
      <c r="A515" t="inlineStr">
        <is>
          <t>cn-tianjin</t>
        </is>
      </c>
      <c r="B515" t="inlineStr">
        <is>
          <t>Tianjin</t>
        </is>
      </c>
      <c r="C515" t="inlineStr">
        <is>
          <t>China</t>
        </is>
      </c>
      <c r="D515" t="inlineStr">
        <is>
          <t>East Asia</t>
        </is>
      </c>
      <c r="E515" t="inlineStr">
        <is>
          <t>tolerance_pluralism_raw</t>
        </is>
      </c>
      <c r="F515" t="inlineStr">
        <is>
          <t>Tolerance and pluralism raw</t>
        </is>
      </c>
      <c r="G515" t="inlineStr">
        <is>
          <t>community</t>
        </is>
      </c>
      <c r="H515" t="inlineStr">
        <is>
          <t>yes</t>
        </is>
      </c>
      <c r="I515" t="inlineStr"/>
      <c r="J515" t="inlineStr"/>
      <c r="K515" t="inlineStr"/>
      <c r="L515" t="inlineStr"/>
      <c r="M515" t="inlineStr"/>
      <c r="N515" t="inlineStr"/>
    </row>
    <row r="516">
      <c r="A516" t="inlineStr">
        <is>
          <t>cn-tianjin</t>
        </is>
      </c>
      <c r="B516" t="inlineStr">
        <is>
          <t>Tianjin</t>
        </is>
      </c>
      <c r="C516" t="inlineStr">
        <is>
          <t>China</t>
        </is>
      </c>
      <c r="D516" t="inlineStr">
        <is>
          <t>East Asia</t>
        </is>
      </c>
      <c r="E516" t="inlineStr">
        <is>
          <t>cultural_public_life_raw</t>
        </is>
      </c>
      <c r="F516" t="inlineStr">
        <is>
          <t>Cultural public life raw</t>
        </is>
      </c>
      <c r="G516" t="inlineStr">
        <is>
          <t>community</t>
        </is>
      </c>
      <c r="H516" t="inlineStr">
        <is>
          <t>yes</t>
        </is>
      </c>
      <c r="I516" t="inlineStr"/>
      <c r="J516" t="inlineStr"/>
      <c r="K516" t="inlineStr"/>
      <c r="L516" t="inlineStr"/>
      <c r="M516" t="inlineStr"/>
      <c r="N516" t="inlineStr"/>
    </row>
    <row r="517">
      <c r="A517" t="inlineStr">
        <is>
          <t>cn-tianjin</t>
        </is>
      </c>
      <c r="B517" t="inlineStr">
        <is>
          <t>Tianjin</t>
        </is>
      </c>
      <c r="C517" t="inlineStr">
        <is>
          <t>China</t>
        </is>
      </c>
      <c r="D517" t="inlineStr">
        <is>
          <t>East Asia</t>
        </is>
      </c>
      <c r="E517" t="inlineStr">
        <is>
          <t>entrepreneurial_dynamism_raw</t>
        </is>
      </c>
      <c r="F517" t="inlineStr">
        <is>
          <t>Entrepreneurial dynamism raw</t>
        </is>
      </c>
      <c r="G517" t="inlineStr">
        <is>
          <t>creative</t>
        </is>
      </c>
      <c r="H517" t="inlineStr">
        <is>
          <t>yes</t>
        </is>
      </c>
      <c r="I517" t="inlineStr"/>
      <c r="J517" t="inlineStr"/>
      <c r="K517" t="inlineStr"/>
      <c r="L517" t="inlineStr"/>
      <c r="M517" t="inlineStr"/>
      <c r="N517" t="inlineStr"/>
    </row>
    <row r="518">
      <c r="A518" t="inlineStr">
        <is>
          <t>cn-tianjin</t>
        </is>
      </c>
      <c r="B518" t="inlineStr">
        <is>
          <t>Tianjin</t>
        </is>
      </c>
      <c r="C518" t="inlineStr">
        <is>
          <t>China</t>
        </is>
      </c>
      <c r="D518" t="inlineStr">
        <is>
          <t>East Asia</t>
        </is>
      </c>
      <c r="E518" t="inlineStr">
        <is>
          <t>innovation_research_intensity_raw</t>
        </is>
      </c>
      <c r="F518" t="inlineStr">
        <is>
          <t>Innovation and research raw</t>
        </is>
      </c>
      <c r="G518" t="inlineStr">
        <is>
          <t>creative</t>
        </is>
      </c>
      <c r="H518" t="inlineStr">
        <is>
          <t>yes</t>
        </is>
      </c>
      <c r="I518" t="inlineStr"/>
      <c r="J518" t="inlineStr"/>
      <c r="K518" t="inlineStr"/>
      <c r="L518" t="inlineStr"/>
      <c r="M518" t="inlineStr"/>
      <c r="N518" t="inlineStr"/>
    </row>
    <row r="519">
      <c r="A519" t="inlineStr">
        <is>
          <t>cn-tianjin</t>
        </is>
      </c>
      <c r="B519" t="inlineStr">
        <is>
          <t>Tianjin</t>
        </is>
      </c>
      <c r="C519" t="inlineStr">
        <is>
          <t>China</t>
        </is>
      </c>
      <c r="D519" t="inlineStr">
        <is>
          <t>East Asia</t>
        </is>
      </c>
      <c r="E519" t="inlineStr">
        <is>
          <t>investment_signal_raw</t>
        </is>
      </c>
      <c r="F519" t="inlineStr">
        <is>
          <t>Investment signal raw</t>
        </is>
      </c>
      <c r="G519" t="inlineStr">
        <is>
          <t>creative</t>
        </is>
      </c>
      <c r="H519" t="inlineStr">
        <is>
          <t>yes</t>
        </is>
      </c>
      <c r="I519" t="inlineStr"/>
      <c r="J519" t="inlineStr"/>
      <c r="K519" t="inlineStr"/>
      <c r="L519" t="inlineStr"/>
      <c r="M519" t="inlineStr"/>
      <c r="N519" t="inlineStr"/>
    </row>
    <row r="520">
      <c r="A520" t="inlineStr">
        <is>
          <t>cn-tianjin</t>
        </is>
      </c>
      <c r="B520" t="inlineStr">
        <is>
          <t>Tianjin</t>
        </is>
      </c>
      <c r="C520" t="inlineStr">
        <is>
          <t>China</t>
        </is>
      </c>
      <c r="D520" t="inlineStr">
        <is>
          <t>East Asia</t>
        </is>
      </c>
      <c r="E520" t="inlineStr">
        <is>
          <t>administrative_investment_friction_raw</t>
        </is>
      </c>
      <c r="F520" t="inlineStr">
        <is>
          <t>Administrative investment friction raw</t>
        </is>
      </c>
      <c r="G520" t="inlineStr">
        <is>
          <t>creative</t>
        </is>
      </c>
      <c r="H520" t="inlineStr">
        <is>
          <t>yes</t>
        </is>
      </c>
      <c r="I520" t="inlineStr"/>
      <c r="J520" t="inlineStr"/>
      <c r="K520" t="inlineStr"/>
      <c r="L520" t="inlineStr"/>
      <c r="M520" t="inlineStr"/>
      <c r="N520" t="inlineStr"/>
    </row>
    <row r="521">
      <c r="A521" t="inlineStr">
        <is>
          <t>cn-tianjin</t>
        </is>
      </c>
      <c r="B521" t="inlineStr">
        <is>
          <t>Tianjin</t>
        </is>
      </c>
      <c r="C521" t="inlineStr">
        <is>
          <t>China</t>
        </is>
      </c>
      <c r="D521" t="inlineStr">
        <is>
          <t>East Asia</t>
        </is>
      </c>
      <c r="E521" t="inlineStr">
        <is>
          <t>visitor_flow_context_raw</t>
        </is>
      </c>
      <c r="F521" t="inlineStr">
        <is>
          <t>Visitor flow context raw</t>
        </is>
      </c>
      <c r="G521" t="inlineStr">
        <is>
          <t>creative</t>
        </is>
      </c>
      <c r="H521" t="inlineStr">
        <is>
          <t>no</t>
        </is>
      </c>
      <c r="I521" t="inlineStr"/>
      <c r="J521" t="inlineStr"/>
      <c r="K521" t="inlineStr"/>
      <c r="L521" t="inlineStr"/>
      <c r="M521" t="inlineStr"/>
      <c r="N521" t="inlineStr"/>
    </row>
    <row r="522">
      <c r="A522" t="inlineStr">
        <is>
          <t>in-bengaluru</t>
        </is>
      </c>
      <c r="B522" t="inlineStr">
        <is>
          <t>Bengaluru</t>
        </is>
      </c>
      <c r="C522" t="inlineStr">
        <is>
          <t>India</t>
        </is>
      </c>
      <c r="D522" t="inlineStr">
        <is>
          <t>South Asia</t>
        </is>
      </c>
      <c r="E522" t="inlineStr">
        <is>
          <t>gross_income</t>
        </is>
      </c>
      <c r="F522" t="inlineStr">
        <is>
          <t>Gross income</t>
        </is>
      </c>
      <c r="G522" t="inlineStr">
        <is>
          <t>pressure</t>
        </is>
      </c>
      <c r="H522" t="inlineStr">
        <is>
          <t>yes</t>
        </is>
      </c>
      <c r="I522" t="inlineStr"/>
      <c r="J522" t="inlineStr"/>
      <c r="K522" t="inlineStr"/>
      <c r="L522" t="inlineStr"/>
      <c r="M522" t="inlineStr"/>
      <c r="N522" t="inlineStr"/>
    </row>
    <row r="523">
      <c r="A523" t="inlineStr">
        <is>
          <t>in-bengaluru</t>
        </is>
      </c>
      <c r="B523" t="inlineStr">
        <is>
          <t>Bengaluru</t>
        </is>
      </c>
      <c r="C523" t="inlineStr">
        <is>
          <t>India</t>
        </is>
      </c>
      <c r="D523" t="inlineStr">
        <is>
          <t>South Asia</t>
        </is>
      </c>
      <c r="E523" t="inlineStr">
        <is>
          <t>rent</t>
        </is>
      </c>
      <c r="F523" t="inlineStr">
        <is>
          <t>Rent</t>
        </is>
      </c>
      <c r="G523" t="inlineStr">
        <is>
          <t>pressure</t>
        </is>
      </c>
      <c r="H523" t="inlineStr">
        <is>
          <t>yes</t>
        </is>
      </c>
      <c r="I523" t="inlineStr"/>
      <c r="J523" t="inlineStr"/>
      <c r="K523" t="inlineStr"/>
      <c r="L523" t="inlineStr"/>
      <c r="M523" t="inlineStr"/>
      <c r="N523" t="inlineStr"/>
    </row>
    <row r="524">
      <c r="A524" t="inlineStr">
        <is>
          <t>in-bengaluru</t>
        </is>
      </c>
      <c r="B524" t="inlineStr">
        <is>
          <t>Bengaluru</t>
        </is>
      </c>
      <c r="C524" t="inlineStr">
        <is>
          <t>India</t>
        </is>
      </c>
      <c r="D524" t="inlineStr">
        <is>
          <t>South Asia</t>
        </is>
      </c>
      <c r="E524" t="inlineStr">
        <is>
          <t>utilities</t>
        </is>
      </c>
      <c r="F524" t="inlineStr">
        <is>
          <t>Utilities</t>
        </is>
      </c>
      <c r="G524" t="inlineStr">
        <is>
          <t>pressure</t>
        </is>
      </c>
      <c r="H524" t="inlineStr">
        <is>
          <t>yes</t>
        </is>
      </c>
      <c r="I524" t="inlineStr"/>
      <c r="J524" t="inlineStr"/>
      <c r="K524" t="inlineStr"/>
      <c r="L524" t="inlineStr"/>
      <c r="M524" t="inlineStr"/>
      <c r="N524" t="inlineStr"/>
    </row>
    <row r="525">
      <c r="A525" t="inlineStr">
        <is>
          <t>in-bengaluru</t>
        </is>
      </c>
      <c r="B525" t="inlineStr">
        <is>
          <t>Bengaluru</t>
        </is>
      </c>
      <c r="C525" t="inlineStr">
        <is>
          <t>India</t>
        </is>
      </c>
      <c r="D525" t="inlineStr">
        <is>
          <t>South Asia</t>
        </is>
      </c>
      <c r="E525" t="inlineStr">
        <is>
          <t>transit_cost</t>
        </is>
      </c>
      <c r="F525" t="inlineStr">
        <is>
          <t>Transit cost</t>
        </is>
      </c>
      <c r="G525" t="inlineStr">
        <is>
          <t>pressure</t>
        </is>
      </c>
      <c r="H525" t="inlineStr">
        <is>
          <t>yes</t>
        </is>
      </c>
      <c r="I525" t="inlineStr"/>
      <c r="J525" t="inlineStr"/>
      <c r="K525" t="inlineStr"/>
      <c r="L525" t="inlineStr"/>
      <c r="M525" t="inlineStr"/>
      <c r="N525" t="inlineStr"/>
    </row>
    <row r="526">
      <c r="A526" t="inlineStr">
        <is>
          <t>in-bengaluru</t>
        </is>
      </c>
      <c r="B526" t="inlineStr">
        <is>
          <t>Bengaluru</t>
        </is>
      </c>
      <c r="C526" t="inlineStr">
        <is>
          <t>India</t>
        </is>
      </c>
      <c r="D526" t="inlineStr">
        <is>
          <t>South Asia</t>
        </is>
      </c>
      <c r="E526" t="inlineStr">
        <is>
          <t>internet_cost</t>
        </is>
      </c>
      <c r="F526" t="inlineStr">
        <is>
          <t>Internet cost</t>
        </is>
      </c>
      <c r="G526" t="inlineStr">
        <is>
          <t>pressure</t>
        </is>
      </c>
      <c r="H526" t="inlineStr">
        <is>
          <t>yes</t>
        </is>
      </c>
      <c r="I526" t="inlineStr"/>
      <c r="J526" t="inlineStr"/>
      <c r="K526" t="inlineStr"/>
      <c r="L526" t="inlineStr"/>
      <c r="M526" t="inlineStr"/>
      <c r="N526" t="inlineStr"/>
    </row>
    <row r="527">
      <c r="A527" t="inlineStr">
        <is>
          <t>in-bengaluru</t>
        </is>
      </c>
      <c r="B527" t="inlineStr">
        <is>
          <t>Bengaluru</t>
        </is>
      </c>
      <c r="C527" t="inlineStr">
        <is>
          <t>India</t>
        </is>
      </c>
      <c r="D527" t="inlineStr">
        <is>
          <t>South Asia</t>
        </is>
      </c>
      <c r="E527" t="inlineStr">
        <is>
          <t>food_cost</t>
        </is>
      </c>
      <c r="F527" t="inlineStr">
        <is>
          <t>Food cost</t>
        </is>
      </c>
      <c r="G527" t="inlineStr">
        <is>
          <t>pressure</t>
        </is>
      </c>
      <c r="H527" t="inlineStr">
        <is>
          <t>yes</t>
        </is>
      </c>
      <c r="I527" t="inlineStr"/>
      <c r="J527" t="inlineStr"/>
      <c r="K527" t="inlineStr"/>
      <c r="L527" t="inlineStr"/>
      <c r="M527" t="inlineStr"/>
      <c r="N527" t="inlineStr"/>
    </row>
    <row r="528">
      <c r="A528" t="inlineStr">
        <is>
          <t>in-bengaluru</t>
        </is>
      </c>
      <c r="B528" t="inlineStr">
        <is>
          <t>Bengaluru</t>
        </is>
      </c>
      <c r="C528" t="inlineStr">
        <is>
          <t>India</t>
        </is>
      </c>
      <c r="D528" t="inlineStr">
        <is>
          <t>South Asia</t>
        </is>
      </c>
      <c r="E528" t="inlineStr">
        <is>
          <t>housing_burden_raw</t>
        </is>
      </c>
      <c r="F528" t="inlineStr">
        <is>
          <t>Housing burden raw</t>
        </is>
      </c>
      <c r="G528" t="inlineStr">
        <is>
          <t>pressure</t>
        </is>
      </c>
      <c r="H528" t="inlineStr">
        <is>
          <t>yes</t>
        </is>
      </c>
      <c r="I528" t="inlineStr"/>
      <c r="J528" t="inlineStr"/>
      <c r="K528" t="inlineStr"/>
      <c r="L528" t="inlineStr"/>
      <c r="M528" t="inlineStr"/>
      <c r="N528" t="inlineStr"/>
    </row>
    <row r="529">
      <c r="A529" t="inlineStr">
        <is>
          <t>in-bengaluru</t>
        </is>
      </c>
      <c r="B529" t="inlineStr">
        <is>
          <t>Bengaluru</t>
        </is>
      </c>
      <c r="C529" t="inlineStr">
        <is>
          <t>India</t>
        </is>
      </c>
      <c r="D529" t="inlineStr">
        <is>
          <t>South Asia</t>
        </is>
      </c>
      <c r="E529" t="inlineStr">
        <is>
          <t>household_debt_burden_raw</t>
        </is>
      </c>
      <c r="F529" t="inlineStr">
        <is>
          <t>Household debt burden raw</t>
        </is>
      </c>
      <c r="G529" t="inlineStr">
        <is>
          <t>pressure</t>
        </is>
      </c>
      <c r="H529" t="inlineStr">
        <is>
          <t>yes</t>
        </is>
      </c>
      <c r="I529" t="inlineStr"/>
      <c r="J529" t="inlineStr"/>
      <c r="K529" t="inlineStr"/>
      <c r="L529" t="inlineStr"/>
      <c r="M529" t="inlineStr"/>
      <c r="N529" t="inlineStr"/>
    </row>
    <row r="530">
      <c r="A530" t="inlineStr">
        <is>
          <t>in-bengaluru</t>
        </is>
      </c>
      <c r="B530" t="inlineStr">
        <is>
          <t>Bengaluru</t>
        </is>
      </c>
      <c r="C530" t="inlineStr">
        <is>
          <t>India</t>
        </is>
      </c>
      <c r="D530" t="inlineStr">
        <is>
          <t>South Asia</t>
        </is>
      </c>
      <c r="E530" t="inlineStr">
        <is>
          <t>working_time_pressure_raw</t>
        </is>
      </c>
      <c r="F530" t="inlineStr">
        <is>
          <t>Working time pressure raw</t>
        </is>
      </c>
      <c r="G530" t="inlineStr">
        <is>
          <t>pressure</t>
        </is>
      </c>
      <c r="H530" t="inlineStr">
        <is>
          <t>yes</t>
        </is>
      </c>
      <c r="I530" t="inlineStr"/>
      <c r="J530" t="inlineStr"/>
      <c r="K530" t="inlineStr"/>
      <c r="L530" t="inlineStr"/>
      <c r="M530" t="inlineStr"/>
      <c r="N530" t="inlineStr"/>
    </row>
    <row r="531">
      <c r="A531" t="inlineStr">
        <is>
          <t>in-bengaluru</t>
        </is>
      </c>
      <c r="B531" t="inlineStr">
        <is>
          <t>Bengaluru</t>
        </is>
      </c>
      <c r="C531" t="inlineStr">
        <is>
          <t>India</t>
        </is>
      </c>
      <c r="D531" t="inlineStr">
        <is>
          <t>South Asia</t>
        </is>
      </c>
      <c r="E531" t="inlineStr">
        <is>
          <t>suicide_mental_strain_raw</t>
        </is>
      </c>
      <c r="F531" t="inlineStr">
        <is>
          <t>Suicide or mental strain raw</t>
        </is>
      </c>
      <c r="G531" t="inlineStr">
        <is>
          <t>pressure</t>
        </is>
      </c>
      <c r="H531" t="inlineStr">
        <is>
          <t>yes</t>
        </is>
      </c>
      <c r="I531" t="inlineStr"/>
      <c r="J531" t="inlineStr"/>
      <c r="K531" t="inlineStr"/>
      <c r="L531" t="inlineStr"/>
      <c r="M531" t="inlineStr"/>
      <c r="N531" t="inlineStr"/>
    </row>
    <row r="532">
      <c r="A532" t="inlineStr">
        <is>
          <t>in-bengaluru</t>
        </is>
      </c>
      <c r="B532" t="inlineStr">
        <is>
          <t>Bengaluru</t>
        </is>
      </c>
      <c r="C532" t="inlineStr">
        <is>
          <t>India</t>
        </is>
      </c>
      <c r="D532" t="inlineStr">
        <is>
          <t>South Asia</t>
        </is>
      </c>
      <c r="E532" t="inlineStr">
        <is>
          <t>personal_safety_raw</t>
        </is>
      </c>
      <c r="F532" t="inlineStr">
        <is>
          <t>Personal safety raw</t>
        </is>
      </c>
      <c r="G532" t="inlineStr">
        <is>
          <t>viability</t>
        </is>
      </c>
      <c r="H532" t="inlineStr">
        <is>
          <t>yes</t>
        </is>
      </c>
      <c r="I532" t="inlineStr"/>
      <c r="J532" t="inlineStr"/>
      <c r="K532" t="inlineStr"/>
      <c r="L532" t="inlineStr"/>
      <c r="M532" t="inlineStr"/>
      <c r="N532" t="inlineStr"/>
    </row>
    <row r="533">
      <c r="A533" t="inlineStr">
        <is>
          <t>in-bengaluru</t>
        </is>
      </c>
      <c r="B533" t="inlineStr">
        <is>
          <t>Bengaluru</t>
        </is>
      </c>
      <c r="C533" t="inlineStr">
        <is>
          <t>India</t>
        </is>
      </c>
      <c r="D533" t="inlineStr">
        <is>
          <t>South Asia</t>
        </is>
      </c>
      <c r="E533" t="inlineStr">
        <is>
          <t>transit_access_commute_raw</t>
        </is>
      </c>
      <c r="F533" t="inlineStr">
        <is>
          <t>Transit access and commute raw</t>
        </is>
      </c>
      <c r="G533" t="inlineStr">
        <is>
          <t>viability</t>
        </is>
      </c>
      <c r="H533" t="inlineStr">
        <is>
          <t>yes</t>
        </is>
      </c>
      <c r="I533" t="inlineStr"/>
      <c r="J533" t="inlineStr"/>
      <c r="K533" t="inlineStr"/>
      <c r="L533" t="inlineStr"/>
      <c r="M533" t="inlineStr"/>
      <c r="N533" t="inlineStr"/>
    </row>
    <row r="534">
      <c r="A534" t="inlineStr">
        <is>
          <t>in-bengaluru</t>
        </is>
      </c>
      <c r="B534" t="inlineStr">
        <is>
          <t>Bengaluru</t>
        </is>
      </c>
      <c r="C534" t="inlineStr">
        <is>
          <t>India</t>
        </is>
      </c>
      <c r="D534" t="inlineStr">
        <is>
          <t>South Asia</t>
        </is>
      </c>
      <c r="E534" t="inlineStr">
        <is>
          <t>clean_air_raw</t>
        </is>
      </c>
      <c r="F534" t="inlineStr">
        <is>
          <t>Clean air raw</t>
        </is>
      </c>
      <c r="G534" t="inlineStr">
        <is>
          <t>viability</t>
        </is>
      </c>
      <c r="H534" t="inlineStr">
        <is>
          <t>yes</t>
        </is>
      </c>
      <c r="I534" t="inlineStr"/>
      <c r="J534" t="inlineStr"/>
      <c r="K534" t="inlineStr"/>
      <c r="L534" t="inlineStr"/>
      <c r="M534" t="inlineStr"/>
      <c r="N534" t="inlineStr"/>
    </row>
    <row r="535">
      <c r="A535" t="inlineStr">
        <is>
          <t>in-bengaluru</t>
        </is>
      </c>
      <c r="B535" t="inlineStr">
        <is>
          <t>Bengaluru</t>
        </is>
      </c>
      <c r="C535" t="inlineStr">
        <is>
          <t>India</t>
        </is>
      </c>
      <c r="D535" t="inlineStr">
        <is>
          <t>South Asia</t>
        </is>
      </c>
      <c r="E535" t="inlineStr">
        <is>
          <t>water_sanitation_utility_raw</t>
        </is>
      </c>
      <c r="F535" t="inlineStr">
        <is>
          <t>Water, sanitation, and utility raw</t>
        </is>
      </c>
      <c r="G535" t="inlineStr">
        <is>
          <t>viability</t>
        </is>
      </c>
      <c r="H535" t="inlineStr">
        <is>
          <t>yes</t>
        </is>
      </c>
      <c r="I535" t="inlineStr"/>
      <c r="J535" t="inlineStr"/>
      <c r="K535" t="inlineStr"/>
      <c r="L535" t="inlineStr"/>
      <c r="M535" t="inlineStr"/>
      <c r="N535" t="inlineStr"/>
    </row>
    <row r="536">
      <c r="A536" t="inlineStr">
        <is>
          <t>in-bengaluru</t>
        </is>
      </c>
      <c r="B536" t="inlineStr">
        <is>
          <t>Bengaluru</t>
        </is>
      </c>
      <c r="C536" t="inlineStr">
        <is>
          <t>India</t>
        </is>
      </c>
      <c r="D536" t="inlineStr">
        <is>
          <t>South Asia</t>
        </is>
      </c>
      <c r="E536" t="inlineStr">
        <is>
          <t>digital_infrastructure_raw</t>
        </is>
      </c>
      <c r="F536" t="inlineStr">
        <is>
          <t>Digital infrastructure raw</t>
        </is>
      </c>
      <c r="G536" t="inlineStr">
        <is>
          <t>viability</t>
        </is>
      </c>
      <c r="H536" t="inlineStr">
        <is>
          <t>yes</t>
        </is>
      </c>
      <c r="I536" t="inlineStr"/>
      <c r="J536" t="inlineStr"/>
      <c r="K536" t="inlineStr"/>
      <c r="L536" t="inlineStr"/>
      <c r="M536" t="inlineStr"/>
      <c r="N536" t="inlineStr"/>
    </row>
    <row r="537">
      <c r="A537" t="inlineStr">
        <is>
          <t>in-bengaluru</t>
        </is>
      </c>
      <c r="B537" t="inlineStr">
        <is>
          <t>Bengaluru</t>
        </is>
      </c>
      <c r="C537" t="inlineStr">
        <is>
          <t>India</t>
        </is>
      </c>
      <c r="D537" t="inlineStr">
        <is>
          <t>South Asia</t>
        </is>
      </c>
      <c r="E537" t="inlineStr">
        <is>
          <t>healthcare_quality_raw</t>
        </is>
      </c>
      <c r="F537" t="inlineStr">
        <is>
          <t>Healthcare quality raw</t>
        </is>
      </c>
      <c r="G537" t="inlineStr">
        <is>
          <t>capability</t>
        </is>
      </c>
      <c r="H537" t="inlineStr">
        <is>
          <t>yes</t>
        </is>
      </c>
      <c r="I537" t="inlineStr"/>
      <c r="J537" t="inlineStr"/>
      <c r="K537" t="inlineStr"/>
      <c r="L537" t="inlineStr"/>
      <c r="M537" t="inlineStr"/>
      <c r="N537" t="inlineStr"/>
    </row>
    <row r="538">
      <c r="A538" t="inlineStr">
        <is>
          <t>in-bengaluru</t>
        </is>
      </c>
      <c r="B538" t="inlineStr">
        <is>
          <t>Bengaluru</t>
        </is>
      </c>
      <c r="C538" t="inlineStr">
        <is>
          <t>India</t>
        </is>
      </c>
      <c r="D538" t="inlineStr">
        <is>
          <t>South Asia</t>
        </is>
      </c>
      <c r="E538" t="inlineStr">
        <is>
          <t>education_quality_raw</t>
        </is>
      </c>
      <c r="F538" t="inlineStr">
        <is>
          <t>Education quality raw</t>
        </is>
      </c>
      <c r="G538" t="inlineStr">
        <is>
          <t>capability</t>
        </is>
      </c>
      <c r="H538" t="inlineStr">
        <is>
          <t>yes</t>
        </is>
      </c>
      <c r="I538" t="inlineStr"/>
      <c r="J538" t="inlineStr"/>
      <c r="K538" t="inlineStr"/>
      <c r="L538" t="inlineStr"/>
      <c r="M538" t="inlineStr"/>
      <c r="N538" t="inlineStr"/>
    </row>
    <row r="539">
      <c r="A539" t="inlineStr">
        <is>
          <t>in-bengaluru</t>
        </is>
      </c>
      <c r="B539" t="inlineStr">
        <is>
          <t>Bengaluru</t>
        </is>
      </c>
      <c r="C539" t="inlineStr">
        <is>
          <t>India</t>
        </is>
      </c>
      <c r="D539" t="inlineStr">
        <is>
          <t>South Asia</t>
        </is>
      </c>
      <c r="E539" t="inlineStr">
        <is>
          <t>equal_opportunity_raw</t>
        </is>
      </c>
      <c r="F539" t="inlineStr">
        <is>
          <t>Equal opportunity raw</t>
        </is>
      </c>
      <c r="G539" t="inlineStr">
        <is>
          <t>capability</t>
        </is>
      </c>
      <c r="H539" t="inlineStr">
        <is>
          <t>yes</t>
        </is>
      </c>
      <c r="I539" t="inlineStr"/>
      <c r="J539" t="inlineStr"/>
      <c r="K539" t="inlineStr"/>
      <c r="L539" t="inlineStr"/>
      <c r="M539" t="inlineStr"/>
      <c r="N539" t="inlineStr"/>
    </row>
    <row r="540">
      <c r="A540" t="inlineStr">
        <is>
          <t>in-bengaluru</t>
        </is>
      </c>
      <c r="B540" t="inlineStr">
        <is>
          <t>Bengaluru</t>
        </is>
      </c>
      <c r="C540" t="inlineStr">
        <is>
          <t>India</t>
        </is>
      </c>
      <c r="D540" t="inlineStr">
        <is>
          <t>South Asia</t>
        </is>
      </c>
      <c r="E540" t="inlineStr">
        <is>
          <t>hospitality_belonging_raw</t>
        </is>
      </c>
      <c r="F540" t="inlineStr">
        <is>
          <t>Hospitality and belonging raw</t>
        </is>
      </c>
      <c r="G540" t="inlineStr">
        <is>
          <t>community</t>
        </is>
      </c>
      <c r="H540" t="inlineStr">
        <is>
          <t>yes</t>
        </is>
      </c>
      <c r="I540" t="inlineStr"/>
      <c r="J540" t="inlineStr"/>
      <c r="K540" t="inlineStr"/>
      <c r="L540" t="inlineStr"/>
      <c r="M540" t="inlineStr"/>
      <c r="N540" t="inlineStr"/>
    </row>
    <row r="541">
      <c r="A541" t="inlineStr">
        <is>
          <t>in-bengaluru</t>
        </is>
      </c>
      <c r="B541" t="inlineStr">
        <is>
          <t>Bengaluru</t>
        </is>
      </c>
      <c r="C541" t="inlineStr">
        <is>
          <t>India</t>
        </is>
      </c>
      <c r="D541" t="inlineStr">
        <is>
          <t>South Asia</t>
        </is>
      </c>
      <c r="E541" t="inlineStr">
        <is>
          <t>tolerance_pluralism_raw</t>
        </is>
      </c>
      <c r="F541" t="inlineStr">
        <is>
          <t>Tolerance and pluralism raw</t>
        </is>
      </c>
      <c r="G541" t="inlineStr">
        <is>
          <t>community</t>
        </is>
      </c>
      <c r="H541" t="inlineStr">
        <is>
          <t>yes</t>
        </is>
      </c>
      <c r="I541" t="inlineStr"/>
      <c r="J541" t="inlineStr"/>
      <c r="K541" t="inlineStr"/>
      <c r="L541" t="inlineStr"/>
      <c r="M541" t="inlineStr"/>
      <c r="N541" t="inlineStr"/>
    </row>
    <row r="542">
      <c r="A542" t="inlineStr">
        <is>
          <t>in-bengaluru</t>
        </is>
      </c>
      <c r="B542" t="inlineStr">
        <is>
          <t>Bengaluru</t>
        </is>
      </c>
      <c r="C542" t="inlineStr">
        <is>
          <t>India</t>
        </is>
      </c>
      <c r="D542" t="inlineStr">
        <is>
          <t>South Asia</t>
        </is>
      </c>
      <c r="E542" t="inlineStr">
        <is>
          <t>cultural_public_life_raw</t>
        </is>
      </c>
      <c r="F542" t="inlineStr">
        <is>
          <t>Cultural public life raw</t>
        </is>
      </c>
      <c r="G542" t="inlineStr">
        <is>
          <t>community</t>
        </is>
      </c>
      <c r="H542" t="inlineStr">
        <is>
          <t>yes</t>
        </is>
      </c>
      <c r="I542" t="inlineStr"/>
      <c r="J542" t="inlineStr"/>
      <c r="K542" t="inlineStr"/>
      <c r="L542" t="inlineStr"/>
      <c r="M542" t="inlineStr"/>
      <c r="N542" t="inlineStr"/>
    </row>
    <row r="543">
      <c r="A543" t="inlineStr">
        <is>
          <t>in-bengaluru</t>
        </is>
      </c>
      <c r="B543" t="inlineStr">
        <is>
          <t>Bengaluru</t>
        </is>
      </c>
      <c r="C543" t="inlineStr">
        <is>
          <t>India</t>
        </is>
      </c>
      <c r="D543" t="inlineStr">
        <is>
          <t>South Asia</t>
        </is>
      </c>
      <c r="E543" t="inlineStr">
        <is>
          <t>entrepreneurial_dynamism_raw</t>
        </is>
      </c>
      <c r="F543" t="inlineStr">
        <is>
          <t>Entrepreneurial dynamism raw</t>
        </is>
      </c>
      <c r="G543" t="inlineStr">
        <is>
          <t>creative</t>
        </is>
      </c>
      <c r="H543" t="inlineStr">
        <is>
          <t>yes</t>
        </is>
      </c>
      <c r="I543" t="inlineStr"/>
      <c r="J543" t="inlineStr"/>
      <c r="K543" t="inlineStr"/>
      <c r="L543" t="inlineStr"/>
      <c r="M543" t="inlineStr"/>
      <c r="N543" t="inlineStr"/>
    </row>
    <row r="544">
      <c r="A544" t="inlineStr">
        <is>
          <t>in-bengaluru</t>
        </is>
      </c>
      <c r="B544" t="inlineStr">
        <is>
          <t>Bengaluru</t>
        </is>
      </c>
      <c r="C544" t="inlineStr">
        <is>
          <t>India</t>
        </is>
      </c>
      <c r="D544" t="inlineStr">
        <is>
          <t>South Asia</t>
        </is>
      </c>
      <c r="E544" t="inlineStr">
        <is>
          <t>innovation_research_intensity_raw</t>
        </is>
      </c>
      <c r="F544" t="inlineStr">
        <is>
          <t>Innovation and research raw</t>
        </is>
      </c>
      <c r="G544" t="inlineStr">
        <is>
          <t>creative</t>
        </is>
      </c>
      <c r="H544" t="inlineStr">
        <is>
          <t>yes</t>
        </is>
      </c>
      <c r="I544" t="inlineStr"/>
      <c r="J544" t="inlineStr"/>
      <c r="K544" t="inlineStr"/>
      <c r="L544" t="inlineStr"/>
      <c r="M544" t="inlineStr"/>
      <c r="N544" t="inlineStr"/>
    </row>
    <row r="545">
      <c r="A545" t="inlineStr">
        <is>
          <t>in-bengaluru</t>
        </is>
      </c>
      <c r="B545" t="inlineStr">
        <is>
          <t>Bengaluru</t>
        </is>
      </c>
      <c r="C545" t="inlineStr">
        <is>
          <t>India</t>
        </is>
      </c>
      <c r="D545" t="inlineStr">
        <is>
          <t>South Asia</t>
        </is>
      </c>
      <c r="E545" t="inlineStr">
        <is>
          <t>investment_signal_raw</t>
        </is>
      </c>
      <c r="F545" t="inlineStr">
        <is>
          <t>Investment signal raw</t>
        </is>
      </c>
      <c r="G545" t="inlineStr">
        <is>
          <t>creative</t>
        </is>
      </c>
      <c r="H545" t="inlineStr">
        <is>
          <t>yes</t>
        </is>
      </c>
      <c r="I545" t="inlineStr"/>
      <c r="J545" t="inlineStr"/>
      <c r="K545" t="inlineStr"/>
      <c r="L545" t="inlineStr"/>
      <c r="M545" t="inlineStr"/>
      <c r="N545" t="inlineStr"/>
    </row>
    <row r="546">
      <c r="A546" t="inlineStr">
        <is>
          <t>in-bengaluru</t>
        </is>
      </c>
      <c r="B546" t="inlineStr">
        <is>
          <t>Bengaluru</t>
        </is>
      </c>
      <c r="C546" t="inlineStr">
        <is>
          <t>India</t>
        </is>
      </c>
      <c r="D546" t="inlineStr">
        <is>
          <t>South Asia</t>
        </is>
      </c>
      <c r="E546" t="inlineStr">
        <is>
          <t>administrative_investment_friction_raw</t>
        </is>
      </c>
      <c r="F546" t="inlineStr">
        <is>
          <t>Administrative investment friction raw</t>
        </is>
      </c>
      <c r="G546" t="inlineStr">
        <is>
          <t>creative</t>
        </is>
      </c>
      <c r="H546" t="inlineStr">
        <is>
          <t>yes</t>
        </is>
      </c>
      <c r="I546" t="inlineStr"/>
      <c r="J546" t="inlineStr"/>
      <c r="K546" t="inlineStr"/>
      <c r="L546" t="inlineStr"/>
      <c r="M546" t="inlineStr"/>
      <c r="N546" t="inlineStr"/>
    </row>
    <row r="547">
      <c r="A547" t="inlineStr">
        <is>
          <t>in-bengaluru</t>
        </is>
      </c>
      <c r="B547" t="inlineStr">
        <is>
          <t>Bengaluru</t>
        </is>
      </c>
      <c r="C547" t="inlineStr">
        <is>
          <t>India</t>
        </is>
      </c>
      <c r="D547" t="inlineStr">
        <is>
          <t>South Asia</t>
        </is>
      </c>
      <c r="E547" t="inlineStr">
        <is>
          <t>visitor_flow_context_raw</t>
        </is>
      </c>
      <c r="F547" t="inlineStr">
        <is>
          <t>Visitor flow context raw</t>
        </is>
      </c>
      <c r="G547" t="inlineStr">
        <is>
          <t>creative</t>
        </is>
      </c>
      <c r="H547" t="inlineStr">
        <is>
          <t>no</t>
        </is>
      </c>
      <c r="I547" t="inlineStr"/>
      <c r="J547" t="inlineStr"/>
      <c r="K547" t="inlineStr"/>
      <c r="L547" t="inlineStr"/>
      <c r="M547" t="inlineStr"/>
      <c r="N547" t="inlineStr"/>
    </row>
    <row r="548">
      <c r="A548" t="inlineStr">
        <is>
          <t>in-hyderabad</t>
        </is>
      </c>
      <c r="B548" t="inlineStr">
        <is>
          <t>Hyderabad</t>
        </is>
      </c>
      <c r="C548" t="inlineStr">
        <is>
          <t>India</t>
        </is>
      </c>
      <c r="D548" t="inlineStr">
        <is>
          <t>South Asia</t>
        </is>
      </c>
      <c r="E548" t="inlineStr">
        <is>
          <t>gross_income</t>
        </is>
      </c>
      <c r="F548" t="inlineStr">
        <is>
          <t>Gross income</t>
        </is>
      </c>
      <c r="G548" t="inlineStr">
        <is>
          <t>pressure</t>
        </is>
      </c>
      <c r="H548" t="inlineStr">
        <is>
          <t>yes</t>
        </is>
      </c>
      <c r="I548" t="inlineStr"/>
      <c r="J548" t="inlineStr"/>
      <c r="K548" t="inlineStr"/>
      <c r="L548" t="inlineStr"/>
      <c r="M548" t="inlineStr"/>
      <c r="N548" t="inlineStr"/>
    </row>
    <row r="549">
      <c r="A549" t="inlineStr">
        <is>
          <t>in-hyderabad</t>
        </is>
      </c>
      <c r="B549" t="inlineStr">
        <is>
          <t>Hyderabad</t>
        </is>
      </c>
      <c r="C549" t="inlineStr">
        <is>
          <t>India</t>
        </is>
      </c>
      <c r="D549" t="inlineStr">
        <is>
          <t>South Asia</t>
        </is>
      </c>
      <c r="E549" t="inlineStr">
        <is>
          <t>rent</t>
        </is>
      </c>
      <c r="F549" t="inlineStr">
        <is>
          <t>Rent</t>
        </is>
      </c>
      <c r="G549" t="inlineStr">
        <is>
          <t>pressure</t>
        </is>
      </c>
      <c r="H549" t="inlineStr">
        <is>
          <t>yes</t>
        </is>
      </c>
      <c r="I549" t="inlineStr"/>
      <c r="J549" t="inlineStr"/>
      <c r="K549" t="inlineStr"/>
      <c r="L549" t="inlineStr"/>
      <c r="M549" t="inlineStr"/>
      <c r="N549" t="inlineStr"/>
    </row>
    <row r="550">
      <c r="A550" t="inlineStr">
        <is>
          <t>in-hyderabad</t>
        </is>
      </c>
      <c r="B550" t="inlineStr">
        <is>
          <t>Hyderabad</t>
        </is>
      </c>
      <c r="C550" t="inlineStr">
        <is>
          <t>India</t>
        </is>
      </c>
      <c r="D550" t="inlineStr">
        <is>
          <t>South Asia</t>
        </is>
      </c>
      <c r="E550" t="inlineStr">
        <is>
          <t>utilities</t>
        </is>
      </c>
      <c r="F550" t="inlineStr">
        <is>
          <t>Utilities</t>
        </is>
      </c>
      <c r="G550" t="inlineStr">
        <is>
          <t>pressure</t>
        </is>
      </c>
      <c r="H550" t="inlineStr">
        <is>
          <t>yes</t>
        </is>
      </c>
      <c r="I550" t="inlineStr"/>
      <c r="J550" t="inlineStr"/>
      <c r="K550" t="inlineStr"/>
      <c r="L550" t="inlineStr"/>
      <c r="M550" t="inlineStr"/>
      <c r="N550" t="inlineStr"/>
    </row>
    <row r="551">
      <c r="A551" t="inlineStr">
        <is>
          <t>in-hyderabad</t>
        </is>
      </c>
      <c r="B551" t="inlineStr">
        <is>
          <t>Hyderabad</t>
        </is>
      </c>
      <c r="C551" t="inlineStr">
        <is>
          <t>India</t>
        </is>
      </c>
      <c r="D551" t="inlineStr">
        <is>
          <t>South Asia</t>
        </is>
      </c>
      <c r="E551" t="inlineStr">
        <is>
          <t>transit_cost</t>
        </is>
      </c>
      <c r="F551" t="inlineStr">
        <is>
          <t>Transit cost</t>
        </is>
      </c>
      <c r="G551" t="inlineStr">
        <is>
          <t>pressure</t>
        </is>
      </c>
      <c r="H551" t="inlineStr">
        <is>
          <t>yes</t>
        </is>
      </c>
      <c r="I551" t="inlineStr"/>
      <c r="J551" t="inlineStr"/>
      <c r="K551" t="inlineStr"/>
      <c r="L551" t="inlineStr"/>
      <c r="M551" t="inlineStr"/>
      <c r="N551" t="inlineStr"/>
    </row>
    <row r="552">
      <c r="A552" t="inlineStr">
        <is>
          <t>in-hyderabad</t>
        </is>
      </c>
      <c r="B552" t="inlineStr">
        <is>
          <t>Hyderabad</t>
        </is>
      </c>
      <c r="C552" t="inlineStr">
        <is>
          <t>India</t>
        </is>
      </c>
      <c r="D552" t="inlineStr">
        <is>
          <t>South Asia</t>
        </is>
      </c>
      <c r="E552" t="inlineStr">
        <is>
          <t>internet_cost</t>
        </is>
      </c>
      <c r="F552" t="inlineStr">
        <is>
          <t>Internet cost</t>
        </is>
      </c>
      <c r="G552" t="inlineStr">
        <is>
          <t>pressure</t>
        </is>
      </c>
      <c r="H552" t="inlineStr">
        <is>
          <t>yes</t>
        </is>
      </c>
      <c r="I552" t="inlineStr"/>
      <c r="J552" t="inlineStr"/>
      <c r="K552" t="inlineStr"/>
      <c r="L552" t="inlineStr"/>
      <c r="M552" t="inlineStr"/>
      <c r="N552" t="inlineStr"/>
    </row>
    <row r="553">
      <c r="A553" t="inlineStr">
        <is>
          <t>in-hyderabad</t>
        </is>
      </c>
      <c r="B553" t="inlineStr">
        <is>
          <t>Hyderabad</t>
        </is>
      </c>
      <c r="C553" t="inlineStr">
        <is>
          <t>India</t>
        </is>
      </c>
      <c r="D553" t="inlineStr">
        <is>
          <t>South Asia</t>
        </is>
      </c>
      <c r="E553" t="inlineStr">
        <is>
          <t>food_cost</t>
        </is>
      </c>
      <c r="F553" t="inlineStr">
        <is>
          <t>Food cost</t>
        </is>
      </c>
      <c r="G553" t="inlineStr">
        <is>
          <t>pressure</t>
        </is>
      </c>
      <c r="H553" t="inlineStr">
        <is>
          <t>yes</t>
        </is>
      </c>
      <c r="I553" t="inlineStr"/>
      <c r="J553" t="inlineStr"/>
      <c r="K553" t="inlineStr"/>
      <c r="L553" t="inlineStr"/>
      <c r="M553" t="inlineStr"/>
      <c r="N553" t="inlineStr"/>
    </row>
    <row r="554">
      <c r="A554" t="inlineStr">
        <is>
          <t>in-hyderabad</t>
        </is>
      </c>
      <c r="B554" t="inlineStr">
        <is>
          <t>Hyderabad</t>
        </is>
      </c>
      <c r="C554" t="inlineStr">
        <is>
          <t>India</t>
        </is>
      </c>
      <c r="D554" t="inlineStr">
        <is>
          <t>South Asia</t>
        </is>
      </c>
      <c r="E554" t="inlineStr">
        <is>
          <t>housing_burden_raw</t>
        </is>
      </c>
      <c r="F554" t="inlineStr">
        <is>
          <t>Housing burden raw</t>
        </is>
      </c>
      <c r="G554" t="inlineStr">
        <is>
          <t>pressure</t>
        </is>
      </c>
      <c r="H554" t="inlineStr">
        <is>
          <t>yes</t>
        </is>
      </c>
      <c r="I554" t="inlineStr"/>
      <c r="J554" t="inlineStr"/>
      <c r="K554" t="inlineStr"/>
      <c r="L554" t="inlineStr"/>
      <c r="M554" t="inlineStr"/>
      <c r="N554" t="inlineStr"/>
    </row>
    <row r="555">
      <c r="A555" t="inlineStr">
        <is>
          <t>in-hyderabad</t>
        </is>
      </c>
      <c r="B555" t="inlineStr">
        <is>
          <t>Hyderabad</t>
        </is>
      </c>
      <c r="C555" t="inlineStr">
        <is>
          <t>India</t>
        </is>
      </c>
      <c r="D555" t="inlineStr">
        <is>
          <t>South Asia</t>
        </is>
      </c>
      <c r="E555" t="inlineStr">
        <is>
          <t>household_debt_burden_raw</t>
        </is>
      </c>
      <c r="F555" t="inlineStr">
        <is>
          <t>Household debt burden raw</t>
        </is>
      </c>
      <c r="G555" t="inlineStr">
        <is>
          <t>pressure</t>
        </is>
      </c>
      <c r="H555" t="inlineStr">
        <is>
          <t>yes</t>
        </is>
      </c>
      <c r="I555" t="inlineStr"/>
      <c r="J555" t="inlineStr"/>
      <c r="K555" t="inlineStr"/>
      <c r="L555" t="inlineStr"/>
      <c r="M555" t="inlineStr"/>
      <c r="N555" t="inlineStr"/>
    </row>
    <row r="556">
      <c r="A556" t="inlineStr">
        <is>
          <t>in-hyderabad</t>
        </is>
      </c>
      <c r="B556" t="inlineStr">
        <is>
          <t>Hyderabad</t>
        </is>
      </c>
      <c r="C556" t="inlineStr">
        <is>
          <t>India</t>
        </is>
      </c>
      <c r="D556" t="inlineStr">
        <is>
          <t>South Asia</t>
        </is>
      </c>
      <c r="E556" t="inlineStr">
        <is>
          <t>working_time_pressure_raw</t>
        </is>
      </c>
      <c r="F556" t="inlineStr">
        <is>
          <t>Working time pressure raw</t>
        </is>
      </c>
      <c r="G556" t="inlineStr">
        <is>
          <t>pressure</t>
        </is>
      </c>
      <c r="H556" t="inlineStr">
        <is>
          <t>yes</t>
        </is>
      </c>
      <c r="I556" t="inlineStr"/>
      <c r="J556" t="inlineStr"/>
      <c r="K556" t="inlineStr"/>
      <c r="L556" t="inlineStr"/>
      <c r="M556" t="inlineStr"/>
      <c r="N556" t="inlineStr"/>
    </row>
    <row r="557">
      <c r="A557" t="inlineStr">
        <is>
          <t>in-hyderabad</t>
        </is>
      </c>
      <c r="B557" t="inlineStr">
        <is>
          <t>Hyderabad</t>
        </is>
      </c>
      <c r="C557" t="inlineStr">
        <is>
          <t>India</t>
        </is>
      </c>
      <c r="D557" t="inlineStr">
        <is>
          <t>South Asia</t>
        </is>
      </c>
      <c r="E557" t="inlineStr">
        <is>
          <t>suicide_mental_strain_raw</t>
        </is>
      </c>
      <c r="F557" t="inlineStr">
        <is>
          <t>Suicide or mental strain raw</t>
        </is>
      </c>
      <c r="G557" t="inlineStr">
        <is>
          <t>pressure</t>
        </is>
      </c>
      <c r="H557" t="inlineStr">
        <is>
          <t>yes</t>
        </is>
      </c>
      <c r="I557" t="inlineStr"/>
      <c r="J557" t="inlineStr"/>
      <c r="K557" t="inlineStr"/>
      <c r="L557" t="inlineStr"/>
      <c r="M557" t="inlineStr"/>
      <c r="N557" t="inlineStr"/>
    </row>
    <row r="558">
      <c r="A558" t="inlineStr">
        <is>
          <t>in-hyderabad</t>
        </is>
      </c>
      <c r="B558" t="inlineStr">
        <is>
          <t>Hyderabad</t>
        </is>
      </c>
      <c r="C558" t="inlineStr">
        <is>
          <t>India</t>
        </is>
      </c>
      <c r="D558" t="inlineStr">
        <is>
          <t>South Asia</t>
        </is>
      </c>
      <c r="E558" t="inlineStr">
        <is>
          <t>personal_safety_raw</t>
        </is>
      </c>
      <c r="F558" t="inlineStr">
        <is>
          <t>Personal safety raw</t>
        </is>
      </c>
      <c r="G558" t="inlineStr">
        <is>
          <t>viability</t>
        </is>
      </c>
      <c r="H558" t="inlineStr">
        <is>
          <t>yes</t>
        </is>
      </c>
      <c r="I558" t="inlineStr"/>
      <c r="J558" t="inlineStr"/>
      <c r="K558" t="inlineStr"/>
      <c r="L558" t="inlineStr"/>
      <c r="M558" t="inlineStr"/>
      <c r="N558" t="inlineStr"/>
    </row>
    <row r="559">
      <c r="A559" t="inlineStr">
        <is>
          <t>in-hyderabad</t>
        </is>
      </c>
      <c r="B559" t="inlineStr">
        <is>
          <t>Hyderabad</t>
        </is>
      </c>
      <c r="C559" t="inlineStr">
        <is>
          <t>India</t>
        </is>
      </c>
      <c r="D559" t="inlineStr">
        <is>
          <t>South Asia</t>
        </is>
      </c>
      <c r="E559" t="inlineStr">
        <is>
          <t>transit_access_commute_raw</t>
        </is>
      </c>
      <c r="F559" t="inlineStr">
        <is>
          <t>Transit access and commute raw</t>
        </is>
      </c>
      <c r="G559" t="inlineStr">
        <is>
          <t>viability</t>
        </is>
      </c>
      <c r="H559" t="inlineStr">
        <is>
          <t>yes</t>
        </is>
      </c>
      <c r="I559" t="inlineStr"/>
      <c r="J559" t="inlineStr"/>
      <c r="K559" t="inlineStr"/>
      <c r="L559" t="inlineStr"/>
      <c r="M559" t="inlineStr"/>
      <c r="N559" t="inlineStr"/>
    </row>
    <row r="560">
      <c r="A560" t="inlineStr">
        <is>
          <t>in-hyderabad</t>
        </is>
      </c>
      <c r="B560" t="inlineStr">
        <is>
          <t>Hyderabad</t>
        </is>
      </c>
      <c r="C560" t="inlineStr">
        <is>
          <t>India</t>
        </is>
      </c>
      <c r="D560" t="inlineStr">
        <is>
          <t>South Asia</t>
        </is>
      </c>
      <c r="E560" t="inlineStr">
        <is>
          <t>clean_air_raw</t>
        </is>
      </c>
      <c r="F560" t="inlineStr">
        <is>
          <t>Clean air raw</t>
        </is>
      </c>
      <c r="G560" t="inlineStr">
        <is>
          <t>viability</t>
        </is>
      </c>
      <c r="H560" t="inlineStr">
        <is>
          <t>yes</t>
        </is>
      </c>
      <c r="I560" t="inlineStr"/>
      <c r="J560" t="inlineStr"/>
      <c r="K560" t="inlineStr"/>
      <c r="L560" t="inlineStr"/>
      <c r="M560" t="inlineStr"/>
      <c r="N560" t="inlineStr"/>
    </row>
    <row r="561">
      <c r="A561" t="inlineStr">
        <is>
          <t>in-hyderabad</t>
        </is>
      </c>
      <c r="B561" t="inlineStr">
        <is>
          <t>Hyderabad</t>
        </is>
      </c>
      <c r="C561" t="inlineStr">
        <is>
          <t>India</t>
        </is>
      </c>
      <c r="D561" t="inlineStr">
        <is>
          <t>South Asia</t>
        </is>
      </c>
      <c r="E561" t="inlineStr">
        <is>
          <t>water_sanitation_utility_raw</t>
        </is>
      </c>
      <c r="F561" t="inlineStr">
        <is>
          <t>Water, sanitation, and utility raw</t>
        </is>
      </c>
      <c r="G561" t="inlineStr">
        <is>
          <t>viability</t>
        </is>
      </c>
      <c r="H561" t="inlineStr">
        <is>
          <t>yes</t>
        </is>
      </c>
      <c r="I561" t="inlineStr"/>
      <c r="J561" t="inlineStr"/>
      <c r="K561" t="inlineStr"/>
      <c r="L561" t="inlineStr"/>
      <c r="M561" t="inlineStr"/>
      <c r="N561" t="inlineStr"/>
    </row>
    <row r="562">
      <c r="A562" t="inlineStr">
        <is>
          <t>in-hyderabad</t>
        </is>
      </c>
      <c r="B562" t="inlineStr">
        <is>
          <t>Hyderabad</t>
        </is>
      </c>
      <c r="C562" t="inlineStr">
        <is>
          <t>India</t>
        </is>
      </c>
      <c r="D562" t="inlineStr">
        <is>
          <t>South Asia</t>
        </is>
      </c>
      <c r="E562" t="inlineStr">
        <is>
          <t>digital_infrastructure_raw</t>
        </is>
      </c>
      <c r="F562" t="inlineStr">
        <is>
          <t>Digital infrastructure raw</t>
        </is>
      </c>
      <c r="G562" t="inlineStr">
        <is>
          <t>viability</t>
        </is>
      </c>
      <c r="H562" t="inlineStr">
        <is>
          <t>yes</t>
        </is>
      </c>
      <c r="I562" t="inlineStr"/>
      <c r="J562" t="inlineStr"/>
      <c r="K562" t="inlineStr"/>
      <c r="L562" t="inlineStr"/>
      <c r="M562" t="inlineStr"/>
      <c r="N562" t="inlineStr"/>
    </row>
    <row r="563">
      <c r="A563" t="inlineStr">
        <is>
          <t>in-hyderabad</t>
        </is>
      </c>
      <c r="B563" t="inlineStr">
        <is>
          <t>Hyderabad</t>
        </is>
      </c>
      <c r="C563" t="inlineStr">
        <is>
          <t>India</t>
        </is>
      </c>
      <c r="D563" t="inlineStr">
        <is>
          <t>South Asia</t>
        </is>
      </c>
      <c r="E563" t="inlineStr">
        <is>
          <t>healthcare_quality_raw</t>
        </is>
      </c>
      <c r="F563" t="inlineStr">
        <is>
          <t>Healthcare quality raw</t>
        </is>
      </c>
      <c r="G563" t="inlineStr">
        <is>
          <t>capability</t>
        </is>
      </c>
      <c r="H563" t="inlineStr">
        <is>
          <t>yes</t>
        </is>
      </c>
      <c r="I563" t="inlineStr"/>
      <c r="J563" t="inlineStr"/>
      <c r="K563" t="inlineStr"/>
      <c r="L563" t="inlineStr"/>
      <c r="M563" t="inlineStr"/>
      <c r="N563" t="inlineStr"/>
    </row>
    <row r="564">
      <c r="A564" t="inlineStr">
        <is>
          <t>in-hyderabad</t>
        </is>
      </c>
      <c r="B564" t="inlineStr">
        <is>
          <t>Hyderabad</t>
        </is>
      </c>
      <c r="C564" t="inlineStr">
        <is>
          <t>India</t>
        </is>
      </c>
      <c r="D564" t="inlineStr">
        <is>
          <t>South Asia</t>
        </is>
      </c>
      <c r="E564" t="inlineStr">
        <is>
          <t>education_quality_raw</t>
        </is>
      </c>
      <c r="F564" t="inlineStr">
        <is>
          <t>Education quality raw</t>
        </is>
      </c>
      <c r="G564" t="inlineStr">
        <is>
          <t>capability</t>
        </is>
      </c>
      <c r="H564" t="inlineStr">
        <is>
          <t>yes</t>
        </is>
      </c>
      <c r="I564" t="inlineStr"/>
      <c r="J564" t="inlineStr"/>
      <c r="K564" t="inlineStr"/>
      <c r="L564" t="inlineStr"/>
      <c r="M564" t="inlineStr"/>
      <c r="N564" t="inlineStr"/>
    </row>
    <row r="565">
      <c r="A565" t="inlineStr">
        <is>
          <t>in-hyderabad</t>
        </is>
      </c>
      <c r="B565" t="inlineStr">
        <is>
          <t>Hyderabad</t>
        </is>
      </c>
      <c r="C565" t="inlineStr">
        <is>
          <t>India</t>
        </is>
      </c>
      <c r="D565" t="inlineStr">
        <is>
          <t>South Asia</t>
        </is>
      </c>
      <c r="E565" t="inlineStr">
        <is>
          <t>equal_opportunity_raw</t>
        </is>
      </c>
      <c r="F565" t="inlineStr">
        <is>
          <t>Equal opportunity raw</t>
        </is>
      </c>
      <c r="G565" t="inlineStr">
        <is>
          <t>capability</t>
        </is>
      </c>
      <c r="H565" t="inlineStr">
        <is>
          <t>yes</t>
        </is>
      </c>
      <c r="I565" t="inlineStr"/>
      <c r="J565" t="inlineStr"/>
      <c r="K565" t="inlineStr"/>
      <c r="L565" t="inlineStr"/>
      <c r="M565" t="inlineStr"/>
      <c r="N565" t="inlineStr"/>
    </row>
    <row r="566">
      <c r="A566" t="inlineStr">
        <is>
          <t>in-hyderabad</t>
        </is>
      </c>
      <c r="B566" t="inlineStr">
        <is>
          <t>Hyderabad</t>
        </is>
      </c>
      <c r="C566" t="inlineStr">
        <is>
          <t>India</t>
        </is>
      </c>
      <c r="D566" t="inlineStr">
        <is>
          <t>South Asia</t>
        </is>
      </c>
      <c r="E566" t="inlineStr">
        <is>
          <t>hospitality_belonging_raw</t>
        </is>
      </c>
      <c r="F566" t="inlineStr">
        <is>
          <t>Hospitality and belonging raw</t>
        </is>
      </c>
      <c r="G566" t="inlineStr">
        <is>
          <t>community</t>
        </is>
      </c>
      <c r="H566" t="inlineStr">
        <is>
          <t>yes</t>
        </is>
      </c>
      <c r="I566" t="inlineStr"/>
      <c r="J566" t="inlineStr"/>
      <c r="K566" t="inlineStr"/>
      <c r="L566" t="inlineStr"/>
      <c r="M566" t="inlineStr"/>
      <c r="N566" t="inlineStr"/>
    </row>
    <row r="567">
      <c r="A567" t="inlineStr">
        <is>
          <t>in-hyderabad</t>
        </is>
      </c>
      <c r="B567" t="inlineStr">
        <is>
          <t>Hyderabad</t>
        </is>
      </c>
      <c r="C567" t="inlineStr">
        <is>
          <t>India</t>
        </is>
      </c>
      <c r="D567" t="inlineStr">
        <is>
          <t>South Asia</t>
        </is>
      </c>
      <c r="E567" t="inlineStr">
        <is>
          <t>tolerance_pluralism_raw</t>
        </is>
      </c>
      <c r="F567" t="inlineStr">
        <is>
          <t>Tolerance and pluralism raw</t>
        </is>
      </c>
      <c r="G567" t="inlineStr">
        <is>
          <t>community</t>
        </is>
      </c>
      <c r="H567" t="inlineStr">
        <is>
          <t>yes</t>
        </is>
      </c>
      <c r="I567" t="inlineStr"/>
      <c r="J567" t="inlineStr"/>
      <c r="K567" t="inlineStr"/>
      <c r="L567" t="inlineStr"/>
      <c r="M567" t="inlineStr"/>
      <c r="N567" t="inlineStr"/>
    </row>
    <row r="568">
      <c r="A568" t="inlineStr">
        <is>
          <t>in-hyderabad</t>
        </is>
      </c>
      <c r="B568" t="inlineStr">
        <is>
          <t>Hyderabad</t>
        </is>
      </c>
      <c r="C568" t="inlineStr">
        <is>
          <t>India</t>
        </is>
      </c>
      <c r="D568" t="inlineStr">
        <is>
          <t>South Asia</t>
        </is>
      </c>
      <c r="E568" t="inlineStr">
        <is>
          <t>cultural_public_life_raw</t>
        </is>
      </c>
      <c r="F568" t="inlineStr">
        <is>
          <t>Cultural public life raw</t>
        </is>
      </c>
      <c r="G568" t="inlineStr">
        <is>
          <t>community</t>
        </is>
      </c>
      <c r="H568" t="inlineStr">
        <is>
          <t>yes</t>
        </is>
      </c>
      <c r="I568" t="inlineStr"/>
      <c r="J568" t="inlineStr"/>
      <c r="K568" t="inlineStr"/>
      <c r="L568" t="inlineStr"/>
      <c r="M568" t="inlineStr"/>
      <c r="N568" t="inlineStr"/>
    </row>
    <row r="569">
      <c r="A569" t="inlineStr">
        <is>
          <t>in-hyderabad</t>
        </is>
      </c>
      <c r="B569" t="inlineStr">
        <is>
          <t>Hyderabad</t>
        </is>
      </c>
      <c r="C569" t="inlineStr">
        <is>
          <t>India</t>
        </is>
      </c>
      <c r="D569" t="inlineStr">
        <is>
          <t>South Asia</t>
        </is>
      </c>
      <c r="E569" t="inlineStr">
        <is>
          <t>entrepreneurial_dynamism_raw</t>
        </is>
      </c>
      <c r="F569" t="inlineStr">
        <is>
          <t>Entrepreneurial dynamism raw</t>
        </is>
      </c>
      <c r="G569" t="inlineStr">
        <is>
          <t>creative</t>
        </is>
      </c>
      <c r="H569" t="inlineStr">
        <is>
          <t>yes</t>
        </is>
      </c>
      <c r="I569" t="inlineStr"/>
      <c r="J569" t="inlineStr"/>
      <c r="K569" t="inlineStr"/>
      <c r="L569" t="inlineStr"/>
      <c r="M569" t="inlineStr"/>
      <c r="N569" t="inlineStr"/>
    </row>
    <row r="570">
      <c r="A570" t="inlineStr">
        <is>
          <t>in-hyderabad</t>
        </is>
      </c>
      <c r="B570" t="inlineStr">
        <is>
          <t>Hyderabad</t>
        </is>
      </c>
      <c r="C570" t="inlineStr">
        <is>
          <t>India</t>
        </is>
      </c>
      <c r="D570" t="inlineStr">
        <is>
          <t>South Asia</t>
        </is>
      </c>
      <c r="E570" t="inlineStr">
        <is>
          <t>innovation_research_intensity_raw</t>
        </is>
      </c>
      <c r="F570" t="inlineStr">
        <is>
          <t>Innovation and research raw</t>
        </is>
      </c>
      <c r="G570" t="inlineStr">
        <is>
          <t>creative</t>
        </is>
      </c>
      <c r="H570" t="inlineStr">
        <is>
          <t>yes</t>
        </is>
      </c>
      <c r="I570" t="inlineStr"/>
      <c r="J570" t="inlineStr"/>
      <c r="K570" t="inlineStr"/>
      <c r="L570" t="inlineStr"/>
      <c r="M570" t="inlineStr"/>
      <c r="N570" t="inlineStr"/>
    </row>
    <row r="571">
      <c r="A571" t="inlineStr">
        <is>
          <t>in-hyderabad</t>
        </is>
      </c>
      <c r="B571" t="inlineStr">
        <is>
          <t>Hyderabad</t>
        </is>
      </c>
      <c r="C571" t="inlineStr">
        <is>
          <t>India</t>
        </is>
      </c>
      <c r="D571" t="inlineStr">
        <is>
          <t>South Asia</t>
        </is>
      </c>
      <c r="E571" t="inlineStr">
        <is>
          <t>investment_signal_raw</t>
        </is>
      </c>
      <c r="F571" t="inlineStr">
        <is>
          <t>Investment signal raw</t>
        </is>
      </c>
      <c r="G571" t="inlineStr">
        <is>
          <t>creative</t>
        </is>
      </c>
      <c r="H571" t="inlineStr">
        <is>
          <t>yes</t>
        </is>
      </c>
      <c r="I571" t="inlineStr"/>
      <c r="J571" t="inlineStr"/>
      <c r="K571" t="inlineStr"/>
      <c r="L571" t="inlineStr"/>
      <c r="M571" t="inlineStr"/>
      <c r="N571" t="inlineStr"/>
    </row>
    <row r="572">
      <c r="A572" t="inlineStr">
        <is>
          <t>in-hyderabad</t>
        </is>
      </c>
      <c r="B572" t="inlineStr">
        <is>
          <t>Hyderabad</t>
        </is>
      </c>
      <c r="C572" t="inlineStr">
        <is>
          <t>India</t>
        </is>
      </c>
      <c r="D572" t="inlineStr">
        <is>
          <t>South Asia</t>
        </is>
      </c>
      <c r="E572" t="inlineStr">
        <is>
          <t>administrative_investment_friction_raw</t>
        </is>
      </c>
      <c r="F572" t="inlineStr">
        <is>
          <t>Administrative investment friction raw</t>
        </is>
      </c>
      <c r="G572" t="inlineStr">
        <is>
          <t>creative</t>
        </is>
      </c>
      <c r="H572" t="inlineStr">
        <is>
          <t>yes</t>
        </is>
      </c>
      <c r="I572" t="inlineStr"/>
      <c r="J572" t="inlineStr"/>
      <c r="K572" t="inlineStr"/>
      <c r="L572" t="inlineStr"/>
      <c r="M572" t="inlineStr"/>
      <c r="N572" t="inlineStr"/>
    </row>
    <row r="573">
      <c r="A573" t="inlineStr">
        <is>
          <t>in-hyderabad</t>
        </is>
      </c>
      <c r="B573" t="inlineStr">
        <is>
          <t>Hyderabad</t>
        </is>
      </c>
      <c r="C573" t="inlineStr">
        <is>
          <t>India</t>
        </is>
      </c>
      <c r="D573" t="inlineStr">
        <is>
          <t>South Asia</t>
        </is>
      </c>
      <c r="E573" t="inlineStr">
        <is>
          <t>visitor_flow_context_raw</t>
        </is>
      </c>
      <c r="F573" t="inlineStr">
        <is>
          <t>Visitor flow context raw</t>
        </is>
      </c>
      <c r="G573" t="inlineStr">
        <is>
          <t>creative</t>
        </is>
      </c>
      <c r="H573" t="inlineStr">
        <is>
          <t>no</t>
        </is>
      </c>
      <c r="I573" t="inlineStr"/>
      <c r="J573" t="inlineStr"/>
      <c r="K573" t="inlineStr"/>
      <c r="L573" t="inlineStr"/>
      <c r="M573" t="inlineStr"/>
      <c r="N573" t="inlineStr"/>
    </row>
    <row r="574">
      <c r="A574" t="inlineStr">
        <is>
          <t>lk-colombo</t>
        </is>
      </c>
      <c r="B574" t="inlineStr">
        <is>
          <t>Colombo</t>
        </is>
      </c>
      <c r="C574" t="inlineStr">
        <is>
          <t>Sri Lanka</t>
        </is>
      </c>
      <c r="D574" t="inlineStr">
        <is>
          <t>South Asia</t>
        </is>
      </c>
      <c r="E574" t="inlineStr">
        <is>
          <t>gross_income</t>
        </is>
      </c>
      <c r="F574" t="inlineStr">
        <is>
          <t>Gross income</t>
        </is>
      </c>
      <c r="G574" t="inlineStr">
        <is>
          <t>pressure</t>
        </is>
      </c>
      <c r="H574" t="inlineStr">
        <is>
          <t>yes</t>
        </is>
      </c>
      <c r="I574" t="inlineStr"/>
      <c r="J574" t="inlineStr"/>
      <c r="K574" t="inlineStr"/>
      <c r="L574" t="inlineStr"/>
      <c r="M574" t="inlineStr"/>
      <c r="N574" t="inlineStr"/>
    </row>
    <row r="575">
      <c r="A575" t="inlineStr">
        <is>
          <t>lk-colombo</t>
        </is>
      </c>
      <c r="B575" t="inlineStr">
        <is>
          <t>Colombo</t>
        </is>
      </c>
      <c r="C575" t="inlineStr">
        <is>
          <t>Sri Lanka</t>
        </is>
      </c>
      <c r="D575" t="inlineStr">
        <is>
          <t>South Asia</t>
        </is>
      </c>
      <c r="E575" t="inlineStr">
        <is>
          <t>rent</t>
        </is>
      </c>
      <c r="F575" t="inlineStr">
        <is>
          <t>Rent</t>
        </is>
      </c>
      <c r="G575" t="inlineStr">
        <is>
          <t>pressure</t>
        </is>
      </c>
      <c r="H575" t="inlineStr">
        <is>
          <t>yes</t>
        </is>
      </c>
      <c r="I575" t="inlineStr"/>
      <c r="J575" t="inlineStr"/>
      <c r="K575" t="inlineStr"/>
      <c r="L575" t="inlineStr"/>
      <c r="M575" t="inlineStr"/>
      <c r="N575" t="inlineStr"/>
    </row>
    <row r="576">
      <c r="A576" t="inlineStr">
        <is>
          <t>lk-colombo</t>
        </is>
      </c>
      <c r="B576" t="inlineStr">
        <is>
          <t>Colombo</t>
        </is>
      </c>
      <c r="C576" t="inlineStr">
        <is>
          <t>Sri Lanka</t>
        </is>
      </c>
      <c r="D576" t="inlineStr">
        <is>
          <t>South Asia</t>
        </is>
      </c>
      <c r="E576" t="inlineStr">
        <is>
          <t>utilities</t>
        </is>
      </c>
      <c r="F576" t="inlineStr">
        <is>
          <t>Utilities</t>
        </is>
      </c>
      <c r="G576" t="inlineStr">
        <is>
          <t>pressure</t>
        </is>
      </c>
      <c r="H576" t="inlineStr">
        <is>
          <t>yes</t>
        </is>
      </c>
      <c r="I576" t="inlineStr"/>
      <c r="J576" t="inlineStr"/>
      <c r="K576" t="inlineStr"/>
      <c r="L576" t="inlineStr"/>
      <c r="M576" t="inlineStr"/>
      <c r="N576" t="inlineStr"/>
    </row>
    <row r="577">
      <c r="A577" t="inlineStr">
        <is>
          <t>lk-colombo</t>
        </is>
      </c>
      <c r="B577" t="inlineStr">
        <is>
          <t>Colombo</t>
        </is>
      </c>
      <c r="C577" t="inlineStr">
        <is>
          <t>Sri Lanka</t>
        </is>
      </c>
      <c r="D577" t="inlineStr">
        <is>
          <t>South Asia</t>
        </is>
      </c>
      <c r="E577" t="inlineStr">
        <is>
          <t>transit_cost</t>
        </is>
      </c>
      <c r="F577" t="inlineStr">
        <is>
          <t>Transit cost</t>
        </is>
      </c>
      <c r="G577" t="inlineStr">
        <is>
          <t>pressure</t>
        </is>
      </c>
      <c r="H577" t="inlineStr">
        <is>
          <t>yes</t>
        </is>
      </c>
      <c r="I577" t="inlineStr"/>
      <c r="J577" t="inlineStr"/>
      <c r="K577" t="inlineStr"/>
      <c r="L577" t="inlineStr"/>
      <c r="M577" t="inlineStr"/>
      <c r="N577" t="inlineStr"/>
    </row>
    <row r="578">
      <c r="A578" t="inlineStr">
        <is>
          <t>lk-colombo</t>
        </is>
      </c>
      <c r="B578" t="inlineStr">
        <is>
          <t>Colombo</t>
        </is>
      </c>
      <c r="C578" t="inlineStr">
        <is>
          <t>Sri Lanka</t>
        </is>
      </c>
      <c r="D578" t="inlineStr">
        <is>
          <t>South Asia</t>
        </is>
      </c>
      <c r="E578" t="inlineStr">
        <is>
          <t>internet_cost</t>
        </is>
      </c>
      <c r="F578" t="inlineStr">
        <is>
          <t>Internet cost</t>
        </is>
      </c>
      <c r="G578" t="inlineStr">
        <is>
          <t>pressure</t>
        </is>
      </c>
      <c r="H578" t="inlineStr">
        <is>
          <t>yes</t>
        </is>
      </c>
      <c r="I578" t="inlineStr"/>
      <c r="J578" t="inlineStr"/>
      <c r="K578" t="inlineStr"/>
      <c r="L578" t="inlineStr"/>
      <c r="M578" t="inlineStr"/>
      <c r="N578" t="inlineStr"/>
    </row>
    <row r="579">
      <c r="A579" t="inlineStr">
        <is>
          <t>lk-colombo</t>
        </is>
      </c>
      <c r="B579" t="inlineStr">
        <is>
          <t>Colombo</t>
        </is>
      </c>
      <c r="C579" t="inlineStr">
        <is>
          <t>Sri Lanka</t>
        </is>
      </c>
      <c r="D579" t="inlineStr">
        <is>
          <t>South Asia</t>
        </is>
      </c>
      <c r="E579" t="inlineStr">
        <is>
          <t>food_cost</t>
        </is>
      </c>
      <c r="F579" t="inlineStr">
        <is>
          <t>Food cost</t>
        </is>
      </c>
      <c r="G579" t="inlineStr">
        <is>
          <t>pressure</t>
        </is>
      </c>
      <c r="H579" t="inlineStr">
        <is>
          <t>yes</t>
        </is>
      </c>
      <c r="I579" t="inlineStr"/>
      <c r="J579" t="inlineStr"/>
      <c r="K579" t="inlineStr"/>
      <c r="L579" t="inlineStr"/>
      <c r="M579" t="inlineStr"/>
      <c r="N579" t="inlineStr"/>
    </row>
    <row r="580">
      <c r="A580" t="inlineStr">
        <is>
          <t>lk-colombo</t>
        </is>
      </c>
      <c r="B580" t="inlineStr">
        <is>
          <t>Colombo</t>
        </is>
      </c>
      <c r="C580" t="inlineStr">
        <is>
          <t>Sri Lanka</t>
        </is>
      </c>
      <c r="D580" t="inlineStr">
        <is>
          <t>South Asia</t>
        </is>
      </c>
      <c r="E580" t="inlineStr">
        <is>
          <t>housing_burden_raw</t>
        </is>
      </c>
      <c r="F580" t="inlineStr">
        <is>
          <t>Housing burden raw</t>
        </is>
      </c>
      <c r="G580" t="inlineStr">
        <is>
          <t>pressure</t>
        </is>
      </c>
      <c r="H580" t="inlineStr">
        <is>
          <t>yes</t>
        </is>
      </c>
      <c r="I580" t="inlineStr"/>
      <c r="J580" t="inlineStr"/>
      <c r="K580" t="inlineStr"/>
      <c r="L580" t="inlineStr"/>
      <c r="M580" t="inlineStr"/>
      <c r="N580" t="inlineStr"/>
    </row>
    <row r="581">
      <c r="A581" t="inlineStr">
        <is>
          <t>lk-colombo</t>
        </is>
      </c>
      <c r="B581" t="inlineStr">
        <is>
          <t>Colombo</t>
        </is>
      </c>
      <c r="C581" t="inlineStr">
        <is>
          <t>Sri Lanka</t>
        </is>
      </c>
      <c r="D581" t="inlineStr">
        <is>
          <t>South Asia</t>
        </is>
      </c>
      <c r="E581" t="inlineStr">
        <is>
          <t>household_debt_burden_raw</t>
        </is>
      </c>
      <c r="F581" t="inlineStr">
        <is>
          <t>Household debt burden raw</t>
        </is>
      </c>
      <c r="G581" t="inlineStr">
        <is>
          <t>pressure</t>
        </is>
      </c>
      <c r="H581" t="inlineStr">
        <is>
          <t>yes</t>
        </is>
      </c>
      <c r="I581" t="inlineStr"/>
      <c r="J581" t="inlineStr"/>
      <c r="K581" t="inlineStr"/>
      <c r="L581" t="inlineStr"/>
      <c r="M581" t="inlineStr"/>
      <c r="N581" t="inlineStr"/>
    </row>
    <row r="582">
      <c r="A582" t="inlineStr">
        <is>
          <t>lk-colombo</t>
        </is>
      </c>
      <c r="B582" t="inlineStr">
        <is>
          <t>Colombo</t>
        </is>
      </c>
      <c r="C582" t="inlineStr">
        <is>
          <t>Sri Lanka</t>
        </is>
      </c>
      <c r="D582" t="inlineStr">
        <is>
          <t>South Asia</t>
        </is>
      </c>
      <c r="E582" t="inlineStr">
        <is>
          <t>working_time_pressure_raw</t>
        </is>
      </c>
      <c r="F582" t="inlineStr">
        <is>
          <t>Working time pressure raw</t>
        </is>
      </c>
      <c r="G582" t="inlineStr">
        <is>
          <t>pressure</t>
        </is>
      </c>
      <c r="H582" t="inlineStr">
        <is>
          <t>yes</t>
        </is>
      </c>
      <c r="I582" t="inlineStr"/>
      <c r="J582" t="inlineStr"/>
      <c r="K582" t="inlineStr"/>
      <c r="L582" t="inlineStr"/>
      <c r="M582" t="inlineStr"/>
      <c r="N582" t="inlineStr"/>
    </row>
    <row r="583">
      <c r="A583" t="inlineStr">
        <is>
          <t>lk-colombo</t>
        </is>
      </c>
      <c r="B583" t="inlineStr">
        <is>
          <t>Colombo</t>
        </is>
      </c>
      <c r="C583" t="inlineStr">
        <is>
          <t>Sri Lanka</t>
        </is>
      </c>
      <c r="D583" t="inlineStr">
        <is>
          <t>South Asia</t>
        </is>
      </c>
      <c r="E583" t="inlineStr">
        <is>
          <t>suicide_mental_strain_raw</t>
        </is>
      </c>
      <c r="F583" t="inlineStr">
        <is>
          <t>Suicide or mental strain raw</t>
        </is>
      </c>
      <c r="G583" t="inlineStr">
        <is>
          <t>pressure</t>
        </is>
      </c>
      <c r="H583" t="inlineStr">
        <is>
          <t>yes</t>
        </is>
      </c>
      <c r="I583" t="inlineStr"/>
      <c r="J583" t="inlineStr"/>
      <c r="K583" t="inlineStr"/>
      <c r="L583" t="inlineStr"/>
      <c r="M583" t="inlineStr"/>
      <c r="N583" t="inlineStr"/>
    </row>
    <row r="584">
      <c r="A584" t="inlineStr">
        <is>
          <t>lk-colombo</t>
        </is>
      </c>
      <c r="B584" t="inlineStr">
        <is>
          <t>Colombo</t>
        </is>
      </c>
      <c r="C584" t="inlineStr">
        <is>
          <t>Sri Lanka</t>
        </is>
      </c>
      <c r="D584" t="inlineStr">
        <is>
          <t>South Asia</t>
        </is>
      </c>
      <c r="E584" t="inlineStr">
        <is>
          <t>personal_safety_raw</t>
        </is>
      </c>
      <c r="F584" t="inlineStr">
        <is>
          <t>Personal safety raw</t>
        </is>
      </c>
      <c r="G584" t="inlineStr">
        <is>
          <t>viability</t>
        </is>
      </c>
      <c r="H584" t="inlineStr">
        <is>
          <t>yes</t>
        </is>
      </c>
      <c r="I584" t="inlineStr"/>
      <c r="J584" t="inlineStr"/>
      <c r="K584" t="inlineStr"/>
      <c r="L584" t="inlineStr"/>
      <c r="M584" t="inlineStr"/>
      <c r="N584" t="inlineStr"/>
    </row>
    <row r="585">
      <c r="A585" t="inlineStr">
        <is>
          <t>lk-colombo</t>
        </is>
      </c>
      <c r="B585" t="inlineStr">
        <is>
          <t>Colombo</t>
        </is>
      </c>
      <c r="C585" t="inlineStr">
        <is>
          <t>Sri Lanka</t>
        </is>
      </c>
      <c r="D585" t="inlineStr">
        <is>
          <t>South Asia</t>
        </is>
      </c>
      <c r="E585" t="inlineStr">
        <is>
          <t>transit_access_commute_raw</t>
        </is>
      </c>
      <c r="F585" t="inlineStr">
        <is>
          <t>Transit access and commute raw</t>
        </is>
      </c>
      <c r="G585" t="inlineStr">
        <is>
          <t>viability</t>
        </is>
      </c>
      <c r="H585" t="inlineStr">
        <is>
          <t>yes</t>
        </is>
      </c>
      <c r="I585" t="inlineStr"/>
      <c r="J585" t="inlineStr"/>
      <c r="K585" t="inlineStr"/>
      <c r="L585" t="inlineStr"/>
      <c r="M585" t="inlineStr"/>
      <c r="N585" t="inlineStr"/>
    </row>
    <row r="586">
      <c r="A586" t="inlineStr">
        <is>
          <t>lk-colombo</t>
        </is>
      </c>
      <c r="B586" t="inlineStr">
        <is>
          <t>Colombo</t>
        </is>
      </c>
      <c r="C586" t="inlineStr">
        <is>
          <t>Sri Lanka</t>
        </is>
      </c>
      <c r="D586" t="inlineStr">
        <is>
          <t>South Asia</t>
        </is>
      </c>
      <c r="E586" t="inlineStr">
        <is>
          <t>clean_air_raw</t>
        </is>
      </c>
      <c r="F586" t="inlineStr">
        <is>
          <t>Clean air raw</t>
        </is>
      </c>
      <c r="G586" t="inlineStr">
        <is>
          <t>viability</t>
        </is>
      </c>
      <c r="H586" t="inlineStr">
        <is>
          <t>yes</t>
        </is>
      </c>
      <c r="I586" t="inlineStr"/>
      <c r="J586" t="inlineStr"/>
      <c r="K586" t="inlineStr"/>
      <c r="L586" t="inlineStr"/>
      <c r="M586" t="inlineStr"/>
      <c r="N586" t="inlineStr"/>
    </row>
    <row r="587">
      <c r="A587" t="inlineStr">
        <is>
          <t>lk-colombo</t>
        </is>
      </c>
      <c r="B587" t="inlineStr">
        <is>
          <t>Colombo</t>
        </is>
      </c>
      <c r="C587" t="inlineStr">
        <is>
          <t>Sri Lanka</t>
        </is>
      </c>
      <c r="D587" t="inlineStr">
        <is>
          <t>South Asia</t>
        </is>
      </c>
      <c r="E587" t="inlineStr">
        <is>
          <t>water_sanitation_utility_raw</t>
        </is>
      </c>
      <c r="F587" t="inlineStr">
        <is>
          <t>Water, sanitation, and utility raw</t>
        </is>
      </c>
      <c r="G587" t="inlineStr">
        <is>
          <t>viability</t>
        </is>
      </c>
      <c r="H587" t="inlineStr">
        <is>
          <t>yes</t>
        </is>
      </c>
      <c r="I587" t="inlineStr"/>
      <c r="J587" t="inlineStr"/>
      <c r="K587" t="inlineStr"/>
      <c r="L587" t="inlineStr"/>
      <c r="M587" t="inlineStr"/>
      <c r="N587" t="inlineStr"/>
    </row>
    <row r="588">
      <c r="A588" t="inlineStr">
        <is>
          <t>lk-colombo</t>
        </is>
      </c>
      <c r="B588" t="inlineStr">
        <is>
          <t>Colombo</t>
        </is>
      </c>
      <c r="C588" t="inlineStr">
        <is>
          <t>Sri Lanka</t>
        </is>
      </c>
      <c r="D588" t="inlineStr">
        <is>
          <t>South Asia</t>
        </is>
      </c>
      <c r="E588" t="inlineStr">
        <is>
          <t>digital_infrastructure_raw</t>
        </is>
      </c>
      <c r="F588" t="inlineStr">
        <is>
          <t>Digital infrastructure raw</t>
        </is>
      </c>
      <c r="G588" t="inlineStr">
        <is>
          <t>viability</t>
        </is>
      </c>
      <c r="H588" t="inlineStr">
        <is>
          <t>yes</t>
        </is>
      </c>
      <c r="I588" t="inlineStr"/>
      <c r="J588" t="inlineStr"/>
      <c r="K588" t="inlineStr"/>
      <c r="L588" t="inlineStr"/>
      <c r="M588" t="inlineStr"/>
      <c r="N588" t="inlineStr"/>
    </row>
    <row r="589">
      <c r="A589" t="inlineStr">
        <is>
          <t>lk-colombo</t>
        </is>
      </c>
      <c r="B589" t="inlineStr">
        <is>
          <t>Colombo</t>
        </is>
      </c>
      <c r="C589" t="inlineStr">
        <is>
          <t>Sri Lanka</t>
        </is>
      </c>
      <c r="D589" t="inlineStr">
        <is>
          <t>South Asia</t>
        </is>
      </c>
      <c r="E589" t="inlineStr">
        <is>
          <t>healthcare_quality_raw</t>
        </is>
      </c>
      <c r="F589" t="inlineStr">
        <is>
          <t>Healthcare quality raw</t>
        </is>
      </c>
      <c r="G589" t="inlineStr">
        <is>
          <t>capability</t>
        </is>
      </c>
      <c r="H589" t="inlineStr">
        <is>
          <t>yes</t>
        </is>
      </c>
      <c r="I589" t="inlineStr"/>
      <c r="J589" t="inlineStr"/>
      <c r="K589" t="inlineStr"/>
      <c r="L589" t="inlineStr"/>
      <c r="M589" t="inlineStr"/>
      <c r="N589" t="inlineStr"/>
    </row>
    <row r="590">
      <c r="A590" t="inlineStr">
        <is>
          <t>lk-colombo</t>
        </is>
      </c>
      <c r="B590" t="inlineStr">
        <is>
          <t>Colombo</t>
        </is>
      </c>
      <c r="C590" t="inlineStr">
        <is>
          <t>Sri Lanka</t>
        </is>
      </c>
      <c r="D590" t="inlineStr">
        <is>
          <t>South Asia</t>
        </is>
      </c>
      <c r="E590" t="inlineStr">
        <is>
          <t>education_quality_raw</t>
        </is>
      </c>
      <c r="F590" t="inlineStr">
        <is>
          <t>Education quality raw</t>
        </is>
      </c>
      <c r="G590" t="inlineStr">
        <is>
          <t>capability</t>
        </is>
      </c>
      <c r="H590" t="inlineStr">
        <is>
          <t>yes</t>
        </is>
      </c>
      <c r="I590" t="inlineStr"/>
      <c r="J590" t="inlineStr"/>
      <c r="K590" t="inlineStr"/>
      <c r="L590" t="inlineStr"/>
      <c r="M590" t="inlineStr"/>
      <c r="N590" t="inlineStr"/>
    </row>
    <row r="591">
      <c r="A591" t="inlineStr">
        <is>
          <t>lk-colombo</t>
        </is>
      </c>
      <c r="B591" t="inlineStr">
        <is>
          <t>Colombo</t>
        </is>
      </c>
      <c r="C591" t="inlineStr">
        <is>
          <t>Sri Lanka</t>
        </is>
      </c>
      <c r="D591" t="inlineStr">
        <is>
          <t>South Asia</t>
        </is>
      </c>
      <c r="E591" t="inlineStr">
        <is>
          <t>equal_opportunity_raw</t>
        </is>
      </c>
      <c r="F591" t="inlineStr">
        <is>
          <t>Equal opportunity raw</t>
        </is>
      </c>
      <c r="G591" t="inlineStr">
        <is>
          <t>capability</t>
        </is>
      </c>
      <c r="H591" t="inlineStr">
        <is>
          <t>yes</t>
        </is>
      </c>
      <c r="I591" t="inlineStr"/>
      <c r="J591" t="inlineStr"/>
      <c r="K591" t="inlineStr"/>
      <c r="L591" t="inlineStr"/>
      <c r="M591" t="inlineStr"/>
      <c r="N591" t="inlineStr"/>
    </row>
    <row r="592">
      <c r="A592" t="inlineStr">
        <is>
          <t>lk-colombo</t>
        </is>
      </c>
      <c r="B592" t="inlineStr">
        <is>
          <t>Colombo</t>
        </is>
      </c>
      <c r="C592" t="inlineStr">
        <is>
          <t>Sri Lanka</t>
        </is>
      </c>
      <c r="D592" t="inlineStr">
        <is>
          <t>South Asia</t>
        </is>
      </c>
      <c r="E592" t="inlineStr">
        <is>
          <t>hospitality_belonging_raw</t>
        </is>
      </c>
      <c r="F592" t="inlineStr">
        <is>
          <t>Hospitality and belonging raw</t>
        </is>
      </c>
      <c r="G592" t="inlineStr">
        <is>
          <t>community</t>
        </is>
      </c>
      <c r="H592" t="inlineStr">
        <is>
          <t>yes</t>
        </is>
      </c>
      <c r="I592" t="inlineStr"/>
      <c r="J592" t="inlineStr"/>
      <c r="K592" t="inlineStr"/>
      <c r="L592" t="inlineStr"/>
      <c r="M592" t="inlineStr"/>
      <c r="N592" t="inlineStr"/>
    </row>
    <row r="593">
      <c r="A593" t="inlineStr">
        <is>
          <t>lk-colombo</t>
        </is>
      </c>
      <c r="B593" t="inlineStr">
        <is>
          <t>Colombo</t>
        </is>
      </c>
      <c r="C593" t="inlineStr">
        <is>
          <t>Sri Lanka</t>
        </is>
      </c>
      <c r="D593" t="inlineStr">
        <is>
          <t>South Asia</t>
        </is>
      </c>
      <c r="E593" t="inlineStr">
        <is>
          <t>tolerance_pluralism_raw</t>
        </is>
      </c>
      <c r="F593" t="inlineStr">
        <is>
          <t>Tolerance and pluralism raw</t>
        </is>
      </c>
      <c r="G593" t="inlineStr">
        <is>
          <t>community</t>
        </is>
      </c>
      <c r="H593" t="inlineStr">
        <is>
          <t>yes</t>
        </is>
      </c>
      <c r="I593" t="inlineStr"/>
      <c r="J593" t="inlineStr"/>
      <c r="K593" t="inlineStr"/>
      <c r="L593" t="inlineStr"/>
      <c r="M593" t="inlineStr"/>
      <c r="N593" t="inlineStr"/>
    </row>
    <row r="594">
      <c r="A594" t="inlineStr">
        <is>
          <t>lk-colombo</t>
        </is>
      </c>
      <c r="B594" t="inlineStr">
        <is>
          <t>Colombo</t>
        </is>
      </c>
      <c r="C594" t="inlineStr">
        <is>
          <t>Sri Lanka</t>
        </is>
      </c>
      <c r="D594" t="inlineStr">
        <is>
          <t>South Asia</t>
        </is>
      </c>
      <c r="E594" t="inlineStr">
        <is>
          <t>cultural_public_life_raw</t>
        </is>
      </c>
      <c r="F594" t="inlineStr">
        <is>
          <t>Cultural public life raw</t>
        </is>
      </c>
      <c r="G594" t="inlineStr">
        <is>
          <t>community</t>
        </is>
      </c>
      <c r="H594" t="inlineStr">
        <is>
          <t>yes</t>
        </is>
      </c>
      <c r="I594" t="inlineStr"/>
      <c r="J594" t="inlineStr"/>
      <c r="K594" t="inlineStr"/>
      <c r="L594" t="inlineStr"/>
      <c r="M594" t="inlineStr"/>
      <c r="N594" t="inlineStr"/>
    </row>
    <row r="595">
      <c r="A595" t="inlineStr">
        <is>
          <t>lk-colombo</t>
        </is>
      </c>
      <c r="B595" t="inlineStr">
        <is>
          <t>Colombo</t>
        </is>
      </c>
      <c r="C595" t="inlineStr">
        <is>
          <t>Sri Lanka</t>
        </is>
      </c>
      <c r="D595" t="inlineStr">
        <is>
          <t>South Asia</t>
        </is>
      </c>
      <c r="E595" t="inlineStr">
        <is>
          <t>entrepreneurial_dynamism_raw</t>
        </is>
      </c>
      <c r="F595" t="inlineStr">
        <is>
          <t>Entrepreneurial dynamism raw</t>
        </is>
      </c>
      <c r="G595" t="inlineStr">
        <is>
          <t>creative</t>
        </is>
      </c>
      <c r="H595" t="inlineStr">
        <is>
          <t>yes</t>
        </is>
      </c>
      <c r="I595" t="inlineStr"/>
      <c r="J595" t="inlineStr"/>
      <c r="K595" t="inlineStr"/>
      <c r="L595" t="inlineStr"/>
      <c r="M595" t="inlineStr"/>
      <c r="N595" t="inlineStr"/>
    </row>
    <row r="596">
      <c r="A596" t="inlineStr">
        <is>
          <t>lk-colombo</t>
        </is>
      </c>
      <c r="B596" t="inlineStr">
        <is>
          <t>Colombo</t>
        </is>
      </c>
      <c r="C596" t="inlineStr">
        <is>
          <t>Sri Lanka</t>
        </is>
      </c>
      <c r="D596" t="inlineStr">
        <is>
          <t>South Asia</t>
        </is>
      </c>
      <c r="E596" t="inlineStr">
        <is>
          <t>innovation_research_intensity_raw</t>
        </is>
      </c>
      <c r="F596" t="inlineStr">
        <is>
          <t>Innovation and research raw</t>
        </is>
      </c>
      <c r="G596" t="inlineStr">
        <is>
          <t>creative</t>
        </is>
      </c>
      <c r="H596" t="inlineStr">
        <is>
          <t>yes</t>
        </is>
      </c>
      <c r="I596" t="inlineStr"/>
      <c r="J596" t="inlineStr"/>
      <c r="K596" t="inlineStr"/>
      <c r="L596" t="inlineStr"/>
      <c r="M596" t="inlineStr"/>
      <c r="N596" t="inlineStr"/>
    </row>
    <row r="597">
      <c r="A597" t="inlineStr">
        <is>
          <t>lk-colombo</t>
        </is>
      </c>
      <c r="B597" t="inlineStr">
        <is>
          <t>Colombo</t>
        </is>
      </c>
      <c r="C597" t="inlineStr">
        <is>
          <t>Sri Lanka</t>
        </is>
      </c>
      <c r="D597" t="inlineStr">
        <is>
          <t>South Asia</t>
        </is>
      </c>
      <c r="E597" t="inlineStr">
        <is>
          <t>investment_signal_raw</t>
        </is>
      </c>
      <c r="F597" t="inlineStr">
        <is>
          <t>Investment signal raw</t>
        </is>
      </c>
      <c r="G597" t="inlineStr">
        <is>
          <t>creative</t>
        </is>
      </c>
      <c r="H597" t="inlineStr">
        <is>
          <t>yes</t>
        </is>
      </c>
      <c r="I597" t="inlineStr"/>
      <c r="J597" t="inlineStr"/>
      <c r="K597" t="inlineStr"/>
      <c r="L597" t="inlineStr"/>
      <c r="M597" t="inlineStr"/>
      <c r="N597" t="inlineStr"/>
    </row>
    <row r="598">
      <c r="A598" t="inlineStr">
        <is>
          <t>lk-colombo</t>
        </is>
      </c>
      <c r="B598" t="inlineStr">
        <is>
          <t>Colombo</t>
        </is>
      </c>
      <c r="C598" t="inlineStr">
        <is>
          <t>Sri Lanka</t>
        </is>
      </c>
      <c r="D598" t="inlineStr">
        <is>
          <t>South Asia</t>
        </is>
      </c>
      <c r="E598" t="inlineStr">
        <is>
          <t>administrative_investment_friction_raw</t>
        </is>
      </c>
      <c r="F598" t="inlineStr">
        <is>
          <t>Administrative investment friction raw</t>
        </is>
      </c>
      <c r="G598" t="inlineStr">
        <is>
          <t>creative</t>
        </is>
      </c>
      <c r="H598" t="inlineStr">
        <is>
          <t>yes</t>
        </is>
      </c>
      <c r="I598" t="inlineStr"/>
      <c r="J598" t="inlineStr"/>
      <c r="K598" t="inlineStr"/>
      <c r="L598" t="inlineStr"/>
      <c r="M598" t="inlineStr"/>
      <c r="N598" t="inlineStr"/>
    </row>
    <row r="599">
      <c r="A599" t="inlineStr">
        <is>
          <t>lk-colombo</t>
        </is>
      </c>
      <c r="B599" t="inlineStr">
        <is>
          <t>Colombo</t>
        </is>
      </c>
      <c r="C599" t="inlineStr">
        <is>
          <t>Sri Lanka</t>
        </is>
      </c>
      <c r="D599" t="inlineStr">
        <is>
          <t>South Asia</t>
        </is>
      </c>
      <c r="E599" t="inlineStr">
        <is>
          <t>visitor_flow_context_raw</t>
        </is>
      </c>
      <c r="F599" t="inlineStr">
        <is>
          <t>Visitor flow context raw</t>
        </is>
      </c>
      <c r="G599" t="inlineStr">
        <is>
          <t>creative</t>
        </is>
      </c>
      <c r="H599" t="inlineStr">
        <is>
          <t>no</t>
        </is>
      </c>
      <c r="I599" t="inlineStr"/>
      <c r="J599" t="inlineStr"/>
      <c r="K599" t="inlineStr"/>
      <c r="L599" t="inlineStr"/>
      <c r="M599" t="inlineStr"/>
      <c r="N599" t="inlineStr"/>
    </row>
    <row r="600">
      <c r="A600" t="inlineStr">
        <is>
          <t>bd-dhaka</t>
        </is>
      </c>
      <c r="B600" t="inlineStr">
        <is>
          <t>Dhaka</t>
        </is>
      </c>
      <c r="C600" t="inlineStr">
        <is>
          <t>Bangladesh</t>
        </is>
      </c>
      <c r="D600" t="inlineStr">
        <is>
          <t>South Asia</t>
        </is>
      </c>
      <c r="E600" t="inlineStr">
        <is>
          <t>gross_income</t>
        </is>
      </c>
      <c r="F600" t="inlineStr">
        <is>
          <t>Gross income</t>
        </is>
      </c>
      <c r="G600" t="inlineStr">
        <is>
          <t>pressure</t>
        </is>
      </c>
      <c r="H600" t="inlineStr">
        <is>
          <t>yes</t>
        </is>
      </c>
      <c r="I600" t="inlineStr"/>
      <c r="J600" t="inlineStr"/>
      <c r="K600" t="inlineStr"/>
      <c r="L600" t="inlineStr"/>
      <c r="M600" t="inlineStr"/>
      <c r="N600" t="inlineStr"/>
    </row>
    <row r="601">
      <c r="A601" t="inlineStr">
        <is>
          <t>bd-dhaka</t>
        </is>
      </c>
      <c r="B601" t="inlineStr">
        <is>
          <t>Dhaka</t>
        </is>
      </c>
      <c r="C601" t="inlineStr">
        <is>
          <t>Bangladesh</t>
        </is>
      </c>
      <c r="D601" t="inlineStr">
        <is>
          <t>South Asia</t>
        </is>
      </c>
      <c r="E601" t="inlineStr">
        <is>
          <t>rent</t>
        </is>
      </c>
      <c r="F601" t="inlineStr">
        <is>
          <t>Rent</t>
        </is>
      </c>
      <c r="G601" t="inlineStr">
        <is>
          <t>pressure</t>
        </is>
      </c>
      <c r="H601" t="inlineStr">
        <is>
          <t>yes</t>
        </is>
      </c>
      <c r="I601" t="inlineStr"/>
      <c r="J601" t="inlineStr"/>
      <c r="K601" t="inlineStr"/>
      <c r="L601" t="inlineStr"/>
      <c r="M601" t="inlineStr"/>
      <c r="N601" t="inlineStr"/>
    </row>
    <row r="602">
      <c r="A602" t="inlineStr">
        <is>
          <t>bd-dhaka</t>
        </is>
      </c>
      <c r="B602" t="inlineStr">
        <is>
          <t>Dhaka</t>
        </is>
      </c>
      <c r="C602" t="inlineStr">
        <is>
          <t>Bangladesh</t>
        </is>
      </c>
      <c r="D602" t="inlineStr">
        <is>
          <t>South Asia</t>
        </is>
      </c>
      <c r="E602" t="inlineStr">
        <is>
          <t>utilities</t>
        </is>
      </c>
      <c r="F602" t="inlineStr">
        <is>
          <t>Utilities</t>
        </is>
      </c>
      <c r="G602" t="inlineStr">
        <is>
          <t>pressure</t>
        </is>
      </c>
      <c r="H602" t="inlineStr">
        <is>
          <t>yes</t>
        </is>
      </c>
      <c r="I602" t="inlineStr"/>
      <c r="J602" t="inlineStr"/>
      <c r="K602" t="inlineStr"/>
      <c r="L602" t="inlineStr"/>
      <c r="M602" t="inlineStr"/>
      <c r="N602" t="inlineStr"/>
    </row>
    <row r="603">
      <c r="A603" t="inlineStr">
        <is>
          <t>bd-dhaka</t>
        </is>
      </c>
      <c r="B603" t="inlineStr">
        <is>
          <t>Dhaka</t>
        </is>
      </c>
      <c r="C603" t="inlineStr">
        <is>
          <t>Bangladesh</t>
        </is>
      </c>
      <c r="D603" t="inlineStr">
        <is>
          <t>South Asia</t>
        </is>
      </c>
      <c r="E603" t="inlineStr">
        <is>
          <t>transit_cost</t>
        </is>
      </c>
      <c r="F603" t="inlineStr">
        <is>
          <t>Transit cost</t>
        </is>
      </c>
      <c r="G603" t="inlineStr">
        <is>
          <t>pressure</t>
        </is>
      </c>
      <c r="H603" t="inlineStr">
        <is>
          <t>yes</t>
        </is>
      </c>
      <c r="I603" t="inlineStr"/>
      <c r="J603" t="inlineStr"/>
      <c r="K603" t="inlineStr"/>
      <c r="L603" t="inlineStr"/>
      <c r="M603" t="inlineStr"/>
      <c r="N603" t="inlineStr"/>
    </row>
    <row r="604">
      <c r="A604" t="inlineStr">
        <is>
          <t>bd-dhaka</t>
        </is>
      </c>
      <c r="B604" t="inlineStr">
        <is>
          <t>Dhaka</t>
        </is>
      </c>
      <c r="C604" t="inlineStr">
        <is>
          <t>Bangladesh</t>
        </is>
      </c>
      <c r="D604" t="inlineStr">
        <is>
          <t>South Asia</t>
        </is>
      </c>
      <c r="E604" t="inlineStr">
        <is>
          <t>internet_cost</t>
        </is>
      </c>
      <c r="F604" t="inlineStr">
        <is>
          <t>Internet cost</t>
        </is>
      </c>
      <c r="G604" t="inlineStr">
        <is>
          <t>pressure</t>
        </is>
      </c>
      <c r="H604" t="inlineStr">
        <is>
          <t>yes</t>
        </is>
      </c>
      <c r="I604" t="inlineStr"/>
      <c r="J604" t="inlineStr"/>
      <c r="K604" t="inlineStr"/>
      <c r="L604" t="inlineStr"/>
      <c r="M604" t="inlineStr"/>
      <c r="N604" t="inlineStr"/>
    </row>
    <row r="605">
      <c r="A605" t="inlineStr">
        <is>
          <t>bd-dhaka</t>
        </is>
      </c>
      <c r="B605" t="inlineStr">
        <is>
          <t>Dhaka</t>
        </is>
      </c>
      <c r="C605" t="inlineStr">
        <is>
          <t>Bangladesh</t>
        </is>
      </c>
      <c r="D605" t="inlineStr">
        <is>
          <t>South Asia</t>
        </is>
      </c>
      <c r="E605" t="inlineStr">
        <is>
          <t>food_cost</t>
        </is>
      </c>
      <c r="F605" t="inlineStr">
        <is>
          <t>Food cost</t>
        </is>
      </c>
      <c r="G605" t="inlineStr">
        <is>
          <t>pressure</t>
        </is>
      </c>
      <c r="H605" t="inlineStr">
        <is>
          <t>yes</t>
        </is>
      </c>
      <c r="I605" t="inlineStr"/>
      <c r="J605" t="inlineStr"/>
      <c r="K605" t="inlineStr"/>
      <c r="L605" t="inlineStr"/>
      <c r="M605" t="inlineStr"/>
      <c r="N605" t="inlineStr"/>
    </row>
    <row r="606">
      <c r="A606" t="inlineStr">
        <is>
          <t>bd-dhaka</t>
        </is>
      </c>
      <c r="B606" t="inlineStr">
        <is>
          <t>Dhaka</t>
        </is>
      </c>
      <c r="C606" t="inlineStr">
        <is>
          <t>Bangladesh</t>
        </is>
      </c>
      <c r="D606" t="inlineStr">
        <is>
          <t>South Asia</t>
        </is>
      </c>
      <c r="E606" t="inlineStr">
        <is>
          <t>housing_burden_raw</t>
        </is>
      </c>
      <c r="F606" t="inlineStr">
        <is>
          <t>Housing burden raw</t>
        </is>
      </c>
      <c r="G606" t="inlineStr">
        <is>
          <t>pressure</t>
        </is>
      </c>
      <c r="H606" t="inlineStr">
        <is>
          <t>yes</t>
        </is>
      </c>
      <c r="I606" t="inlineStr"/>
      <c r="J606" t="inlineStr"/>
      <c r="K606" t="inlineStr"/>
      <c r="L606" t="inlineStr"/>
      <c r="M606" t="inlineStr"/>
      <c r="N606" t="inlineStr"/>
    </row>
    <row r="607">
      <c r="A607" t="inlineStr">
        <is>
          <t>bd-dhaka</t>
        </is>
      </c>
      <c r="B607" t="inlineStr">
        <is>
          <t>Dhaka</t>
        </is>
      </c>
      <c r="C607" t="inlineStr">
        <is>
          <t>Bangladesh</t>
        </is>
      </c>
      <c r="D607" t="inlineStr">
        <is>
          <t>South Asia</t>
        </is>
      </c>
      <c r="E607" t="inlineStr">
        <is>
          <t>household_debt_burden_raw</t>
        </is>
      </c>
      <c r="F607" t="inlineStr">
        <is>
          <t>Household debt burden raw</t>
        </is>
      </c>
      <c r="G607" t="inlineStr">
        <is>
          <t>pressure</t>
        </is>
      </c>
      <c r="H607" t="inlineStr">
        <is>
          <t>yes</t>
        </is>
      </c>
      <c r="I607" t="inlineStr"/>
      <c r="J607" t="inlineStr"/>
      <c r="K607" t="inlineStr"/>
      <c r="L607" t="inlineStr"/>
      <c r="M607" t="inlineStr"/>
      <c r="N607" t="inlineStr"/>
    </row>
    <row r="608">
      <c r="A608" t="inlineStr">
        <is>
          <t>bd-dhaka</t>
        </is>
      </c>
      <c r="B608" t="inlineStr">
        <is>
          <t>Dhaka</t>
        </is>
      </c>
      <c r="C608" t="inlineStr">
        <is>
          <t>Bangladesh</t>
        </is>
      </c>
      <c r="D608" t="inlineStr">
        <is>
          <t>South Asia</t>
        </is>
      </c>
      <c r="E608" t="inlineStr">
        <is>
          <t>working_time_pressure_raw</t>
        </is>
      </c>
      <c r="F608" t="inlineStr">
        <is>
          <t>Working time pressure raw</t>
        </is>
      </c>
      <c r="G608" t="inlineStr">
        <is>
          <t>pressure</t>
        </is>
      </c>
      <c r="H608" t="inlineStr">
        <is>
          <t>yes</t>
        </is>
      </c>
      <c r="I608" t="inlineStr"/>
      <c r="J608" t="inlineStr"/>
      <c r="K608" t="inlineStr"/>
      <c r="L608" t="inlineStr"/>
      <c r="M608" t="inlineStr"/>
      <c r="N608" t="inlineStr"/>
    </row>
    <row r="609">
      <c r="A609" t="inlineStr">
        <is>
          <t>bd-dhaka</t>
        </is>
      </c>
      <c r="B609" t="inlineStr">
        <is>
          <t>Dhaka</t>
        </is>
      </c>
      <c r="C609" t="inlineStr">
        <is>
          <t>Bangladesh</t>
        </is>
      </c>
      <c r="D609" t="inlineStr">
        <is>
          <t>South Asia</t>
        </is>
      </c>
      <c r="E609" t="inlineStr">
        <is>
          <t>suicide_mental_strain_raw</t>
        </is>
      </c>
      <c r="F609" t="inlineStr">
        <is>
          <t>Suicide or mental strain raw</t>
        </is>
      </c>
      <c r="G609" t="inlineStr">
        <is>
          <t>pressure</t>
        </is>
      </c>
      <c r="H609" t="inlineStr">
        <is>
          <t>yes</t>
        </is>
      </c>
      <c r="I609" t="inlineStr"/>
      <c r="J609" t="inlineStr"/>
      <c r="K609" t="inlineStr"/>
      <c r="L609" t="inlineStr"/>
      <c r="M609" t="inlineStr"/>
      <c r="N609" t="inlineStr"/>
    </row>
    <row r="610">
      <c r="A610" t="inlineStr">
        <is>
          <t>bd-dhaka</t>
        </is>
      </c>
      <c r="B610" t="inlineStr">
        <is>
          <t>Dhaka</t>
        </is>
      </c>
      <c r="C610" t="inlineStr">
        <is>
          <t>Bangladesh</t>
        </is>
      </c>
      <c r="D610" t="inlineStr">
        <is>
          <t>South Asia</t>
        </is>
      </c>
      <c r="E610" t="inlineStr">
        <is>
          <t>personal_safety_raw</t>
        </is>
      </c>
      <c r="F610" t="inlineStr">
        <is>
          <t>Personal safety raw</t>
        </is>
      </c>
      <c r="G610" t="inlineStr">
        <is>
          <t>viability</t>
        </is>
      </c>
      <c r="H610" t="inlineStr">
        <is>
          <t>yes</t>
        </is>
      </c>
      <c r="I610" t="inlineStr"/>
      <c r="J610" t="inlineStr"/>
      <c r="K610" t="inlineStr"/>
      <c r="L610" t="inlineStr"/>
      <c r="M610" t="inlineStr"/>
      <c r="N610" t="inlineStr"/>
    </row>
    <row r="611">
      <c r="A611" t="inlineStr">
        <is>
          <t>bd-dhaka</t>
        </is>
      </c>
      <c r="B611" t="inlineStr">
        <is>
          <t>Dhaka</t>
        </is>
      </c>
      <c r="C611" t="inlineStr">
        <is>
          <t>Bangladesh</t>
        </is>
      </c>
      <c r="D611" t="inlineStr">
        <is>
          <t>South Asia</t>
        </is>
      </c>
      <c r="E611" t="inlineStr">
        <is>
          <t>transit_access_commute_raw</t>
        </is>
      </c>
      <c r="F611" t="inlineStr">
        <is>
          <t>Transit access and commute raw</t>
        </is>
      </c>
      <c r="G611" t="inlineStr">
        <is>
          <t>viability</t>
        </is>
      </c>
      <c r="H611" t="inlineStr">
        <is>
          <t>yes</t>
        </is>
      </c>
      <c r="I611" t="inlineStr"/>
      <c r="J611" t="inlineStr"/>
      <c r="K611" t="inlineStr"/>
      <c r="L611" t="inlineStr"/>
      <c r="M611" t="inlineStr"/>
      <c r="N611" t="inlineStr"/>
    </row>
    <row r="612">
      <c r="A612" t="inlineStr">
        <is>
          <t>bd-dhaka</t>
        </is>
      </c>
      <c r="B612" t="inlineStr">
        <is>
          <t>Dhaka</t>
        </is>
      </c>
      <c r="C612" t="inlineStr">
        <is>
          <t>Bangladesh</t>
        </is>
      </c>
      <c r="D612" t="inlineStr">
        <is>
          <t>South Asia</t>
        </is>
      </c>
      <c r="E612" t="inlineStr">
        <is>
          <t>clean_air_raw</t>
        </is>
      </c>
      <c r="F612" t="inlineStr">
        <is>
          <t>Clean air raw</t>
        </is>
      </c>
      <c r="G612" t="inlineStr">
        <is>
          <t>viability</t>
        </is>
      </c>
      <c r="H612" t="inlineStr">
        <is>
          <t>yes</t>
        </is>
      </c>
      <c r="I612" t="inlineStr"/>
      <c r="J612" t="inlineStr"/>
      <c r="K612" t="inlineStr"/>
      <c r="L612" t="inlineStr"/>
      <c r="M612" t="inlineStr"/>
      <c r="N612" t="inlineStr"/>
    </row>
    <row r="613">
      <c r="A613" t="inlineStr">
        <is>
          <t>bd-dhaka</t>
        </is>
      </c>
      <c r="B613" t="inlineStr">
        <is>
          <t>Dhaka</t>
        </is>
      </c>
      <c r="C613" t="inlineStr">
        <is>
          <t>Bangladesh</t>
        </is>
      </c>
      <c r="D613" t="inlineStr">
        <is>
          <t>South Asia</t>
        </is>
      </c>
      <c r="E613" t="inlineStr">
        <is>
          <t>water_sanitation_utility_raw</t>
        </is>
      </c>
      <c r="F613" t="inlineStr">
        <is>
          <t>Water, sanitation, and utility raw</t>
        </is>
      </c>
      <c r="G613" t="inlineStr">
        <is>
          <t>viability</t>
        </is>
      </c>
      <c r="H613" t="inlineStr">
        <is>
          <t>yes</t>
        </is>
      </c>
      <c r="I613" t="inlineStr"/>
      <c r="J613" t="inlineStr"/>
      <c r="K613" t="inlineStr"/>
      <c r="L613" t="inlineStr"/>
      <c r="M613" t="inlineStr"/>
      <c r="N613" t="inlineStr"/>
    </row>
    <row r="614">
      <c r="A614" t="inlineStr">
        <is>
          <t>bd-dhaka</t>
        </is>
      </c>
      <c r="B614" t="inlineStr">
        <is>
          <t>Dhaka</t>
        </is>
      </c>
      <c r="C614" t="inlineStr">
        <is>
          <t>Bangladesh</t>
        </is>
      </c>
      <c r="D614" t="inlineStr">
        <is>
          <t>South Asia</t>
        </is>
      </c>
      <c r="E614" t="inlineStr">
        <is>
          <t>digital_infrastructure_raw</t>
        </is>
      </c>
      <c r="F614" t="inlineStr">
        <is>
          <t>Digital infrastructure raw</t>
        </is>
      </c>
      <c r="G614" t="inlineStr">
        <is>
          <t>viability</t>
        </is>
      </c>
      <c r="H614" t="inlineStr">
        <is>
          <t>yes</t>
        </is>
      </c>
      <c r="I614" t="inlineStr"/>
      <c r="J614" t="inlineStr"/>
      <c r="K614" t="inlineStr"/>
      <c r="L614" t="inlineStr"/>
      <c r="M614" t="inlineStr"/>
      <c r="N614" t="inlineStr"/>
    </row>
    <row r="615">
      <c r="A615" t="inlineStr">
        <is>
          <t>bd-dhaka</t>
        </is>
      </c>
      <c r="B615" t="inlineStr">
        <is>
          <t>Dhaka</t>
        </is>
      </c>
      <c r="C615" t="inlineStr">
        <is>
          <t>Bangladesh</t>
        </is>
      </c>
      <c r="D615" t="inlineStr">
        <is>
          <t>South Asia</t>
        </is>
      </c>
      <c r="E615" t="inlineStr">
        <is>
          <t>healthcare_quality_raw</t>
        </is>
      </c>
      <c r="F615" t="inlineStr">
        <is>
          <t>Healthcare quality raw</t>
        </is>
      </c>
      <c r="G615" t="inlineStr">
        <is>
          <t>capability</t>
        </is>
      </c>
      <c r="H615" t="inlineStr">
        <is>
          <t>yes</t>
        </is>
      </c>
      <c r="I615" t="inlineStr"/>
      <c r="J615" t="inlineStr"/>
      <c r="K615" t="inlineStr"/>
      <c r="L615" t="inlineStr"/>
      <c r="M615" t="inlineStr"/>
      <c r="N615" t="inlineStr"/>
    </row>
    <row r="616">
      <c r="A616" t="inlineStr">
        <is>
          <t>bd-dhaka</t>
        </is>
      </c>
      <c r="B616" t="inlineStr">
        <is>
          <t>Dhaka</t>
        </is>
      </c>
      <c r="C616" t="inlineStr">
        <is>
          <t>Bangladesh</t>
        </is>
      </c>
      <c r="D616" t="inlineStr">
        <is>
          <t>South Asia</t>
        </is>
      </c>
      <c r="E616" t="inlineStr">
        <is>
          <t>education_quality_raw</t>
        </is>
      </c>
      <c r="F616" t="inlineStr">
        <is>
          <t>Education quality raw</t>
        </is>
      </c>
      <c r="G616" t="inlineStr">
        <is>
          <t>capability</t>
        </is>
      </c>
      <c r="H616" t="inlineStr">
        <is>
          <t>yes</t>
        </is>
      </c>
      <c r="I616" t="inlineStr"/>
      <c r="J616" t="inlineStr"/>
      <c r="K616" t="inlineStr"/>
      <c r="L616" t="inlineStr"/>
      <c r="M616" t="inlineStr"/>
      <c r="N616" t="inlineStr"/>
    </row>
    <row r="617">
      <c r="A617" t="inlineStr">
        <is>
          <t>bd-dhaka</t>
        </is>
      </c>
      <c r="B617" t="inlineStr">
        <is>
          <t>Dhaka</t>
        </is>
      </c>
      <c r="C617" t="inlineStr">
        <is>
          <t>Bangladesh</t>
        </is>
      </c>
      <c r="D617" t="inlineStr">
        <is>
          <t>South Asia</t>
        </is>
      </c>
      <c r="E617" t="inlineStr">
        <is>
          <t>equal_opportunity_raw</t>
        </is>
      </c>
      <c r="F617" t="inlineStr">
        <is>
          <t>Equal opportunity raw</t>
        </is>
      </c>
      <c r="G617" t="inlineStr">
        <is>
          <t>capability</t>
        </is>
      </c>
      <c r="H617" t="inlineStr">
        <is>
          <t>yes</t>
        </is>
      </c>
      <c r="I617" t="inlineStr"/>
      <c r="J617" t="inlineStr"/>
      <c r="K617" t="inlineStr"/>
      <c r="L617" t="inlineStr"/>
      <c r="M617" t="inlineStr"/>
      <c r="N617" t="inlineStr"/>
    </row>
    <row r="618">
      <c r="A618" t="inlineStr">
        <is>
          <t>bd-dhaka</t>
        </is>
      </c>
      <c r="B618" t="inlineStr">
        <is>
          <t>Dhaka</t>
        </is>
      </c>
      <c r="C618" t="inlineStr">
        <is>
          <t>Bangladesh</t>
        </is>
      </c>
      <c r="D618" t="inlineStr">
        <is>
          <t>South Asia</t>
        </is>
      </c>
      <c r="E618" t="inlineStr">
        <is>
          <t>hospitality_belonging_raw</t>
        </is>
      </c>
      <c r="F618" t="inlineStr">
        <is>
          <t>Hospitality and belonging raw</t>
        </is>
      </c>
      <c r="G618" t="inlineStr">
        <is>
          <t>community</t>
        </is>
      </c>
      <c r="H618" t="inlineStr">
        <is>
          <t>yes</t>
        </is>
      </c>
      <c r="I618" t="inlineStr"/>
      <c r="J618" t="inlineStr"/>
      <c r="K618" t="inlineStr"/>
      <c r="L618" t="inlineStr"/>
      <c r="M618" t="inlineStr"/>
      <c r="N618" t="inlineStr"/>
    </row>
    <row r="619">
      <c r="A619" t="inlineStr">
        <is>
          <t>bd-dhaka</t>
        </is>
      </c>
      <c r="B619" t="inlineStr">
        <is>
          <t>Dhaka</t>
        </is>
      </c>
      <c r="C619" t="inlineStr">
        <is>
          <t>Bangladesh</t>
        </is>
      </c>
      <c r="D619" t="inlineStr">
        <is>
          <t>South Asia</t>
        </is>
      </c>
      <c r="E619" t="inlineStr">
        <is>
          <t>tolerance_pluralism_raw</t>
        </is>
      </c>
      <c r="F619" t="inlineStr">
        <is>
          <t>Tolerance and pluralism raw</t>
        </is>
      </c>
      <c r="G619" t="inlineStr">
        <is>
          <t>community</t>
        </is>
      </c>
      <c r="H619" t="inlineStr">
        <is>
          <t>yes</t>
        </is>
      </c>
      <c r="I619" t="inlineStr"/>
      <c r="J619" t="inlineStr"/>
      <c r="K619" t="inlineStr"/>
      <c r="L619" t="inlineStr"/>
      <c r="M619" t="inlineStr"/>
      <c r="N619" t="inlineStr"/>
    </row>
    <row r="620">
      <c r="A620" t="inlineStr">
        <is>
          <t>bd-dhaka</t>
        </is>
      </c>
      <c r="B620" t="inlineStr">
        <is>
          <t>Dhaka</t>
        </is>
      </c>
      <c r="C620" t="inlineStr">
        <is>
          <t>Bangladesh</t>
        </is>
      </c>
      <c r="D620" t="inlineStr">
        <is>
          <t>South Asia</t>
        </is>
      </c>
      <c r="E620" t="inlineStr">
        <is>
          <t>cultural_public_life_raw</t>
        </is>
      </c>
      <c r="F620" t="inlineStr">
        <is>
          <t>Cultural public life raw</t>
        </is>
      </c>
      <c r="G620" t="inlineStr">
        <is>
          <t>community</t>
        </is>
      </c>
      <c r="H620" t="inlineStr">
        <is>
          <t>yes</t>
        </is>
      </c>
      <c r="I620" t="inlineStr"/>
      <c r="J620" t="inlineStr"/>
      <c r="K620" t="inlineStr"/>
      <c r="L620" t="inlineStr"/>
      <c r="M620" t="inlineStr"/>
      <c r="N620" t="inlineStr"/>
    </row>
    <row r="621">
      <c r="A621" t="inlineStr">
        <is>
          <t>bd-dhaka</t>
        </is>
      </c>
      <c r="B621" t="inlineStr">
        <is>
          <t>Dhaka</t>
        </is>
      </c>
      <c r="C621" t="inlineStr">
        <is>
          <t>Bangladesh</t>
        </is>
      </c>
      <c r="D621" t="inlineStr">
        <is>
          <t>South Asia</t>
        </is>
      </c>
      <c r="E621" t="inlineStr">
        <is>
          <t>entrepreneurial_dynamism_raw</t>
        </is>
      </c>
      <c r="F621" t="inlineStr">
        <is>
          <t>Entrepreneurial dynamism raw</t>
        </is>
      </c>
      <c r="G621" t="inlineStr">
        <is>
          <t>creative</t>
        </is>
      </c>
      <c r="H621" t="inlineStr">
        <is>
          <t>yes</t>
        </is>
      </c>
      <c r="I621" t="inlineStr"/>
      <c r="J621" t="inlineStr"/>
      <c r="K621" t="inlineStr"/>
      <c r="L621" t="inlineStr"/>
      <c r="M621" t="inlineStr"/>
      <c r="N621" t="inlineStr"/>
    </row>
    <row r="622">
      <c r="A622" t="inlineStr">
        <is>
          <t>bd-dhaka</t>
        </is>
      </c>
      <c r="B622" t="inlineStr">
        <is>
          <t>Dhaka</t>
        </is>
      </c>
      <c r="C622" t="inlineStr">
        <is>
          <t>Bangladesh</t>
        </is>
      </c>
      <c r="D622" t="inlineStr">
        <is>
          <t>South Asia</t>
        </is>
      </c>
      <c r="E622" t="inlineStr">
        <is>
          <t>innovation_research_intensity_raw</t>
        </is>
      </c>
      <c r="F622" t="inlineStr">
        <is>
          <t>Innovation and research raw</t>
        </is>
      </c>
      <c r="G622" t="inlineStr">
        <is>
          <t>creative</t>
        </is>
      </c>
      <c r="H622" t="inlineStr">
        <is>
          <t>yes</t>
        </is>
      </c>
      <c r="I622" t="inlineStr"/>
      <c r="J622" t="inlineStr"/>
      <c r="K622" t="inlineStr"/>
      <c r="L622" t="inlineStr"/>
      <c r="M622" t="inlineStr"/>
      <c r="N622" t="inlineStr"/>
    </row>
    <row r="623">
      <c r="A623" t="inlineStr">
        <is>
          <t>bd-dhaka</t>
        </is>
      </c>
      <c r="B623" t="inlineStr">
        <is>
          <t>Dhaka</t>
        </is>
      </c>
      <c r="C623" t="inlineStr">
        <is>
          <t>Bangladesh</t>
        </is>
      </c>
      <c r="D623" t="inlineStr">
        <is>
          <t>South Asia</t>
        </is>
      </c>
      <c r="E623" t="inlineStr">
        <is>
          <t>investment_signal_raw</t>
        </is>
      </c>
      <c r="F623" t="inlineStr">
        <is>
          <t>Investment signal raw</t>
        </is>
      </c>
      <c r="G623" t="inlineStr">
        <is>
          <t>creative</t>
        </is>
      </c>
      <c r="H623" t="inlineStr">
        <is>
          <t>yes</t>
        </is>
      </c>
      <c r="I623" t="inlineStr"/>
      <c r="J623" t="inlineStr"/>
      <c r="K623" t="inlineStr"/>
      <c r="L623" t="inlineStr"/>
      <c r="M623" t="inlineStr"/>
      <c r="N623" t="inlineStr"/>
    </row>
    <row r="624">
      <c r="A624" t="inlineStr">
        <is>
          <t>bd-dhaka</t>
        </is>
      </c>
      <c r="B624" t="inlineStr">
        <is>
          <t>Dhaka</t>
        </is>
      </c>
      <c r="C624" t="inlineStr">
        <is>
          <t>Bangladesh</t>
        </is>
      </c>
      <c r="D624" t="inlineStr">
        <is>
          <t>South Asia</t>
        </is>
      </c>
      <c r="E624" t="inlineStr">
        <is>
          <t>administrative_investment_friction_raw</t>
        </is>
      </c>
      <c r="F624" t="inlineStr">
        <is>
          <t>Administrative investment friction raw</t>
        </is>
      </c>
      <c r="G624" t="inlineStr">
        <is>
          <t>creative</t>
        </is>
      </c>
      <c r="H624" t="inlineStr">
        <is>
          <t>yes</t>
        </is>
      </c>
      <c r="I624" t="inlineStr"/>
      <c r="J624" t="inlineStr"/>
      <c r="K624" t="inlineStr"/>
      <c r="L624" t="inlineStr"/>
      <c r="M624" t="inlineStr"/>
      <c r="N624" t="inlineStr"/>
    </row>
    <row r="625">
      <c r="A625" t="inlineStr">
        <is>
          <t>bd-dhaka</t>
        </is>
      </c>
      <c r="B625" t="inlineStr">
        <is>
          <t>Dhaka</t>
        </is>
      </c>
      <c r="C625" t="inlineStr">
        <is>
          <t>Bangladesh</t>
        </is>
      </c>
      <c r="D625" t="inlineStr">
        <is>
          <t>South Asia</t>
        </is>
      </c>
      <c r="E625" t="inlineStr">
        <is>
          <t>visitor_flow_context_raw</t>
        </is>
      </c>
      <c r="F625" t="inlineStr">
        <is>
          <t>Visitor flow context raw</t>
        </is>
      </c>
      <c r="G625" t="inlineStr">
        <is>
          <t>creative</t>
        </is>
      </c>
      <c r="H625" t="inlineStr">
        <is>
          <t>no</t>
        </is>
      </c>
      <c r="I625" t="inlineStr"/>
      <c r="J625" t="inlineStr"/>
      <c r="K625" t="inlineStr"/>
      <c r="L625" t="inlineStr"/>
      <c r="M625" t="inlineStr"/>
      <c r="N625" t="inlineStr"/>
    </row>
    <row r="626">
      <c r="A626" t="inlineStr">
        <is>
          <t>pk-karachi</t>
        </is>
      </c>
      <c r="B626" t="inlineStr">
        <is>
          <t>Karachi</t>
        </is>
      </c>
      <c r="C626" t="inlineStr">
        <is>
          <t>Pakistan</t>
        </is>
      </c>
      <c r="D626" t="inlineStr">
        <is>
          <t>South Asia</t>
        </is>
      </c>
      <c r="E626" t="inlineStr">
        <is>
          <t>gross_income</t>
        </is>
      </c>
      <c r="F626" t="inlineStr">
        <is>
          <t>Gross income</t>
        </is>
      </c>
      <c r="G626" t="inlineStr">
        <is>
          <t>pressure</t>
        </is>
      </c>
      <c r="H626" t="inlineStr">
        <is>
          <t>yes</t>
        </is>
      </c>
      <c r="I626" t="inlineStr"/>
      <c r="J626" t="inlineStr"/>
      <c r="K626" t="inlineStr"/>
      <c r="L626" t="inlineStr"/>
      <c r="M626" t="inlineStr"/>
      <c r="N626" t="inlineStr"/>
    </row>
    <row r="627">
      <c r="A627" t="inlineStr">
        <is>
          <t>pk-karachi</t>
        </is>
      </c>
      <c r="B627" t="inlineStr">
        <is>
          <t>Karachi</t>
        </is>
      </c>
      <c r="C627" t="inlineStr">
        <is>
          <t>Pakistan</t>
        </is>
      </c>
      <c r="D627" t="inlineStr">
        <is>
          <t>South Asia</t>
        </is>
      </c>
      <c r="E627" t="inlineStr">
        <is>
          <t>rent</t>
        </is>
      </c>
      <c r="F627" t="inlineStr">
        <is>
          <t>Rent</t>
        </is>
      </c>
      <c r="G627" t="inlineStr">
        <is>
          <t>pressure</t>
        </is>
      </c>
      <c r="H627" t="inlineStr">
        <is>
          <t>yes</t>
        </is>
      </c>
      <c r="I627" t="inlineStr"/>
      <c r="J627" t="inlineStr"/>
      <c r="K627" t="inlineStr"/>
      <c r="L627" t="inlineStr"/>
      <c r="M627" t="inlineStr"/>
      <c r="N627" t="inlineStr"/>
    </row>
    <row r="628">
      <c r="A628" t="inlineStr">
        <is>
          <t>pk-karachi</t>
        </is>
      </c>
      <c r="B628" t="inlineStr">
        <is>
          <t>Karachi</t>
        </is>
      </c>
      <c r="C628" t="inlineStr">
        <is>
          <t>Pakistan</t>
        </is>
      </c>
      <c r="D628" t="inlineStr">
        <is>
          <t>South Asia</t>
        </is>
      </c>
      <c r="E628" t="inlineStr">
        <is>
          <t>utilities</t>
        </is>
      </c>
      <c r="F628" t="inlineStr">
        <is>
          <t>Utilities</t>
        </is>
      </c>
      <c r="G628" t="inlineStr">
        <is>
          <t>pressure</t>
        </is>
      </c>
      <c r="H628" t="inlineStr">
        <is>
          <t>yes</t>
        </is>
      </c>
      <c r="I628" t="inlineStr"/>
      <c r="J628" t="inlineStr"/>
      <c r="K628" t="inlineStr"/>
      <c r="L628" t="inlineStr"/>
      <c r="M628" t="inlineStr"/>
      <c r="N628" t="inlineStr"/>
    </row>
    <row r="629">
      <c r="A629" t="inlineStr">
        <is>
          <t>pk-karachi</t>
        </is>
      </c>
      <c r="B629" t="inlineStr">
        <is>
          <t>Karachi</t>
        </is>
      </c>
      <c r="C629" t="inlineStr">
        <is>
          <t>Pakistan</t>
        </is>
      </c>
      <c r="D629" t="inlineStr">
        <is>
          <t>South Asia</t>
        </is>
      </c>
      <c r="E629" t="inlineStr">
        <is>
          <t>transit_cost</t>
        </is>
      </c>
      <c r="F629" t="inlineStr">
        <is>
          <t>Transit cost</t>
        </is>
      </c>
      <c r="G629" t="inlineStr">
        <is>
          <t>pressure</t>
        </is>
      </c>
      <c r="H629" t="inlineStr">
        <is>
          <t>yes</t>
        </is>
      </c>
      <c r="I629" t="inlineStr"/>
      <c r="J629" t="inlineStr"/>
      <c r="K629" t="inlineStr"/>
      <c r="L629" t="inlineStr"/>
      <c r="M629" t="inlineStr"/>
      <c r="N629" t="inlineStr"/>
    </row>
    <row r="630">
      <c r="A630" t="inlineStr">
        <is>
          <t>pk-karachi</t>
        </is>
      </c>
      <c r="B630" t="inlineStr">
        <is>
          <t>Karachi</t>
        </is>
      </c>
      <c r="C630" t="inlineStr">
        <is>
          <t>Pakistan</t>
        </is>
      </c>
      <c r="D630" t="inlineStr">
        <is>
          <t>South Asia</t>
        </is>
      </c>
      <c r="E630" t="inlineStr">
        <is>
          <t>internet_cost</t>
        </is>
      </c>
      <c r="F630" t="inlineStr">
        <is>
          <t>Internet cost</t>
        </is>
      </c>
      <c r="G630" t="inlineStr">
        <is>
          <t>pressure</t>
        </is>
      </c>
      <c r="H630" t="inlineStr">
        <is>
          <t>yes</t>
        </is>
      </c>
      <c r="I630" t="inlineStr"/>
      <c r="J630" t="inlineStr"/>
      <c r="K630" t="inlineStr"/>
      <c r="L630" t="inlineStr"/>
      <c r="M630" t="inlineStr"/>
      <c r="N630" t="inlineStr"/>
    </row>
    <row r="631">
      <c r="A631" t="inlineStr">
        <is>
          <t>pk-karachi</t>
        </is>
      </c>
      <c r="B631" t="inlineStr">
        <is>
          <t>Karachi</t>
        </is>
      </c>
      <c r="C631" t="inlineStr">
        <is>
          <t>Pakistan</t>
        </is>
      </c>
      <c r="D631" t="inlineStr">
        <is>
          <t>South Asia</t>
        </is>
      </c>
      <c r="E631" t="inlineStr">
        <is>
          <t>food_cost</t>
        </is>
      </c>
      <c r="F631" t="inlineStr">
        <is>
          <t>Food cost</t>
        </is>
      </c>
      <c r="G631" t="inlineStr">
        <is>
          <t>pressure</t>
        </is>
      </c>
      <c r="H631" t="inlineStr">
        <is>
          <t>yes</t>
        </is>
      </c>
      <c r="I631" t="inlineStr"/>
      <c r="J631" t="inlineStr"/>
      <c r="K631" t="inlineStr"/>
      <c r="L631" t="inlineStr"/>
      <c r="M631" t="inlineStr"/>
      <c r="N631" t="inlineStr"/>
    </row>
    <row r="632">
      <c r="A632" t="inlineStr">
        <is>
          <t>pk-karachi</t>
        </is>
      </c>
      <c r="B632" t="inlineStr">
        <is>
          <t>Karachi</t>
        </is>
      </c>
      <c r="C632" t="inlineStr">
        <is>
          <t>Pakistan</t>
        </is>
      </c>
      <c r="D632" t="inlineStr">
        <is>
          <t>South Asia</t>
        </is>
      </c>
      <c r="E632" t="inlineStr">
        <is>
          <t>housing_burden_raw</t>
        </is>
      </c>
      <c r="F632" t="inlineStr">
        <is>
          <t>Housing burden raw</t>
        </is>
      </c>
      <c r="G632" t="inlineStr">
        <is>
          <t>pressure</t>
        </is>
      </c>
      <c r="H632" t="inlineStr">
        <is>
          <t>yes</t>
        </is>
      </c>
      <c r="I632" t="inlineStr"/>
      <c r="J632" t="inlineStr"/>
      <c r="K632" t="inlineStr"/>
      <c r="L632" t="inlineStr"/>
      <c r="M632" t="inlineStr"/>
      <c r="N632" t="inlineStr"/>
    </row>
    <row r="633">
      <c r="A633" t="inlineStr">
        <is>
          <t>pk-karachi</t>
        </is>
      </c>
      <c r="B633" t="inlineStr">
        <is>
          <t>Karachi</t>
        </is>
      </c>
      <c r="C633" t="inlineStr">
        <is>
          <t>Pakistan</t>
        </is>
      </c>
      <c r="D633" t="inlineStr">
        <is>
          <t>South Asia</t>
        </is>
      </c>
      <c r="E633" t="inlineStr">
        <is>
          <t>household_debt_burden_raw</t>
        </is>
      </c>
      <c r="F633" t="inlineStr">
        <is>
          <t>Household debt burden raw</t>
        </is>
      </c>
      <c r="G633" t="inlineStr">
        <is>
          <t>pressure</t>
        </is>
      </c>
      <c r="H633" t="inlineStr">
        <is>
          <t>yes</t>
        </is>
      </c>
      <c r="I633" t="inlineStr"/>
      <c r="J633" t="inlineStr"/>
      <c r="K633" t="inlineStr"/>
      <c r="L633" t="inlineStr"/>
      <c r="M633" t="inlineStr"/>
      <c r="N633" t="inlineStr"/>
    </row>
    <row r="634">
      <c r="A634" t="inlineStr">
        <is>
          <t>pk-karachi</t>
        </is>
      </c>
      <c r="B634" t="inlineStr">
        <is>
          <t>Karachi</t>
        </is>
      </c>
      <c r="C634" t="inlineStr">
        <is>
          <t>Pakistan</t>
        </is>
      </c>
      <c r="D634" t="inlineStr">
        <is>
          <t>South Asia</t>
        </is>
      </c>
      <c r="E634" t="inlineStr">
        <is>
          <t>working_time_pressure_raw</t>
        </is>
      </c>
      <c r="F634" t="inlineStr">
        <is>
          <t>Working time pressure raw</t>
        </is>
      </c>
      <c r="G634" t="inlineStr">
        <is>
          <t>pressure</t>
        </is>
      </c>
      <c r="H634" t="inlineStr">
        <is>
          <t>yes</t>
        </is>
      </c>
      <c r="I634" t="inlineStr"/>
      <c r="J634" t="inlineStr"/>
      <c r="K634" t="inlineStr"/>
      <c r="L634" t="inlineStr"/>
      <c r="M634" t="inlineStr"/>
      <c r="N634" t="inlineStr"/>
    </row>
    <row r="635">
      <c r="A635" t="inlineStr">
        <is>
          <t>pk-karachi</t>
        </is>
      </c>
      <c r="B635" t="inlineStr">
        <is>
          <t>Karachi</t>
        </is>
      </c>
      <c r="C635" t="inlineStr">
        <is>
          <t>Pakistan</t>
        </is>
      </c>
      <c r="D635" t="inlineStr">
        <is>
          <t>South Asia</t>
        </is>
      </c>
      <c r="E635" t="inlineStr">
        <is>
          <t>suicide_mental_strain_raw</t>
        </is>
      </c>
      <c r="F635" t="inlineStr">
        <is>
          <t>Suicide or mental strain raw</t>
        </is>
      </c>
      <c r="G635" t="inlineStr">
        <is>
          <t>pressure</t>
        </is>
      </c>
      <c r="H635" t="inlineStr">
        <is>
          <t>yes</t>
        </is>
      </c>
      <c r="I635" t="inlineStr"/>
      <c r="J635" t="inlineStr"/>
      <c r="K635" t="inlineStr"/>
      <c r="L635" t="inlineStr"/>
      <c r="M635" t="inlineStr"/>
      <c r="N635" t="inlineStr"/>
    </row>
    <row r="636">
      <c r="A636" t="inlineStr">
        <is>
          <t>pk-karachi</t>
        </is>
      </c>
      <c r="B636" t="inlineStr">
        <is>
          <t>Karachi</t>
        </is>
      </c>
      <c r="C636" t="inlineStr">
        <is>
          <t>Pakistan</t>
        </is>
      </c>
      <c r="D636" t="inlineStr">
        <is>
          <t>South Asia</t>
        </is>
      </c>
      <c r="E636" t="inlineStr">
        <is>
          <t>personal_safety_raw</t>
        </is>
      </c>
      <c r="F636" t="inlineStr">
        <is>
          <t>Personal safety raw</t>
        </is>
      </c>
      <c r="G636" t="inlineStr">
        <is>
          <t>viability</t>
        </is>
      </c>
      <c r="H636" t="inlineStr">
        <is>
          <t>yes</t>
        </is>
      </c>
      <c r="I636" t="inlineStr"/>
      <c r="J636" t="inlineStr"/>
      <c r="K636" t="inlineStr"/>
      <c r="L636" t="inlineStr"/>
      <c r="M636" t="inlineStr"/>
      <c r="N636" t="inlineStr"/>
    </row>
    <row r="637">
      <c r="A637" t="inlineStr">
        <is>
          <t>pk-karachi</t>
        </is>
      </c>
      <c r="B637" t="inlineStr">
        <is>
          <t>Karachi</t>
        </is>
      </c>
      <c r="C637" t="inlineStr">
        <is>
          <t>Pakistan</t>
        </is>
      </c>
      <c r="D637" t="inlineStr">
        <is>
          <t>South Asia</t>
        </is>
      </c>
      <c r="E637" t="inlineStr">
        <is>
          <t>transit_access_commute_raw</t>
        </is>
      </c>
      <c r="F637" t="inlineStr">
        <is>
          <t>Transit access and commute raw</t>
        </is>
      </c>
      <c r="G637" t="inlineStr">
        <is>
          <t>viability</t>
        </is>
      </c>
      <c r="H637" t="inlineStr">
        <is>
          <t>yes</t>
        </is>
      </c>
      <c r="I637" t="inlineStr"/>
      <c r="J637" t="inlineStr"/>
      <c r="K637" t="inlineStr"/>
      <c r="L637" t="inlineStr"/>
      <c r="M637" t="inlineStr"/>
      <c r="N637" t="inlineStr"/>
    </row>
    <row r="638">
      <c r="A638" t="inlineStr">
        <is>
          <t>pk-karachi</t>
        </is>
      </c>
      <c r="B638" t="inlineStr">
        <is>
          <t>Karachi</t>
        </is>
      </c>
      <c r="C638" t="inlineStr">
        <is>
          <t>Pakistan</t>
        </is>
      </c>
      <c r="D638" t="inlineStr">
        <is>
          <t>South Asia</t>
        </is>
      </c>
      <c r="E638" t="inlineStr">
        <is>
          <t>clean_air_raw</t>
        </is>
      </c>
      <c r="F638" t="inlineStr">
        <is>
          <t>Clean air raw</t>
        </is>
      </c>
      <c r="G638" t="inlineStr">
        <is>
          <t>viability</t>
        </is>
      </c>
      <c r="H638" t="inlineStr">
        <is>
          <t>yes</t>
        </is>
      </c>
      <c r="I638" t="inlineStr"/>
      <c r="J638" t="inlineStr"/>
      <c r="K638" t="inlineStr"/>
      <c r="L638" t="inlineStr"/>
      <c r="M638" t="inlineStr"/>
      <c r="N638" t="inlineStr"/>
    </row>
    <row r="639">
      <c r="A639" t="inlineStr">
        <is>
          <t>pk-karachi</t>
        </is>
      </c>
      <c r="B639" t="inlineStr">
        <is>
          <t>Karachi</t>
        </is>
      </c>
      <c r="C639" t="inlineStr">
        <is>
          <t>Pakistan</t>
        </is>
      </c>
      <c r="D639" t="inlineStr">
        <is>
          <t>South Asia</t>
        </is>
      </c>
      <c r="E639" t="inlineStr">
        <is>
          <t>water_sanitation_utility_raw</t>
        </is>
      </c>
      <c r="F639" t="inlineStr">
        <is>
          <t>Water, sanitation, and utility raw</t>
        </is>
      </c>
      <c r="G639" t="inlineStr">
        <is>
          <t>viability</t>
        </is>
      </c>
      <c r="H639" t="inlineStr">
        <is>
          <t>yes</t>
        </is>
      </c>
      <c r="I639" t="inlineStr"/>
      <c r="J639" t="inlineStr"/>
      <c r="K639" t="inlineStr"/>
      <c r="L639" t="inlineStr"/>
      <c r="M639" t="inlineStr"/>
      <c r="N639" t="inlineStr"/>
    </row>
    <row r="640">
      <c r="A640" t="inlineStr">
        <is>
          <t>pk-karachi</t>
        </is>
      </c>
      <c r="B640" t="inlineStr">
        <is>
          <t>Karachi</t>
        </is>
      </c>
      <c r="C640" t="inlineStr">
        <is>
          <t>Pakistan</t>
        </is>
      </c>
      <c r="D640" t="inlineStr">
        <is>
          <t>South Asia</t>
        </is>
      </c>
      <c r="E640" t="inlineStr">
        <is>
          <t>digital_infrastructure_raw</t>
        </is>
      </c>
      <c r="F640" t="inlineStr">
        <is>
          <t>Digital infrastructure raw</t>
        </is>
      </c>
      <c r="G640" t="inlineStr">
        <is>
          <t>viability</t>
        </is>
      </c>
      <c r="H640" t="inlineStr">
        <is>
          <t>yes</t>
        </is>
      </c>
      <c r="I640" t="inlineStr"/>
      <c r="J640" t="inlineStr"/>
      <c r="K640" t="inlineStr"/>
      <c r="L640" t="inlineStr"/>
      <c r="M640" t="inlineStr"/>
      <c r="N640" t="inlineStr"/>
    </row>
    <row r="641">
      <c r="A641" t="inlineStr">
        <is>
          <t>pk-karachi</t>
        </is>
      </c>
      <c r="B641" t="inlineStr">
        <is>
          <t>Karachi</t>
        </is>
      </c>
      <c r="C641" t="inlineStr">
        <is>
          <t>Pakistan</t>
        </is>
      </c>
      <c r="D641" t="inlineStr">
        <is>
          <t>South Asia</t>
        </is>
      </c>
      <c r="E641" t="inlineStr">
        <is>
          <t>healthcare_quality_raw</t>
        </is>
      </c>
      <c r="F641" t="inlineStr">
        <is>
          <t>Healthcare quality raw</t>
        </is>
      </c>
      <c r="G641" t="inlineStr">
        <is>
          <t>capability</t>
        </is>
      </c>
      <c r="H641" t="inlineStr">
        <is>
          <t>yes</t>
        </is>
      </c>
      <c r="I641" t="inlineStr"/>
      <c r="J641" t="inlineStr"/>
      <c r="K641" t="inlineStr"/>
      <c r="L641" t="inlineStr"/>
      <c r="M641" t="inlineStr"/>
      <c r="N641" t="inlineStr"/>
    </row>
    <row r="642">
      <c r="A642" t="inlineStr">
        <is>
          <t>pk-karachi</t>
        </is>
      </c>
      <c r="B642" t="inlineStr">
        <is>
          <t>Karachi</t>
        </is>
      </c>
      <c r="C642" t="inlineStr">
        <is>
          <t>Pakistan</t>
        </is>
      </c>
      <c r="D642" t="inlineStr">
        <is>
          <t>South Asia</t>
        </is>
      </c>
      <c r="E642" t="inlineStr">
        <is>
          <t>education_quality_raw</t>
        </is>
      </c>
      <c r="F642" t="inlineStr">
        <is>
          <t>Education quality raw</t>
        </is>
      </c>
      <c r="G642" t="inlineStr">
        <is>
          <t>capability</t>
        </is>
      </c>
      <c r="H642" t="inlineStr">
        <is>
          <t>yes</t>
        </is>
      </c>
      <c r="I642" t="inlineStr"/>
      <c r="J642" t="inlineStr"/>
      <c r="K642" t="inlineStr"/>
      <c r="L642" t="inlineStr"/>
      <c r="M642" t="inlineStr"/>
      <c r="N642" t="inlineStr"/>
    </row>
    <row r="643">
      <c r="A643" t="inlineStr">
        <is>
          <t>pk-karachi</t>
        </is>
      </c>
      <c r="B643" t="inlineStr">
        <is>
          <t>Karachi</t>
        </is>
      </c>
      <c r="C643" t="inlineStr">
        <is>
          <t>Pakistan</t>
        </is>
      </c>
      <c r="D643" t="inlineStr">
        <is>
          <t>South Asia</t>
        </is>
      </c>
      <c r="E643" t="inlineStr">
        <is>
          <t>equal_opportunity_raw</t>
        </is>
      </c>
      <c r="F643" t="inlineStr">
        <is>
          <t>Equal opportunity raw</t>
        </is>
      </c>
      <c r="G643" t="inlineStr">
        <is>
          <t>capability</t>
        </is>
      </c>
      <c r="H643" t="inlineStr">
        <is>
          <t>yes</t>
        </is>
      </c>
      <c r="I643" t="inlineStr"/>
      <c r="J643" t="inlineStr"/>
      <c r="K643" t="inlineStr"/>
      <c r="L643" t="inlineStr"/>
      <c r="M643" t="inlineStr"/>
      <c r="N643" t="inlineStr"/>
    </row>
    <row r="644">
      <c r="A644" t="inlineStr">
        <is>
          <t>pk-karachi</t>
        </is>
      </c>
      <c r="B644" t="inlineStr">
        <is>
          <t>Karachi</t>
        </is>
      </c>
      <c r="C644" t="inlineStr">
        <is>
          <t>Pakistan</t>
        </is>
      </c>
      <c r="D644" t="inlineStr">
        <is>
          <t>South Asia</t>
        </is>
      </c>
      <c r="E644" t="inlineStr">
        <is>
          <t>hospitality_belonging_raw</t>
        </is>
      </c>
      <c r="F644" t="inlineStr">
        <is>
          <t>Hospitality and belonging raw</t>
        </is>
      </c>
      <c r="G644" t="inlineStr">
        <is>
          <t>community</t>
        </is>
      </c>
      <c r="H644" t="inlineStr">
        <is>
          <t>yes</t>
        </is>
      </c>
      <c r="I644" t="inlineStr"/>
      <c r="J644" t="inlineStr"/>
      <c r="K644" t="inlineStr"/>
      <c r="L644" t="inlineStr"/>
      <c r="M644" t="inlineStr"/>
      <c r="N644" t="inlineStr"/>
    </row>
    <row r="645">
      <c r="A645" t="inlineStr">
        <is>
          <t>pk-karachi</t>
        </is>
      </c>
      <c r="B645" t="inlineStr">
        <is>
          <t>Karachi</t>
        </is>
      </c>
      <c r="C645" t="inlineStr">
        <is>
          <t>Pakistan</t>
        </is>
      </c>
      <c r="D645" t="inlineStr">
        <is>
          <t>South Asia</t>
        </is>
      </c>
      <c r="E645" t="inlineStr">
        <is>
          <t>tolerance_pluralism_raw</t>
        </is>
      </c>
      <c r="F645" t="inlineStr">
        <is>
          <t>Tolerance and pluralism raw</t>
        </is>
      </c>
      <c r="G645" t="inlineStr">
        <is>
          <t>community</t>
        </is>
      </c>
      <c r="H645" t="inlineStr">
        <is>
          <t>yes</t>
        </is>
      </c>
      <c r="I645" t="inlineStr"/>
      <c r="J645" t="inlineStr"/>
      <c r="K645" t="inlineStr"/>
      <c r="L645" t="inlineStr"/>
      <c r="M645" t="inlineStr"/>
      <c r="N645" t="inlineStr"/>
    </row>
    <row r="646">
      <c r="A646" t="inlineStr">
        <is>
          <t>pk-karachi</t>
        </is>
      </c>
      <c r="B646" t="inlineStr">
        <is>
          <t>Karachi</t>
        </is>
      </c>
      <c r="C646" t="inlineStr">
        <is>
          <t>Pakistan</t>
        </is>
      </c>
      <c r="D646" t="inlineStr">
        <is>
          <t>South Asia</t>
        </is>
      </c>
      <c r="E646" t="inlineStr">
        <is>
          <t>cultural_public_life_raw</t>
        </is>
      </c>
      <c r="F646" t="inlineStr">
        <is>
          <t>Cultural public life raw</t>
        </is>
      </c>
      <c r="G646" t="inlineStr">
        <is>
          <t>community</t>
        </is>
      </c>
      <c r="H646" t="inlineStr">
        <is>
          <t>yes</t>
        </is>
      </c>
      <c r="I646" t="inlineStr"/>
      <c r="J646" t="inlineStr"/>
      <c r="K646" t="inlineStr"/>
      <c r="L646" t="inlineStr"/>
      <c r="M646" t="inlineStr"/>
      <c r="N646" t="inlineStr"/>
    </row>
    <row r="647">
      <c r="A647" t="inlineStr">
        <is>
          <t>pk-karachi</t>
        </is>
      </c>
      <c r="B647" t="inlineStr">
        <is>
          <t>Karachi</t>
        </is>
      </c>
      <c r="C647" t="inlineStr">
        <is>
          <t>Pakistan</t>
        </is>
      </c>
      <c r="D647" t="inlineStr">
        <is>
          <t>South Asia</t>
        </is>
      </c>
      <c r="E647" t="inlineStr">
        <is>
          <t>entrepreneurial_dynamism_raw</t>
        </is>
      </c>
      <c r="F647" t="inlineStr">
        <is>
          <t>Entrepreneurial dynamism raw</t>
        </is>
      </c>
      <c r="G647" t="inlineStr">
        <is>
          <t>creative</t>
        </is>
      </c>
      <c r="H647" t="inlineStr">
        <is>
          <t>yes</t>
        </is>
      </c>
      <c r="I647" t="inlineStr"/>
      <c r="J647" t="inlineStr"/>
      <c r="K647" t="inlineStr"/>
      <c r="L647" t="inlineStr"/>
      <c r="M647" t="inlineStr"/>
      <c r="N647" t="inlineStr"/>
    </row>
    <row r="648">
      <c r="A648" t="inlineStr">
        <is>
          <t>pk-karachi</t>
        </is>
      </c>
      <c r="B648" t="inlineStr">
        <is>
          <t>Karachi</t>
        </is>
      </c>
      <c r="C648" t="inlineStr">
        <is>
          <t>Pakistan</t>
        </is>
      </c>
      <c r="D648" t="inlineStr">
        <is>
          <t>South Asia</t>
        </is>
      </c>
      <c r="E648" t="inlineStr">
        <is>
          <t>innovation_research_intensity_raw</t>
        </is>
      </c>
      <c r="F648" t="inlineStr">
        <is>
          <t>Innovation and research raw</t>
        </is>
      </c>
      <c r="G648" t="inlineStr">
        <is>
          <t>creative</t>
        </is>
      </c>
      <c r="H648" t="inlineStr">
        <is>
          <t>yes</t>
        </is>
      </c>
      <c r="I648" t="inlineStr"/>
      <c r="J648" t="inlineStr"/>
      <c r="K648" t="inlineStr"/>
      <c r="L648" t="inlineStr"/>
      <c r="M648" t="inlineStr"/>
      <c r="N648" t="inlineStr"/>
    </row>
    <row r="649">
      <c r="A649" t="inlineStr">
        <is>
          <t>pk-karachi</t>
        </is>
      </c>
      <c r="B649" t="inlineStr">
        <is>
          <t>Karachi</t>
        </is>
      </c>
      <c r="C649" t="inlineStr">
        <is>
          <t>Pakistan</t>
        </is>
      </c>
      <c r="D649" t="inlineStr">
        <is>
          <t>South Asia</t>
        </is>
      </c>
      <c r="E649" t="inlineStr">
        <is>
          <t>investment_signal_raw</t>
        </is>
      </c>
      <c r="F649" t="inlineStr">
        <is>
          <t>Investment signal raw</t>
        </is>
      </c>
      <c r="G649" t="inlineStr">
        <is>
          <t>creative</t>
        </is>
      </c>
      <c r="H649" t="inlineStr">
        <is>
          <t>yes</t>
        </is>
      </c>
      <c r="I649" t="inlineStr"/>
      <c r="J649" t="inlineStr"/>
      <c r="K649" t="inlineStr"/>
      <c r="L649" t="inlineStr"/>
      <c r="M649" t="inlineStr"/>
      <c r="N649" t="inlineStr"/>
    </row>
    <row r="650">
      <c r="A650" t="inlineStr">
        <is>
          <t>pk-karachi</t>
        </is>
      </c>
      <c r="B650" t="inlineStr">
        <is>
          <t>Karachi</t>
        </is>
      </c>
      <c r="C650" t="inlineStr">
        <is>
          <t>Pakistan</t>
        </is>
      </c>
      <c r="D650" t="inlineStr">
        <is>
          <t>South Asia</t>
        </is>
      </c>
      <c r="E650" t="inlineStr">
        <is>
          <t>administrative_investment_friction_raw</t>
        </is>
      </c>
      <c r="F650" t="inlineStr">
        <is>
          <t>Administrative investment friction raw</t>
        </is>
      </c>
      <c r="G650" t="inlineStr">
        <is>
          <t>creative</t>
        </is>
      </c>
      <c r="H650" t="inlineStr">
        <is>
          <t>yes</t>
        </is>
      </c>
      <c r="I650" t="inlineStr"/>
      <c r="J650" t="inlineStr"/>
      <c r="K650" t="inlineStr"/>
      <c r="L650" t="inlineStr"/>
      <c r="M650" t="inlineStr"/>
      <c r="N650" t="inlineStr"/>
    </row>
    <row r="651">
      <c r="A651" t="inlineStr">
        <is>
          <t>pk-karachi</t>
        </is>
      </c>
      <c r="B651" t="inlineStr">
        <is>
          <t>Karachi</t>
        </is>
      </c>
      <c r="C651" t="inlineStr">
        <is>
          <t>Pakistan</t>
        </is>
      </c>
      <c r="D651" t="inlineStr">
        <is>
          <t>South Asia</t>
        </is>
      </c>
      <c r="E651" t="inlineStr">
        <is>
          <t>visitor_flow_context_raw</t>
        </is>
      </c>
      <c r="F651" t="inlineStr">
        <is>
          <t>Visitor flow context raw</t>
        </is>
      </c>
      <c r="G651" t="inlineStr">
        <is>
          <t>creative</t>
        </is>
      </c>
      <c r="H651" t="inlineStr">
        <is>
          <t>no</t>
        </is>
      </c>
      <c r="I651" t="inlineStr"/>
      <c r="J651" t="inlineStr"/>
      <c r="K651" t="inlineStr"/>
      <c r="L651" t="inlineStr"/>
      <c r="M651" t="inlineStr"/>
      <c r="N651" t="inlineStr"/>
    </row>
    <row r="652">
      <c r="A652" t="inlineStr">
        <is>
          <t>pk-lahore</t>
        </is>
      </c>
      <c r="B652" t="inlineStr">
        <is>
          <t>Lahore</t>
        </is>
      </c>
      <c r="C652" t="inlineStr">
        <is>
          <t>Pakistan</t>
        </is>
      </c>
      <c r="D652" t="inlineStr">
        <is>
          <t>South Asia</t>
        </is>
      </c>
      <c r="E652" t="inlineStr">
        <is>
          <t>gross_income</t>
        </is>
      </c>
      <c r="F652" t="inlineStr">
        <is>
          <t>Gross income</t>
        </is>
      </c>
      <c r="G652" t="inlineStr">
        <is>
          <t>pressure</t>
        </is>
      </c>
      <c r="H652" t="inlineStr">
        <is>
          <t>yes</t>
        </is>
      </c>
      <c r="I652" t="inlineStr"/>
      <c r="J652" t="inlineStr"/>
      <c r="K652" t="inlineStr"/>
      <c r="L652" t="inlineStr"/>
      <c r="M652" t="inlineStr"/>
      <c r="N652" t="inlineStr"/>
    </row>
    <row r="653">
      <c r="A653" t="inlineStr">
        <is>
          <t>pk-lahore</t>
        </is>
      </c>
      <c r="B653" t="inlineStr">
        <is>
          <t>Lahore</t>
        </is>
      </c>
      <c r="C653" t="inlineStr">
        <is>
          <t>Pakistan</t>
        </is>
      </c>
      <c r="D653" t="inlineStr">
        <is>
          <t>South Asia</t>
        </is>
      </c>
      <c r="E653" t="inlineStr">
        <is>
          <t>rent</t>
        </is>
      </c>
      <c r="F653" t="inlineStr">
        <is>
          <t>Rent</t>
        </is>
      </c>
      <c r="G653" t="inlineStr">
        <is>
          <t>pressure</t>
        </is>
      </c>
      <c r="H653" t="inlineStr">
        <is>
          <t>yes</t>
        </is>
      </c>
      <c r="I653" t="inlineStr"/>
      <c r="J653" t="inlineStr"/>
      <c r="K653" t="inlineStr"/>
      <c r="L653" t="inlineStr"/>
      <c r="M653" t="inlineStr"/>
      <c r="N653" t="inlineStr"/>
    </row>
    <row r="654">
      <c r="A654" t="inlineStr">
        <is>
          <t>pk-lahore</t>
        </is>
      </c>
      <c r="B654" t="inlineStr">
        <is>
          <t>Lahore</t>
        </is>
      </c>
      <c r="C654" t="inlineStr">
        <is>
          <t>Pakistan</t>
        </is>
      </c>
      <c r="D654" t="inlineStr">
        <is>
          <t>South Asia</t>
        </is>
      </c>
      <c r="E654" t="inlineStr">
        <is>
          <t>utilities</t>
        </is>
      </c>
      <c r="F654" t="inlineStr">
        <is>
          <t>Utilities</t>
        </is>
      </c>
      <c r="G654" t="inlineStr">
        <is>
          <t>pressure</t>
        </is>
      </c>
      <c r="H654" t="inlineStr">
        <is>
          <t>yes</t>
        </is>
      </c>
      <c r="I654" t="inlineStr"/>
      <c r="J654" t="inlineStr"/>
      <c r="K654" t="inlineStr"/>
      <c r="L654" t="inlineStr"/>
      <c r="M654" t="inlineStr"/>
      <c r="N654" t="inlineStr"/>
    </row>
    <row r="655">
      <c r="A655" t="inlineStr">
        <is>
          <t>pk-lahore</t>
        </is>
      </c>
      <c r="B655" t="inlineStr">
        <is>
          <t>Lahore</t>
        </is>
      </c>
      <c r="C655" t="inlineStr">
        <is>
          <t>Pakistan</t>
        </is>
      </c>
      <c r="D655" t="inlineStr">
        <is>
          <t>South Asia</t>
        </is>
      </c>
      <c r="E655" t="inlineStr">
        <is>
          <t>transit_cost</t>
        </is>
      </c>
      <c r="F655" t="inlineStr">
        <is>
          <t>Transit cost</t>
        </is>
      </c>
      <c r="G655" t="inlineStr">
        <is>
          <t>pressure</t>
        </is>
      </c>
      <c r="H655" t="inlineStr">
        <is>
          <t>yes</t>
        </is>
      </c>
      <c r="I655" t="inlineStr"/>
      <c r="J655" t="inlineStr"/>
      <c r="K655" t="inlineStr"/>
      <c r="L655" t="inlineStr"/>
      <c r="M655" t="inlineStr"/>
      <c r="N655" t="inlineStr"/>
    </row>
    <row r="656">
      <c r="A656" t="inlineStr">
        <is>
          <t>pk-lahore</t>
        </is>
      </c>
      <c r="B656" t="inlineStr">
        <is>
          <t>Lahore</t>
        </is>
      </c>
      <c r="C656" t="inlineStr">
        <is>
          <t>Pakistan</t>
        </is>
      </c>
      <c r="D656" t="inlineStr">
        <is>
          <t>South Asia</t>
        </is>
      </c>
      <c r="E656" t="inlineStr">
        <is>
          <t>internet_cost</t>
        </is>
      </c>
      <c r="F656" t="inlineStr">
        <is>
          <t>Internet cost</t>
        </is>
      </c>
      <c r="G656" t="inlineStr">
        <is>
          <t>pressure</t>
        </is>
      </c>
      <c r="H656" t="inlineStr">
        <is>
          <t>yes</t>
        </is>
      </c>
      <c r="I656" t="inlineStr"/>
      <c r="J656" t="inlineStr"/>
      <c r="K656" t="inlineStr"/>
      <c r="L656" t="inlineStr"/>
      <c r="M656" t="inlineStr"/>
      <c r="N656" t="inlineStr"/>
    </row>
    <row r="657">
      <c r="A657" t="inlineStr">
        <is>
          <t>pk-lahore</t>
        </is>
      </c>
      <c r="B657" t="inlineStr">
        <is>
          <t>Lahore</t>
        </is>
      </c>
      <c r="C657" t="inlineStr">
        <is>
          <t>Pakistan</t>
        </is>
      </c>
      <c r="D657" t="inlineStr">
        <is>
          <t>South Asia</t>
        </is>
      </c>
      <c r="E657" t="inlineStr">
        <is>
          <t>food_cost</t>
        </is>
      </c>
      <c r="F657" t="inlineStr">
        <is>
          <t>Food cost</t>
        </is>
      </c>
      <c r="G657" t="inlineStr">
        <is>
          <t>pressure</t>
        </is>
      </c>
      <c r="H657" t="inlineStr">
        <is>
          <t>yes</t>
        </is>
      </c>
      <c r="I657" t="inlineStr"/>
      <c r="J657" t="inlineStr"/>
      <c r="K657" t="inlineStr"/>
      <c r="L657" t="inlineStr"/>
      <c r="M657" t="inlineStr"/>
      <c r="N657" t="inlineStr"/>
    </row>
    <row r="658">
      <c r="A658" t="inlineStr">
        <is>
          <t>pk-lahore</t>
        </is>
      </c>
      <c r="B658" t="inlineStr">
        <is>
          <t>Lahore</t>
        </is>
      </c>
      <c r="C658" t="inlineStr">
        <is>
          <t>Pakistan</t>
        </is>
      </c>
      <c r="D658" t="inlineStr">
        <is>
          <t>South Asia</t>
        </is>
      </c>
      <c r="E658" t="inlineStr">
        <is>
          <t>housing_burden_raw</t>
        </is>
      </c>
      <c r="F658" t="inlineStr">
        <is>
          <t>Housing burden raw</t>
        </is>
      </c>
      <c r="G658" t="inlineStr">
        <is>
          <t>pressure</t>
        </is>
      </c>
      <c r="H658" t="inlineStr">
        <is>
          <t>yes</t>
        </is>
      </c>
      <c r="I658" t="inlineStr"/>
      <c r="J658" t="inlineStr"/>
      <c r="K658" t="inlineStr"/>
      <c r="L658" t="inlineStr"/>
      <c r="M658" t="inlineStr"/>
      <c r="N658" t="inlineStr"/>
    </row>
    <row r="659">
      <c r="A659" t="inlineStr">
        <is>
          <t>pk-lahore</t>
        </is>
      </c>
      <c r="B659" t="inlineStr">
        <is>
          <t>Lahore</t>
        </is>
      </c>
      <c r="C659" t="inlineStr">
        <is>
          <t>Pakistan</t>
        </is>
      </c>
      <c r="D659" t="inlineStr">
        <is>
          <t>South Asia</t>
        </is>
      </c>
      <c r="E659" t="inlineStr">
        <is>
          <t>household_debt_burden_raw</t>
        </is>
      </c>
      <c r="F659" t="inlineStr">
        <is>
          <t>Household debt burden raw</t>
        </is>
      </c>
      <c r="G659" t="inlineStr">
        <is>
          <t>pressure</t>
        </is>
      </c>
      <c r="H659" t="inlineStr">
        <is>
          <t>yes</t>
        </is>
      </c>
      <c r="I659" t="inlineStr"/>
      <c r="J659" t="inlineStr"/>
      <c r="K659" t="inlineStr"/>
      <c r="L659" t="inlineStr"/>
      <c r="M659" t="inlineStr"/>
      <c r="N659" t="inlineStr"/>
    </row>
    <row r="660">
      <c r="A660" t="inlineStr">
        <is>
          <t>pk-lahore</t>
        </is>
      </c>
      <c r="B660" t="inlineStr">
        <is>
          <t>Lahore</t>
        </is>
      </c>
      <c r="C660" t="inlineStr">
        <is>
          <t>Pakistan</t>
        </is>
      </c>
      <c r="D660" t="inlineStr">
        <is>
          <t>South Asia</t>
        </is>
      </c>
      <c r="E660" t="inlineStr">
        <is>
          <t>working_time_pressure_raw</t>
        </is>
      </c>
      <c r="F660" t="inlineStr">
        <is>
          <t>Working time pressure raw</t>
        </is>
      </c>
      <c r="G660" t="inlineStr">
        <is>
          <t>pressure</t>
        </is>
      </c>
      <c r="H660" t="inlineStr">
        <is>
          <t>yes</t>
        </is>
      </c>
      <c r="I660" t="inlineStr"/>
      <c r="J660" t="inlineStr"/>
      <c r="K660" t="inlineStr"/>
      <c r="L660" t="inlineStr"/>
      <c r="M660" t="inlineStr"/>
      <c r="N660" t="inlineStr"/>
    </row>
    <row r="661">
      <c r="A661" t="inlineStr">
        <is>
          <t>pk-lahore</t>
        </is>
      </c>
      <c r="B661" t="inlineStr">
        <is>
          <t>Lahore</t>
        </is>
      </c>
      <c r="C661" t="inlineStr">
        <is>
          <t>Pakistan</t>
        </is>
      </c>
      <c r="D661" t="inlineStr">
        <is>
          <t>South Asia</t>
        </is>
      </c>
      <c r="E661" t="inlineStr">
        <is>
          <t>suicide_mental_strain_raw</t>
        </is>
      </c>
      <c r="F661" t="inlineStr">
        <is>
          <t>Suicide or mental strain raw</t>
        </is>
      </c>
      <c r="G661" t="inlineStr">
        <is>
          <t>pressure</t>
        </is>
      </c>
      <c r="H661" t="inlineStr">
        <is>
          <t>yes</t>
        </is>
      </c>
      <c r="I661" t="inlineStr"/>
      <c r="J661" t="inlineStr"/>
      <c r="K661" t="inlineStr"/>
      <c r="L661" t="inlineStr"/>
      <c r="M661" t="inlineStr"/>
      <c r="N661" t="inlineStr"/>
    </row>
    <row r="662">
      <c r="A662" t="inlineStr">
        <is>
          <t>pk-lahore</t>
        </is>
      </c>
      <c r="B662" t="inlineStr">
        <is>
          <t>Lahore</t>
        </is>
      </c>
      <c r="C662" t="inlineStr">
        <is>
          <t>Pakistan</t>
        </is>
      </c>
      <c r="D662" t="inlineStr">
        <is>
          <t>South Asia</t>
        </is>
      </c>
      <c r="E662" t="inlineStr">
        <is>
          <t>personal_safety_raw</t>
        </is>
      </c>
      <c r="F662" t="inlineStr">
        <is>
          <t>Personal safety raw</t>
        </is>
      </c>
      <c r="G662" t="inlineStr">
        <is>
          <t>viability</t>
        </is>
      </c>
      <c r="H662" t="inlineStr">
        <is>
          <t>yes</t>
        </is>
      </c>
      <c r="I662" t="inlineStr"/>
      <c r="J662" t="inlineStr"/>
      <c r="K662" t="inlineStr"/>
      <c r="L662" t="inlineStr"/>
      <c r="M662" t="inlineStr"/>
      <c r="N662" t="inlineStr"/>
    </row>
    <row r="663">
      <c r="A663" t="inlineStr">
        <is>
          <t>pk-lahore</t>
        </is>
      </c>
      <c r="B663" t="inlineStr">
        <is>
          <t>Lahore</t>
        </is>
      </c>
      <c r="C663" t="inlineStr">
        <is>
          <t>Pakistan</t>
        </is>
      </c>
      <c r="D663" t="inlineStr">
        <is>
          <t>South Asia</t>
        </is>
      </c>
      <c r="E663" t="inlineStr">
        <is>
          <t>transit_access_commute_raw</t>
        </is>
      </c>
      <c r="F663" t="inlineStr">
        <is>
          <t>Transit access and commute raw</t>
        </is>
      </c>
      <c r="G663" t="inlineStr">
        <is>
          <t>viability</t>
        </is>
      </c>
      <c r="H663" t="inlineStr">
        <is>
          <t>yes</t>
        </is>
      </c>
      <c r="I663" t="inlineStr"/>
      <c r="J663" t="inlineStr"/>
      <c r="K663" t="inlineStr"/>
      <c r="L663" t="inlineStr"/>
      <c r="M663" t="inlineStr"/>
      <c r="N663" t="inlineStr"/>
    </row>
    <row r="664">
      <c r="A664" t="inlineStr">
        <is>
          <t>pk-lahore</t>
        </is>
      </c>
      <c r="B664" t="inlineStr">
        <is>
          <t>Lahore</t>
        </is>
      </c>
      <c r="C664" t="inlineStr">
        <is>
          <t>Pakistan</t>
        </is>
      </c>
      <c r="D664" t="inlineStr">
        <is>
          <t>South Asia</t>
        </is>
      </c>
      <c r="E664" t="inlineStr">
        <is>
          <t>clean_air_raw</t>
        </is>
      </c>
      <c r="F664" t="inlineStr">
        <is>
          <t>Clean air raw</t>
        </is>
      </c>
      <c r="G664" t="inlineStr">
        <is>
          <t>viability</t>
        </is>
      </c>
      <c r="H664" t="inlineStr">
        <is>
          <t>yes</t>
        </is>
      </c>
      <c r="I664" t="inlineStr"/>
      <c r="J664" t="inlineStr"/>
      <c r="K664" t="inlineStr"/>
      <c r="L664" t="inlineStr"/>
      <c r="M664" t="inlineStr"/>
      <c r="N664" t="inlineStr"/>
    </row>
    <row r="665">
      <c r="A665" t="inlineStr">
        <is>
          <t>pk-lahore</t>
        </is>
      </c>
      <c r="B665" t="inlineStr">
        <is>
          <t>Lahore</t>
        </is>
      </c>
      <c r="C665" t="inlineStr">
        <is>
          <t>Pakistan</t>
        </is>
      </c>
      <c r="D665" t="inlineStr">
        <is>
          <t>South Asia</t>
        </is>
      </c>
      <c r="E665" t="inlineStr">
        <is>
          <t>water_sanitation_utility_raw</t>
        </is>
      </c>
      <c r="F665" t="inlineStr">
        <is>
          <t>Water, sanitation, and utility raw</t>
        </is>
      </c>
      <c r="G665" t="inlineStr">
        <is>
          <t>viability</t>
        </is>
      </c>
      <c r="H665" t="inlineStr">
        <is>
          <t>yes</t>
        </is>
      </c>
      <c r="I665" t="inlineStr"/>
      <c r="J665" t="inlineStr"/>
      <c r="K665" t="inlineStr"/>
      <c r="L665" t="inlineStr"/>
      <c r="M665" t="inlineStr"/>
      <c r="N665" t="inlineStr"/>
    </row>
    <row r="666">
      <c r="A666" t="inlineStr">
        <is>
          <t>pk-lahore</t>
        </is>
      </c>
      <c r="B666" t="inlineStr">
        <is>
          <t>Lahore</t>
        </is>
      </c>
      <c r="C666" t="inlineStr">
        <is>
          <t>Pakistan</t>
        </is>
      </c>
      <c r="D666" t="inlineStr">
        <is>
          <t>South Asia</t>
        </is>
      </c>
      <c r="E666" t="inlineStr">
        <is>
          <t>digital_infrastructure_raw</t>
        </is>
      </c>
      <c r="F666" t="inlineStr">
        <is>
          <t>Digital infrastructure raw</t>
        </is>
      </c>
      <c r="G666" t="inlineStr">
        <is>
          <t>viability</t>
        </is>
      </c>
      <c r="H666" t="inlineStr">
        <is>
          <t>yes</t>
        </is>
      </c>
      <c r="I666" t="inlineStr"/>
      <c r="J666" t="inlineStr"/>
      <c r="K666" t="inlineStr"/>
      <c r="L666" t="inlineStr"/>
      <c r="M666" t="inlineStr"/>
      <c r="N666" t="inlineStr"/>
    </row>
    <row r="667">
      <c r="A667" t="inlineStr">
        <is>
          <t>pk-lahore</t>
        </is>
      </c>
      <c r="B667" t="inlineStr">
        <is>
          <t>Lahore</t>
        </is>
      </c>
      <c r="C667" t="inlineStr">
        <is>
          <t>Pakistan</t>
        </is>
      </c>
      <c r="D667" t="inlineStr">
        <is>
          <t>South Asia</t>
        </is>
      </c>
      <c r="E667" t="inlineStr">
        <is>
          <t>healthcare_quality_raw</t>
        </is>
      </c>
      <c r="F667" t="inlineStr">
        <is>
          <t>Healthcare quality raw</t>
        </is>
      </c>
      <c r="G667" t="inlineStr">
        <is>
          <t>capability</t>
        </is>
      </c>
      <c r="H667" t="inlineStr">
        <is>
          <t>yes</t>
        </is>
      </c>
      <c r="I667" t="inlineStr"/>
      <c r="J667" t="inlineStr"/>
      <c r="K667" t="inlineStr"/>
      <c r="L667" t="inlineStr"/>
      <c r="M667" t="inlineStr"/>
      <c r="N667" t="inlineStr"/>
    </row>
    <row r="668">
      <c r="A668" t="inlineStr">
        <is>
          <t>pk-lahore</t>
        </is>
      </c>
      <c r="B668" t="inlineStr">
        <is>
          <t>Lahore</t>
        </is>
      </c>
      <c r="C668" t="inlineStr">
        <is>
          <t>Pakistan</t>
        </is>
      </c>
      <c r="D668" t="inlineStr">
        <is>
          <t>South Asia</t>
        </is>
      </c>
      <c r="E668" t="inlineStr">
        <is>
          <t>education_quality_raw</t>
        </is>
      </c>
      <c r="F668" t="inlineStr">
        <is>
          <t>Education quality raw</t>
        </is>
      </c>
      <c r="G668" t="inlineStr">
        <is>
          <t>capability</t>
        </is>
      </c>
      <c r="H668" t="inlineStr">
        <is>
          <t>yes</t>
        </is>
      </c>
      <c r="I668" t="inlineStr"/>
      <c r="J668" t="inlineStr"/>
      <c r="K668" t="inlineStr"/>
      <c r="L668" t="inlineStr"/>
      <c r="M668" t="inlineStr"/>
      <c r="N668" t="inlineStr"/>
    </row>
    <row r="669">
      <c r="A669" t="inlineStr">
        <is>
          <t>pk-lahore</t>
        </is>
      </c>
      <c r="B669" t="inlineStr">
        <is>
          <t>Lahore</t>
        </is>
      </c>
      <c r="C669" t="inlineStr">
        <is>
          <t>Pakistan</t>
        </is>
      </c>
      <c r="D669" t="inlineStr">
        <is>
          <t>South Asia</t>
        </is>
      </c>
      <c r="E669" t="inlineStr">
        <is>
          <t>equal_opportunity_raw</t>
        </is>
      </c>
      <c r="F669" t="inlineStr">
        <is>
          <t>Equal opportunity raw</t>
        </is>
      </c>
      <c r="G669" t="inlineStr">
        <is>
          <t>capability</t>
        </is>
      </c>
      <c r="H669" t="inlineStr">
        <is>
          <t>yes</t>
        </is>
      </c>
      <c r="I669" t="inlineStr"/>
      <c r="J669" t="inlineStr"/>
      <c r="K669" t="inlineStr"/>
      <c r="L669" t="inlineStr"/>
      <c r="M669" t="inlineStr"/>
      <c r="N669" t="inlineStr"/>
    </row>
    <row r="670">
      <c r="A670" t="inlineStr">
        <is>
          <t>pk-lahore</t>
        </is>
      </c>
      <c r="B670" t="inlineStr">
        <is>
          <t>Lahore</t>
        </is>
      </c>
      <c r="C670" t="inlineStr">
        <is>
          <t>Pakistan</t>
        </is>
      </c>
      <c r="D670" t="inlineStr">
        <is>
          <t>South Asia</t>
        </is>
      </c>
      <c r="E670" t="inlineStr">
        <is>
          <t>hospitality_belonging_raw</t>
        </is>
      </c>
      <c r="F670" t="inlineStr">
        <is>
          <t>Hospitality and belonging raw</t>
        </is>
      </c>
      <c r="G670" t="inlineStr">
        <is>
          <t>community</t>
        </is>
      </c>
      <c r="H670" t="inlineStr">
        <is>
          <t>yes</t>
        </is>
      </c>
      <c r="I670" t="inlineStr"/>
      <c r="J670" t="inlineStr"/>
      <c r="K670" t="inlineStr"/>
      <c r="L670" t="inlineStr"/>
      <c r="M670" t="inlineStr"/>
      <c r="N670" t="inlineStr"/>
    </row>
    <row r="671">
      <c r="A671" t="inlineStr">
        <is>
          <t>pk-lahore</t>
        </is>
      </c>
      <c r="B671" t="inlineStr">
        <is>
          <t>Lahore</t>
        </is>
      </c>
      <c r="C671" t="inlineStr">
        <is>
          <t>Pakistan</t>
        </is>
      </c>
      <c r="D671" t="inlineStr">
        <is>
          <t>South Asia</t>
        </is>
      </c>
      <c r="E671" t="inlineStr">
        <is>
          <t>tolerance_pluralism_raw</t>
        </is>
      </c>
      <c r="F671" t="inlineStr">
        <is>
          <t>Tolerance and pluralism raw</t>
        </is>
      </c>
      <c r="G671" t="inlineStr">
        <is>
          <t>community</t>
        </is>
      </c>
      <c r="H671" t="inlineStr">
        <is>
          <t>yes</t>
        </is>
      </c>
      <c r="I671" t="inlineStr"/>
      <c r="J671" t="inlineStr"/>
      <c r="K671" t="inlineStr"/>
      <c r="L671" t="inlineStr"/>
      <c r="M671" t="inlineStr"/>
      <c r="N671" t="inlineStr"/>
    </row>
    <row r="672">
      <c r="A672" t="inlineStr">
        <is>
          <t>pk-lahore</t>
        </is>
      </c>
      <c r="B672" t="inlineStr">
        <is>
          <t>Lahore</t>
        </is>
      </c>
      <c r="C672" t="inlineStr">
        <is>
          <t>Pakistan</t>
        </is>
      </c>
      <c r="D672" t="inlineStr">
        <is>
          <t>South Asia</t>
        </is>
      </c>
      <c r="E672" t="inlineStr">
        <is>
          <t>cultural_public_life_raw</t>
        </is>
      </c>
      <c r="F672" t="inlineStr">
        <is>
          <t>Cultural public life raw</t>
        </is>
      </c>
      <c r="G672" t="inlineStr">
        <is>
          <t>community</t>
        </is>
      </c>
      <c r="H672" t="inlineStr">
        <is>
          <t>yes</t>
        </is>
      </c>
      <c r="I672" t="inlineStr"/>
      <c r="J672" t="inlineStr"/>
      <c r="K672" t="inlineStr"/>
      <c r="L672" t="inlineStr"/>
      <c r="M672" t="inlineStr"/>
      <c r="N672" t="inlineStr"/>
    </row>
    <row r="673">
      <c r="A673" t="inlineStr">
        <is>
          <t>pk-lahore</t>
        </is>
      </c>
      <c r="B673" t="inlineStr">
        <is>
          <t>Lahore</t>
        </is>
      </c>
      <c r="C673" t="inlineStr">
        <is>
          <t>Pakistan</t>
        </is>
      </c>
      <c r="D673" t="inlineStr">
        <is>
          <t>South Asia</t>
        </is>
      </c>
      <c r="E673" t="inlineStr">
        <is>
          <t>entrepreneurial_dynamism_raw</t>
        </is>
      </c>
      <c r="F673" t="inlineStr">
        <is>
          <t>Entrepreneurial dynamism raw</t>
        </is>
      </c>
      <c r="G673" t="inlineStr">
        <is>
          <t>creative</t>
        </is>
      </c>
      <c r="H673" t="inlineStr">
        <is>
          <t>yes</t>
        </is>
      </c>
      <c r="I673" t="inlineStr"/>
      <c r="J673" t="inlineStr"/>
      <c r="K673" t="inlineStr"/>
      <c r="L673" t="inlineStr"/>
      <c r="M673" t="inlineStr"/>
      <c r="N673" t="inlineStr"/>
    </row>
    <row r="674">
      <c r="A674" t="inlineStr">
        <is>
          <t>pk-lahore</t>
        </is>
      </c>
      <c r="B674" t="inlineStr">
        <is>
          <t>Lahore</t>
        </is>
      </c>
      <c r="C674" t="inlineStr">
        <is>
          <t>Pakistan</t>
        </is>
      </c>
      <c r="D674" t="inlineStr">
        <is>
          <t>South Asia</t>
        </is>
      </c>
      <c r="E674" t="inlineStr">
        <is>
          <t>innovation_research_intensity_raw</t>
        </is>
      </c>
      <c r="F674" t="inlineStr">
        <is>
          <t>Innovation and research raw</t>
        </is>
      </c>
      <c r="G674" t="inlineStr">
        <is>
          <t>creative</t>
        </is>
      </c>
      <c r="H674" t="inlineStr">
        <is>
          <t>yes</t>
        </is>
      </c>
      <c r="I674" t="inlineStr"/>
      <c r="J674" t="inlineStr"/>
      <c r="K674" t="inlineStr"/>
      <c r="L674" t="inlineStr"/>
      <c r="M674" t="inlineStr"/>
      <c r="N674" t="inlineStr"/>
    </row>
    <row r="675">
      <c r="A675" t="inlineStr">
        <is>
          <t>pk-lahore</t>
        </is>
      </c>
      <c r="B675" t="inlineStr">
        <is>
          <t>Lahore</t>
        </is>
      </c>
      <c r="C675" t="inlineStr">
        <is>
          <t>Pakistan</t>
        </is>
      </c>
      <c r="D675" t="inlineStr">
        <is>
          <t>South Asia</t>
        </is>
      </c>
      <c r="E675" t="inlineStr">
        <is>
          <t>investment_signal_raw</t>
        </is>
      </c>
      <c r="F675" t="inlineStr">
        <is>
          <t>Investment signal raw</t>
        </is>
      </c>
      <c r="G675" t="inlineStr">
        <is>
          <t>creative</t>
        </is>
      </c>
      <c r="H675" t="inlineStr">
        <is>
          <t>yes</t>
        </is>
      </c>
      <c r="I675" t="inlineStr"/>
      <c r="J675" t="inlineStr"/>
      <c r="K675" t="inlineStr"/>
      <c r="L675" t="inlineStr"/>
      <c r="M675" t="inlineStr"/>
      <c r="N675" t="inlineStr"/>
    </row>
    <row r="676">
      <c r="A676" t="inlineStr">
        <is>
          <t>pk-lahore</t>
        </is>
      </c>
      <c r="B676" t="inlineStr">
        <is>
          <t>Lahore</t>
        </is>
      </c>
      <c r="C676" t="inlineStr">
        <is>
          <t>Pakistan</t>
        </is>
      </c>
      <c r="D676" t="inlineStr">
        <is>
          <t>South Asia</t>
        </is>
      </c>
      <c r="E676" t="inlineStr">
        <is>
          <t>administrative_investment_friction_raw</t>
        </is>
      </c>
      <c r="F676" t="inlineStr">
        <is>
          <t>Administrative investment friction raw</t>
        </is>
      </c>
      <c r="G676" t="inlineStr">
        <is>
          <t>creative</t>
        </is>
      </c>
      <c r="H676" t="inlineStr">
        <is>
          <t>yes</t>
        </is>
      </c>
      <c r="I676" t="inlineStr"/>
      <c r="J676" t="inlineStr"/>
      <c r="K676" t="inlineStr"/>
      <c r="L676" t="inlineStr"/>
      <c r="M676" t="inlineStr"/>
      <c r="N676" t="inlineStr"/>
    </row>
    <row r="677">
      <c r="A677" t="inlineStr">
        <is>
          <t>pk-lahore</t>
        </is>
      </c>
      <c r="B677" t="inlineStr">
        <is>
          <t>Lahore</t>
        </is>
      </c>
      <c r="C677" t="inlineStr">
        <is>
          <t>Pakistan</t>
        </is>
      </c>
      <c r="D677" t="inlineStr">
        <is>
          <t>South Asia</t>
        </is>
      </c>
      <c r="E677" t="inlineStr">
        <is>
          <t>visitor_flow_context_raw</t>
        </is>
      </c>
      <c r="F677" t="inlineStr">
        <is>
          <t>Visitor flow context raw</t>
        </is>
      </c>
      <c r="G677" t="inlineStr">
        <is>
          <t>creative</t>
        </is>
      </c>
      <c r="H677" t="inlineStr">
        <is>
          <t>no</t>
        </is>
      </c>
      <c r="I677" t="inlineStr"/>
      <c r="J677" t="inlineStr"/>
      <c r="K677" t="inlineStr"/>
      <c r="L677" t="inlineStr"/>
      <c r="M677" t="inlineStr"/>
      <c r="N677" t="inlineStr"/>
    </row>
    <row r="678">
      <c r="A678" t="inlineStr">
        <is>
          <t>bd-chattogram</t>
        </is>
      </c>
      <c r="B678" t="inlineStr">
        <is>
          <t>Chattogram</t>
        </is>
      </c>
      <c r="C678" t="inlineStr">
        <is>
          <t>Bangladesh</t>
        </is>
      </c>
      <c r="D678" t="inlineStr">
        <is>
          <t>South Asia</t>
        </is>
      </c>
      <c r="E678" t="inlineStr">
        <is>
          <t>gross_income</t>
        </is>
      </c>
      <c r="F678" t="inlineStr">
        <is>
          <t>Gross income</t>
        </is>
      </c>
      <c r="G678" t="inlineStr">
        <is>
          <t>pressure</t>
        </is>
      </c>
      <c r="H678" t="inlineStr">
        <is>
          <t>yes</t>
        </is>
      </c>
      <c r="I678" t="inlineStr"/>
      <c r="J678" t="inlineStr"/>
      <c r="K678" t="inlineStr"/>
      <c r="L678" t="inlineStr"/>
      <c r="M678" t="inlineStr"/>
      <c r="N678" t="inlineStr"/>
    </row>
    <row r="679">
      <c r="A679" t="inlineStr">
        <is>
          <t>bd-chattogram</t>
        </is>
      </c>
      <c r="B679" t="inlineStr">
        <is>
          <t>Chattogram</t>
        </is>
      </c>
      <c r="C679" t="inlineStr">
        <is>
          <t>Bangladesh</t>
        </is>
      </c>
      <c r="D679" t="inlineStr">
        <is>
          <t>South Asia</t>
        </is>
      </c>
      <c r="E679" t="inlineStr">
        <is>
          <t>rent</t>
        </is>
      </c>
      <c r="F679" t="inlineStr">
        <is>
          <t>Rent</t>
        </is>
      </c>
      <c r="G679" t="inlineStr">
        <is>
          <t>pressure</t>
        </is>
      </c>
      <c r="H679" t="inlineStr">
        <is>
          <t>yes</t>
        </is>
      </c>
      <c r="I679" t="inlineStr"/>
      <c r="J679" t="inlineStr"/>
      <c r="K679" t="inlineStr"/>
      <c r="L679" t="inlineStr"/>
      <c r="M679" t="inlineStr"/>
      <c r="N679" t="inlineStr"/>
    </row>
    <row r="680">
      <c r="A680" t="inlineStr">
        <is>
          <t>bd-chattogram</t>
        </is>
      </c>
      <c r="B680" t="inlineStr">
        <is>
          <t>Chattogram</t>
        </is>
      </c>
      <c r="C680" t="inlineStr">
        <is>
          <t>Bangladesh</t>
        </is>
      </c>
      <c r="D680" t="inlineStr">
        <is>
          <t>South Asia</t>
        </is>
      </c>
      <c r="E680" t="inlineStr">
        <is>
          <t>utilities</t>
        </is>
      </c>
      <c r="F680" t="inlineStr">
        <is>
          <t>Utilities</t>
        </is>
      </c>
      <c r="G680" t="inlineStr">
        <is>
          <t>pressure</t>
        </is>
      </c>
      <c r="H680" t="inlineStr">
        <is>
          <t>yes</t>
        </is>
      </c>
      <c r="I680" t="inlineStr"/>
      <c r="J680" t="inlineStr"/>
      <c r="K680" t="inlineStr"/>
      <c r="L680" t="inlineStr"/>
      <c r="M680" t="inlineStr"/>
      <c r="N680" t="inlineStr"/>
    </row>
    <row r="681">
      <c r="A681" t="inlineStr">
        <is>
          <t>bd-chattogram</t>
        </is>
      </c>
      <c r="B681" t="inlineStr">
        <is>
          <t>Chattogram</t>
        </is>
      </c>
      <c r="C681" t="inlineStr">
        <is>
          <t>Bangladesh</t>
        </is>
      </c>
      <c r="D681" t="inlineStr">
        <is>
          <t>South Asia</t>
        </is>
      </c>
      <c r="E681" t="inlineStr">
        <is>
          <t>transit_cost</t>
        </is>
      </c>
      <c r="F681" t="inlineStr">
        <is>
          <t>Transit cost</t>
        </is>
      </c>
      <c r="G681" t="inlineStr">
        <is>
          <t>pressure</t>
        </is>
      </c>
      <c r="H681" t="inlineStr">
        <is>
          <t>yes</t>
        </is>
      </c>
      <c r="I681" t="inlineStr"/>
      <c r="J681" t="inlineStr"/>
      <c r="K681" t="inlineStr"/>
      <c r="L681" t="inlineStr"/>
      <c r="M681" t="inlineStr"/>
      <c r="N681" t="inlineStr"/>
    </row>
    <row r="682">
      <c r="A682" t="inlineStr">
        <is>
          <t>bd-chattogram</t>
        </is>
      </c>
      <c r="B682" t="inlineStr">
        <is>
          <t>Chattogram</t>
        </is>
      </c>
      <c r="C682" t="inlineStr">
        <is>
          <t>Bangladesh</t>
        </is>
      </c>
      <c r="D682" t="inlineStr">
        <is>
          <t>South Asia</t>
        </is>
      </c>
      <c r="E682" t="inlineStr">
        <is>
          <t>internet_cost</t>
        </is>
      </c>
      <c r="F682" t="inlineStr">
        <is>
          <t>Internet cost</t>
        </is>
      </c>
      <c r="G682" t="inlineStr">
        <is>
          <t>pressure</t>
        </is>
      </c>
      <c r="H682" t="inlineStr">
        <is>
          <t>yes</t>
        </is>
      </c>
      <c r="I682" t="inlineStr"/>
      <c r="J682" t="inlineStr"/>
      <c r="K682" t="inlineStr"/>
      <c r="L682" t="inlineStr"/>
      <c r="M682" t="inlineStr"/>
      <c r="N682" t="inlineStr"/>
    </row>
    <row r="683">
      <c r="A683" t="inlineStr">
        <is>
          <t>bd-chattogram</t>
        </is>
      </c>
      <c r="B683" t="inlineStr">
        <is>
          <t>Chattogram</t>
        </is>
      </c>
      <c r="C683" t="inlineStr">
        <is>
          <t>Bangladesh</t>
        </is>
      </c>
      <c r="D683" t="inlineStr">
        <is>
          <t>South Asia</t>
        </is>
      </c>
      <c r="E683" t="inlineStr">
        <is>
          <t>food_cost</t>
        </is>
      </c>
      <c r="F683" t="inlineStr">
        <is>
          <t>Food cost</t>
        </is>
      </c>
      <c r="G683" t="inlineStr">
        <is>
          <t>pressure</t>
        </is>
      </c>
      <c r="H683" t="inlineStr">
        <is>
          <t>yes</t>
        </is>
      </c>
      <c r="I683" t="inlineStr"/>
      <c r="J683" t="inlineStr"/>
      <c r="K683" t="inlineStr"/>
      <c r="L683" t="inlineStr"/>
      <c r="M683" t="inlineStr"/>
      <c r="N683" t="inlineStr"/>
    </row>
    <row r="684">
      <c r="A684" t="inlineStr">
        <is>
          <t>bd-chattogram</t>
        </is>
      </c>
      <c r="B684" t="inlineStr">
        <is>
          <t>Chattogram</t>
        </is>
      </c>
      <c r="C684" t="inlineStr">
        <is>
          <t>Bangladesh</t>
        </is>
      </c>
      <c r="D684" t="inlineStr">
        <is>
          <t>South Asia</t>
        </is>
      </c>
      <c r="E684" t="inlineStr">
        <is>
          <t>housing_burden_raw</t>
        </is>
      </c>
      <c r="F684" t="inlineStr">
        <is>
          <t>Housing burden raw</t>
        </is>
      </c>
      <c r="G684" t="inlineStr">
        <is>
          <t>pressure</t>
        </is>
      </c>
      <c r="H684" t="inlineStr">
        <is>
          <t>yes</t>
        </is>
      </c>
      <c r="I684" t="inlineStr"/>
      <c r="J684" t="inlineStr"/>
      <c r="K684" t="inlineStr"/>
      <c r="L684" t="inlineStr"/>
      <c r="M684" t="inlineStr"/>
      <c r="N684" t="inlineStr"/>
    </row>
    <row r="685">
      <c r="A685" t="inlineStr">
        <is>
          <t>bd-chattogram</t>
        </is>
      </c>
      <c r="B685" t="inlineStr">
        <is>
          <t>Chattogram</t>
        </is>
      </c>
      <c r="C685" t="inlineStr">
        <is>
          <t>Bangladesh</t>
        </is>
      </c>
      <c r="D685" t="inlineStr">
        <is>
          <t>South Asia</t>
        </is>
      </c>
      <c r="E685" t="inlineStr">
        <is>
          <t>household_debt_burden_raw</t>
        </is>
      </c>
      <c r="F685" t="inlineStr">
        <is>
          <t>Household debt burden raw</t>
        </is>
      </c>
      <c r="G685" t="inlineStr">
        <is>
          <t>pressure</t>
        </is>
      </c>
      <c r="H685" t="inlineStr">
        <is>
          <t>yes</t>
        </is>
      </c>
      <c r="I685" t="inlineStr"/>
      <c r="J685" t="inlineStr"/>
      <c r="K685" t="inlineStr"/>
      <c r="L685" t="inlineStr"/>
      <c r="M685" t="inlineStr"/>
      <c r="N685" t="inlineStr"/>
    </row>
    <row r="686">
      <c r="A686" t="inlineStr">
        <is>
          <t>bd-chattogram</t>
        </is>
      </c>
      <c r="B686" t="inlineStr">
        <is>
          <t>Chattogram</t>
        </is>
      </c>
      <c r="C686" t="inlineStr">
        <is>
          <t>Bangladesh</t>
        </is>
      </c>
      <c r="D686" t="inlineStr">
        <is>
          <t>South Asia</t>
        </is>
      </c>
      <c r="E686" t="inlineStr">
        <is>
          <t>working_time_pressure_raw</t>
        </is>
      </c>
      <c r="F686" t="inlineStr">
        <is>
          <t>Working time pressure raw</t>
        </is>
      </c>
      <c r="G686" t="inlineStr">
        <is>
          <t>pressure</t>
        </is>
      </c>
      <c r="H686" t="inlineStr">
        <is>
          <t>yes</t>
        </is>
      </c>
      <c r="I686" t="inlineStr"/>
      <c r="J686" t="inlineStr"/>
      <c r="K686" t="inlineStr"/>
      <c r="L686" t="inlineStr"/>
      <c r="M686" t="inlineStr"/>
      <c r="N686" t="inlineStr"/>
    </row>
    <row r="687">
      <c r="A687" t="inlineStr">
        <is>
          <t>bd-chattogram</t>
        </is>
      </c>
      <c r="B687" t="inlineStr">
        <is>
          <t>Chattogram</t>
        </is>
      </c>
      <c r="C687" t="inlineStr">
        <is>
          <t>Bangladesh</t>
        </is>
      </c>
      <c r="D687" t="inlineStr">
        <is>
          <t>South Asia</t>
        </is>
      </c>
      <c r="E687" t="inlineStr">
        <is>
          <t>suicide_mental_strain_raw</t>
        </is>
      </c>
      <c r="F687" t="inlineStr">
        <is>
          <t>Suicide or mental strain raw</t>
        </is>
      </c>
      <c r="G687" t="inlineStr">
        <is>
          <t>pressure</t>
        </is>
      </c>
      <c r="H687" t="inlineStr">
        <is>
          <t>yes</t>
        </is>
      </c>
      <c r="I687" t="inlineStr"/>
      <c r="J687" t="inlineStr"/>
      <c r="K687" t="inlineStr"/>
      <c r="L687" t="inlineStr"/>
      <c r="M687" t="inlineStr"/>
      <c r="N687" t="inlineStr"/>
    </row>
    <row r="688">
      <c r="A688" t="inlineStr">
        <is>
          <t>bd-chattogram</t>
        </is>
      </c>
      <c r="B688" t="inlineStr">
        <is>
          <t>Chattogram</t>
        </is>
      </c>
      <c r="C688" t="inlineStr">
        <is>
          <t>Bangladesh</t>
        </is>
      </c>
      <c r="D688" t="inlineStr">
        <is>
          <t>South Asia</t>
        </is>
      </c>
      <c r="E688" t="inlineStr">
        <is>
          <t>personal_safety_raw</t>
        </is>
      </c>
      <c r="F688" t="inlineStr">
        <is>
          <t>Personal safety raw</t>
        </is>
      </c>
      <c r="G688" t="inlineStr">
        <is>
          <t>viability</t>
        </is>
      </c>
      <c r="H688" t="inlineStr">
        <is>
          <t>yes</t>
        </is>
      </c>
      <c r="I688" t="inlineStr"/>
      <c r="J688" t="inlineStr"/>
      <c r="K688" t="inlineStr"/>
      <c r="L688" t="inlineStr"/>
      <c r="M688" t="inlineStr"/>
      <c r="N688" t="inlineStr"/>
    </row>
    <row r="689">
      <c r="A689" t="inlineStr">
        <is>
          <t>bd-chattogram</t>
        </is>
      </c>
      <c r="B689" t="inlineStr">
        <is>
          <t>Chattogram</t>
        </is>
      </c>
      <c r="C689" t="inlineStr">
        <is>
          <t>Bangladesh</t>
        </is>
      </c>
      <c r="D689" t="inlineStr">
        <is>
          <t>South Asia</t>
        </is>
      </c>
      <c r="E689" t="inlineStr">
        <is>
          <t>transit_access_commute_raw</t>
        </is>
      </c>
      <c r="F689" t="inlineStr">
        <is>
          <t>Transit access and commute raw</t>
        </is>
      </c>
      <c r="G689" t="inlineStr">
        <is>
          <t>viability</t>
        </is>
      </c>
      <c r="H689" t="inlineStr">
        <is>
          <t>yes</t>
        </is>
      </c>
      <c r="I689" t="inlineStr"/>
      <c r="J689" t="inlineStr"/>
      <c r="K689" t="inlineStr"/>
      <c r="L689" t="inlineStr"/>
      <c r="M689" t="inlineStr"/>
      <c r="N689" t="inlineStr"/>
    </row>
    <row r="690">
      <c r="A690" t="inlineStr">
        <is>
          <t>bd-chattogram</t>
        </is>
      </c>
      <c r="B690" t="inlineStr">
        <is>
          <t>Chattogram</t>
        </is>
      </c>
      <c r="C690" t="inlineStr">
        <is>
          <t>Bangladesh</t>
        </is>
      </c>
      <c r="D690" t="inlineStr">
        <is>
          <t>South Asia</t>
        </is>
      </c>
      <c r="E690" t="inlineStr">
        <is>
          <t>clean_air_raw</t>
        </is>
      </c>
      <c r="F690" t="inlineStr">
        <is>
          <t>Clean air raw</t>
        </is>
      </c>
      <c r="G690" t="inlineStr">
        <is>
          <t>viability</t>
        </is>
      </c>
      <c r="H690" t="inlineStr">
        <is>
          <t>yes</t>
        </is>
      </c>
      <c r="I690" t="inlineStr"/>
      <c r="J690" t="inlineStr"/>
      <c r="K690" t="inlineStr"/>
      <c r="L690" t="inlineStr"/>
      <c r="M690" t="inlineStr"/>
      <c r="N690" t="inlineStr"/>
    </row>
    <row r="691">
      <c r="A691" t="inlineStr">
        <is>
          <t>bd-chattogram</t>
        </is>
      </c>
      <c r="B691" t="inlineStr">
        <is>
          <t>Chattogram</t>
        </is>
      </c>
      <c r="C691" t="inlineStr">
        <is>
          <t>Bangladesh</t>
        </is>
      </c>
      <c r="D691" t="inlineStr">
        <is>
          <t>South Asia</t>
        </is>
      </c>
      <c r="E691" t="inlineStr">
        <is>
          <t>water_sanitation_utility_raw</t>
        </is>
      </c>
      <c r="F691" t="inlineStr">
        <is>
          <t>Water, sanitation, and utility raw</t>
        </is>
      </c>
      <c r="G691" t="inlineStr">
        <is>
          <t>viability</t>
        </is>
      </c>
      <c r="H691" t="inlineStr">
        <is>
          <t>yes</t>
        </is>
      </c>
      <c r="I691" t="inlineStr"/>
      <c r="J691" t="inlineStr"/>
      <c r="K691" t="inlineStr"/>
      <c r="L691" t="inlineStr"/>
      <c r="M691" t="inlineStr"/>
      <c r="N691" t="inlineStr"/>
    </row>
    <row r="692">
      <c r="A692" t="inlineStr">
        <is>
          <t>bd-chattogram</t>
        </is>
      </c>
      <c r="B692" t="inlineStr">
        <is>
          <t>Chattogram</t>
        </is>
      </c>
      <c r="C692" t="inlineStr">
        <is>
          <t>Bangladesh</t>
        </is>
      </c>
      <c r="D692" t="inlineStr">
        <is>
          <t>South Asia</t>
        </is>
      </c>
      <c r="E692" t="inlineStr">
        <is>
          <t>digital_infrastructure_raw</t>
        </is>
      </c>
      <c r="F692" t="inlineStr">
        <is>
          <t>Digital infrastructure raw</t>
        </is>
      </c>
      <c r="G692" t="inlineStr">
        <is>
          <t>viability</t>
        </is>
      </c>
      <c r="H692" t="inlineStr">
        <is>
          <t>yes</t>
        </is>
      </c>
      <c r="I692" t="inlineStr"/>
      <c r="J692" t="inlineStr"/>
      <c r="K692" t="inlineStr"/>
      <c r="L692" t="inlineStr"/>
      <c r="M692" t="inlineStr"/>
      <c r="N692" t="inlineStr"/>
    </row>
    <row r="693">
      <c r="A693" t="inlineStr">
        <is>
          <t>bd-chattogram</t>
        </is>
      </c>
      <c r="B693" t="inlineStr">
        <is>
          <t>Chattogram</t>
        </is>
      </c>
      <c r="C693" t="inlineStr">
        <is>
          <t>Bangladesh</t>
        </is>
      </c>
      <c r="D693" t="inlineStr">
        <is>
          <t>South Asia</t>
        </is>
      </c>
      <c r="E693" t="inlineStr">
        <is>
          <t>healthcare_quality_raw</t>
        </is>
      </c>
      <c r="F693" t="inlineStr">
        <is>
          <t>Healthcare quality raw</t>
        </is>
      </c>
      <c r="G693" t="inlineStr">
        <is>
          <t>capability</t>
        </is>
      </c>
      <c r="H693" t="inlineStr">
        <is>
          <t>yes</t>
        </is>
      </c>
      <c r="I693" t="inlineStr"/>
      <c r="J693" t="inlineStr"/>
      <c r="K693" t="inlineStr"/>
      <c r="L693" t="inlineStr"/>
      <c r="M693" t="inlineStr"/>
      <c r="N693" t="inlineStr"/>
    </row>
    <row r="694">
      <c r="A694" t="inlineStr">
        <is>
          <t>bd-chattogram</t>
        </is>
      </c>
      <c r="B694" t="inlineStr">
        <is>
          <t>Chattogram</t>
        </is>
      </c>
      <c r="C694" t="inlineStr">
        <is>
          <t>Bangladesh</t>
        </is>
      </c>
      <c r="D694" t="inlineStr">
        <is>
          <t>South Asia</t>
        </is>
      </c>
      <c r="E694" t="inlineStr">
        <is>
          <t>education_quality_raw</t>
        </is>
      </c>
      <c r="F694" t="inlineStr">
        <is>
          <t>Education quality raw</t>
        </is>
      </c>
      <c r="G694" t="inlineStr">
        <is>
          <t>capability</t>
        </is>
      </c>
      <c r="H694" t="inlineStr">
        <is>
          <t>yes</t>
        </is>
      </c>
      <c r="I694" t="inlineStr"/>
      <c r="J694" t="inlineStr"/>
      <c r="K694" t="inlineStr"/>
      <c r="L694" t="inlineStr"/>
      <c r="M694" t="inlineStr"/>
      <c r="N694" t="inlineStr"/>
    </row>
    <row r="695">
      <c r="A695" t="inlineStr">
        <is>
          <t>bd-chattogram</t>
        </is>
      </c>
      <c r="B695" t="inlineStr">
        <is>
          <t>Chattogram</t>
        </is>
      </c>
      <c r="C695" t="inlineStr">
        <is>
          <t>Bangladesh</t>
        </is>
      </c>
      <c r="D695" t="inlineStr">
        <is>
          <t>South Asia</t>
        </is>
      </c>
      <c r="E695" t="inlineStr">
        <is>
          <t>equal_opportunity_raw</t>
        </is>
      </c>
      <c r="F695" t="inlineStr">
        <is>
          <t>Equal opportunity raw</t>
        </is>
      </c>
      <c r="G695" t="inlineStr">
        <is>
          <t>capability</t>
        </is>
      </c>
      <c r="H695" t="inlineStr">
        <is>
          <t>yes</t>
        </is>
      </c>
      <c r="I695" t="inlineStr"/>
      <c r="J695" t="inlineStr"/>
      <c r="K695" t="inlineStr"/>
      <c r="L695" t="inlineStr"/>
      <c r="M695" t="inlineStr"/>
      <c r="N695" t="inlineStr"/>
    </row>
    <row r="696">
      <c r="A696" t="inlineStr">
        <is>
          <t>bd-chattogram</t>
        </is>
      </c>
      <c r="B696" t="inlineStr">
        <is>
          <t>Chattogram</t>
        </is>
      </c>
      <c r="C696" t="inlineStr">
        <is>
          <t>Bangladesh</t>
        </is>
      </c>
      <c r="D696" t="inlineStr">
        <is>
          <t>South Asia</t>
        </is>
      </c>
      <c r="E696" t="inlineStr">
        <is>
          <t>hospitality_belonging_raw</t>
        </is>
      </c>
      <c r="F696" t="inlineStr">
        <is>
          <t>Hospitality and belonging raw</t>
        </is>
      </c>
      <c r="G696" t="inlineStr">
        <is>
          <t>community</t>
        </is>
      </c>
      <c r="H696" t="inlineStr">
        <is>
          <t>yes</t>
        </is>
      </c>
      <c r="I696" t="inlineStr"/>
      <c r="J696" t="inlineStr"/>
      <c r="K696" t="inlineStr"/>
      <c r="L696" t="inlineStr"/>
      <c r="M696" t="inlineStr"/>
      <c r="N696" t="inlineStr"/>
    </row>
    <row r="697">
      <c r="A697" t="inlineStr">
        <is>
          <t>bd-chattogram</t>
        </is>
      </c>
      <c r="B697" t="inlineStr">
        <is>
          <t>Chattogram</t>
        </is>
      </c>
      <c r="C697" t="inlineStr">
        <is>
          <t>Bangladesh</t>
        </is>
      </c>
      <c r="D697" t="inlineStr">
        <is>
          <t>South Asia</t>
        </is>
      </c>
      <c r="E697" t="inlineStr">
        <is>
          <t>tolerance_pluralism_raw</t>
        </is>
      </c>
      <c r="F697" t="inlineStr">
        <is>
          <t>Tolerance and pluralism raw</t>
        </is>
      </c>
      <c r="G697" t="inlineStr">
        <is>
          <t>community</t>
        </is>
      </c>
      <c r="H697" t="inlineStr">
        <is>
          <t>yes</t>
        </is>
      </c>
      <c r="I697" t="inlineStr"/>
      <c r="J697" t="inlineStr"/>
      <c r="K697" t="inlineStr"/>
      <c r="L697" t="inlineStr"/>
      <c r="M697" t="inlineStr"/>
      <c r="N697" t="inlineStr"/>
    </row>
    <row r="698">
      <c r="A698" t="inlineStr">
        <is>
          <t>bd-chattogram</t>
        </is>
      </c>
      <c r="B698" t="inlineStr">
        <is>
          <t>Chattogram</t>
        </is>
      </c>
      <c r="C698" t="inlineStr">
        <is>
          <t>Bangladesh</t>
        </is>
      </c>
      <c r="D698" t="inlineStr">
        <is>
          <t>South Asia</t>
        </is>
      </c>
      <c r="E698" t="inlineStr">
        <is>
          <t>cultural_public_life_raw</t>
        </is>
      </c>
      <c r="F698" t="inlineStr">
        <is>
          <t>Cultural public life raw</t>
        </is>
      </c>
      <c r="G698" t="inlineStr">
        <is>
          <t>community</t>
        </is>
      </c>
      <c r="H698" t="inlineStr">
        <is>
          <t>yes</t>
        </is>
      </c>
      <c r="I698" t="inlineStr"/>
      <c r="J698" t="inlineStr"/>
      <c r="K698" t="inlineStr"/>
      <c r="L698" t="inlineStr"/>
      <c r="M698" t="inlineStr"/>
      <c r="N698" t="inlineStr"/>
    </row>
    <row r="699">
      <c r="A699" t="inlineStr">
        <is>
          <t>bd-chattogram</t>
        </is>
      </c>
      <c r="B699" t="inlineStr">
        <is>
          <t>Chattogram</t>
        </is>
      </c>
      <c r="C699" t="inlineStr">
        <is>
          <t>Bangladesh</t>
        </is>
      </c>
      <c r="D699" t="inlineStr">
        <is>
          <t>South Asia</t>
        </is>
      </c>
      <c r="E699" t="inlineStr">
        <is>
          <t>entrepreneurial_dynamism_raw</t>
        </is>
      </c>
      <c r="F699" t="inlineStr">
        <is>
          <t>Entrepreneurial dynamism raw</t>
        </is>
      </c>
      <c r="G699" t="inlineStr">
        <is>
          <t>creative</t>
        </is>
      </c>
      <c r="H699" t="inlineStr">
        <is>
          <t>yes</t>
        </is>
      </c>
      <c r="I699" t="inlineStr"/>
      <c r="J699" t="inlineStr"/>
      <c r="K699" t="inlineStr"/>
      <c r="L699" t="inlineStr"/>
      <c r="M699" t="inlineStr"/>
      <c r="N699" t="inlineStr"/>
    </row>
    <row r="700">
      <c r="A700" t="inlineStr">
        <is>
          <t>bd-chattogram</t>
        </is>
      </c>
      <c r="B700" t="inlineStr">
        <is>
          <t>Chattogram</t>
        </is>
      </c>
      <c r="C700" t="inlineStr">
        <is>
          <t>Bangladesh</t>
        </is>
      </c>
      <c r="D700" t="inlineStr">
        <is>
          <t>South Asia</t>
        </is>
      </c>
      <c r="E700" t="inlineStr">
        <is>
          <t>innovation_research_intensity_raw</t>
        </is>
      </c>
      <c r="F700" t="inlineStr">
        <is>
          <t>Innovation and research raw</t>
        </is>
      </c>
      <c r="G700" t="inlineStr">
        <is>
          <t>creative</t>
        </is>
      </c>
      <c r="H700" t="inlineStr">
        <is>
          <t>yes</t>
        </is>
      </c>
      <c r="I700" t="inlineStr"/>
      <c r="J700" t="inlineStr"/>
      <c r="K700" t="inlineStr"/>
      <c r="L700" t="inlineStr"/>
      <c r="M700" t="inlineStr"/>
      <c r="N700" t="inlineStr"/>
    </row>
    <row r="701">
      <c r="A701" t="inlineStr">
        <is>
          <t>bd-chattogram</t>
        </is>
      </c>
      <c r="B701" t="inlineStr">
        <is>
          <t>Chattogram</t>
        </is>
      </c>
      <c r="C701" t="inlineStr">
        <is>
          <t>Bangladesh</t>
        </is>
      </c>
      <c r="D701" t="inlineStr">
        <is>
          <t>South Asia</t>
        </is>
      </c>
      <c r="E701" t="inlineStr">
        <is>
          <t>investment_signal_raw</t>
        </is>
      </c>
      <c r="F701" t="inlineStr">
        <is>
          <t>Investment signal raw</t>
        </is>
      </c>
      <c r="G701" t="inlineStr">
        <is>
          <t>creative</t>
        </is>
      </c>
      <c r="H701" t="inlineStr">
        <is>
          <t>yes</t>
        </is>
      </c>
      <c r="I701" t="inlineStr"/>
      <c r="J701" t="inlineStr"/>
      <c r="K701" t="inlineStr"/>
      <c r="L701" t="inlineStr"/>
      <c r="M701" t="inlineStr"/>
      <c r="N701" t="inlineStr"/>
    </row>
    <row r="702">
      <c r="A702" t="inlineStr">
        <is>
          <t>bd-chattogram</t>
        </is>
      </c>
      <c r="B702" t="inlineStr">
        <is>
          <t>Chattogram</t>
        </is>
      </c>
      <c r="C702" t="inlineStr">
        <is>
          <t>Bangladesh</t>
        </is>
      </c>
      <c r="D702" t="inlineStr">
        <is>
          <t>South Asia</t>
        </is>
      </c>
      <c r="E702" t="inlineStr">
        <is>
          <t>administrative_investment_friction_raw</t>
        </is>
      </c>
      <c r="F702" t="inlineStr">
        <is>
          <t>Administrative investment friction raw</t>
        </is>
      </c>
      <c r="G702" t="inlineStr">
        <is>
          <t>creative</t>
        </is>
      </c>
      <c r="H702" t="inlineStr">
        <is>
          <t>yes</t>
        </is>
      </c>
      <c r="I702" t="inlineStr"/>
      <c r="J702" t="inlineStr"/>
      <c r="K702" t="inlineStr"/>
      <c r="L702" t="inlineStr"/>
      <c r="M702" t="inlineStr"/>
      <c r="N702" t="inlineStr"/>
    </row>
    <row r="703">
      <c r="A703" t="inlineStr">
        <is>
          <t>bd-chattogram</t>
        </is>
      </c>
      <c r="B703" t="inlineStr">
        <is>
          <t>Chattogram</t>
        </is>
      </c>
      <c r="C703" t="inlineStr">
        <is>
          <t>Bangladesh</t>
        </is>
      </c>
      <c r="D703" t="inlineStr">
        <is>
          <t>South Asia</t>
        </is>
      </c>
      <c r="E703" t="inlineStr">
        <is>
          <t>visitor_flow_context_raw</t>
        </is>
      </c>
      <c r="F703" t="inlineStr">
        <is>
          <t>Visitor flow context raw</t>
        </is>
      </c>
      <c r="G703" t="inlineStr">
        <is>
          <t>creative</t>
        </is>
      </c>
      <c r="H703" t="inlineStr">
        <is>
          <t>no</t>
        </is>
      </c>
      <c r="I703" t="inlineStr"/>
      <c r="J703" t="inlineStr"/>
      <c r="K703" t="inlineStr"/>
      <c r="L703" t="inlineStr"/>
      <c r="M703" t="inlineStr"/>
      <c r="N703" t="inlineStr"/>
    </row>
    <row r="704">
      <c r="A704" t="inlineStr">
        <is>
          <t>np-kathmandu</t>
        </is>
      </c>
      <c r="B704" t="inlineStr">
        <is>
          <t>Kathmandu</t>
        </is>
      </c>
      <c r="C704" t="inlineStr">
        <is>
          <t>Nepal</t>
        </is>
      </c>
      <c r="D704" t="inlineStr">
        <is>
          <t>South Asia</t>
        </is>
      </c>
      <c r="E704" t="inlineStr">
        <is>
          <t>gross_income</t>
        </is>
      </c>
      <c r="F704" t="inlineStr">
        <is>
          <t>Gross income</t>
        </is>
      </c>
      <c r="G704" t="inlineStr">
        <is>
          <t>pressure</t>
        </is>
      </c>
      <c r="H704" t="inlineStr">
        <is>
          <t>yes</t>
        </is>
      </c>
      <c r="I704" t="inlineStr"/>
      <c r="J704" t="inlineStr"/>
      <c r="K704" t="inlineStr"/>
      <c r="L704" t="inlineStr"/>
      <c r="M704" t="inlineStr"/>
      <c r="N704" t="inlineStr"/>
    </row>
    <row r="705">
      <c r="A705" t="inlineStr">
        <is>
          <t>np-kathmandu</t>
        </is>
      </c>
      <c r="B705" t="inlineStr">
        <is>
          <t>Kathmandu</t>
        </is>
      </c>
      <c r="C705" t="inlineStr">
        <is>
          <t>Nepal</t>
        </is>
      </c>
      <c r="D705" t="inlineStr">
        <is>
          <t>South Asia</t>
        </is>
      </c>
      <c r="E705" t="inlineStr">
        <is>
          <t>rent</t>
        </is>
      </c>
      <c r="F705" t="inlineStr">
        <is>
          <t>Rent</t>
        </is>
      </c>
      <c r="G705" t="inlineStr">
        <is>
          <t>pressure</t>
        </is>
      </c>
      <c r="H705" t="inlineStr">
        <is>
          <t>yes</t>
        </is>
      </c>
      <c r="I705" t="inlineStr"/>
      <c r="J705" t="inlineStr"/>
      <c r="K705" t="inlineStr"/>
      <c r="L705" t="inlineStr"/>
      <c r="M705" t="inlineStr"/>
      <c r="N705" t="inlineStr"/>
    </row>
    <row r="706">
      <c r="A706" t="inlineStr">
        <is>
          <t>np-kathmandu</t>
        </is>
      </c>
      <c r="B706" t="inlineStr">
        <is>
          <t>Kathmandu</t>
        </is>
      </c>
      <c r="C706" t="inlineStr">
        <is>
          <t>Nepal</t>
        </is>
      </c>
      <c r="D706" t="inlineStr">
        <is>
          <t>South Asia</t>
        </is>
      </c>
      <c r="E706" t="inlineStr">
        <is>
          <t>utilities</t>
        </is>
      </c>
      <c r="F706" t="inlineStr">
        <is>
          <t>Utilities</t>
        </is>
      </c>
      <c r="G706" t="inlineStr">
        <is>
          <t>pressure</t>
        </is>
      </c>
      <c r="H706" t="inlineStr">
        <is>
          <t>yes</t>
        </is>
      </c>
      <c r="I706" t="inlineStr"/>
      <c r="J706" t="inlineStr"/>
      <c r="K706" t="inlineStr"/>
      <c r="L706" t="inlineStr"/>
      <c r="M706" t="inlineStr"/>
      <c r="N706" t="inlineStr"/>
    </row>
    <row r="707">
      <c r="A707" t="inlineStr">
        <is>
          <t>np-kathmandu</t>
        </is>
      </c>
      <c r="B707" t="inlineStr">
        <is>
          <t>Kathmandu</t>
        </is>
      </c>
      <c r="C707" t="inlineStr">
        <is>
          <t>Nepal</t>
        </is>
      </c>
      <c r="D707" t="inlineStr">
        <is>
          <t>South Asia</t>
        </is>
      </c>
      <c r="E707" t="inlineStr">
        <is>
          <t>transit_cost</t>
        </is>
      </c>
      <c r="F707" t="inlineStr">
        <is>
          <t>Transit cost</t>
        </is>
      </c>
      <c r="G707" t="inlineStr">
        <is>
          <t>pressure</t>
        </is>
      </c>
      <c r="H707" t="inlineStr">
        <is>
          <t>yes</t>
        </is>
      </c>
      <c r="I707" t="inlineStr"/>
      <c r="J707" t="inlineStr"/>
      <c r="K707" t="inlineStr"/>
      <c r="L707" t="inlineStr"/>
      <c r="M707" t="inlineStr"/>
      <c r="N707" t="inlineStr"/>
    </row>
    <row r="708">
      <c r="A708" t="inlineStr">
        <is>
          <t>np-kathmandu</t>
        </is>
      </c>
      <c r="B708" t="inlineStr">
        <is>
          <t>Kathmandu</t>
        </is>
      </c>
      <c r="C708" t="inlineStr">
        <is>
          <t>Nepal</t>
        </is>
      </c>
      <c r="D708" t="inlineStr">
        <is>
          <t>South Asia</t>
        </is>
      </c>
      <c r="E708" t="inlineStr">
        <is>
          <t>internet_cost</t>
        </is>
      </c>
      <c r="F708" t="inlineStr">
        <is>
          <t>Internet cost</t>
        </is>
      </c>
      <c r="G708" t="inlineStr">
        <is>
          <t>pressure</t>
        </is>
      </c>
      <c r="H708" t="inlineStr">
        <is>
          <t>yes</t>
        </is>
      </c>
      <c r="I708" t="inlineStr"/>
      <c r="J708" t="inlineStr"/>
      <c r="K708" t="inlineStr"/>
      <c r="L708" t="inlineStr"/>
      <c r="M708" t="inlineStr"/>
      <c r="N708" t="inlineStr"/>
    </row>
    <row r="709">
      <c r="A709" t="inlineStr">
        <is>
          <t>np-kathmandu</t>
        </is>
      </c>
      <c r="B709" t="inlineStr">
        <is>
          <t>Kathmandu</t>
        </is>
      </c>
      <c r="C709" t="inlineStr">
        <is>
          <t>Nepal</t>
        </is>
      </c>
      <c r="D709" t="inlineStr">
        <is>
          <t>South Asia</t>
        </is>
      </c>
      <c r="E709" t="inlineStr">
        <is>
          <t>food_cost</t>
        </is>
      </c>
      <c r="F709" t="inlineStr">
        <is>
          <t>Food cost</t>
        </is>
      </c>
      <c r="G709" t="inlineStr">
        <is>
          <t>pressure</t>
        </is>
      </c>
      <c r="H709" t="inlineStr">
        <is>
          <t>yes</t>
        </is>
      </c>
      <c r="I709" t="inlineStr"/>
      <c r="J709" t="inlineStr"/>
      <c r="K709" t="inlineStr"/>
      <c r="L709" t="inlineStr"/>
      <c r="M709" t="inlineStr"/>
      <c r="N709" t="inlineStr"/>
    </row>
    <row r="710">
      <c r="A710" t="inlineStr">
        <is>
          <t>np-kathmandu</t>
        </is>
      </c>
      <c r="B710" t="inlineStr">
        <is>
          <t>Kathmandu</t>
        </is>
      </c>
      <c r="C710" t="inlineStr">
        <is>
          <t>Nepal</t>
        </is>
      </c>
      <c r="D710" t="inlineStr">
        <is>
          <t>South Asia</t>
        </is>
      </c>
      <c r="E710" t="inlineStr">
        <is>
          <t>housing_burden_raw</t>
        </is>
      </c>
      <c r="F710" t="inlineStr">
        <is>
          <t>Housing burden raw</t>
        </is>
      </c>
      <c r="G710" t="inlineStr">
        <is>
          <t>pressure</t>
        </is>
      </c>
      <c r="H710" t="inlineStr">
        <is>
          <t>yes</t>
        </is>
      </c>
      <c r="I710" t="inlineStr"/>
      <c r="J710" t="inlineStr"/>
      <c r="K710" t="inlineStr"/>
      <c r="L710" t="inlineStr"/>
      <c r="M710" t="inlineStr"/>
      <c r="N710" t="inlineStr"/>
    </row>
    <row r="711">
      <c r="A711" t="inlineStr">
        <is>
          <t>np-kathmandu</t>
        </is>
      </c>
      <c r="B711" t="inlineStr">
        <is>
          <t>Kathmandu</t>
        </is>
      </c>
      <c r="C711" t="inlineStr">
        <is>
          <t>Nepal</t>
        </is>
      </c>
      <c r="D711" t="inlineStr">
        <is>
          <t>South Asia</t>
        </is>
      </c>
      <c r="E711" t="inlineStr">
        <is>
          <t>household_debt_burden_raw</t>
        </is>
      </c>
      <c r="F711" t="inlineStr">
        <is>
          <t>Household debt burden raw</t>
        </is>
      </c>
      <c r="G711" t="inlineStr">
        <is>
          <t>pressure</t>
        </is>
      </c>
      <c r="H711" t="inlineStr">
        <is>
          <t>yes</t>
        </is>
      </c>
      <c r="I711" t="inlineStr"/>
      <c r="J711" t="inlineStr"/>
      <c r="K711" t="inlineStr"/>
      <c r="L711" t="inlineStr"/>
      <c r="M711" t="inlineStr"/>
      <c r="N711" t="inlineStr"/>
    </row>
    <row r="712">
      <c r="A712" t="inlineStr">
        <is>
          <t>np-kathmandu</t>
        </is>
      </c>
      <c r="B712" t="inlineStr">
        <is>
          <t>Kathmandu</t>
        </is>
      </c>
      <c r="C712" t="inlineStr">
        <is>
          <t>Nepal</t>
        </is>
      </c>
      <c r="D712" t="inlineStr">
        <is>
          <t>South Asia</t>
        </is>
      </c>
      <c r="E712" t="inlineStr">
        <is>
          <t>working_time_pressure_raw</t>
        </is>
      </c>
      <c r="F712" t="inlineStr">
        <is>
          <t>Working time pressure raw</t>
        </is>
      </c>
      <c r="G712" t="inlineStr">
        <is>
          <t>pressure</t>
        </is>
      </c>
      <c r="H712" t="inlineStr">
        <is>
          <t>yes</t>
        </is>
      </c>
      <c r="I712" t="inlineStr"/>
      <c r="J712" t="inlineStr"/>
      <c r="K712" t="inlineStr"/>
      <c r="L712" t="inlineStr"/>
      <c r="M712" t="inlineStr"/>
      <c r="N712" t="inlineStr"/>
    </row>
    <row r="713">
      <c r="A713" t="inlineStr">
        <is>
          <t>np-kathmandu</t>
        </is>
      </c>
      <c r="B713" t="inlineStr">
        <is>
          <t>Kathmandu</t>
        </is>
      </c>
      <c r="C713" t="inlineStr">
        <is>
          <t>Nepal</t>
        </is>
      </c>
      <c r="D713" t="inlineStr">
        <is>
          <t>South Asia</t>
        </is>
      </c>
      <c r="E713" t="inlineStr">
        <is>
          <t>suicide_mental_strain_raw</t>
        </is>
      </c>
      <c r="F713" t="inlineStr">
        <is>
          <t>Suicide or mental strain raw</t>
        </is>
      </c>
      <c r="G713" t="inlineStr">
        <is>
          <t>pressure</t>
        </is>
      </c>
      <c r="H713" t="inlineStr">
        <is>
          <t>yes</t>
        </is>
      </c>
      <c r="I713" t="inlineStr"/>
      <c r="J713" t="inlineStr"/>
      <c r="K713" t="inlineStr"/>
      <c r="L713" t="inlineStr"/>
      <c r="M713" t="inlineStr"/>
      <c r="N713" t="inlineStr"/>
    </row>
    <row r="714">
      <c r="A714" t="inlineStr">
        <is>
          <t>np-kathmandu</t>
        </is>
      </c>
      <c r="B714" t="inlineStr">
        <is>
          <t>Kathmandu</t>
        </is>
      </c>
      <c r="C714" t="inlineStr">
        <is>
          <t>Nepal</t>
        </is>
      </c>
      <c r="D714" t="inlineStr">
        <is>
          <t>South Asia</t>
        </is>
      </c>
      <c r="E714" t="inlineStr">
        <is>
          <t>personal_safety_raw</t>
        </is>
      </c>
      <c r="F714" t="inlineStr">
        <is>
          <t>Personal safety raw</t>
        </is>
      </c>
      <c r="G714" t="inlineStr">
        <is>
          <t>viability</t>
        </is>
      </c>
      <c r="H714" t="inlineStr">
        <is>
          <t>yes</t>
        </is>
      </c>
      <c r="I714" t="inlineStr"/>
      <c r="J714" t="inlineStr"/>
      <c r="K714" t="inlineStr"/>
      <c r="L714" t="inlineStr"/>
      <c r="M714" t="inlineStr"/>
      <c r="N714" t="inlineStr"/>
    </row>
    <row r="715">
      <c r="A715" t="inlineStr">
        <is>
          <t>np-kathmandu</t>
        </is>
      </c>
      <c r="B715" t="inlineStr">
        <is>
          <t>Kathmandu</t>
        </is>
      </c>
      <c r="C715" t="inlineStr">
        <is>
          <t>Nepal</t>
        </is>
      </c>
      <c r="D715" t="inlineStr">
        <is>
          <t>South Asia</t>
        </is>
      </c>
      <c r="E715" t="inlineStr">
        <is>
          <t>transit_access_commute_raw</t>
        </is>
      </c>
      <c r="F715" t="inlineStr">
        <is>
          <t>Transit access and commute raw</t>
        </is>
      </c>
      <c r="G715" t="inlineStr">
        <is>
          <t>viability</t>
        </is>
      </c>
      <c r="H715" t="inlineStr">
        <is>
          <t>yes</t>
        </is>
      </c>
      <c r="I715" t="inlineStr"/>
      <c r="J715" t="inlineStr"/>
      <c r="K715" t="inlineStr"/>
      <c r="L715" t="inlineStr"/>
      <c r="M715" t="inlineStr"/>
      <c r="N715" t="inlineStr"/>
    </row>
    <row r="716">
      <c r="A716" t="inlineStr">
        <is>
          <t>np-kathmandu</t>
        </is>
      </c>
      <c r="B716" t="inlineStr">
        <is>
          <t>Kathmandu</t>
        </is>
      </c>
      <c r="C716" t="inlineStr">
        <is>
          <t>Nepal</t>
        </is>
      </c>
      <c r="D716" t="inlineStr">
        <is>
          <t>South Asia</t>
        </is>
      </c>
      <c r="E716" t="inlineStr">
        <is>
          <t>clean_air_raw</t>
        </is>
      </c>
      <c r="F716" t="inlineStr">
        <is>
          <t>Clean air raw</t>
        </is>
      </c>
      <c r="G716" t="inlineStr">
        <is>
          <t>viability</t>
        </is>
      </c>
      <c r="H716" t="inlineStr">
        <is>
          <t>yes</t>
        </is>
      </c>
      <c r="I716" t="inlineStr"/>
      <c r="J716" t="inlineStr"/>
      <c r="K716" t="inlineStr"/>
      <c r="L716" t="inlineStr"/>
      <c r="M716" t="inlineStr"/>
      <c r="N716" t="inlineStr"/>
    </row>
    <row r="717">
      <c r="A717" t="inlineStr">
        <is>
          <t>np-kathmandu</t>
        </is>
      </c>
      <c r="B717" t="inlineStr">
        <is>
          <t>Kathmandu</t>
        </is>
      </c>
      <c r="C717" t="inlineStr">
        <is>
          <t>Nepal</t>
        </is>
      </c>
      <c r="D717" t="inlineStr">
        <is>
          <t>South Asia</t>
        </is>
      </c>
      <c r="E717" t="inlineStr">
        <is>
          <t>water_sanitation_utility_raw</t>
        </is>
      </c>
      <c r="F717" t="inlineStr">
        <is>
          <t>Water, sanitation, and utility raw</t>
        </is>
      </c>
      <c r="G717" t="inlineStr">
        <is>
          <t>viability</t>
        </is>
      </c>
      <c r="H717" t="inlineStr">
        <is>
          <t>yes</t>
        </is>
      </c>
      <c r="I717" t="inlineStr"/>
      <c r="J717" t="inlineStr"/>
      <c r="K717" t="inlineStr"/>
      <c r="L717" t="inlineStr"/>
      <c r="M717" t="inlineStr"/>
      <c r="N717" t="inlineStr"/>
    </row>
    <row r="718">
      <c r="A718" t="inlineStr">
        <is>
          <t>np-kathmandu</t>
        </is>
      </c>
      <c r="B718" t="inlineStr">
        <is>
          <t>Kathmandu</t>
        </is>
      </c>
      <c r="C718" t="inlineStr">
        <is>
          <t>Nepal</t>
        </is>
      </c>
      <c r="D718" t="inlineStr">
        <is>
          <t>South Asia</t>
        </is>
      </c>
      <c r="E718" t="inlineStr">
        <is>
          <t>digital_infrastructure_raw</t>
        </is>
      </c>
      <c r="F718" t="inlineStr">
        <is>
          <t>Digital infrastructure raw</t>
        </is>
      </c>
      <c r="G718" t="inlineStr">
        <is>
          <t>viability</t>
        </is>
      </c>
      <c r="H718" t="inlineStr">
        <is>
          <t>yes</t>
        </is>
      </c>
      <c r="I718" t="inlineStr"/>
      <c r="J718" t="inlineStr"/>
      <c r="K718" t="inlineStr"/>
      <c r="L718" t="inlineStr"/>
      <c r="M718" t="inlineStr"/>
      <c r="N718" t="inlineStr"/>
    </row>
    <row r="719">
      <c r="A719" t="inlineStr">
        <is>
          <t>np-kathmandu</t>
        </is>
      </c>
      <c r="B719" t="inlineStr">
        <is>
          <t>Kathmandu</t>
        </is>
      </c>
      <c r="C719" t="inlineStr">
        <is>
          <t>Nepal</t>
        </is>
      </c>
      <c r="D719" t="inlineStr">
        <is>
          <t>South Asia</t>
        </is>
      </c>
      <c r="E719" t="inlineStr">
        <is>
          <t>healthcare_quality_raw</t>
        </is>
      </c>
      <c r="F719" t="inlineStr">
        <is>
          <t>Healthcare quality raw</t>
        </is>
      </c>
      <c r="G719" t="inlineStr">
        <is>
          <t>capability</t>
        </is>
      </c>
      <c r="H719" t="inlineStr">
        <is>
          <t>yes</t>
        </is>
      </c>
      <c r="I719" t="inlineStr"/>
      <c r="J719" t="inlineStr"/>
      <c r="K719" t="inlineStr"/>
      <c r="L719" t="inlineStr"/>
      <c r="M719" t="inlineStr"/>
      <c r="N719" t="inlineStr"/>
    </row>
    <row r="720">
      <c r="A720" t="inlineStr">
        <is>
          <t>np-kathmandu</t>
        </is>
      </c>
      <c r="B720" t="inlineStr">
        <is>
          <t>Kathmandu</t>
        </is>
      </c>
      <c r="C720" t="inlineStr">
        <is>
          <t>Nepal</t>
        </is>
      </c>
      <c r="D720" t="inlineStr">
        <is>
          <t>South Asia</t>
        </is>
      </c>
      <c r="E720" t="inlineStr">
        <is>
          <t>education_quality_raw</t>
        </is>
      </c>
      <c r="F720" t="inlineStr">
        <is>
          <t>Education quality raw</t>
        </is>
      </c>
      <c r="G720" t="inlineStr">
        <is>
          <t>capability</t>
        </is>
      </c>
      <c r="H720" t="inlineStr">
        <is>
          <t>yes</t>
        </is>
      </c>
      <c r="I720" t="inlineStr"/>
      <c r="J720" t="inlineStr"/>
      <c r="K720" t="inlineStr"/>
      <c r="L720" t="inlineStr"/>
      <c r="M720" t="inlineStr"/>
      <c r="N720" t="inlineStr"/>
    </row>
    <row r="721">
      <c r="A721" t="inlineStr">
        <is>
          <t>np-kathmandu</t>
        </is>
      </c>
      <c r="B721" t="inlineStr">
        <is>
          <t>Kathmandu</t>
        </is>
      </c>
      <c r="C721" t="inlineStr">
        <is>
          <t>Nepal</t>
        </is>
      </c>
      <c r="D721" t="inlineStr">
        <is>
          <t>South Asia</t>
        </is>
      </c>
      <c r="E721" t="inlineStr">
        <is>
          <t>equal_opportunity_raw</t>
        </is>
      </c>
      <c r="F721" t="inlineStr">
        <is>
          <t>Equal opportunity raw</t>
        </is>
      </c>
      <c r="G721" t="inlineStr">
        <is>
          <t>capability</t>
        </is>
      </c>
      <c r="H721" t="inlineStr">
        <is>
          <t>yes</t>
        </is>
      </c>
      <c r="I721" t="inlineStr"/>
      <c r="J721" t="inlineStr"/>
      <c r="K721" t="inlineStr"/>
      <c r="L721" t="inlineStr"/>
      <c r="M721" t="inlineStr"/>
      <c r="N721" t="inlineStr"/>
    </row>
    <row r="722">
      <c r="A722" t="inlineStr">
        <is>
          <t>np-kathmandu</t>
        </is>
      </c>
      <c r="B722" t="inlineStr">
        <is>
          <t>Kathmandu</t>
        </is>
      </c>
      <c r="C722" t="inlineStr">
        <is>
          <t>Nepal</t>
        </is>
      </c>
      <c r="D722" t="inlineStr">
        <is>
          <t>South Asia</t>
        </is>
      </c>
      <c r="E722" t="inlineStr">
        <is>
          <t>hospitality_belonging_raw</t>
        </is>
      </c>
      <c r="F722" t="inlineStr">
        <is>
          <t>Hospitality and belonging raw</t>
        </is>
      </c>
      <c r="G722" t="inlineStr">
        <is>
          <t>community</t>
        </is>
      </c>
      <c r="H722" t="inlineStr">
        <is>
          <t>yes</t>
        </is>
      </c>
      <c r="I722" t="inlineStr"/>
      <c r="J722" t="inlineStr"/>
      <c r="K722" t="inlineStr"/>
      <c r="L722" t="inlineStr"/>
      <c r="M722" t="inlineStr"/>
      <c r="N722" t="inlineStr"/>
    </row>
    <row r="723">
      <c r="A723" t="inlineStr">
        <is>
          <t>np-kathmandu</t>
        </is>
      </c>
      <c r="B723" t="inlineStr">
        <is>
          <t>Kathmandu</t>
        </is>
      </c>
      <c r="C723" t="inlineStr">
        <is>
          <t>Nepal</t>
        </is>
      </c>
      <c r="D723" t="inlineStr">
        <is>
          <t>South Asia</t>
        </is>
      </c>
      <c r="E723" t="inlineStr">
        <is>
          <t>tolerance_pluralism_raw</t>
        </is>
      </c>
      <c r="F723" t="inlineStr">
        <is>
          <t>Tolerance and pluralism raw</t>
        </is>
      </c>
      <c r="G723" t="inlineStr">
        <is>
          <t>community</t>
        </is>
      </c>
      <c r="H723" t="inlineStr">
        <is>
          <t>yes</t>
        </is>
      </c>
      <c r="I723" t="inlineStr"/>
      <c r="J723" t="inlineStr"/>
      <c r="K723" t="inlineStr"/>
      <c r="L723" t="inlineStr"/>
      <c r="M723" t="inlineStr"/>
      <c r="N723" t="inlineStr"/>
    </row>
    <row r="724">
      <c r="A724" t="inlineStr">
        <is>
          <t>np-kathmandu</t>
        </is>
      </c>
      <c r="B724" t="inlineStr">
        <is>
          <t>Kathmandu</t>
        </is>
      </c>
      <c r="C724" t="inlineStr">
        <is>
          <t>Nepal</t>
        </is>
      </c>
      <c r="D724" t="inlineStr">
        <is>
          <t>South Asia</t>
        </is>
      </c>
      <c r="E724" t="inlineStr">
        <is>
          <t>cultural_public_life_raw</t>
        </is>
      </c>
      <c r="F724" t="inlineStr">
        <is>
          <t>Cultural public life raw</t>
        </is>
      </c>
      <c r="G724" t="inlineStr">
        <is>
          <t>community</t>
        </is>
      </c>
      <c r="H724" t="inlineStr">
        <is>
          <t>yes</t>
        </is>
      </c>
      <c r="I724" t="inlineStr"/>
      <c r="J724" t="inlineStr"/>
      <c r="K724" t="inlineStr"/>
      <c r="L724" t="inlineStr"/>
      <c r="M724" t="inlineStr"/>
      <c r="N724" t="inlineStr"/>
    </row>
    <row r="725">
      <c r="A725" t="inlineStr">
        <is>
          <t>np-kathmandu</t>
        </is>
      </c>
      <c r="B725" t="inlineStr">
        <is>
          <t>Kathmandu</t>
        </is>
      </c>
      <c r="C725" t="inlineStr">
        <is>
          <t>Nepal</t>
        </is>
      </c>
      <c r="D725" t="inlineStr">
        <is>
          <t>South Asia</t>
        </is>
      </c>
      <c r="E725" t="inlineStr">
        <is>
          <t>entrepreneurial_dynamism_raw</t>
        </is>
      </c>
      <c r="F725" t="inlineStr">
        <is>
          <t>Entrepreneurial dynamism raw</t>
        </is>
      </c>
      <c r="G725" t="inlineStr">
        <is>
          <t>creative</t>
        </is>
      </c>
      <c r="H725" t="inlineStr">
        <is>
          <t>yes</t>
        </is>
      </c>
      <c r="I725" t="inlineStr"/>
      <c r="J725" t="inlineStr"/>
      <c r="K725" t="inlineStr"/>
      <c r="L725" t="inlineStr"/>
      <c r="M725" t="inlineStr"/>
      <c r="N725" t="inlineStr"/>
    </row>
    <row r="726">
      <c r="A726" t="inlineStr">
        <is>
          <t>np-kathmandu</t>
        </is>
      </c>
      <c r="B726" t="inlineStr">
        <is>
          <t>Kathmandu</t>
        </is>
      </c>
      <c r="C726" t="inlineStr">
        <is>
          <t>Nepal</t>
        </is>
      </c>
      <c r="D726" t="inlineStr">
        <is>
          <t>South Asia</t>
        </is>
      </c>
      <c r="E726" t="inlineStr">
        <is>
          <t>innovation_research_intensity_raw</t>
        </is>
      </c>
      <c r="F726" t="inlineStr">
        <is>
          <t>Innovation and research raw</t>
        </is>
      </c>
      <c r="G726" t="inlineStr">
        <is>
          <t>creative</t>
        </is>
      </c>
      <c r="H726" t="inlineStr">
        <is>
          <t>yes</t>
        </is>
      </c>
      <c r="I726" t="inlineStr"/>
      <c r="J726" t="inlineStr"/>
      <c r="K726" t="inlineStr"/>
      <c r="L726" t="inlineStr"/>
      <c r="M726" t="inlineStr"/>
      <c r="N726" t="inlineStr"/>
    </row>
    <row r="727">
      <c r="A727" t="inlineStr">
        <is>
          <t>np-kathmandu</t>
        </is>
      </c>
      <c r="B727" t="inlineStr">
        <is>
          <t>Kathmandu</t>
        </is>
      </c>
      <c r="C727" t="inlineStr">
        <is>
          <t>Nepal</t>
        </is>
      </c>
      <c r="D727" t="inlineStr">
        <is>
          <t>South Asia</t>
        </is>
      </c>
      <c r="E727" t="inlineStr">
        <is>
          <t>investment_signal_raw</t>
        </is>
      </c>
      <c r="F727" t="inlineStr">
        <is>
          <t>Investment signal raw</t>
        </is>
      </c>
      <c r="G727" t="inlineStr">
        <is>
          <t>creative</t>
        </is>
      </c>
      <c r="H727" t="inlineStr">
        <is>
          <t>yes</t>
        </is>
      </c>
      <c r="I727" t="inlineStr"/>
      <c r="J727" t="inlineStr"/>
      <c r="K727" t="inlineStr"/>
      <c r="L727" t="inlineStr"/>
      <c r="M727" t="inlineStr"/>
      <c r="N727" t="inlineStr"/>
    </row>
    <row r="728">
      <c r="A728" t="inlineStr">
        <is>
          <t>np-kathmandu</t>
        </is>
      </c>
      <c r="B728" t="inlineStr">
        <is>
          <t>Kathmandu</t>
        </is>
      </c>
      <c r="C728" t="inlineStr">
        <is>
          <t>Nepal</t>
        </is>
      </c>
      <c r="D728" t="inlineStr">
        <is>
          <t>South Asia</t>
        </is>
      </c>
      <c r="E728" t="inlineStr">
        <is>
          <t>administrative_investment_friction_raw</t>
        </is>
      </c>
      <c r="F728" t="inlineStr">
        <is>
          <t>Administrative investment friction raw</t>
        </is>
      </c>
      <c r="G728" t="inlineStr">
        <is>
          <t>creative</t>
        </is>
      </c>
      <c r="H728" t="inlineStr">
        <is>
          <t>yes</t>
        </is>
      </c>
      <c r="I728" t="inlineStr"/>
      <c r="J728" t="inlineStr"/>
      <c r="K728" t="inlineStr"/>
      <c r="L728" t="inlineStr"/>
      <c r="M728" t="inlineStr"/>
      <c r="N728" t="inlineStr"/>
    </row>
    <row r="729">
      <c r="A729" t="inlineStr">
        <is>
          <t>np-kathmandu</t>
        </is>
      </c>
      <c r="B729" t="inlineStr">
        <is>
          <t>Kathmandu</t>
        </is>
      </c>
      <c r="C729" t="inlineStr">
        <is>
          <t>Nepal</t>
        </is>
      </c>
      <c r="D729" t="inlineStr">
        <is>
          <t>South Asia</t>
        </is>
      </c>
      <c r="E729" t="inlineStr">
        <is>
          <t>visitor_flow_context_raw</t>
        </is>
      </c>
      <c r="F729" t="inlineStr">
        <is>
          <t>Visitor flow context raw</t>
        </is>
      </c>
      <c r="G729" t="inlineStr">
        <is>
          <t>creative</t>
        </is>
      </c>
      <c r="H729" t="inlineStr">
        <is>
          <t>no</t>
        </is>
      </c>
      <c r="I729" t="inlineStr"/>
      <c r="J729" t="inlineStr"/>
      <c r="K729" t="inlineStr"/>
      <c r="L729" t="inlineStr"/>
      <c r="M729" t="inlineStr"/>
      <c r="N729" t="inlineStr"/>
    </row>
    <row r="730">
      <c r="A730" t="inlineStr">
        <is>
          <t>bt-thimphu</t>
        </is>
      </c>
      <c r="B730" t="inlineStr">
        <is>
          <t>Thimphu</t>
        </is>
      </c>
      <c r="C730" t="inlineStr">
        <is>
          <t>Bhutan</t>
        </is>
      </c>
      <c r="D730" t="inlineStr">
        <is>
          <t>South Asia</t>
        </is>
      </c>
      <c r="E730" t="inlineStr">
        <is>
          <t>gross_income</t>
        </is>
      </c>
      <c r="F730" t="inlineStr">
        <is>
          <t>Gross income</t>
        </is>
      </c>
      <c r="G730" t="inlineStr">
        <is>
          <t>pressure</t>
        </is>
      </c>
      <c r="H730" t="inlineStr">
        <is>
          <t>yes</t>
        </is>
      </c>
      <c r="I730" t="inlineStr"/>
      <c r="J730" t="inlineStr"/>
      <c r="K730" t="inlineStr"/>
      <c r="L730" t="inlineStr"/>
      <c r="M730" t="inlineStr"/>
      <c r="N730" t="inlineStr"/>
    </row>
    <row r="731">
      <c r="A731" t="inlineStr">
        <is>
          <t>bt-thimphu</t>
        </is>
      </c>
      <c r="B731" t="inlineStr">
        <is>
          <t>Thimphu</t>
        </is>
      </c>
      <c r="C731" t="inlineStr">
        <is>
          <t>Bhutan</t>
        </is>
      </c>
      <c r="D731" t="inlineStr">
        <is>
          <t>South Asia</t>
        </is>
      </c>
      <c r="E731" t="inlineStr">
        <is>
          <t>rent</t>
        </is>
      </c>
      <c r="F731" t="inlineStr">
        <is>
          <t>Rent</t>
        </is>
      </c>
      <c r="G731" t="inlineStr">
        <is>
          <t>pressure</t>
        </is>
      </c>
      <c r="H731" t="inlineStr">
        <is>
          <t>yes</t>
        </is>
      </c>
      <c r="I731" t="inlineStr"/>
      <c r="J731" t="inlineStr"/>
      <c r="K731" t="inlineStr"/>
      <c r="L731" t="inlineStr"/>
      <c r="M731" t="inlineStr"/>
      <c r="N731" t="inlineStr"/>
    </row>
    <row r="732">
      <c r="A732" t="inlineStr">
        <is>
          <t>bt-thimphu</t>
        </is>
      </c>
      <c r="B732" t="inlineStr">
        <is>
          <t>Thimphu</t>
        </is>
      </c>
      <c r="C732" t="inlineStr">
        <is>
          <t>Bhutan</t>
        </is>
      </c>
      <c r="D732" t="inlineStr">
        <is>
          <t>South Asia</t>
        </is>
      </c>
      <c r="E732" t="inlineStr">
        <is>
          <t>utilities</t>
        </is>
      </c>
      <c r="F732" t="inlineStr">
        <is>
          <t>Utilities</t>
        </is>
      </c>
      <c r="G732" t="inlineStr">
        <is>
          <t>pressure</t>
        </is>
      </c>
      <c r="H732" t="inlineStr">
        <is>
          <t>yes</t>
        </is>
      </c>
      <c r="I732" t="inlineStr"/>
      <c r="J732" t="inlineStr"/>
      <c r="K732" t="inlineStr"/>
      <c r="L732" t="inlineStr"/>
      <c r="M732" t="inlineStr"/>
      <c r="N732" t="inlineStr"/>
    </row>
    <row r="733">
      <c r="A733" t="inlineStr">
        <is>
          <t>bt-thimphu</t>
        </is>
      </c>
      <c r="B733" t="inlineStr">
        <is>
          <t>Thimphu</t>
        </is>
      </c>
      <c r="C733" t="inlineStr">
        <is>
          <t>Bhutan</t>
        </is>
      </c>
      <c r="D733" t="inlineStr">
        <is>
          <t>South Asia</t>
        </is>
      </c>
      <c r="E733" t="inlineStr">
        <is>
          <t>transit_cost</t>
        </is>
      </c>
      <c r="F733" t="inlineStr">
        <is>
          <t>Transit cost</t>
        </is>
      </c>
      <c r="G733" t="inlineStr">
        <is>
          <t>pressure</t>
        </is>
      </c>
      <c r="H733" t="inlineStr">
        <is>
          <t>yes</t>
        </is>
      </c>
      <c r="I733" t="inlineStr"/>
      <c r="J733" t="inlineStr"/>
      <c r="K733" t="inlineStr"/>
      <c r="L733" t="inlineStr"/>
      <c r="M733" t="inlineStr"/>
      <c r="N733" t="inlineStr"/>
    </row>
    <row r="734">
      <c r="A734" t="inlineStr">
        <is>
          <t>bt-thimphu</t>
        </is>
      </c>
      <c r="B734" t="inlineStr">
        <is>
          <t>Thimphu</t>
        </is>
      </c>
      <c r="C734" t="inlineStr">
        <is>
          <t>Bhutan</t>
        </is>
      </c>
      <c r="D734" t="inlineStr">
        <is>
          <t>South Asia</t>
        </is>
      </c>
      <c r="E734" t="inlineStr">
        <is>
          <t>internet_cost</t>
        </is>
      </c>
      <c r="F734" t="inlineStr">
        <is>
          <t>Internet cost</t>
        </is>
      </c>
      <c r="G734" t="inlineStr">
        <is>
          <t>pressure</t>
        </is>
      </c>
      <c r="H734" t="inlineStr">
        <is>
          <t>yes</t>
        </is>
      </c>
      <c r="I734" t="inlineStr"/>
      <c r="J734" t="inlineStr"/>
      <c r="K734" t="inlineStr"/>
      <c r="L734" t="inlineStr"/>
      <c r="M734" t="inlineStr"/>
      <c r="N734" t="inlineStr"/>
    </row>
    <row r="735">
      <c r="A735" t="inlineStr">
        <is>
          <t>bt-thimphu</t>
        </is>
      </c>
      <c r="B735" t="inlineStr">
        <is>
          <t>Thimphu</t>
        </is>
      </c>
      <c r="C735" t="inlineStr">
        <is>
          <t>Bhutan</t>
        </is>
      </c>
      <c r="D735" t="inlineStr">
        <is>
          <t>South Asia</t>
        </is>
      </c>
      <c r="E735" t="inlineStr">
        <is>
          <t>food_cost</t>
        </is>
      </c>
      <c r="F735" t="inlineStr">
        <is>
          <t>Food cost</t>
        </is>
      </c>
      <c r="G735" t="inlineStr">
        <is>
          <t>pressure</t>
        </is>
      </c>
      <c r="H735" t="inlineStr">
        <is>
          <t>yes</t>
        </is>
      </c>
      <c r="I735" t="inlineStr"/>
      <c r="J735" t="inlineStr"/>
      <c r="K735" t="inlineStr"/>
      <c r="L735" t="inlineStr"/>
      <c r="M735" t="inlineStr"/>
      <c r="N735" t="inlineStr"/>
    </row>
    <row r="736">
      <c r="A736" t="inlineStr">
        <is>
          <t>bt-thimphu</t>
        </is>
      </c>
      <c r="B736" t="inlineStr">
        <is>
          <t>Thimphu</t>
        </is>
      </c>
      <c r="C736" t="inlineStr">
        <is>
          <t>Bhutan</t>
        </is>
      </c>
      <c r="D736" t="inlineStr">
        <is>
          <t>South Asia</t>
        </is>
      </c>
      <c r="E736" t="inlineStr">
        <is>
          <t>housing_burden_raw</t>
        </is>
      </c>
      <c r="F736" t="inlineStr">
        <is>
          <t>Housing burden raw</t>
        </is>
      </c>
      <c r="G736" t="inlineStr">
        <is>
          <t>pressure</t>
        </is>
      </c>
      <c r="H736" t="inlineStr">
        <is>
          <t>yes</t>
        </is>
      </c>
      <c r="I736" t="inlineStr"/>
      <c r="J736" t="inlineStr"/>
      <c r="K736" t="inlineStr"/>
      <c r="L736" t="inlineStr"/>
      <c r="M736" t="inlineStr"/>
      <c r="N736" t="inlineStr"/>
    </row>
    <row r="737">
      <c r="A737" t="inlineStr">
        <is>
          <t>bt-thimphu</t>
        </is>
      </c>
      <c r="B737" t="inlineStr">
        <is>
          <t>Thimphu</t>
        </is>
      </c>
      <c r="C737" t="inlineStr">
        <is>
          <t>Bhutan</t>
        </is>
      </c>
      <c r="D737" t="inlineStr">
        <is>
          <t>South Asia</t>
        </is>
      </c>
      <c r="E737" t="inlineStr">
        <is>
          <t>household_debt_burden_raw</t>
        </is>
      </c>
      <c r="F737" t="inlineStr">
        <is>
          <t>Household debt burden raw</t>
        </is>
      </c>
      <c r="G737" t="inlineStr">
        <is>
          <t>pressure</t>
        </is>
      </c>
      <c r="H737" t="inlineStr">
        <is>
          <t>yes</t>
        </is>
      </c>
      <c r="I737" t="inlineStr"/>
      <c r="J737" t="inlineStr"/>
      <c r="K737" t="inlineStr"/>
      <c r="L737" t="inlineStr"/>
      <c r="M737" t="inlineStr"/>
      <c r="N737" t="inlineStr"/>
    </row>
    <row r="738">
      <c r="A738" t="inlineStr">
        <is>
          <t>bt-thimphu</t>
        </is>
      </c>
      <c r="B738" t="inlineStr">
        <is>
          <t>Thimphu</t>
        </is>
      </c>
      <c r="C738" t="inlineStr">
        <is>
          <t>Bhutan</t>
        </is>
      </c>
      <c r="D738" t="inlineStr">
        <is>
          <t>South Asia</t>
        </is>
      </c>
      <c r="E738" t="inlineStr">
        <is>
          <t>working_time_pressure_raw</t>
        </is>
      </c>
      <c r="F738" t="inlineStr">
        <is>
          <t>Working time pressure raw</t>
        </is>
      </c>
      <c r="G738" t="inlineStr">
        <is>
          <t>pressure</t>
        </is>
      </c>
      <c r="H738" t="inlineStr">
        <is>
          <t>yes</t>
        </is>
      </c>
      <c r="I738" t="inlineStr"/>
      <c r="J738" t="inlineStr"/>
      <c r="K738" t="inlineStr"/>
      <c r="L738" t="inlineStr"/>
      <c r="M738" t="inlineStr"/>
      <c r="N738" t="inlineStr"/>
    </row>
    <row r="739">
      <c r="A739" t="inlineStr">
        <is>
          <t>bt-thimphu</t>
        </is>
      </c>
      <c r="B739" t="inlineStr">
        <is>
          <t>Thimphu</t>
        </is>
      </c>
      <c r="C739" t="inlineStr">
        <is>
          <t>Bhutan</t>
        </is>
      </c>
      <c r="D739" t="inlineStr">
        <is>
          <t>South Asia</t>
        </is>
      </c>
      <c r="E739" t="inlineStr">
        <is>
          <t>suicide_mental_strain_raw</t>
        </is>
      </c>
      <c r="F739" t="inlineStr">
        <is>
          <t>Suicide or mental strain raw</t>
        </is>
      </c>
      <c r="G739" t="inlineStr">
        <is>
          <t>pressure</t>
        </is>
      </c>
      <c r="H739" t="inlineStr">
        <is>
          <t>yes</t>
        </is>
      </c>
      <c r="I739" t="inlineStr"/>
      <c r="J739" t="inlineStr"/>
      <c r="K739" t="inlineStr"/>
      <c r="L739" t="inlineStr"/>
      <c r="M739" t="inlineStr"/>
      <c r="N739" t="inlineStr"/>
    </row>
    <row r="740">
      <c r="A740" t="inlineStr">
        <is>
          <t>bt-thimphu</t>
        </is>
      </c>
      <c r="B740" t="inlineStr">
        <is>
          <t>Thimphu</t>
        </is>
      </c>
      <c r="C740" t="inlineStr">
        <is>
          <t>Bhutan</t>
        </is>
      </c>
      <c r="D740" t="inlineStr">
        <is>
          <t>South Asia</t>
        </is>
      </c>
      <c r="E740" t="inlineStr">
        <is>
          <t>personal_safety_raw</t>
        </is>
      </c>
      <c r="F740" t="inlineStr">
        <is>
          <t>Personal safety raw</t>
        </is>
      </c>
      <c r="G740" t="inlineStr">
        <is>
          <t>viability</t>
        </is>
      </c>
      <c r="H740" t="inlineStr">
        <is>
          <t>yes</t>
        </is>
      </c>
      <c r="I740" t="inlineStr"/>
      <c r="J740" t="inlineStr"/>
      <c r="K740" t="inlineStr"/>
      <c r="L740" t="inlineStr"/>
      <c r="M740" t="inlineStr"/>
      <c r="N740" t="inlineStr"/>
    </row>
    <row r="741">
      <c r="A741" t="inlineStr">
        <is>
          <t>bt-thimphu</t>
        </is>
      </c>
      <c r="B741" t="inlineStr">
        <is>
          <t>Thimphu</t>
        </is>
      </c>
      <c r="C741" t="inlineStr">
        <is>
          <t>Bhutan</t>
        </is>
      </c>
      <c r="D741" t="inlineStr">
        <is>
          <t>South Asia</t>
        </is>
      </c>
      <c r="E741" t="inlineStr">
        <is>
          <t>transit_access_commute_raw</t>
        </is>
      </c>
      <c r="F741" t="inlineStr">
        <is>
          <t>Transit access and commute raw</t>
        </is>
      </c>
      <c r="G741" t="inlineStr">
        <is>
          <t>viability</t>
        </is>
      </c>
      <c r="H741" t="inlineStr">
        <is>
          <t>yes</t>
        </is>
      </c>
      <c r="I741" t="inlineStr"/>
      <c r="J741" t="inlineStr"/>
      <c r="K741" t="inlineStr"/>
      <c r="L741" t="inlineStr"/>
      <c r="M741" t="inlineStr"/>
      <c r="N741" t="inlineStr"/>
    </row>
    <row r="742">
      <c r="A742" t="inlineStr">
        <is>
          <t>bt-thimphu</t>
        </is>
      </c>
      <c r="B742" t="inlineStr">
        <is>
          <t>Thimphu</t>
        </is>
      </c>
      <c r="C742" t="inlineStr">
        <is>
          <t>Bhutan</t>
        </is>
      </c>
      <c r="D742" t="inlineStr">
        <is>
          <t>South Asia</t>
        </is>
      </c>
      <c r="E742" t="inlineStr">
        <is>
          <t>clean_air_raw</t>
        </is>
      </c>
      <c r="F742" t="inlineStr">
        <is>
          <t>Clean air raw</t>
        </is>
      </c>
      <c r="G742" t="inlineStr">
        <is>
          <t>viability</t>
        </is>
      </c>
      <c r="H742" t="inlineStr">
        <is>
          <t>yes</t>
        </is>
      </c>
      <c r="I742" t="inlineStr"/>
      <c r="J742" t="inlineStr"/>
      <c r="K742" t="inlineStr"/>
      <c r="L742" t="inlineStr"/>
      <c r="M742" t="inlineStr"/>
      <c r="N742" t="inlineStr"/>
    </row>
    <row r="743">
      <c r="A743" t="inlineStr">
        <is>
          <t>bt-thimphu</t>
        </is>
      </c>
      <c r="B743" t="inlineStr">
        <is>
          <t>Thimphu</t>
        </is>
      </c>
      <c r="C743" t="inlineStr">
        <is>
          <t>Bhutan</t>
        </is>
      </c>
      <c r="D743" t="inlineStr">
        <is>
          <t>South Asia</t>
        </is>
      </c>
      <c r="E743" t="inlineStr">
        <is>
          <t>water_sanitation_utility_raw</t>
        </is>
      </c>
      <c r="F743" t="inlineStr">
        <is>
          <t>Water, sanitation, and utility raw</t>
        </is>
      </c>
      <c r="G743" t="inlineStr">
        <is>
          <t>viability</t>
        </is>
      </c>
      <c r="H743" t="inlineStr">
        <is>
          <t>yes</t>
        </is>
      </c>
      <c r="I743" t="inlineStr"/>
      <c r="J743" t="inlineStr"/>
      <c r="K743" t="inlineStr"/>
      <c r="L743" t="inlineStr"/>
      <c r="M743" t="inlineStr"/>
      <c r="N743" t="inlineStr"/>
    </row>
    <row r="744">
      <c r="A744" t="inlineStr">
        <is>
          <t>bt-thimphu</t>
        </is>
      </c>
      <c r="B744" t="inlineStr">
        <is>
          <t>Thimphu</t>
        </is>
      </c>
      <c r="C744" t="inlineStr">
        <is>
          <t>Bhutan</t>
        </is>
      </c>
      <c r="D744" t="inlineStr">
        <is>
          <t>South Asia</t>
        </is>
      </c>
      <c r="E744" t="inlineStr">
        <is>
          <t>digital_infrastructure_raw</t>
        </is>
      </c>
      <c r="F744" t="inlineStr">
        <is>
          <t>Digital infrastructure raw</t>
        </is>
      </c>
      <c r="G744" t="inlineStr">
        <is>
          <t>viability</t>
        </is>
      </c>
      <c r="H744" t="inlineStr">
        <is>
          <t>yes</t>
        </is>
      </c>
      <c r="I744" t="inlineStr"/>
      <c r="J744" t="inlineStr"/>
      <c r="K744" t="inlineStr"/>
      <c r="L744" t="inlineStr"/>
      <c r="M744" t="inlineStr"/>
      <c r="N744" t="inlineStr"/>
    </row>
    <row r="745">
      <c r="A745" t="inlineStr">
        <is>
          <t>bt-thimphu</t>
        </is>
      </c>
      <c r="B745" t="inlineStr">
        <is>
          <t>Thimphu</t>
        </is>
      </c>
      <c r="C745" t="inlineStr">
        <is>
          <t>Bhutan</t>
        </is>
      </c>
      <c r="D745" t="inlineStr">
        <is>
          <t>South Asia</t>
        </is>
      </c>
      <c r="E745" t="inlineStr">
        <is>
          <t>healthcare_quality_raw</t>
        </is>
      </c>
      <c r="F745" t="inlineStr">
        <is>
          <t>Healthcare quality raw</t>
        </is>
      </c>
      <c r="G745" t="inlineStr">
        <is>
          <t>capability</t>
        </is>
      </c>
      <c r="H745" t="inlineStr">
        <is>
          <t>yes</t>
        </is>
      </c>
      <c r="I745" t="inlineStr"/>
      <c r="J745" t="inlineStr"/>
      <c r="K745" t="inlineStr"/>
      <c r="L745" t="inlineStr"/>
      <c r="M745" t="inlineStr"/>
      <c r="N745" t="inlineStr"/>
    </row>
    <row r="746">
      <c r="A746" t="inlineStr">
        <is>
          <t>bt-thimphu</t>
        </is>
      </c>
      <c r="B746" t="inlineStr">
        <is>
          <t>Thimphu</t>
        </is>
      </c>
      <c r="C746" t="inlineStr">
        <is>
          <t>Bhutan</t>
        </is>
      </c>
      <c r="D746" t="inlineStr">
        <is>
          <t>South Asia</t>
        </is>
      </c>
      <c r="E746" t="inlineStr">
        <is>
          <t>education_quality_raw</t>
        </is>
      </c>
      <c r="F746" t="inlineStr">
        <is>
          <t>Education quality raw</t>
        </is>
      </c>
      <c r="G746" t="inlineStr">
        <is>
          <t>capability</t>
        </is>
      </c>
      <c r="H746" t="inlineStr">
        <is>
          <t>yes</t>
        </is>
      </c>
      <c r="I746" t="inlineStr"/>
      <c r="J746" t="inlineStr"/>
      <c r="K746" t="inlineStr"/>
      <c r="L746" t="inlineStr"/>
      <c r="M746" t="inlineStr"/>
      <c r="N746" t="inlineStr"/>
    </row>
    <row r="747">
      <c r="A747" t="inlineStr">
        <is>
          <t>bt-thimphu</t>
        </is>
      </c>
      <c r="B747" t="inlineStr">
        <is>
          <t>Thimphu</t>
        </is>
      </c>
      <c r="C747" t="inlineStr">
        <is>
          <t>Bhutan</t>
        </is>
      </c>
      <c r="D747" t="inlineStr">
        <is>
          <t>South Asia</t>
        </is>
      </c>
      <c r="E747" t="inlineStr">
        <is>
          <t>equal_opportunity_raw</t>
        </is>
      </c>
      <c r="F747" t="inlineStr">
        <is>
          <t>Equal opportunity raw</t>
        </is>
      </c>
      <c r="G747" t="inlineStr">
        <is>
          <t>capability</t>
        </is>
      </c>
      <c r="H747" t="inlineStr">
        <is>
          <t>yes</t>
        </is>
      </c>
      <c r="I747" t="inlineStr"/>
      <c r="J747" t="inlineStr"/>
      <c r="K747" t="inlineStr"/>
      <c r="L747" t="inlineStr"/>
      <c r="M747" t="inlineStr"/>
      <c r="N747" t="inlineStr"/>
    </row>
    <row r="748">
      <c r="A748" t="inlineStr">
        <is>
          <t>bt-thimphu</t>
        </is>
      </c>
      <c r="B748" t="inlineStr">
        <is>
          <t>Thimphu</t>
        </is>
      </c>
      <c r="C748" t="inlineStr">
        <is>
          <t>Bhutan</t>
        </is>
      </c>
      <c r="D748" t="inlineStr">
        <is>
          <t>South Asia</t>
        </is>
      </c>
      <c r="E748" t="inlineStr">
        <is>
          <t>hospitality_belonging_raw</t>
        </is>
      </c>
      <c r="F748" t="inlineStr">
        <is>
          <t>Hospitality and belonging raw</t>
        </is>
      </c>
      <c r="G748" t="inlineStr">
        <is>
          <t>community</t>
        </is>
      </c>
      <c r="H748" t="inlineStr">
        <is>
          <t>yes</t>
        </is>
      </c>
      <c r="I748" t="inlineStr"/>
      <c r="J748" t="inlineStr"/>
      <c r="K748" t="inlineStr"/>
      <c r="L748" t="inlineStr"/>
      <c r="M748" t="inlineStr"/>
      <c r="N748" t="inlineStr"/>
    </row>
    <row r="749">
      <c r="A749" t="inlineStr">
        <is>
          <t>bt-thimphu</t>
        </is>
      </c>
      <c r="B749" t="inlineStr">
        <is>
          <t>Thimphu</t>
        </is>
      </c>
      <c r="C749" t="inlineStr">
        <is>
          <t>Bhutan</t>
        </is>
      </c>
      <c r="D749" t="inlineStr">
        <is>
          <t>South Asia</t>
        </is>
      </c>
      <c r="E749" t="inlineStr">
        <is>
          <t>tolerance_pluralism_raw</t>
        </is>
      </c>
      <c r="F749" t="inlineStr">
        <is>
          <t>Tolerance and pluralism raw</t>
        </is>
      </c>
      <c r="G749" t="inlineStr">
        <is>
          <t>community</t>
        </is>
      </c>
      <c r="H749" t="inlineStr">
        <is>
          <t>yes</t>
        </is>
      </c>
      <c r="I749" t="inlineStr"/>
      <c r="J749" t="inlineStr"/>
      <c r="K749" t="inlineStr"/>
      <c r="L749" t="inlineStr"/>
      <c r="M749" t="inlineStr"/>
      <c r="N749" t="inlineStr"/>
    </row>
    <row r="750">
      <c r="A750" t="inlineStr">
        <is>
          <t>bt-thimphu</t>
        </is>
      </c>
      <c r="B750" t="inlineStr">
        <is>
          <t>Thimphu</t>
        </is>
      </c>
      <c r="C750" t="inlineStr">
        <is>
          <t>Bhutan</t>
        </is>
      </c>
      <c r="D750" t="inlineStr">
        <is>
          <t>South Asia</t>
        </is>
      </c>
      <c r="E750" t="inlineStr">
        <is>
          <t>cultural_public_life_raw</t>
        </is>
      </c>
      <c r="F750" t="inlineStr">
        <is>
          <t>Cultural public life raw</t>
        </is>
      </c>
      <c r="G750" t="inlineStr">
        <is>
          <t>community</t>
        </is>
      </c>
      <c r="H750" t="inlineStr">
        <is>
          <t>yes</t>
        </is>
      </c>
      <c r="I750" t="inlineStr"/>
      <c r="J750" t="inlineStr"/>
      <c r="K750" t="inlineStr"/>
      <c r="L750" t="inlineStr"/>
      <c r="M750" t="inlineStr"/>
      <c r="N750" t="inlineStr"/>
    </row>
    <row r="751">
      <c r="A751" t="inlineStr">
        <is>
          <t>bt-thimphu</t>
        </is>
      </c>
      <c r="B751" t="inlineStr">
        <is>
          <t>Thimphu</t>
        </is>
      </c>
      <c r="C751" t="inlineStr">
        <is>
          <t>Bhutan</t>
        </is>
      </c>
      <c r="D751" t="inlineStr">
        <is>
          <t>South Asia</t>
        </is>
      </c>
      <c r="E751" t="inlineStr">
        <is>
          <t>entrepreneurial_dynamism_raw</t>
        </is>
      </c>
      <c r="F751" t="inlineStr">
        <is>
          <t>Entrepreneurial dynamism raw</t>
        </is>
      </c>
      <c r="G751" t="inlineStr">
        <is>
          <t>creative</t>
        </is>
      </c>
      <c r="H751" t="inlineStr">
        <is>
          <t>yes</t>
        </is>
      </c>
      <c r="I751" t="inlineStr"/>
      <c r="J751" t="inlineStr"/>
      <c r="K751" t="inlineStr"/>
      <c r="L751" t="inlineStr"/>
      <c r="M751" t="inlineStr"/>
      <c r="N751" t="inlineStr"/>
    </row>
    <row r="752">
      <c r="A752" t="inlineStr">
        <is>
          <t>bt-thimphu</t>
        </is>
      </c>
      <c r="B752" t="inlineStr">
        <is>
          <t>Thimphu</t>
        </is>
      </c>
      <c r="C752" t="inlineStr">
        <is>
          <t>Bhutan</t>
        </is>
      </c>
      <c r="D752" t="inlineStr">
        <is>
          <t>South Asia</t>
        </is>
      </c>
      <c r="E752" t="inlineStr">
        <is>
          <t>innovation_research_intensity_raw</t>
        </is>
      </c>
      <c r="F752" t="inlineStr">
        <is>
          <t>Innovation and research raw</t>
        </is>
      </c>
      <c r="G752" t="inlineStr">
        <is>
          <t>creative</t>
        </is>
      </c>
      <c r="H752" t="inlineStr">
        <is>
          <t>yes</t>
        </is>
      </c>
      <c r="I752" t="inlineStr"/>
      <c r="J752" t="inlineStr"/>
      <c r="K752" t="inlineStr"/>
      <c r="L752" t="inlineStr"/>
      <c r="M752" t="inlineStr"/>
      <c r="N752" t="inlineStr"/>
    </row>
    <row r="753">
      <c r="A753" t="inlineStr">
        <is>
          <t>bt-thimphu</t>
        </is>
      </c>
      <c r="B753" t="inlineStr">
        <is>
          <t>Thimphu</t>
        </is>
      </c>
      <c r="C753" t="inlineStr">
        <is>
          <t>Bhutan</t>
        </is>
      </c>
      <c r="D753" t="inlineStr">
        <is>
          <t>South Asia</t>
        </is>
      </c>
      <c r="E753" t="inlineStr">
        <is>
          <t>investment_signal_raw</t>
        </is>
      </c>
      <c r="F753" t="inlineStr">
        <is>
          <t>Investment signal raw</t>
        </is>
      </c>
      <c r="G753" t="inlineStr">
        <is>
          <t>creative</t>
        </is>
      </c>
      <c r="H753" t="inlineStr">
        <is>
          <t>yes</t>
        </is>
      </c>
      <c r="I753" t="inlineStr"/>
      <c r="J753" t="inlineStr"/>
      <c r="K753" t="inlineStr"/>
      <c r="L753" t="inlineStr"/>
      <c r="M753" t="inlineStr"/>
      <c r="N753" t="inlineStr"/>
    </row>
    <row r="754">
      <c r="A754" t="inlineStr">
        <is>
          <t>bt-thimphu</t>
        </is>
      </c>
      <c r="B754" t="inlineStr">
        <is>
          <t>Thimphu</t>
        </is>
      </c>
      <c r="C754" t="inlineStr">
        <is>
          <t>Bhutan</t>
        </is>
      </c>
      <c r="D754" t="inlineStr">
        <is>
          <t>South Asia</t>
        </is>
      </c>
      <c r="E754" t="inlineStr">
        <is>
          <t>administrative_investment_friction_raw</t>
        </is>
      </c>
      <c r="F754" t="inlineStr">
        <is>
          <t>Administrative investment friction raw</t>
        </is>
      </c>
      <c r="G754" t="inlineStr">
        <is>
          <t>creative</t>
        </is>
      </c>
      <c r="H754" t="inlineStr">
        <is>
          <t>yes</t>
        </is>
      </c>
      <c r="I754" t="inlineStr"/>
      <c r="J754" t="inlineStr"/>
      <c r="K754" t="inlineStr"/>
      <c r="L754" t="inlineStr"/>
      <c r="M754" t="inlineStr"/>
      <c r="N754" t="inlineStr"/>
    </row>
    <row r="755">
      <c r="A755" t="inlineStr">
        <is>
          <t>bt-thimphu</t>
        </is>
      </c>
      <c r="B755" t="inlineStr">
        <is>
          <t>Thimphu</t>
        </is>
      </c>
      <c r="C755" t="inlineStr">
        <is>
          <t>Bhutan</t>
        </is>
      </c>
      <c r="D755" t="inlineStr">
        <is>
          <t>South Asia</t>
        </is>
      </c>
      <c r="E755" t="inlineStr">
        <is>
          <t>visitor_flow_context_raw</t>
        </is>
      </c>
      <c r="F755" t="inlineStr">
        <is>
          <t>Visitor flow context raw</t>
        </is>
      </c>
      <c r="G755" t="inlineStr">
        <is>
          <t>creative</t>
        </is>
      </c>
      <c r="H755" t="inlineStr">
        <is>
          <t>no</t>
        </is>
      </c>
      <c r="I755" t="inlineStr"/>
      <c r="J755" t="inlineStr"/>
      <c r="K755" t="inlineStr"/>
      <c r="L755" t="inlineStr"/>
      <c r="M755" t="inlineStr"/>
      <c r="N755" t="inlineStr"/>
    </row>
    <row r="756">
      <c r="A756" t="inlineStr">
        <is>
          <t>mv-male</t>
        </is>
      </c>
      <c r="B756" t="inlineStr">
        <is>
          <t>Male</t>
        </is>
      </c>
      <c r="C756" t="inlineStr">
        <is>
          <t>Maldives</t>
        </is>
      </c>
      <c r="D756" t="inlineStr">
        <is>
          <t>South Asia</t>
        </is>
      </c>
      <c r="E756" t="inlineStr">
        <is>
          <t>gross_income</t>
        </is>
      </c>
      <c r="F756" t="inlineStr">
        <is>
          <t>Gross income</t>
        </is>
      </c>
      <c r="G756" t="inlineStr">
        <is>
          <t>pressure</t>
        </is>
      </c>
      <c r="H756" t="inlineStr">
        <is>
          <t>yes</t>
        </is>
      </c>
      <c r="I756" t="inlineStr"/>
      <c r="J756" t="inlineStr"/>
      <c r="K756" t="inlineStr"/>
      <c r="L756" t="inlineStr"/>
      <c r="M756" t="inlineStr"/>
      <c r="N756" t="inlineStr"/>
    </row>
    <row r="757">
      <c r="A757" t="inlineStr">
        <is>
          <t>mv-male</t>
        </is>
      </c>
      <c r="B757" t="inlineStr">
        <is>
          <t>Male</t>
        </is>
      </c>
      <c r="C757" t="inlineStr">
        <is>
          <t>Maldives</t>
        </is>
      </c>
      <c r="D757" t="inlineStr">
        <is>
          <t>South Asia</t>
        </is>
      </c>
      <c r="E757" t="inlineStr">
        <is>
          <t>rent</t>
        </is>
      </c>
      <c r="F757" t="inlineStr">
        <is>
          <t>Rent</t>
        </is>
      </c>
      <c r="G757" t="inlineStr">
        <is>
          <t>pressure</t>
        </is>
      </c>
      <c r="H757" t="inlineStr">
        <is>
          <t>yes</t>
        </is>
      </c>
      <c r="I757" t="inlineStr"/>
      <c r="J757" t="inlineStr"/>
      <c r="K757" t="inlineStr"/>
      <c r="L757" t="inlineStr"/>
      <c r="M757" t="inlineStr"/>
      <c r="N757" t="inlineStr"/>
    </row>
    <row r="758">
      <c r="A758" t="inlineStr">
        <is>
          <t>mv-male</t>
        </is>
      </c>
      <c r="B758" t="inlineStr">
        <is>
          <t>Male</t>
        </is>
      </c>
      <c r="C758" t="inlineStr">
        <is>
          <t>Maldives</t>
        </is>
      </c>
      <c r="D758" t="inlineStr">
        <is>
          <t>South Asia</t>
        </is>
      </c>
      <c r="E758" t="inlineStr">
        <is>
          <t>utilities</t>
        </is>
      </c>
      <c r="F758" t="inlineStr">
        <is>
          <t>Utilities</t>
        </is>
      </c>
      <c r="G758" t="inlineStr">
        <is>
          <t>pressure</t>
        </is>
      </c>
      <c r="H758" t="inlineStr">
        <is>
          <t>yes</t>
        </is>
      </c>
      <c r="I758" t="inlineStr"/>
      <c r="J758" t="inlineStr"/>
      <c r="K758" t="inlineStr"/>
      <c r="L758" t="inlineStr"/>
      <c r="M758" t="inlineStr"/>
      <c r="N758" t="inlineStr"/>
    </row>
    <row r="759">
      <c r="A759" t="inlineStr">
        <is>
          <t>mv-male</t>
        </is>
      </c>
      <c r="B759" t="inlineStr">
        <is>
          <t>Male</t>
        </is>
      </c>
      <c r="C759" t="inlineStr">
        <is>
          <t>Maldives</t>
        </is>
      </c>
      <c r="D759" t="inlineStr">
        <is>
          <t>South Asia</t>
        </is>
      </c>
      <c r="E759" t="inlineStr">
        <is>
          <t>transit_cost</t>
        </is>
      </c>
      <c r="F759" t="inlineStr">
        <is>
          <t>Transit cost</t>
        </is>
      </c>
      <c r="G759" t="inlineStr">
        <is>
          <t>pressure</t>
        </is>
      </c>
      <c r="H759" t="inlineStr">
        <is>
          <t>yes</t>
        </is>
      </c>
      <c r="I759" t="inlineStr"/>
      <c r="J759" t="inlineStr"/>
      <c r="K759" t="inlineStr"/>
      <c r="L759" t="inlineStr"/>
      <c r="M759" t="inlineStr"/>
      <c r="N759" t="inlineStr"/>
    </row>
    <row r="760">
      <c r="A760" t="inlineStr">
        <is>
          <t>mv-male</t>
        </is>
      </c>
      <c r="B760" t="inlineStr">
        <is>
          <t>Male</t>
        </is>
      </c>
      <c r="C760" t="inlineStr">
        <is>
          <t>Maldives</t>
        </is>
      </c>
      <c r="D760" t="inlineStr">
        <is>
          <t>South Asia</t>
        </is>
      </c>
      <c r="E760" t="inlineStr">
        <is>
          <t>internet_cost</t>
        </is>
      </c>
      <c r="F760" t="inlineStr">
        <is>
          <t>Internet cost</t>
        </is>
      </c>
      <c r="G760" t="inlineStr">
        <is>
          <t>pressure</t>
        </is>
      </c>
      <c r="H760" t="inlineStr">
        <is>
          <t>yes</t>
        </is>
      </c>
      <c r="I760" t="inlineStr"/>
      <c r="J760" t="inlineStr"/>
      <c r="K760" t="inlineStr"/>
      <c r="L760" t="inlineStr"/>
      <c r="M760" t="inlineStr"/>
      <c r="N760" t="inlineStr"/>
    </row>
    <row r="761">
      <c r="A761" t="inlineStr">
        <is>
          <t>mv-male</t>
        </is>
      </c>
      <c r="B761" t="inlineStr">
        <is>
          <t>Male</t>
        </is>
      </c>
      <c r="C761" t="inlineStr">
        <is>
          <t>Maldives</t>
        </is>
      </c>
      <c r="D761" t="inlineStr">
        <is>
          <t>South Asia</t>
        </is>
      </c>
      <c r="E761" t="inlineStr">
        <is>
          <t>food_cost</t>
        </is>
      </c>
      <c r="F761" t="inlineStr">
        <is>
          <t>Food cost</t>
        </is>
      </c>
      <c r="G761" t="inlineStr">
        <is>
          <t>pressure</t>
        </is>
      </c>
      <c r="H761" t="inlineStr">
        <is>
          <t>yes</t>
        </is>
      </c>
      <c r="I761" t="inlineStr"/>
      <c r="J761" t="inlineStr"/>
      <c r="K761" t="inlineStr"/>
      <c r="L761" t="inlineStr"/>
      <c r="M761" t="inlineStr"/>
      <c r="N761" t="inlineStr"/>
    </row>
    <row r="762">
      <c r="A762" t="inlineStr">
        <is>
          <t>mv-male</t>
        </is>
      </c>
      <c r="B762" t="inlineStr">
        <is>
          <t>Male</t>
        </is>
      </c>
      <c r="C762" t="inlineStr">
        <is>
          <t>Maldives</t>
        </is>
      </c>
      <c r="D762" t="inlineStr">
        <is>
          <t>South Asia</t>
        </is>
      </c>
      <c r="E762" t="inlineStr">
        <is>
          <t>housing_burden_raw</t>
        </is>
      </c>
      <c r="F762" t="inlineStr">
        <is>
          <t>Housing burden raw</t>
        </is>
      </c>
      <c r="G762" t="inlineStr">
        <is>
          <t>pressure</t>
        </is>
      </c>
      <c r="H762" t="inlineStr">
        <is>
          <t>yes</t>
        </is>
      </c>
      <c r="I762" t="inlineStr"/>
      <c r="J762" t="inlineStr"/>
      <c r="K762" t="inlineStr"/>
      <c r="L762" t="inlineStr"/>
      <c r="M762" t="inlineStr"/>
      <c r="N762" t="inlineStr"/>
    </row>
    <row r="763">
      <c r="A763" t="inlineStr">
        <is>
          <t>mv-male</t>
        </is>
      </c>
      <c r="B763" t="inlineStr">
        <is>
          <t>Male</t>
        </is>
      </c>
      <c r="C763" t="inlineStr">
        <is>
          <t>Maldives</t>
        </is>
      </c>
      <c r="D763" t="inlineStr">
        <is>
          <t>South Asia</t>
        </is>
      </c>
      <c r="E763" t="inlineStr">
        <is>
          <t>household_debt_burden_raw</t>
        </is>
      </c>
      <c r="F763" t="inlineStr">
        <is>
          <t>Household debt burden raw</t>
        </is>
      </c>
      <c r="G763" t="inlineStr">
        <is>
          <t>pressure</t>
        </is>
      </c>
      <c r="H763" t="inlineStr">
        <is>
          <t>yes</t>
        </is>
      </c>
      <c r="I763" t="inlineStr"/>
      <c r="J763" t="inlineStr"/>
      <c r="K763" t="inlineStr"/>
      <c r="L763" t="inlineStr"/>
      <c r="M763" t="inlineStr"/>
      <c r="N763" t="inlineStr"/>
    </row>
    <row r="764">
      <c r="A764" t="inlineStr">
        <is>
          <t>mv-male</t>
        </is>
      </c>
      <c r="B764" t="inlineStr">
        <is>
          <t>Male</t>
        </is>
      </c>
      <c r="C764" t="inlineStr">
        <is>
          <t>Maldives</t>
        </is>
      </c>
      <c r="D764" t="inlineStr">
        <is>
          <t>South Asia</t>
        </is>
      </c>
      <c r="E764" t="inlineStr">
        <is>
          <t>working_time_pressure_raw</t>
        </is>
      </c>
      <c r="F764" t="inlineStr">
        <is>
          <t>Working time pressure raw</t>
        </is>
      </c>
      <c r="G764" t="inlineStr">
        <is>
          <t>pressure</t>
        </is>
      </c>
      <c r="H764" t="inlineStr">
        <is>
          <t>yes</t>
        </is>
      </c>
      <c r="I764" t="inlineStr"/>
      <c r="J764" t="inlineStr"/>
      <c r="K764" t="inlineStr"/>
      <c r="L764" t="inlineStr"/>
      <c r="M764" t="inlineStr"/>
      <c r="N764" t="inlineStr"/>
    </row>
    <row r="765">
      <c r="A765" t="inlineStr">
        <is>
          <t>mv-male</t>
        </is>
      </c>
      <c r="B765" t="inlineStr">
        <is>
          <t>Male</t>
        </is>
      </c>
      <c r="C765" t="inlineStr">
        <is>
          <t>Maldives</t>
        </is>
      </c>
      <c r="D765" t="inlineStr">
        <is>
          <t>South Asia</t>
        </is>
      </c>
      <c r="E765" t="inlineStr">
        <is>
          <t>suicide_mental_strain_raw</t>
        </is>
      </c>
      <c r="F765" t="inlineStr">
        <is>
          <t>Suicide or mental strain raw</t>
        </is>
      </c>
      <c r="G765" t="inlineStr">
        <is>
          <t>pressure</t>
        </is>
      </c>
      <c r="H765" t="inlineStr">
        <is>
          <t>yes</t>
        </is>
      </c>
      <c r="I765" t="inlineStr"/>
      <c r="J765" t="inlineStr"/>
      <c r="K765" t="inlineStr"/>
      <c r="L765" t="inlineStr"/>
      <c r="M765" t="inlineStr"/>
      <c r="N765" t="inlineStr"/>
    </row>
    <row r="766">
      <c r="A766" t="inlineStr">
        <is>
          <t>mv-male</t>
        </is>
      </c>
      <c r="B766" t="inlineStr">
        <is>
          <t>Male</t>
        </is>
      </c>
      <c r="C766" t="inlineStr">
        <is>
          <t>Maldives</t>
        </is>
      </c>
      <c r="D766" t="inlineStr">
        <is>
          <t>South Asia</t>
        </is>
      </c>
      <c r="E766" t="inlineStr">
        <is>
          <t>personal_safety_raw</t>
        </is>
      </c>
      <c r="F766" t="inlineStr">
        <is>
          <t>Personal safety raw</t>
        </is>
      </c>
      <c r="G766" t="inlineStr">
        <is>
          <t>viability</t>
        </is>
      </c>
      <c r="H766" t="inlineStr">
        <is>
          <t>yes</t>
        </is>
      </c>
      <c r="I766" t="inlineStr"/>
      <c r="J766" t="inlineStr"/>
      <c r="K766" t="inlineStr"/>
      <c r="L766" t="inlineStr"/>
      <c r="M766" t="inlineStr"/>
      <c r="N766" t="inlineStr"/>
    </row>
    <row r="767">
      <c r="A767" t="inlineStr">
        <is>
          <t>mv-male</t>
        </is>
      </c>
      <c r="B767" t="inlineStr">
        <is>
          <t>Male</t>
        </is>
      </c>
      <c r="C767" t="inlineStr">
        <is>
          <t>Maldives</t>
        </is>
      </c>
      <c r="D767" t="inlineStr">
        <is>
          <t>South Asia</t>
        </is>
      </c>
      <c r="E767" t="inlineStr">
        <is>
          <t>transit_access_commute_raw</t>
        </is>
      </c>
      <c r="F767" t="inlineStr">
        <is>
          <t>Transit access and commute raw</t>
        </is>
      </c>
      <c r="G767" t="inlineStr">
        <is>
          <t>viability</t>
        </is>
      </c>
      <c r="H767" t="inlineStr">
        <is>
          <t>yes</t>
        </is>
      </c>
      <c r="I767" t="inlineStr"/>
      <c r="J767" t="inlineStr"/>
      <c r="K767" t="inlineStr"/>
      <c r="L767" t="inlineStr"/>
      <c r="M767" t="inlineStr"/>
      <c r="N767" t="inlineStr"/>
    </row>
    <row r="768">
      <c r="A768" t="inlineStr">
        <is>
          <t>mv-male</t>
        </is>
      </c>
      <c r="B768" t="inlineStr">
        <is>
          <t>Male</t>
        </is>
      </c>
      <c r="C768" t="inlineStr">
        <is>
          <t>Maldives</t>
        </is>
      </c>
      <c r="D768" t="inlineStr">
        <is>
          <t>South Asia</t>
        </is>
      </c>
      <c r="E768" t="inlineStr">
        <is>
          <t>clean_air_raw</t>
        </is>
      </c>
      <c r="F768" t="inlineStr">
        <is>
          <t>Clean air raw</t>
        </is>
      </c>
      <c r="G768" t="inlineStr">
        <is>
          <t>viability</t>
        </is>
      </c>
      <c r="H768" t="inlineStr">
        <is>
          <t>yes</t>
        </is>
      </c>
      <c r="I768" t="inlineStr"/>
      <c r="J768" t="inlineStr"/>
      <c r="K768" t="inlineStr"/>
      <c r="L768" t="inlineStr"/>
      <c r="M768" t="inlineStr"/>
      <c r="N768" t="inlineStr"/>
    </row>
    <row r="769">
      <c r="A769" t="inlineStr">
        <is>
          <t>mv-male</t>
        </is>
      </c>
      <c r="B769" t="inlineStr">
        <is>
          <t>Male</t>
        </is>
      </c>
      <c r="C769" t="inlineStr">
        <is>
          <t>Maldives</t>
        </is>
      </c>
      <c r="D769" t="inlineStr">
        <is>
          <t>South Asia</t>
        </is>
      </c>
      <c r="E769" t="inlineStr">
        <is>
          <t>water_sanitation_utility_raw</t>
        </is>
      </c>
      <c r="F769" t="inlineStr">
        <is>
          <t>Water, sanitation, and utility raw</t>
        </is>
      </c>
      <c r="G769" t="inlineStr">
        <is>
          <t>viability</t>
        </is>
      </c>
      <c r="H769" t="inlineStr">
        <is>
          <t>yes</t>
        </is>
      </c>
      <c r="I769" t="inlineStr"/>
      <c r="J769" t="inlineStr"/>
      <c r="K769" t="inlineStr"/>
      <c r="L769" t="inlineStr"/>
      <c r="M769" t="inlineStr"/>
      <c r="N769" t="inlineStr"/>
    </row>
    <row r="770">
      <c r="A770" t="inlineStr">
        <is>
          <t>mv-male</t>
        </is>
      </c>
      <c r="B770" t="inlineStr">
        <is>
          <t>Male</t>
        </is>
      </c>
      <c r="C770" t="inlineStr">
        <is>
          <t>Maldives</t>
        </is>
      </c>
      <c r="D770" t="inlineStr">
        <is>
          <t>South Asia</t>
        </is>
      </c>
      <c r="E770" t="inlineStr">
        <is>
          <t>digital_infrastructure_raw</t>
        </is>
      </c>
      <c r="F770" t="inlineStr">
        <is>
          <t>Digital infrastructure raw</t>
        </is>
      </c>
      <c r="G770" t="inlineStr">
        <is>
          <t>viability</t>
        </is>
      </c>
      <c r="H770" t="inlineStr">
        <is>
          <t>yes</t>
        </is>
      </c>
      <c r="I770" t="inlineStr"/>
      <c r="J770" t="inlineStr"/>
      <c r="K770" t="inlineStr"/>
      <c r="L770" t="inlineStr"/>
      <c r="M770" t="inlineStr"/>
      <c r="N770" t="inlineStr"/>
    </row>
    <row r="771">
      <c r="A771" t="inlineStr">
        <is>
          <t>mv-male</t>
        </is>
      </c>
      <c r="B771" t="inlineStr">
        <is>
          <t>Male</t>
        </is>
      </c>
      <c r="C771" t="inlineStr">
        <is>
          <t>Maldives</t>
        </is>
      </c>
      <c r="D771" t="inlineStr">
        <is>
          <t>South Asia</t>
        </is>
      </c>
      <c r="E771" t="inlineStr">
        <is>
          <t>healthcare_quality_raw</t>
        </is>
      </c>
      <c r="F771" t="inlineStr">
        <is>
          <t>Healthcare quality raw</t>
        </is>
      </c>
      <c r="G771" t="inlineStr">
        <is>
          <t>capability</t>
        </is>
      </c>
      <c r="H771" t="inlineStr">
        <is>
          <t>yes</t>
        </is>
      </c>
      <c r="I771" t="inlineStr"/>
      <c r="J771" t="inlineStr"/>
      <c r="K771" t="inlineStr"/>
      <c r="L771" t="inlineStr"/>
      <c r="M771" t="inlineStr"/>
      <c r="N771" t="inlineStr"/>
    </row>
    <row r="772">
      <c r="A772" t="inlineStr">
        <is>
          <t>mv-male</t>
        </is>
      </c>
      <c r="B772" t="inlineStr">
        <is>
          <t>Male</t>
        </is>
      </c>
      <c r="C772" t="inlineStr">
        <is>
          <t>Maldives</t>
        </is>
      </c>
      <c r="D772" t="inlineStr">
        <is>
          <t>South Asia</t>
        </is>
      </c>
      <c r="E772" t="inlineStr">
        <is>
          <t>education_quality_raw</t>
        </is>
      </c>
      <c r="F772" t="inlineStr">
        <is>
          <t>Education quality raw</t>
        </is>
      </c>
      <c r="G772" t="inlineStr">
        <is>
          <t>capability</t>
        </is>
      </c>
      <c r="H772" t="inlineStr">
        <is>
          <t>yes</t>
        </is>
      </c>
      <c r="I772" t="inlineStr"/>
      <c r="J772" t="inlineStr"/>
      <c r="K772" t="inlineStr"/>
      <c r="L772" t="inlineStr"/>
      <c r="M772" t="inlineStr"/>
      <c r="N772" t="inlineStr"/>
    </row>
    <row r="773">
      <c r="A773" t="inlineStr">
        <is>
          <t>mv-male</t>
        </is>
      </c>
      <c r="B773" t="inlineStr">
        <is>
          <t>Male</t>
        </is>
      </c>
      <c r="C773" t="inlineStr">
        <is>
          <t>Maldives</t>
        </is>
      </c>
      <c r="D773" t="inlineStr">
        <is>
          <t>South Asia</t>
        </is>
      </c>
      <c r="E773" t="inlineStr">
        <is>
          <t>equal_opportunity_raw</t>
        </is>
      </c>
      <c r="F773" t="inlineStr">
        <is>
          <t>Equal opportunity raw</t>
        </is>
      </c>
      <c r="G773" t="inlineStr">
        <is>
          <t>capability</t>
        </is>
      </c>
      <c r="H773" t="inlineStr">
        <is>
          <t>yes</t>
        </is>
      </c>
      <c r="I773" t="inlineStr"/>
      <c r="J773" t="inlineStr"/>
      <c r="K773" t="inlineStr"/>
      <c r="L773" t="inlineStr"/>
      <c r="M773" t="inlineStr"/>
      <c r="N773" t="inlineStr"/>
    </row>
    <row r="774">
      <c r="A774" t="inlineStr">
        <is>
          <t>mv-male</t>
        </is>
      </c>
      <c r="B774" t="inlineStr">
        <is>
          <t>Male</t>
        </is>
      </c>
      <c r="C774" t="inlineStr">
        <is>
          <t>Maldives</t>
        </is>
      </c>
      <c r="D774" t="inlineStr">
        <is>
          <t>South Asia</t>
        </is>
      </c>
      <c r="E774" t="inlineStr">
        <is>
          <t>hospitality_belonging_raw</t>
        </is>
      </c>
      <c r="F774" t="inlineStr">
        <is>
          <t>Hospitality and belonging raw</t>
        </is>
      </c>
      <c r="G774" t="inlineStr">
        <is>
          <t>community</t>
        </is>
      </c>
      <c r="H774" t="inlineStr">
        <is>
          <t>yes</t>
        </is>
      </c>
      <c r="I774" t="inlineStr"/>
      <c r="J774" t="inlineStr"/>
      <c r="K774" t="inlineStr"/>
      <c r="L774" t="inlineStr"/>
      <c r="M774" t="inlineStr"/>
      <c r="N774" t="inlineStr"/>
    </row>
    <row r="775">
      <c r="A775" t="inlineStr">
        <is>
          <t>mv-male</t>
        </is>
      </c>
      <c r="B775" t="inlineStr">
        <is>
          <t>Male</t>
        </is>
      </c>
      <c r="C775" t="inlineStr">
        <is>
          <t>Maldives</t>
        </is>
      </c>
      <c r="D775" t="inlineStr">
        <is>
          <t>South Asia</t>
        </is>
      </c>
      <c r="E775" t="inlineStr">
        <is>
          <t>tolerance_pluralism_raw</t>
        </is>
      </c>
      <c r="F775" t="inlineStr">
        <is>
          <t>Tolerance and pluralism raw</t>
        </is>
      </c>
      <c r="G775" t="inlineStr">
        <is>
          <t>community</t>
        </is>
      </c>
      <c r="H775" t="inlineStr">
        <is>
          <t>yes</t>
        </is>
      </c>
      <c r="I775" t="inlineStr"/>
      <c r="J775" t="inlineStr"/>
      <c r="K775" t="inlineStr"/>
      <c r="L775" t="inlineStr"/>
      <c r="M775" t="inlineStr"/>
      <c r="N775" t="inlineStr"/>
    </row>
    <row r="776">
      <c r="A776" t="inlineStr">
        <is>
          <t>mv-male</t>
        </is>
      </c>
      <c r="B776" t="inlineStr">
        <is>
          <t>Male</t>
        </is>
      </c>
      <c r="C776" t="inlineStr">
        <is>
          <t>Maldives</t>
        </is>
      </c>
      <c r="D776" t="inlineStr">
        <is>
          <t>South Asia</t>
        </is>
      </c>
      <c r="E776" t="inlineStr">
        <is>
          <t>cultural_public_life_raw</t>
        </is>
      </c>
      <c r="F776" t="inlineStr">
        <is>
          <t>Cultural public life raw</t>
        </is>
      </c>
      <c r="G776" t="inlineStr">
        <is>
          <t>community</t>
        </is>
      </c>
      <c r="H776" t="inlineStr">
        <is>
          <t>yes</t>
        </is>
      </c>
      <c r="I776" t="inlineStr"/>
      <c r="J776" t="inlineStr"/>
      <c r="K776" t="inlineStr"/>
      <c r="L776" t="inlineStr"/>
      <c r="M776" t="inlineStr"/>
      <c r="N776" t="inlineStr"/>
    </row>
    <row r="777">
      <c r="A777" t="inlineStr">
        <is>
          <t>mv-male</t>
        </is>
      </c>
      <c r="B777" t="inlineStr">
        <is>
          <t>Male</t>
        </is>
      </c>
      <c r="C777" t="inlineStr">
        <is>
          <t>Maldives</t>
        </is>
      </c>
      <c r="D777" t="inlineStr">
        <is>
          <t>South Asia</t>
        </is>
      </c>
      <c r="E777" t="inlineStr">
        <is>
          <t>entrepreneurial_dynamism_raw</t>
        </is>
      </c>
      <c r="F777" t="inlineStr">
        <is>
          <t>Entrepreneurial dynamism raw</t>
        </is>
      </c>
      <c r="G777" t="inlineStr">
        <is>
          <t>creative</t>
        </is>
      </c>
      <c r="H777" t="inlineStr">
        <is>
          <t>yes</t>
        </is>
      </c>
      <c r="I777" t="inlineStr"/>
      <c r="J777" t="inlineStr"/>
      <c r="K777" t="inlineStr"/>
      <c r="L777" t="inlineStr"/>
      <c r="M777" t="inlineStr"/>
      <c r="N777" t="inlineStr"/>
    </row>
    <row r="778">
      <c r="A778" t="inlineStr">
        <is>
          <t>mv-male</t>
        </is>
      </c>
      <c r="B778" t="inlineStr">
        <is>
          <t>Male</t>
        </is>
      </c>
      <c r="C778" t="inlineStr">
        <is>
          <t>Maldives</t>
        </is>
      </c>
      <c r="D778" t="inlineStr">
        <is>
          <t>South Asia</t>
        </is>
      </c>
      <c r="E778" t="inlineStr">
        <is>
          <t>innovation_research_intensity_raw</t>
        </is>
      </c>
      <c r="F778" t="inlineStr">
        <is>
          <t>Innovation and research raw</t>
        </is>
      </c>
      <c r="G778" t="inlineStr">
        <is>
          <t>creative</t>
        </is>
      </c>
      <c r="H778" t="inlineStr">
        <is>
          <t>yes</t>
        </is>
      </c>
      <c r="I778" t="inlineStr"/>
      <c r="J778" t="inlineStr"/>
      <c r="K778" t="inlineStr"/>
      <c r="L778" t="inlineStr"/>
      <c r="M778" t="inlineStr"/>
      <c r="N778" t="inlineStr"/>
    </row>
    <row r="779">
      <c r="A779" t="inlineStr">
        <is>
          <t>mv-male</t>
        </is>
      </c>
      <c r="B779" t="inlineStr">
        <is>
          <t>Male</t>
        </is>
      </c>
      <c r="C779" t="inlineStr">
        <is>
          <t>Maldives</t>
        </is>
      </c>
      <c r="D779" t="inlineStr">
        <is>
          <t>South Asia</t>
        </is>
      </c>
      <c r="E779" t="inlineStr">
        <is>
          <t>investment_signal_raw</t>
        </is>
      </c>
      <c r="F779" t="inlineStr">
        <is>
          <t>Investment signal raw</t>
        </is>
      </c>
      <c r="G779" t="inlineStr">
        <is>
          <t>creative</t>
        </is>
      </c>
      <c r="H779" t="inlineStr">
        <is>
          <t>yes</t>
        </is>
      </c>
      <c r="I779" t="inlineStr"/>
      <c r="J779" t="inlineStr"/>
      <c r="K779" t="inlineStr"/>
      <c r="L779" t="inlineStr"/>
      <c r="M779" t="inlineStr"/>
      <c r="N779" t="inlineStr"/>
    </row>
    <row r="780">
      <c r="A780" t="inlineStr">
        <is>
          <t>mv-male</t>
        </is>
      </c>
      <c r="B780" t="inlineStr">
        <is>
          <t>Male</t>
        </is>
      </c>
      <c r="C780" t="inlineStr">
        <is>
          <t>Maldives</t>
        </is>
      </c>
      <c r="D780" t="inlineStr">
        <is>
          <t>South Asia</t>
        </is>
      </c>
      <c r="E780" t="inlineStr">
        <is>
          <t>administrative_investment_friction_raw</t>
        </is>
      </c>
      <c r="F780" t="inlineStr">
        <is>
          <t>Administrative investment friction raw</t>
        </is>
      </c>
      <c r="G780" t="inlineStr">
        <is>
          <t>creative</t>
        </is>
      </c>
      <c r="H780" t="inlineStr">
        <is>
          <t>yes</t>
        </is>
      </c>
      <c r="I780" t="inlineStr"/>
      <c r="J780" t="inlineStr"/>
      <c r="K780" t="inlineStr"/>
      <c r="L780" t="inlineStr"/>
      <c r="M780" t="inlineStr"/>
      <c r="N780" t="inlineStr"/>
    </row>
    <row r="781">
      <c r="A781" t="inlineStr">
        <is>
          <t>mv-male</t>
        </is>
      </c>
      <c r="B781" t="inlineStr">
        <is>
          <t>Male</t>
        </is>
      </c>
      <c r="C781" t="inlineStr">
        <is>
          <t>Maldives</t>
        </is>
      </c>
      <c r="D781" t="inlineStr">
        <is>
          <t>South Asia</t>
        </is>
      </c>
      <c r="E781" t="inlineStr">
        <is>
          <t>visitor_flow_context_raw</t>
        </is>
      </c>
      <c r="F781" t="inlineStr">
        <is>
          <t>Visitor flow context raw</t>
        </is>
      </c>
      <c r="G781" t="inlineStr">
        <is>
          <t>creative</t>
        </is>
      </c>
      <c r="H781" t="inlineStr">
        <is>
          <t>no</t>
        </is>
      </c>
      <c r="I781" t="inlineStr"/>
      <c r="J781" t="inlineStr"/>
      <c r="K781" t="inlineStr"/>
      <c r="L781" t="inlineStr"/>
      <c r="M781" t="inlineStr"/>
      <c r="N781" t="inlineStr"/>
    </row>
    <row r="782">
      <c r="A782" t="inlineStr">
        <is>
          <t>fr-paris</t>
        </is>
      </c>
      <c r="B782" t="inlineStr">
        <is>
          <t>Paris</t>
        </is>
      </c>
      <c r="C782" t="inlineStr">
        <is>
          <t>France</t>
        </is>
      </c>
      <c r="D782" t="inlineStr">
        <is>
          <t>Western and Northern Europe</t>
        </is>
      </c>
      <c r="E782" t="inlineStr">
        <is>
          <t>gross_income</t>
        </is>
      </c>
      <c r="F782" t="inlineStr">
        <is>
          <t>Gross income</t>
        </is>
      </c>
      <c r="G782" t="inlineStr">
        <is>
          <t>pressure</t>
        </is>
      </c>
      <c r="H782" t="inlineStr">
        <is>
          <t>yes</t>
        </is>
      </c>
      <c r="I782" t="inlineStr"/>
      <c r="J782" t="inlineStr"/>
      <c r="K782" t="inlineStr"/>
      <c r="L782" t="inlineStr"/>
      <c r="M782" t="inlineStr"/>
      <c r="N782" t="inlineStr"/>
    </row>
    <row r="783">
      <c r="A783" t="inlineStr">
        <is>
          <t>fr-paris</t>
        </is>
      </c>
      <c r="B783" t="inlineStr">
        <is>
          <t>Paris</t>
        </is>
      </c>
      <c r="C783" t="inlineStr">
        <is>
          <t>France</t>
        </is>
      </c>
      <c r="D783" t="inlineStr">
        <is>
          <t>Western and Northern Europe</t>
        </is>
      </c>
      <c r="E783" t="inlineStr">
        <is>
          <t>rent</t>
        </is>
      </c>
      <c r="F783" t="inlineStr">
        <is>
          <t>Rent</t>
        </is>
      </c>
      <c r="G783" t="inlineStr">
        <is>
          <t>pressure</t>
        </is>
      </c>
      <c r="H783" t="inlineStr">
        <is>
          <t>yes</t>
        </is>
      </c>
      <c r="I783" t="inlineStr"/>
      <c r="J783" t="inlineStr"/>
      <c r="K783" t="inlineStr"/>
      <c r="L783" t="inlineStr"/>
      <c r="M783" t="inlineStr"/>
      <c r="N783" t="inlineStr"/>
    </row>
    <row r="784">
      <c r="A784" t="inlineStr">
        <is>
          <t>fr-paris</t>
        </is>
      </c>
      <c r="B784" t="inlineStr">
        <is>
          <t>Paris</t>
        </is>
      </c>
      <c r="C784" t="inlineStr">
        <is>
          <t>France</t>
        </is>
      </c>
      <c r="D784" t="inlineStr">
        <is>
          <t>Western and Northern Europe</t>
        </is>
      </c>
      <c r="E784" t="inlineStr">
        <is>
          <t>utilities</t>
        </is>
      </c>
      <c r="F784" t="inlineStr">
        <is>
          <t>Utilities</t>
        </is>
      </c>
      <c r="G784" t="inlineStr">
        <is>
          <t>pressure</t>
        </is>
      </c>
      <c r="H784" t="inlineStr">
        <is>
          <t>yes</t>
        </is>
      </c>
      <c r="I784" t="inlineStr"/>
      <c r="J784" t="inlineStr"/>
      <c r="K784" t="inlineStr"/>
      <c r="L784" t="inlineStr"/>
      <c r="M784" t="inlineStr"/>
      <c r="N784" t="inlineStr"/>
    </row>
    <row r="785">
      <c r="A785" t="inlineStr">
        <is>
          <t>fr-paris</t>
        </is>
      </c>
      <c r="B785" t="inlineStr">
        <is>
          <t>Paris</t>
        </is>
      </c>
      <c r="C785" t="inlineStr">
        <is>
          <t>France</t>
        </is>
      </c>
      <c r="D785" t="inlineStr">
        <is>
          <t>Western and Northern Europe</t>
        </is>
      </c>
      <c r="E785" t="inlineStr">
        <is>
          <t>transit_cost</t>
        </is>
      </c>
      <c r="F785" t="inlineStr">
        <is>
          <t>Transit cost</t>
        </is>
      </c>
      <c r="G785" t="inlineStr">
        <is>
          <t>pressure</t>
        </is>
      </c>
      <c r="H785" t="inlineStr">
        <is>
          <t>yes</t>
        </is>
      </c>
      <c r="I785" t="inlineStr"/>
      <c r="J785" t="inlineStr"/>
      <c r="K785" t="inlineStr"/>
      <c r="L785" t="inlineStr"/>
      <c r="M785" t="inlineStr"/>
      <c r="N785" t="inlineStr"/>
    </row>
    <row r="786">
      <c r="A786" t="inlineStr">
        <is>
          <t>fr-paris</t>
        </is>
      </c>
      <c r="B786" t="inlineStr">
        <is>
          <t>Paris</t>
        </is>
      </c>
      <c r="C786" t="inlineStr">
        <is>
          <t>France</t>
        </is>
      </c>
      <c r="D786" t="inlineStr">
        <is>
          <t>Western and Northern Europe</t>
        </is>
      </c>
      <c r="E786" t="inlineStr">
        <is>
          <t>internet_cost</t>
        </is>
      </c>
      <c r="F786" t="inlineStr">
        <is>
          <t>Internet cost</t>
        </is>
      </c>
      <c r="G786" t="inlineStr">
        <is>
          <t>pressure</t>
        </is>
      </c>
      <c r="H786" t="inlineStr">
        <is>
          <t>yes</t>
        </is>
      </c>
      <c r="I786" t="inlineStr"/>
      <c r="J786" t="inlineStr"/>
      <c r="K786" t="inlineStr"/>
      <c r="L786" t="inlineStr"/>
      <c r="M786" t="inlineStr"/>
      <c r="N786" t="inlineStr"/>
    </row>
    <row r="787">
      <c r="A787" t="inlineStr">
        <is>
          <t>fr-paris</t>
        </is>
      </c>
      <c r="B787" t="inlineStr">
        <is>
          <t>Paris</t>
        </is>
      </c>
      <c r="C787" t="inlineStr">
        <is>
          <t>France</t>
        </is>
      </c>
      <c r="D787" t="inlineStr">
        <is>
          <t>Western and Northern Europe</t>
        </is>
      </c>
      <c r="E787" t="inlineStr">
        <is>
          <t>food_cost</t>
        </is>
      </c>
      <c r="F787" t="inlineStr">
        <is>
          <t>Food cost</t>
        </is>
      </c>
      <c r="G787" t="inlineStr">
        <is>
          <t>pressure</t>
        </is>
      </c>
      <c r="H787" t="inlineStr">
        <is>
          <t>yes</t>
        </is>
      </c>
      <c r="I787" t="inlineStr"/>
      <c r="J787" t="inlineStr"/>
      <c r="K787" t="inlineStr"/>
      <c r="L787" t="inlineStr"/>
      <c r="M787" t="inlineStr"/>
      <c r="N787" t="inlineStr"/>
    </row>
    <row r="788">
      <c r="A788" t="inlineStr">
        <is>
          <t>fr-paris</t>
        </is>
      </c>
      <c r="B788" t="inlineStr">
        <is>
          <t>Paris</t>
        </is>
      </c>
      <c r="C788" t="inlineStr">
        <is>
          <t>France</t>
        </is>
      </c>
      <c r="D788" t="inlineStr">
        <is>
          <t>Western and Northern Europe</t>
        </is>
      </c>
      <c r="E788" t="inlineStr">
        <is>
          <t>housing_burden_raw</t>
        </is>
      </c>
      <c r="F788" t="inlineStr">
        <is>
          <t>Housing burden raw</t>
        </is>
      </c>
      <c r="G788" t="inlineStr">
        <is>
          <t>pressure</t>
        </is>
      </c>
      <c r="H788" t="inlineStr">
        <is>
          <t>yes</t>
        </is>
      </c>
      <c r="I788" t="inlineStr"/>
      <c r="J788" t="inlineStr"/>
      <c r="K788" t="inlineStr"/>
      <c r="L788" t="inlineStr"/>
      <c r="M788" t="inlineStr"/>
      <c r="N788" t="inlineStr"/>
    </row>
    <row r="789">
      <c r="A789" t="inlineStr">
        <is>
          <t>fr-paris</t>
        </is>
      </c>
      <c r="B789" t="inlineStr">
        <is>
          <t>Paris</t>
        </is>
      </c>
      <c r="C789" t="inlineStr">
        <is>
          <t>France</t>
        </is>
      </c>
      <c r="D789" t="inlineStr">
        <is>
          <t>Western and Northern Europe</t>
        </is>
      </c>
      <c r="E789" t="inlineStr">
        <is>
          <t>household_debt_burden_raw</t>
        </is>
      </c>
      <c r="F789" t="inlineStr">
        <is>
          <t>Household debt burden raw</t>
        </is>
      </c>
      <c r="G789" t="inlineStr">
        <is>
          <t>pressure</t>
        </is>
      </c>
      <c r="H789" t="inlineStr">
        <is>
          <t>yes</t>
        </is>
      </c>
      <c r="I789" t="inlineStr"/>
      <c r="J789" t="inlineStr"/>
      <c r="K789" t="inlineStr"/>
      <c r="L789" t="inlineStr"/>
      <c r="M789" t="inlineStr"/>
      <c r="N789" t="inlineStr"/>
    </row>
    <row r="790">
      <c r="A790" t="inlineStr">
        <is>
          <t>fr-paris</t>
        </is>
      </c>
      <c r="B790" t="inlineStr">
        <is>
          <t>Paris</t>
        </is>
      </c>
      <c r="C790" t="inlineStr">
        <is>
          <t>France</t>
        </is>
      </c>
      <c r="D790" t="inlineStr">
        <is>
          <t>Western and Northern Europe</t>
        </is>
      </c>
      <c r="E790" t="inlineStr">
        <is>
          <t>working_time_pressure_raw</t>
        </is>
      </c>
      <c r="F790" t="inlineStr">
        <is>
          <t>Working time pressure raw</t>
        </is>
      </c>
      <c r="G790" t="inlineStr">
        <is>
          <t>pressure</t>
        </is>
      </c>
      <c r="H790" t="inlineStr">
        <is>
          <t>yes</t>
        </is>
      </c>
      <c r="I790" t="inlineStr"/>
      <c r="J790" t="inlineStr"/>
      <c r="K790" t="inlineStr"/>
      <c r="L790" t="inlineStr"/>
      <c r="M790" t="inlineStr"/>
      <c r="N790" t="inlineStr"/>
    </row>
    <row r="791">
      <c r="A791" t="inlineStr">
        <is>
          <t>fr-paris</t>
        </is>
      </c>
      <c r="B791" t="inlineStr">
        <is>
          <t>Paris</t>
        </is>
      </c>
      <c r="C791" t="inlineStr">
        <is>
          <t>France</t>
        </is>
      </c>
      <c r="D791" t="inlineStr">
        <is>
          <t>Western and Northern Europe</t>
        </is>
      </c>
      <c r="E791" t="inlineStr">
        <is>
          <t>suicide_mental_strain_raw</t>
        </is>
      </c>
      <c r="F791" t="inlineStr">
        <is>
          <t>Suicide or mental strain raw</t>
        </is>
      </c>
      <c r="G791" t="inlineStr">
        <is>
          <t>pressure</t>
        </is>
      </c>
      <c r="H791" t="inlineStr">
        <is>
          <t>yes</t>
        </is>
      </c>
      <c r="I791" t="inlineStr"/>
      <c r="J791" t="inlineStr"/>
      <c r="K791" t="inlineStr"/>
      <c r="L791" t="inlineStr"/>
      <c r="M791" t="inlineStr"/>
      <c r="N791" t="inlineStr"/>
    </row>
    <row r="792">
      <c r="A792" t="inlineStr">
        <is>
          <t>fr-paris</t>
        </is>
      </c>
      <c r="B792" t="inlineStr">
        <is>
          <t>Paris</t>
        </is>
      </c>
      <c r="C792" t="inlineStr">
        <is>
          <t>France</t>
        </is>
      </c>
      <c r="D792" t="inlineStr">
        <is>
          <t>Western and Northern Europe</t>
        </is>
      </c>
      <c r="E792" t="inlineStr">
        <is>
          <t>personal_safety_raw</t>
        </is>
      </c>
      <c r="F792" t="inlineStr">
        <is>
          <t>Personal safety raw</t>
        </is>
      </c>
      <c r="G792" t="inlineStr">
        <is>
          <t>viability</t>
        </is>
      </c>
      <c r="H792" t="inlineStr">
        <is>
          <t>yes</t>
        </is>
      </c>
      <c r="I792" t="inlineStr"/>
      <c r="J792" t="inlineStr"/>
      <c r="K792" t="inlineStr"/>
      <c r="L792" t="inlineStr"/>
      <c r="M792" t="inlineStr"/>
      <c r="N792" t="inlineStr"/>
    </row>
    <row r="793">
      <c r="A793" t="inlineStr">
        <is>
          <t>fr-paris</t>
        </is>
      </c>
      <c r="B793" t="inlineStr">
        <is>
          <t>Paris</t>
        </is>
      </c>
      <c r="C793" t="inlineStr">
        <is>
          <t>France</t>
        </is>
      </c>
      <c r="D793" t="inlineStr">
        <is>
          <t>Western and Northern Europe</t>
        </is>
      </c>
      <c r="E793" t="inlineStr">
        <is>
          <t>transit_access_commute_raw</t>
        </is>
      </c>
      <c r="F793" t="inlineStr">
        <is>
          <t>Transit access and commute raw</t>
        </is>
      </c>
      <c r="G793" t="inlineStr">
        <is>
          <t>viability</t>
        </is>
      </c>
      <c r="H793" t="inlineStr">
        <is>
          <t>yes</t>
        </is>
      </c>
      <c r="I793" t="inlineStr"/>
      <c r="J793" t="inlineStr"/>
      <c r="K793" t="inlineStr"/>
      <c r="L793" t="inlineStr"/>
      <c r="M793" t="inlineStr"/>
      <c r="N793" t="inlineStr"/>
    </row>
    <row r="794">
      <c r="A794" t="inlineStr">
        <is>
          <t>fr-paris</t>
        </is>
      </c>
      <c r="B794" t="inlineStr">
        <is>
          <t>Paris</t>
        </is>
      </c>
      <c r="C794" t="inlineStr">
        <is>
          <t>France</t>
        </is>
      </c>
      <c r="D794" t="inlineStr">
        <is>
          <t>Western and Northern Europe</t>
        </is>
      </c>
      <c r="E794" t="inlineStr">
        <is>
          <t>clean_air_raw</t>
        </is>
      </c>
      <c r="F794" t="inlineStr">
        <is>
          <t>Clean air raw</t>
        </is>
      </c>
      <c r="G794" t="inlineStr">
        <is>
          <t>viability</t>
        </is>
      </c>
      <c r="H794" t="inlineStr">
        <is>
          <t>yes</t>
        </is>
      </c>
      <c r="I794" t="inlineStr"/>
      <c r="J794" t="inlineStr"/>
      <c r="K794" t="inlineStr"/>
      <c r="L794" t="inlineStr"/>
      <c r="M794" t="inlineStr"/>
      <c r="N794" t="inlineStr"/>
    </row>
    <row r="795">
      <c r="A795" t="inlineStr">
        <is>
          <t>fr-paris</t>
        </is>
      </c>
      <c r="B795" t="inlineStr">
        <is>
          <t>Paris</t>
        </is>
      </c>
      <c r="C795" t="inlineStr">
        <is>
          <t>France</t>
        </is>
      </c>
      <c r="D795" t="inlineStr">
        <is>
          <t>Western and Northern Europe</t>
        </is>
      </c>
      <c r="E795" t="inlineStr">
        <is>
          <t>water_sanitation_utility_raw</t>
        </is>
      </c>
      <c r="F795" t="inlineStr">
        <is>
          <t>Water, sanitation, and utility raw</t>
        </is>
      </c>
      <c r="G795" t="inlineStr">
        <is>
          <t>viability</t>
        </is>
      </c>
      <c r="H795" t="inlineStr">
        <is>
          <t>yes</t>
        </is>
      </c>
      <c r="I795" t="inlineStr"/>
      <c r="J795" t="inlineStr"/>
      <c r="K795" t="inlineStr"/>
      <c r="L795" t="inlineStr"/>
      <c r="M795" t="inlineStr"/>
      <c r="N795" t="inlineStr"/>
    </row>
    <row r="796">
      <c r="A796" t="inlineStr">
        <is>
          <t>fr-paris</t>
        </is>
      </c>
      <c r="B796" t="inlineStr">
        <is>
          <t>Paris</t>
        </is>
      </c>
      <c r="C796" t="inlineStr">
        <is>
          <t>France</t>
        </is>
      </c>
      <c r="D796" t="inlineStr">
        <is>
          <t>Western and Northern Europe</t>
        </is>
      </c>
      <c r="E796" t="inlineStr">
        <is>
          <t>digital_infrastructure_raw</t>
        </is>
      </c>
      <c r="F796" t="inlineStr">
        <is>
          <t>Digital infrastructure raw</t>
        </is>
      </c>
      <c r="G796" t="inlineStr">
        <is>
          <t>viability</t>
        </is>
      </c>
      <c r="H796" t="inlineStr">
        <is>
          <t>yes</t>
        </is>
      </c>
      <c r="I796" t="inlineStr"/>
      <c r="J796" t="inlineStr"/>
      <c r="K796" t="inlineStr"/>
      <c r="L796" t="inlineStr"/>
      <c r="M796" t="inlineStr"/>
      <c r="N796" t="inlineStr"/>
    </row>
    <row r="797">
      <c r="A797" t="inlineStr">
        <is>
          <t>fr-paris</t>
        </is>
      </c>
      <c r="B797" t="inlineStr">
        <is>
          <t>Paris</t>
        </is>
      </c>
      <c r="C797" t="inlineStr">
        <is>
          <t>France</t>
        </is>
      </c>
      <c r="D797" t="inlineStr">
        <is>
          <t>Western and Northern Europe</t>
        </is>
      </c>
      <c r="E797" t="inlineStr">
        <is>
          <t>healthcare_quality_raw</t>
        </is>
      </c>
      <c r="F797" t="inlineStr">
        <is>
          <t>Healthcare quality raw</t>
        </is>
      </c>
      <c r="G797" t="inlineStr">
        <is>
          <t>capability</t>
        </is>
      </c>
      <c r="H797" t="inlineStr">
        <is>
          <t>yes</t>
        </is>
      </c>
      <c r="I797" t="inlineStr"/>
      <c r="J797" t="inlineStr"/>
      <c r="K797" t="inlineStr"/>
      <c r="L797" t="inlineStr"/>
      <c r="M797" t="inlineStr"/>
      <c r="N797" t="inlineStr"/>
    </row>
    <row r="798">
      <c r="A798" t="inlineStr">
        <is>
          <t>fr-paris</t>
        </is>
      </c>
      <c r="B798" t="inlineStr">
        <is>
          <t>Paris</t>
        </is>
      </c>
      <c r="C798" t="inlineStr">
        <is>
          <t>France</t>
        </is>
      </c>
      <c r="D798" t="inlineStr">
        <is>
          <t>Western and Northern Europe</t>
        </is>
      </c>
      <c r="E798" t="inlineStr">
        <is>
          <t>education_quality_raw</t>
        </is>
      </c>
      <c r="F798" t="inlineStr">
        <is>
          <t>Education quality raw</t>
        </is>
      </c>
      <c r="G798" t="inlineStr">
        <is>
          <t>capability</t>
        </is>
      </c>
      <c r="H798" t="inlineStr">
        <is>
          <t>yes</t>
        </is>
      </c>
      <c r="I798" t="inlineStr"/>
      <c r="J798" t="inlineStr"/>
      <c r="K798" t="inlineStr"/>
      <c r="L798" t="inlineStr"/>
      <c r="M798" t="inlineStr"/>
      <c r="N798" t="inlineStr"/>
    </row>
    <row r="799">
      <c r="A799" t="inlineStr">
        <is>
          <t>fr-paris</t>
        </is>
      </c>
      <c r="B799" t="inlineStr">
        <is>
          <t>Paris</t>
        </is>
      </c>
      <c r="C799" t="inlineStr">
        <is>
          <t>France</t>
        </is>
      </c>
      <c r="D799" t="inlineStr">
        <is>
          <t>Western and Northern Europe</t>
        </is>
      </c>
      <c r="E799" t="inlineStr">
        <is>
          <t>equal_opportunity_raw</t>
        </is>
      </c>
      <c r="F799" t="inlineStr">
        <is>
          <t>Equal opportunity raw</t>
        </is>
      </c>
      <c r="G799" t="inlineStr">
        <is>
          <t>capability</t>
        </is>
      </c>
      <c r="H799" t="inlineStr">
        <is>
          <t>yes</t>
        </is>
      </c>
      <c r="I799" t="inlineStr"/>
      <c r="J799" t="inlineStr"/>
      <c r="K799" t="inlineStr"/>
      <c r="L799" t="inlineStr"/>
      <c r="M799" t="inlineStr"/>
      <c r="N799" t="inlineStr"/>
    </row>
    <row r="800">
      <c r="A800" t="inlineStr">
        <is>
          <t>fr-paris</t>
        </is>
      </c>
      <c r="B800" t="inlineStr">
        <is>
          <t>Paris</t>
        </is>
      </c>
      <c r="C800" t="inlineStr">
        <is>
          <t>France</t>
        </is>
      </c>
      <c r="D800" t="inlineStr">
        <is>
          <t>Western and Northern Europe</t>
        </is>
      </c>
      <c r="E800" t="inlineStr">
        <is>
          <t>hospitality_belonging_raw</t>
        </is>
      </c>
      <c r="F800" t="inlineStr">
        <is>
          <t>Hospitality and belonging raw</t>
        </is>
      </c>
      <c r="G800" t="inlineStr">
        <is>
          <t>community</t>
        </is>
      </c>
      <c r="H800" t="inlineStr">
        <is>
          <t>yes</t>
        </is>
      </c>
      <c r="I800" t="inlineStr"/>
      <c r="J800" t="inlineStr"/>
      <c r="K800" t="inlineStr"/>
      <c r="L800" t="inlineStr"/>
      <c r="M800" t="inlineStr"/>
      <c r="N800" t="inlineStr"/>
    </row>
    <row r="801">
      <c r="A801" t="inlineStr">
        <is>
          <t>fr-paris</t>
        </is>
      </c>
      <c r="B801" t="inlineStr">
        <is>
          <t>Paris</t>
        </is>
      </c>
      <c r="C801" t="inlineStr">
        <is>
          <t>France</t>
        </is>
      </c>
      <c r="D801" t="inlineStr">
        <is>
          <t>Western and Northern Europe</t>
        </is>
      </c>
      <c r="E801" t="inlineStr">
        <is>
          <t>tolerance_pluralism_raw</t>
        </is>
      </c>
      <c r="F801" t="inlineStr">
        <is>
          <t>Tolerance and pluralism raw</t>
        </is>
      </c>
      <c r="G801" t="inlineStr">
        <is>
          <t>community</t>
        </is>
      </c>
      <c r="H801" t="inlineStr">
        <is>
          <t>yes</t>
        </is>
      </c>
      <c r="I801" t="inlineStr"/>
      <c r="J801" t="inlineStr"/>
      <c r="K801" t="inlineStr"/>
      <c r="L801" t="inlineStr"/>
      <c r="M801" t="inlineStr"/>
      <c r="N801" t="inlineStr"/>
    </row>
    <row r="802">
      <c r="A802" t="inlineStr">
        <is>
          <t>fr-paris</t>
        </is>
      </c>
      <c r="B802" t="inlineStr">
        <is>
          <t>Paris</t>
        </is>
      </c>
      <c r="C802" t="inlineStr">
        <is>
          <t>France</t>
        </is>
      </c>
      <c r="D802" t="inlineStr">
        <is>
          <t>Western and Northern Europe</t>
        </is>
      </c>
      <c r="E802" t="inlineStr">
        <is>
          <t>cultural_public_life_raw</t>
        </is>
      </c>
      <c r="F802" t="inlineStr">
        <is>
          <t>Cultural public life raw</t>
        </is>
      </c>
      <c r="G802" t="inlineStr">
        <is>
          <t>community</t>
        </is>
      </c>
      <c r="H802" t="inlineStr">
        <is>
          <t>yes</t>
        </is>
      </c>
      <c r="I802" t="inlineStr"/>
      <c r="J802" t="inlineStr"/>
      <c r="K802" t="inlineStr"/>
      <c r="L802" t="inlineStr"/>
      <c r="M802" t="inlineStr"/>
      <c r="N802" t="inlineStr"/>
    </row>
    <row r="803">
      <c r="A803" t="inlineStr">
        <is>
          <t>fr-paris</t>
        </is>
      </c>
      <c r="B803" t="inlineStr">
        <is>
          <t>Paris</t>
        </is>
      </c>
      <c r="C803" t="inlineStr">
        <is>
          <t>France</t>
        </is>
      </c>
      <c r="D803" t="inlineStr">
        <is>
          <t>Western and Northern Europe</t>
        </is>
      </c>
      <c r="E803" t="inlineStr">
        <is>
          <t>entrepreneurial_dynamism_raw</t>
        </is>
      </c>
      <c r="F803" t="inlineStr">
        <is>
          <t>Entrepreneurial dynamism raw</t>
        </is>
      </c>
      <c r="G803" t="inlineStr">
        <is>
          <t>creative</t>
        </is>
      </c>
      <c r="H803" t="inlineStr">
        <is>
          <t>yes</t>
        </is>
      </c>
      <c r="I803" t="inlineStr"/>
      <c r="J803" t="inlineStr"/>
      <c r="K803" t="inlineStr"/>
      <c r="L803" t="inlineStr"/>
      <c r="M803" t="inlineStr"/>
      <c r="N803" t="inlineStr"/>
    </row>
    <row r="804">
      <c r="A804" t="inlineStr">
        <is>
          <t>fr-paris</t>
        </is>
      </c>
      <c r="B804" t="inlineStr">
        <is>
          <t>Paris</t>
        </is>
      </c>
      <c r="C804" t="inlineStr">
        <is>
          <t>France</t>
        </is>
      </c>
      <c r="D804" t="inlineStr">
        <is>
          <t>Western and Northern Europe</t>
        </is>
      </c>
      <c r="E804" t="inlineStr">
        <is>
          <t>innovation_research_intensity_raw</t>
        </is>
      </c>
      <c r="F804" t="inlineStr">
        <is>
          <t>Innovation and research raw</t>
        </is>
      </c>
      <c r="G804" t="inlineStr">
        <is>
          <t>creative</t>
        </is>
      </c>
      <c r="H804" t="inlineStr">
        <is>
          <t>yes</t>
        </is>
      </c>
      <c r="I804" t="inlineStr"/>
      <c r="J804" t="inlineStr"/>
      <c r="K804" t="inlineStr"/>
      <c r="L804" t="inlineStr"/>
      <c r="M804" t="inlineStr"/>
      <c r="N804" t="inlineStr"/>
    </row>
    <row r="805">
      <c r="A805" t="inlineStr">
        <is>
          <t>fr-paris</t>
        </is>
      </c>
      <c r="B805" t="inlineStr">
        <is>
          <t>Paris</t>
        </is>
      </c>
      <c r="C805" t="inlineStr">
        <is>
          <t>France</t>
        </is>
      </c>
      <c r="D805" t="inlineStr">
        <is>
          <t>Western and Northern Europe</t>
        </is>
      </c>
      <c r="E805" t="inlineStr">
        <is>
          <t>investment_signal_raw</t>
        </is>
      </c>
      <c r="F805" t="inlineStr">
        <is>
          <t>Investment signal raw</t>
        </is>
      </c>
      <c r="G805" t="inlineStr">
        <is>
          <t>creative</t>
        </is>
      </c>
      <c r="H805" t="inlineStr">
        <is>
          <t>yes</t>
        </is>
      </c>
      <c r="I805" t="inlineStr"/>
      <c r="J805" t="inlineStr"/>
      <c r="K805" t="inlineStr"/>
      <c r="L805" t="inlineStr"/>
      <c r="M805" t="inlineStr"/>
      <c r="N805" t="inlineStr"/>
    </row>
    <row r="806">
      <c r="A806" t="inlineStr">
        <is>
          <t>fr-paris</t>
        </is>
      </c>
      <c r="B806" t="inlineStr">
        <is>
          <t>Paris</t>
        </is>
      </c>
      <c r="C806" t="inlineStr">
        <is>
          <t>France</t>
        </is>
      </c>
      <c r="D806" t="inlineStr">
        <is>
          <t>Western and Northern Europe</t>
        </is>
      </c>
      <c r="E806" t="inlineStr">
        <is>
          <t>administrative_investment_friction_raw</t>
        </is>
      </c>
      <c r="F806" t="inlineStr">
        <is>
          <t>Administrative investment friction raw</t>
        </is>
      </c>
      <c r="G806" t="inlineStr">
        <is>
          <t>creative</t>
        </is>
      </c>
      <c r="H806" t="inlineStr">
        <is>
          <t>yes</t>
        </is>
      </c>
      <c r="I806" t="inlineStr"/>
      <c r="J806" t="inlineStr"/>
      <c r="K806" t="inlineStr"/>
      <c r="L806" t="inlineStr"/>
      <c r="M806" t="inlineStr"/>
      <c r="N806" t="inlineStr"/>
    </row>
    <row r="807">
      <c r="A807" t="inlineStr">
        <is>
          <t>fr-paris</t>
        </is>
      </c>
      <c r="B807" t="inlineStr">
        <is>
          <t>Paris</t>
        </is>
      </c>
      <c r="C807" t="inlineStr">
        <is>
          <t>France</t>
        </is>
      </c>
      <c r="D807" t="inlineStr">
        <is>
          <t>Western and Northern Europe</t>
        </is>
      </c>
      <c r="E807" t="inlineStr">
        <is>
          <t>visitor_flow_context_raw</t>
        </is>
      </c>
      <c r="F807" t="inlineStr">
        <is>
          <t>Visitor flow context raw</t>
        </is>
      </c>
      <c r="G807" t="inlineStr">
        <is>
          <t>creative</t>
        </is>
      </c>
      <c r="H807" t="inlineStr">
        <is>
          <t>no</t>
        </is>
      </c>
      <c r="I807" t="inlineStr"/>
      <c r="J807" t="inlineStr"/>
      <c r="K807" t="inlineStr"/>
      <c r="L807" t="inlineStr"/>
      <c r="M807" t="inlineStr"/>
      <c r="N807" t="inlineStr"/>
    </row>
    <row r="808">
      <c r="A808" t="inlineStr">
        <is>
          <t>at-vienna</t>
        </is>
      </c>
      <c r="B808" t="inlineStr">
        <is>
          <t>Vienna</t>
        </is>
      </c>
      <c r="C808" t="inlineStr">
        <is>
          <t>Austria</t>
        </is>
      </c>
      <c r="D808" t="inlineStr">
        <is>
          <t>Western and Northern Europe</t>
        </is>
      </c>
      <c r="E808" t="inlineStr">
        <is>
          <t>gross_income</t>
        </is>
      </c>
      <c r="F808" t="inlineStr">
        <is>
          <t>Gross income</t>
        </is>
      </c>
      <c r="G808" t="inlineStr">
        <is>
          <t>pressure</t>
        </is>
      </c>
      <c r="H808" t="inlineStr">
        <is>
          <t>yes</t>
        </is>
      </c>
      <c r="I808" t="inlineStr"/>
      <c r="J808" t="inlineStr"/>
      <c r="K808" t="inlineStr"/>
      <c r="L808" t="inlineStr"/>
      <c r="M808" t="inlineStr"/>
      <c r="N808" t="inlineStr"/>
    </row>
    <row r="809">
      <c r="A809" t="inlineStr">
        <is>
          <t>at-vienna</t>
        </is>
      </c>
      <c r="B809" t="inlineStr">
        <is>
          <t>Vienna</t>
        </is>
      </c>
      <c r="C809" t="inlineStr">
        <is>
          <t>Austria</t>
        </is>
      </c>
      <c r="D809" t="inlineStr">
        <is>
          <t>Western and Northern Europe</t>
        </is>
      </c>
      <c r="E809" t="inlineStr">
        <is>
          <t>rent</t>
        </is>
      </c>
      <c r="F809" t="inlineStr">
        <is>
          <t>Rent</t>
        </is>
      </c>
      <c r="G809" t="inlineStr">
        <is>
          <t>pressure</t>
        </is>
      </c>
      <c r="H809" t="inlineStr">
        <is>
          <t>yes</t>
        </is>
      </c>
      <c r="I809" t="inlineStr"/>
      <c r="J809" t="inlineStr"/>
      <c r="K809" t="inlineStr"/>
      <c r="L809" t="inlineStr"/>
      <c r="M809" t="inlineStr"/>
      <c r="N809" t="inlineStr"/>
    </row>
    <row r="810">
      <c r="A810" t="inlineStr">
        <is>
          <t>at-vienna</t>
        </is>
      </c>
      <c r="B810" t="inlineStr">
        <is>
          <t>Vienna</t>
        </is>
      </c>
      <c r="C810" t="inlineStr">
        <is>
          <t>Austria</t>
        </is>
      </c>
      <c r="D810" t="inlineStr">
        <is>
          <t>Western and Northern Europe</t>
        </is>
      </c>
      <c r="E810" t="inlineStr">
        <is>
          <t>utilities</t>
        </is>
      </c>
      <c r="F810" t="inlineStr">
        <is>
          <t>Utilities</t>
        </is>
      </c>
      <c r="G810" t="inlineStr">
        <is>
          <t>pressure</t>
        </is>
      </c>
      <c r="H810" t="inlineStr">
        <is>
          <t>yes</t>
        </is>
      </c>
      <c r="I810" t="inlineStr"/>
      <c r="J810" t="inlineStr"/>
      <c r="K810" t="inlineStr"/>
      <c r="L810" t="inlineStr"/>
      <c r="M810" t="inlineStr"/>
      <c r="N810" t="inlineStr"/>
    </row>
    <row r="811">
      <c r="A811" t="inlineStr">
        <is>
          <t>at-vienna</t>
        </is>
      </c>
      <c r="B811" t="inlineStr">
        <is>
          <t>Vienna</t>
        </is>
      </c>
      <c r="C811" t="inlineStr">
        <is>
          <t>Austria</t>
        </is>
      </c>
      <c r="D811" t="inlineStr">
        <is>
          <t>Western and Northern Europe</t>
        </is>
      </c>
      <c r="E811" t="inlineStr">
        <is>
          <t>transit_cost</t>
        </is>
      </c>
      <c r="F811" t="inlineStr">
        <is>
          <t>Transit cost</t>
        </is>
      </c>
      <c r="G811" t="inlineStr">
        <is>
          <t>pressure</t>
        </is>
      </c>
      <c r="H811" t="inlineStr">
        <is>
          <t>yes</t>
        </is>
      </c>
      <c r="I811" t="inlineStr"/>
      <c r="J811" t="inlineStr"/>
      <c r="K811" t="inlineStr"/>
      <c r="L811" t="inlineStr"/>
      <c r="M811" t="inlineStr"/>
      <c r="N811" t="inlineStr"/>
    </row>
    <row r="812">
      <c r="A812" t="inlineStr">
        <is>
          <t>at-vienna</t>
        </is>
      </c>
      <c r="B812" t="inlineStr">
        <is>
          <t>Vienna</t>
        </is>
      </c>
      <c r="C812" t="inlineStr">
        <is>
          <t>Austria</t>
        </is>
      </c>
      <c r="D812" t="inlineStr">
        <is>
          <t>Western and Northern Europe</t>
        </is>
      </c>
      <c r="E812" t="inlineStr">
        <is>
          <t>internet_cost</t>
        </is>
      </c>
      <c r="F812" t="inlineStr">
        <is>
          <t>Internet cost</t>
        </is>
      </c>
      <c r="G812" t="inlineStr">
        <is>
          <t>pressure</t>
        </is>
      </c>
      <c r="H812" t="inlineStr">
        <is>
          <t>yes</t>
        </is>
      </c>
      <c r="I812" t="inlineStr"/>
      <c r="J812" t="inlineStr"/>
      <c r="K812" t="inlineStr"/>
      <c r="L812" t="inlineStr"/>
      <c r="M812" t="inlineStr"/>
      <c r="N812" t="inlineStr"/>
    </row>
    <row r="813">
      <c r="A813" t="inlineStr">
        <is>
          <t>at-vienna</t>
        </is>
      </c>
      <c r="B813" t="inlineStr">
        <is>
          <t>Vienna</t>
        </is>
      </c>
      <c r="C813" t="inlineStr">
        <is>
          <t>Austria</t>
        </is>
      </c>
      <c r="D813" t="inlineStr">
        <is>
          <t>Western and Northern Europe</t>
        </is>
      </c>
      <c r="E813" t="inlineStr">
        <is>
          <t>food_cost</t>
        </is>
      </c>
      <c r="F813" t="inlineStr">
        <is>
          <t>Food cost</t>
        </is>
      </c>
      <c r="G813" t="inlineStr">
        <is>
          <t>pressure</t>
        </is>
      </c>
      <c r="H813" t="inlineStr">
        <is>
          <t>yes</t>
        </is>
      </c>
      <c r="I813" t="inlineStr"/>
      <c r="J813" t="inlineStr"/>
      <c r="K813" t="inlineStr"/>
      <c r="L813" t="inlineStr"/>
      <c r="M813" t="inlineStr"/>
      <c r="N813" t="inlineStr"/>
    </row>
    <row r="814">
      <c r="A814" t="inlineStr">
        <is>
          <t>at-vienna</t>
        </is>
      </c>
      <c r="B814" t="inlineStr">
        <is>
          <t>Vienna</t>
        </is>
      </c>
      <c r="C814" t="inlineStr">
        <is>
          <t>Austria</t>
        </is>
      </c>
      <c r="D814" t="inlineStr">
        <is>
          <t>Western and Northern Europe</t>
        </is>
      </c>
      <c r="E814" t="inlineStr">
        <is>
          <t>housing_burden_raw</t>
        </is>
      </c>
      <c r="F814" t="inlineStr">
        <is>
          <t>Housing burden raw</t>
        </is>
      </c>
      <c r="G814" t="inlineStr">
        <is>
          <t>pressure</t>
        </is>
      </c>
      <c r="H814" t="inlineStr">
        <is>
          <t>yes</t>
        </is>
      </c>
      <c r="I814" t="inlineStr"/>
      <c r="J814" t="inlineStr"/>
      <c r="K814" t="inlineStr"/>
      <c r="L814" t="inlineStr"/>
      <c r="M814" t="inlineStr"/>
      <c r="N814" t="inlineStr"/>
    </row>
    <row r="815">
      <c r="A815" t="inlineStr">
        <is>
          <t>at-vienna</t>
        </is>
      </c>
      <c r="B815" t="inlineStr">
        <is>
          <t>Vienna</t>
        </is>
      </c>
      <c r="C815" t="inlineStr">
        <is>
          <t>Austria</t>
        </is>
      </c>
      <c r="D815" t="inlineStr">
        <is>
          <t>Western and Northern Europe</t>
        </is>
      </c>
      <c r="E815" t="inlineStr">
        <is>
          <t>household_debt_burden_raw</t>
        </is>
      </c>
      <c r="F815" t="inlineStr">
        <is>
          <t>Household debt burden raw</t>
        </is>
      </c>
      <c r="G815" t="inlineStr">
        <is>
          <t>pressure</t>
        </is>
      </c>
      <c r="H815" t="inlineStr">
        <is>
          <t>yes</t>
        </is>
      </c>
      <c r="I815" t="inlineStr"/>
      <c r="J815" t="inlineStr"/>
      <c r="K815" t="inlineStr"/>
      <c r="L815" t="inlineStr"/>
      <c r="M815" t="inlineStr"/>
      <c r="N815" t="inlineStr"/>
    </row>
    <row r="816">
      <c r="A816" t="inlineStr">
        <is>
          <t>at-vienna</t>
        </is>
      </c>
      <c r="B816" t="inlineStr">
        <is>
          <t>Vienna</t>
        </is>
      </c>
      <c r="C816" t="inlineStr">
        <is>
          <t>Austria</t>
        </is>
      </c>
      <c r="D816" t="inlineStr">
        <is>
          <t>Western and Northern Europe</t>
        </is>
      </c>
      <c r="E816" t="inlineStr">
        <is>
          <t>working_time_pressure_raw</t>
        </is>
      </c>
      <c r="F816" t="inlineStr">
        <is>
          <t>Working time pressure raw</t>
        </is>
      </c>
      <c r="G816" t="inlineStr">
        <is>
          <t>pressure</t>
        </is>
      </c>
      <c r="H816" t="inlineStr">
        <is>
          <t>yes</t>
        </is>
      </c>
      <c r="I816" t="inlineStr"/>
      <c r="J816" t="inlineStr"/>
      <c r="K816" t="inlineStr"/>
      <c r="L816" t="inlineStr"/>
      <c r="M816" t="inlineStr"/>
      <c r="N816" t="inlineStr"/>
    </row>
    <row r="817">
      <c r="A817" t="inlineStr">
        <is>
          <t>at-vienna</t>
        </is>
      </c>
      <c r="B817" t="inlineStr">
        <is>
          <t>Vienna</t>
        </is>
      </c>
      <c r="C817" t="inlineStr">
        <is>
          <t>Austria</t>
        </is>
      </c>
      <c r="D817" t="inlineStr">
        <is>
          <t>Western and Northern Europe</t>
        </is>
      </c>
      <c r="E817" t="inlineStr">
        <is>
          <t>suicide_mental_strain_raw</t>
        </is>
      </c>
      <c r="F817" t="inlineStr">
        <is>
          <t>Suicide or mental strain raw</t>
        </is>
      </c>
      <c r="G817" t="inlineStr">
        <is>
          <t>pressure</t>
        </is>
      </c>
      <c r="H817" t="inlineStr">
        <is>
          <t>yes</t>
        </is>
      </c>
      <c r="I817" t="inlineStr"/>
      <c r="J817" t="inlineStr"/>
      <c r="K817" t="inlineStr"/>
      <c r="L817" t="inlineStr"/>
      <c r="M817" t="inlineStr"/>
      <c r="N817" t="inlineStr"/>
    </row>
    <row r="818">
      <c r="A818" t="inlineStr">
        <is>
          <t>at-vienna</t>
        </is>
      </c>
      <c r="B818" t="inlineStr">
        <is>
          <t>Vienna</t>
        </is>
      </c>
      <c r="C818" t="inlineStr">
        <is>
          <t>Austria</t>
        </is>
      </c>
      <c r="D818" t="inlineStr">
        <is>
          <t>Western and Northern Europe</t>
        </is>
      </c>
      <c r="E818" t="inlineStr">
        <is>
          <t>personal_safety_raw</t>
        </is>
      </c>
      <c r="F818" t="inlineStr">
        <is>
          <t>Personal safety raw</t>
        </is>
      </c>
      <c r="G818" t="inlineStr">
        <is>
          <t>viability</t>
        </is>
      </c>
      <c r="H818" t="inlineStr">
        <is>
          <t>yes</t>
        </is>
      </c>
      <c r="I818" t="inlineStr"/>
      <c r="J818" t="inlineStr"/>
      <c r="K818" t="inlineStr"/>
      <c r="L818" t="inlineStr"/>
      <c r="M818" t="inlineStr"/>
      <c r="N818" t="inlineStr"/>
    </row>
    <row r="819">
      <c r="A819" t="inlineStr">
        <is>
          <t>at-vienna</t>
        </is>
      </c>
      <c r="B819" t="inlineStr">
        <is>
          <t>Vienna</t>
        </is>
      </c>
      <c r="C819" t="inlineStr">
        <is>
          <t>Austria</t>
        </is>
      </c>
      <c r="D819" t="inlineStr">
        <is>
          <t>Western and Northern Europe</t>
        </is>
      </c>
      <c r="E819" t="inlineStr">
        <is>
          <t>transit_access_commute_raw</t>
        </is>
      </c>
      <c r="F819" t="inlineStr">
        <is>
          <t>Transit access and commute raw</t>
        </is>
      </c>
      <c r="G819" t="inlineStr">
        <is>
          <t>viability</t>
        </is>
      </c>
      <c r="H819" t="inlineStr">
        <is>
          <t>yes</t>
        </is>
      </c>
      <c r="I819" t="inlineStr"/>
      <c r="J819" t="inlineStr"/>
      <c r="K819" t="inlineStr"/>
      <c r="L819" t="inlineStr"/>
      <c r="M819" t="inlineStr"/>
      <c r="N819" t="inlineStr"/>
    </row>
    <row r="820">
      <c r="A820" t="inlineStr">
        <is>
          <t>at-vienna</t>
        </is>
      </c>
      <c r="B820" t="inlineStr">
        <is>
          <t>Vienna</t>
        </is>
      </c>
      <c r="C820" t="inlineStr">
        <is>
          <t>Austria</t>
        </is>
      </c>
      <c r="D820" t="inlineStr">
        <is>
          <t>Western and Northern Europe</t>
        </is>
      </c>
      <c r="E820" t="inlineStr">
        <is>
          <t>clean_air_raw</t>
        </is>
      </c>
      <c r="F820" t="inlineStr">
        <is>
          <t>Clean air raw</t>
        </is>
      </c>
      <c r="G820" t="inlineStr">
        <is>
          <t>viability</t>
        </is>
      </c>
      <c r="H820" t="inlineStr">
        <is>
          <t>yes</t>
        </is>
      </c>
      <c r="I820" t="inlineStr"/>
      <c r="J820" t="inlineStr"/>
      <c r="K820" t="inlineStr"/>
      <c r="L820" t="inlineStr"/>
      <c r="M820" t="inlineStr"/>
      <c r="N820" t="inlineStr"/>
    </row>
    <row r="821">
      <c r="A821" t="inlineStr">
        <is>
          <t>at-vienna</t>
        </is>
      </c>
      <c r="B821" t="inlineStr">
        <is>
          <t>Vienna</t>
        </is>
      </c>
      <c r="C821" t="inlineStr">
        <is>
          <t>Austria</t>
        </is>
      </c>
      <c r="D821" t="inlineStr">
        <is>
          <t>Western and Northern Europe</t>
        </is>
      </c>
      <c r="E821" t="inlineStr">
        <is>
          <t>water_sanitation_utility_raw</t>
        </is>
      </c>
      <c r="F821" t="inlineStr">
        <is>
          <t>Water, sanitation, and utility raw</t>
        </is>
      </c>
      <c r="G821" t="inlineStr">
        <is>
          <t>viability</t>
        </is>
      </c>
      <c r="H821" t="inlineStr">
        <is>
          <t>yes</t>
        </is>
      </c>
      <c r="I821" t="inlineStr"/>
      <c r="J821" t="inlineStr"/>
      <c r="K821" t="inlineStr"/>
      <c r="L821" t="inlineStr"/>
      <c r="M821" t="inlineStr"/>
      <c r="N821" t="inlineStr"/>
    </row>
    <row r="822">
      <c r="A822" t="inlineStr">
        <is>
          <t>at-vienna</t>
        </is>
      </c>
      <c r="B822" t="inlineStr">
        <is>
          <t>Vienna</t>
        </is>
      </c>
      <c r="C822" t="inlineStr">
        <is>
          <t>Austria</t>
        </is>
      </c>
      <c r="D822" t="inlineStr">
        <is>
          <t>Western and Northern Europe</t>
        </is>
      </c>
      <c r="E822" t="inlineStr">
        <is>
          <t>digital_infrastructure_raw</t>
        </is>
      </c>
      <c r="F822" t="inlineStr">
        <is>
          <t>Digital infrastructure raw</t>
        </is>
      </c>
      <c r="G822" t="inlineStr">
        <is>
          <t>viability</t>
        </is>
      </c>
      <c r="H822" t="inlineStr">
        <is>
          <t>yes</t>
        </is>
      </c>
      <c r="I822" t="inlineStr"/>
      <c r="J822" t="inlineStr"/>
      <c r="K822" t="inlineStr"/>
      <c r="L822" t="inlineStr"/>
      <c r="M822" t="inlineStr"/>
      <c r="N822" t="inlineStr"/>
    </row>
    <row r="823">
      <c r="A823" t="inlineStr">
        <is>
          <t>at-vienna</t>
        </is>
      </c>
      <c r="B823" t="inlineStr">
        <is>
          <t>Vienna</t>
        </is>
      </c>
      <c r="C823" t="inlineStr">
        <is>
          <t>Austria</t>
        </is>
      </c>
      <c r="D823" t="inlineStr">
        <is>
          <t>Western and Northern Europe</t>
        </is>
      </c>
      <c r="E823" t="inlineStr">
        <is>
          <t>healthcare_quality_raw</t>
        </is>
      </c>
      <c r="F823" t="inlineStr">
        <is>
          <t>Healthcare quality raw</t>
        </is>
      </c>
      <c r="G823" t="inlineStr">
        <is>
          <t>capability</t>
        </is>
      </c>
      <c r="H823" t="inlineStr">
        <is>
          <t>yes</t>
        </is>
      </c>
      <c r="I823" t="inlineStr"/>
      <c r="J823" t="inlineStr"/>
      <c r="K823" t="inlineStr"/>
      <c r="L823" t="inlineStr"/>
      <c r="M823" t="inlineStr"/>
      <c r="N823" t="inlineStr"/>
    </row>
    <row r="824">
      <c r="A824" t="inlineStr">
        <is>
          <t>at-vienna</t>
        </is>
      </c>
      <c r="B824" t="inlineStr">
        <is>
          <t>Vienna</t>
        </is>
      </c>
      <c r="C824" t="inlineStr">
        <is>
          <t>Austria</t>
        </is>
      </c>
      <c r="D824" t="inlineStr">
        <is>
          <t>Western and Northern Europe</t>
        </is>
      </c>
      <c r="E824" t="inlineStr">
        <is>
          <t>education_quality_raw</t>
        </is>
      </c>
      <c r="F824" t="inlineStr">
        <is>
          <t>Education quality raw</t>
        </is>
      </c>
      <c r="G824" t="inlineStr">
        <is>
          <t>capability</t>
        </is>
      </c>
      <c r="H824" t="inlineStr">
        <is>
          <t>yes</t>
        </is>
      </c>
      <c r="I824" t="inlineStr"/>
      <c r="J824" t="inlineStr"/>
      <c r="K824" t="inlineStr"/>
      <c r="L824" t="inlineStr"/>
      <c r="M824" t="inlineStr"/>
      <c r="N824" t="inlineStr"/>
    </row>
    <row r="825">
      <c r="A825" t="inlineStr">
        <is>
          <t>at-vienna</t>
        </is>
      </c>
      <c r="B825" t="inlineStr">
        <is>
          <t>Vienna</t>
        </is>
      </c>
      <c r="C825" t="inlineStr">
        <is>
          <t>Austria</t>
        </is>
      </c>
      <c r="D825" t="inlineStr">
        <is>
          <t>Western and Northern Europe</t>
        </is>
      </c>
      <c r="E825" t="inlineStr">
        <is>
          <t>equal_opportunity_raw</t>
        </is>
      </c>
      <c r="F825" t="inlineStr">
        <is>
          <t>Equal opportunity raw</t>
        </is>
      </c>
      <c r="G825" t="inlineStr">
        <is>
          <t>capability</t>
        </is>
      </c>
      <c r="H825" t="inlineStr">
        <is>
          <t>yes</t>
        </is>
      </c>
      <c r="I825" t="inlineStr"/>
      <c r="J825" t="inlineStr"/>
      <c r="K825" t="inlineStr"/>
      <c r="L825" t="inlineStr"/>
      <c r="M825" t="inlineStr"/>
      <c r="N825" t="inlineStr"/>
    </row>
    <row r="826">
      <c r="A826" t="inlineStr">
        <is>
          <t>at-vienna</t>
        </is>
      </c>
      <c r="B826" t="inlineStr">
        <is>
          <t>Vienna</t>
        </is>
      </c>
      <c r="C826" t="inlineStr">
        <is>
          <t>Austria</t>
        </is>
      </c>
      <c r="D826" t="inlineStr">
        <is>
          <t>Western and Northern Europe</t>
        </is>
      </c>
      <c r="E826" t="inlineStr">
        <is>
          <t>hospitality_belonging_raw</t>
        </is>
      </c>
      <c r="F826" t="inlineStr">
        <is>
          <t>Hospitality and belonging raw</t>
        </is>
      </c>
      <c r="G826" t="inlineStr">
        <is>
          <t>community</t>
        </is>
      </c>
      <c r="H826" t="inlineStr">
        <is>
          <t>yes</t>
        </is>
      </c>
      <c r="I826" t="inlineStr"/>
      <c r="J826" t="inlineStr"/>
      <c r="K826" t="inlineStr"/>
      <c r="L826" t="inlineStr"/>
      <c r="M826" t="inlineStr"/>
      <c r="N826" t="inlineStr"/>
    </row>
    <row r="827">
      <c r="A827" t="inlineStr">
        <is>
          <t>at-vienna</t>
        </is>
      </c>
      <c r="B827" t="inlineStr">
        <is>
          <t>Vienna</t>
        </is>
      </c>
      <c r="C827" t="inlineStr">
        <is>
          <t>Austria</t>
        </is>
      </c>
      <c r="D827" t="inlineStr">
        <is>
          <t>Western and Northern Europe</t>
        </is>
      </c>
      <c r="E827" t="inlineStr">
        <is>
          <t>tolerance_pluralism_raw</t>
        </is>
      </c>
      <c r="F827" t="inlineStr">
        <is>
          <t>Tolerance and pluralism raw</t>
        </is>
      </c>
      <c r="G827" t="inlineStr">
        <is>
          <t>community</t>
        </is>
      </c>
      <c r="H827" t="inlineStr">
        <is>
          <t>yes</t>
        </is>
      </c>
      <c r="I827" t="inlineStr"/>
      <c r="J827" t="inlineStr"/>
      <c r="K827" t="inlineStr"/>
      <c r="L827" t="inlineStr"/>
      <c r="M827" t="inlineStr"/>
      <c r="N827" t="inlineStr"/>
    </row>
    <row r="828">
      <c r="A828" t="inlineStr">
        <is>
          <t>at-vienna</t>
        </is>
      </c>
      <c r="B828" t="inlineStr">
        <is>
          <t>Vienna</t>
        </is>
      </c>
      <c r="C828" t="inlineStr">
        <is>
          <t>Austria</t>
        </is>
      </c>
      <c r="D828" t="inlineStr">
        <is>
          <t>Western and Northern Europe</t>
        </is>
      </c>
      <c r="E828" t="inlineStr">
        <is>
          <t>cultural_public_life_raw</t>
        </is>
      </c>
      <c r="F828" t="inlineStr">
        <is>
          <t>Cultural public life raw</t>
        </is>
      </c>
      <c r="G828" t="inlineStr">
        <is>
          <t>community</t>
        </is>
      </c>
      <c r="H828" t="inlineStr">
        <is>
          <t>yes</t>
        </is>
      </c>
      <c r="I828" t="inlineStr"/>
      <c r="J828" t="inlineStr"/>
      <c r="K828" t="inlineStr"/>
      <c r="L828" t="inlineStr"/>
      <c r="M828" t="inlineStr"/>
      <c r="N828" t="inlineStr"/>
    </row>
    <row r="829">
      <c r="A829" t="inlineStr">
        <is>
          <t>at-vienna</t>
        </is>
      </c>
      <c r="B829" t="inlineStr">
        <is>
          <t>Vienna</t>
        </is>
      </c>
      <c r="C829" t="inlineStr">
        <is>
          <t>Austria</t>
        </is>
      </c>
      <c r="D829" t="inlineStr">
        <is>
          <t>Western and Northern Europe</t>
        </is>
      </c>
      <c r="E829" t="inlineStr">
        <is>
          <t>entrepreneurial_dynamism_raw</t>
        </is>
      </c>
      <c r="F829" t="inlineStr">
        <is>
          <t>Entrepreneurial dynamism raw</t>
        </is>
      </c>
      <c r="G829" t="inlineStr">
        <is>
          <t>creative</t>
        </is>
      </c>
      <c r="H829" t="inlineStr">
        <is>
          <t>yes</t>
        </is>
      </c>
      <c r="I829" t="inlineStr"/>
      <c r="J829" t="inlineStr"/>
      <c r="K829" t="inlineStr"/>
      <c r="L829" t="inlineStr"/>
      <c r="M829" t="inlineStr"/>
      <c r="N829" t="inlineStr"/>
    </row>
    <row r="830">
      <c r="A830" t="inlineStr">
        <is>
          <t>at-vienna</t>
        </is>
      </c>
      <c r="B830" t="inlineStr">
        <is>
          <t>Vienna</t>
        </is>
      </c>
      <c r="C830" t="inlineStr">
        <is>
          <t>Austria</t>
        </is>
      </c>
      <c r="D830" t="inlineStr">
        <is>
          <t>Western and Northern Europe</t>
        </is>
      </c>
      <c r="E830" t="inlineStr">
        <is>
          <t>innovation_research_intensity_raw</t>
        </is>
      </c>
      <c r="F830" t="inlineStr">
        <is>
          <t>Innovation and research raw</t>
        </is>
      </c>
      <c r="G830" t="inlineStr">
        <is>
          <t>creative</t>
        </is>
      </c>
      <c r="H830" t="inlineStr">
        <is>
          <t>yes</t>
        </is>
      </c>
      <c r="I830" t="inlineStr"/>
      <c r="J830" t="inlineStr"/>
      <c r="K830" t="inlineStr"/>
      <c r="L830" t="inlineStr"/>
      <c r="M830" t="inlineStr"/>
      <c r="N830" t="inlineStr"/>
    </row>
    <row r="831">
      <c r="A831" t="inlineStr">
        <is>
          <t>at-vienna</t>
        </is>
      </c>
      <c r="B831" t="inlineStr">
        <is>
          <t>Vienna</t>
        </is>
      </c>
      <c r="C831" t="inlineStr">
        <is>
          <t>Austria</t>
        </is>
      </c>
      <c r="D831" t="inlineStr">
        <is>
          <t>Western and Northern Europe</t>
        </is>
      </c>
      <c r="E831" t="inlineStr">
        <is>
          <t>investment_signal_raw</t>
        </is>
      </c>
      <c r="F831" t="inlineStr">
        <is>
          <t>Investment signal raw</t>
        </is>
      </c>
      <c r="G831" t="inlineStr">
        <is>
          <t>creative</t>
        </is>
      </c>
      <c r="H831" t="inlineStr">
        <is>
          <t>yes</t>
        </is>
      </c>
      <c r="I831" t="inlineStr"/>
      <c r="J831" t="inlineStr"/>
      <c r="K831" t="inlineStr"/>
      <c r="L831" t="inlineStr"/>
      <c r="M831" t="inlineStr"/>
      <c r="N831" t="inlineStr"/>
    </row>
    <row r="832">
      <c r="A832" t="inlineStr">
        <is>
          <t>at-vienna</t>
        </is>
      </c>
      <c r="B832" t="inlineStr">
        <is>
          <t>Vienna</t>
        </is>
      </c>
      <c r="C832" t="inlineStr">
        <is>
          <t>Austria</t>
        </is>
      </c>
      <c r="D832" t="inlineStr">
        <is>
          <t>Western and Northern Europe</t>
        </is>
      </c>
      <c r="E832" t="inlineStr">
        <is>
          <t>administrative_investment_friction_raw</t>
        </is>
      </c>
      <c r="F832" t="inlineStr">
        <is>
          <t>Administrative investment friction raw</t>
        </is>
      </c>
      <c r="G832" t="inlineStr">
        <is>
          <t>creative</t>
        </is>
      </c>
      <c r="H832" t="inlineStr">
        <is>
          <t>yes</t>
        </is>
      </c>
      <c r="I832" t="inlineStr"/>
      <c r="J832" t="inlineStr"/>
      <c r="K832" t="inlineStr"/>
      <c r="L832" t="inlineStr"/>
      <c r="M832" t="inlineStr"/>
      <c r="N832" t="inlineStr"/>
    </row>
    <row r="833">
      <c r="A833" t="inlineStr">
        <is>
          <t>at-vienna</t>
        </is>
      </c>
      <c r="B833" t="inlineStr">
        <is>
          <t>Vienna</t>
        </is>
      </c>
      <c r="C833" t="inlineStr">
        <is>
          <t>Austria</t>
        </is>
      </c>
      <c r="D833" t="inlineStr">
        <is>
          <t>Western and Northern Europe</t>
        </is>
      </c>
      <c r="E833" t="inlineStr">
        <is>
          <t>visitor_flow_context_raw</t>
        </is>
      </c>
      <c r="F833" t="inlineStr">
        <is>
          <t>Visitor flow context raw</t>
        </is>
      </c>
      <c r="G833" t="inlineStr">
        <is>
          <t>creative</t>
        </is>
      </c>
      <c r="H833" t="inlineStr">
        <is>
          <t>no</t>
        </is>
      </c>
      <c r="I833" t="inlineStr"/>
      <c r="J833" t="inlineStr"/>
      <c r="K833" t="inlineStr"/>
      <c r="L833" t="inlineStr"/>
      <c r="M833" t="inlineStr"/>
      <c r="N833" t="inlineStr"/>
    </row>
    <row r="834">
      <c r="A834" t="inlineStr">
        <is>
          <t>ch-zurich</t>
        </is>
      </c>
      <c r="B834" t="inlineStr">
        <is>
          <t>Zurich</t>
        </is>
      </c>
      <c r="C834" t="inlineStr">
        <is>
          <t>Switzerland</t>
        </is>
      </c>
      <c r="D834" t="inlineStr">
        <is>
          <t>Western and Northern Europe</t>
        </is>
      </c>
      <c r="E834" t="inlineStr">
        <is>
          <t>gross_income</t>
        </is>
      </c>
      <c r="F834" t="inlineStr">
        <is>
          <t>Gross income</t>
        </is>
      </c>
      <c r="G834" t="inlineStr">
        <is>
          <t>pressure</t>
        </is>
      </c>
      <c r="H834" t="inlineStr">
        <is>
          <t>yes</t>
        </is>
      </c>
      <c r="I834" t="inlineStr"/>
      <c r="J834" t="inlineStr"/>
      <c r="K834" t="inlineStr"/>
      <c r="L834" t="inlineStr"/>
      <c r="M834" t="inlineStr"/>
      <c r="N834" t="inlineStr"/>
    </row>
    <row r="835">
      <c r="A835" t="inlineStr">
        <is>
          <t>ch-zurich</t>
        </is>
      </c>
      <c r="B835" t="inlineStr">
        <is>
          <t>Zurich</t>
        </is>
      </c>
      <c r="C835" t="inlineStr">
        <is>
          <t>Switzerland</t>
        </is>
      </c>
      <c r="D835" t="inlineStr">
        <is>
          <t>Western and Northern Europe</t>
        </is>
      </c>
      <c r="E835" t="inlineStr">
        <is>
          <t>rent</t>
        </is>
      </c>
      <c r="F835" t="inlineStr">
        <is>
          <t>Rent</t>
        </is>
      </c>
      <c r="G835" t="inlineStr">
        <is>
          <t>pressure</t>
        </is>
      </c>
      <c r="H835" t="inlineStr">
        <is>
          <t>yes</t>
        </is>
      </c>
      <c r="I835" t="inlineStr"/>
      <c r="J835" t="inlineStr"/>
      <c r="K835" t="inlineStr"/>
      <c r="L835" t="inlineStr"/>
      <c r="M835" t="inlineStr"/>
      <c r="N835" t="inlineStr"/>
    </row>
    <row r="836">
      <c r="A836" t="inlineStr">
        <is>
          <t>ch-zurich</t>
        </is>
      </c>
      <c r="B836" t="inlineStr">
        <is>
          <t>Zurich</t>
        </is>
      </c>
      <c r="C836" t="inlineStr">
        <is>
          <t>Switzerland</t>
        </is>
      </c>
      <c r="D836" t="inlineStr">
        <is>
          <t>Western and Northern Europe</t>
        </is>
      </c>
      <c r="E836" t="inlineStr">
        <is>
          <t>utilities</t>
        </is>
      </c>
      <c r="F836" t="inlineStr">
        <is>
          <t>Utilities</t>
        </is>
      </c>
      <c r="G836" t="inlineStr">
        <is>
          <t>pressure</t>
        </is>
      </c>
      <c r="H836" t="inlineStr">
        <is>
          <t>yes</t>
        </is>
      </c>
      <c r="I836" t="inlineStr"/>
      <c r="J836" t="inlineStr"/>
      <c r="K836" t="inlineStr"/>
      <c r="L836" t="inlineStr"/>
      <c r="M836" t="inlineStr"/>
      <c r="N836" t="inlineStr"/>
    </row>
    <row r="837">
      <c r="A837" t="inlineStr">
        <is>
          <t>ch-zurich</t>
        </is>
      </c>
      <c r="B837" t="inlineStr">
        <is>
          <t>Zurich</t>
        </is>
      </c>
      <c r="C837" t="inlineStr">
        <is>
          <t>Switzerland</t>
        </is>
      </c>
      <c r="D837" t="inlineStr">
        <is>
          <t>Western and Northern Europe</t>
        </is>
      </c>
      <c r="E837" t="inlineStr">
        <is>
          <t>transit_cost</t>
        </is>
      </c>
      <c r="F837" t="inlineStr">
        <is>
          <t>Transit cost</t>
        </is>
      </c>
      <c r="G837" t="inlineStr">
        <is>
          <t>pressure</t>
        </is>
      </c>
      <c r="H837" t="inlineStr">
        <is>
          <t>yes</t>
        </is>
      </c>
      <c r="I837" t="inlineStr"/>
      <c r="J837" t="inlineStr"/>
      <c r="K837" t="inlineStr"/>
      <c r="L837" t="inlineStr"/>
      <c r="M837" t="inlineStr"/>
      <c r="N837" t="inlineStr"/>
    </row>
    <row r="838">
      <c r="A838" t="inlineStr">
        <is>
          <t>ch-zurich</t>
        </is>
      </c>
      <c r="B838" t="inlineStr">
        <is>
          <t>Zurich</t>
        </is>
      </c>
      <c r="C838" t="inlineStr">
        <is>
          <t>Switzerland</t>
        </is>
      </c>
      <c r="D838" t="inlineStr">
        <is>
          <t>Western and Northern Europe</t>
        </is>
      </c>
      <c r="E838" t="inlineStr">
        <is>
          <t>internet_cost</t>
        </is>
      </c>
      <c r="F838" t="inlineStr">
        <is>
          <t>Internet cost</t>
        </is>
      </c>
      <c r="G838" t="inlineStr">
        <is>
          <t>pressure</t>
        </is>
      </c>
      <c r="H838" t="inlineStr">
        <is>
          <t>yes</t>
        </is>
      </c>
      <c r="I838" t="inlineStr"/>
      <c r="J838" t="inlineStr"/>
      <c r="K838" t="inlineStr"/>
      <c r="L838" t="inlineStr"/>
      <c r="M838" t="inlineStr"/>
      <c r="N838" t="inlineStr"/>
    </row>
    <row r="839">
      <c r="A839" t="inlineStr">
        <is>
          <t>ch-zurich</t>
        </is>
      </c>
      <c r="B839" t="inlineStr">
        <is>
          <t>Zurich</t>
        </is>
      </c>
      <c r="C839" t="inlineStr">
        <is>
          <t>Switzerland</t>
        </is>
      </c>
      <c r="D839" t="inlineStr">
        <is>
          <t>Western and Northern Europe</t>
        </is>
      </c>
      <c r="E839" t="inlineStr">
        <is>
          <t>food_cost</t>
        </is>
      </c>
      <c r="F839" t="inlineStr">
        <is>
          <t>Food cost</t>
        </is>
      </c>
      <c r="G839" t="inlineStr">
        <is>
          <t>pressure</t>
        </is>
      </c>
      <c r="H839" t="inlineStr">
        <is>
          <t>yes</t>
        </is>
      </c>
      <c r="I839" t="inlineStr"/>
      <c r="J839" t="inlineStr"/>
      <c r="K839" t="inlineStr"/>
      <c r="L839" t="inlineStr"/>
      <c r="M839" t="inlineStr"/>
      <c r="N839" t="inlineStr"/>
    </row>
    <row r="840">
      <c r="A840" t="inlineStr">
        <is>
          <t>ch-zurich</t>
        </is>
      </c>
      <c r="B840" t="inlineStr">
        <is>
          <t>Zurich</t>
        </is>
      </c>
      <c r="C840" t="inlineStr">
        <is>
          <t>Switzerland</t>
        </is>
      </c>
      <c r="D840" t="inlineStr">
        <is>
          <t>Western and Northern Europe</t>
        </is>
      </c>
      <c r="E840" t="inlineStr">
        <is>
          <t>housing_burden_raw</t>
        </is>
      </c>
      <c r="F840" t="inlineStr">
        <is>
          <t>Housing burden raw</t>
        </is>
      </c>
      <c r="G840" t="inlineStr">
        <is>
          <t>pressure</t>
        </is>
      </c>
      <c r="H840" t="inlineStr">
        <is>
          <t>yes</t>
        </is>
      </c>
      <c r="I840" t="inlineStr"/>
      <c r="J840" t="inlineStr"/>
      <c r="K840" t="inlineStr"/>
      <c r="L840" t="inlineStr"/>
      <c r="M840" t="inlineStr"/>
      <c r="N840" t="inlineStr"/>
    </row>
    <row r="841">
      <c r="A841" t="inlineStr">
        <is>
          <t>ch-zurich</t>
        </is>
      </c>
      <c r="B841" t="inlineStr">
        <is>
          <t>Zurich</t>
        </is>
      </c>
      <c r="C841" t="inlineStr">
        <is>
          <t>Switzerland</t>
        </is>
      </c>
      <c r="D841" t="inlineStr">
        <is>
          <t>Western and Northern Europe</t>
        </is>
      </c>
      <c r="E841" t="inlineStr">
        <is>
          <t>household_debt_burden_raw</t>
        </is>
      </c>
      <c r="F841" t="inlineStr">
        <is>
          <t>Household debt burden raw</t>
        </is>
      </c>
      <c r="G841" t="inlineStr">
        <is>
          <t>pressure</t>
        </is>
      </c>
      <c r="H841" t="inlineStr">
        <is>
          <t>yes</t>
        </is>
      </c>
      <c r="I841" t="inlineStr"/>
      <c r="J841" t="inlineStr"/>
      <c r="K841" t="inlineStr"/>
      <c r="L841" t="inlineStr"/>
      <c r="M841" t="inlineStr"/>
      <c r="N841" t="inlineStr"/>
    </row>
    <row r="842">
      <c r="A842" t="inlineStr">
        <is>
          <t>ch-zurich</t>
        </is>
      </c>
      <c r="B842" t="inlineStr">
        <is>
          <t>Zurich</t>
        </is>
      </c>
      <c r="C842" t="inlineStr">
        <is>
          <t>Switzerland</t>
        </is>
      </c>
      <c r="D842" t="inlineStr">
        <is>
          <t>Western and Northern Europe</t>
        </is>
      </c>
      <c r="E842" t="inlineStr">
        <is>
          <t>working_time_pressure_raw</t>
        </is>
      </c>
      <c r="F842" t="inlineStr">
        <is>
          <t>Working time pressure raw</t>
        </is>
      </c>
      <c r="G842" t="inlineStr">
        <is>
          <t>pressure</t>
        </is>
      </c>
      <c r="H842" t="inlineStr">
        <is>
          <t>yes</t>
        </is>
      </c>
      <c r="I842" t="inlineStr"/>
      <c r="J842" t="inlineStr"/>
      <c r="K842" t="inlineStr"/>
      <c r="L842" t="inlineStr"/>
      <c r="M842" t="inlineStr"/>
      <c r="N842" t="inlineStr"/>
    </row>
    <row r="843">
      <c r="A843" t="inlineStr">
        <is>
          <t>ch-zurich</t>
        </is>
      </c>
      <c r="B843" t="inlineStr">
        <is>
          <t>Zurich</t>
        </is>
      </c>
      <c r="C843" t="inlineStr">
        <is>
          <t>Switzerland</t>
        </is>
      </c>
      <c r="D843" t="inlineStr">
        <is>
          <t>Western and Northern Europe</t>
        </is>
      </c>
      <c r="E843" t="inlineStr">
        <is>
          <t>suicide_mental_strain_raw</t>
        </is>
      </c>
      <c r="F843" t="inlineStr">
        <is>
          <t>Suicide or mental strain raw</t>
        </is>
      </c>
      <c r="G843" t="inlineStr">
        <is>
          <t>pressure</t>
        </is>
      </c>
      <c r="H843" t="inlineStr">
        <is>
          <t>yes</t>
        </is>
      </c>
      <c r="I843" t="inlineStr"/>
      <c r="J843" t="inlineStr"/>
      <c r="K843" t="inlineStr"/>
      <c r="L843" t="inlineStr"/>
      <c r="M843" t="inlineStr"/>
      <c r="N843" t="inlineStr"/>
    </row>
    <row r="844">
      <c r="A844" t="inlineStr">
        <is>
          <t>ch-zurich</t>
        </is>
      </c>
      <c r="B844" t="inlineStr">
        <is>
          <t>Zurich</t>
        </is>
      </c>
      <c r="C844" t="inlineStr">
        <is>
          <t>Switzerland</t>
        </is>
      </c>
      <c r="D844" t="inlineStr">
        <is>
          <t>Western and Northern Europe</t>
        </is>
      </c>
      <c r="E844" t="inlineStr">
        <is>
          <t>personal_safety_raw</t>
        </is>
      </c>
      <c r="F844" t="inlineStr">
        <is>
          <t>Personal safety raw</t>
        </is>
      </c>
      <c r="G844" t="inlineStr">
        <is>
          <t>viability</t>
        </is>
      </c>
      <c r="H844" t="inlineStr">
        <is>
          <t>yes</t>
        </is>
      </c>
      <c r="I844" t="inlineStr"/>
      <c r="J844" t="inlineStr"/>
      <c r="K844" t="inlineStr"/>
      <c r="L844" t="inlineStr"/>
      <c r="M844" t="inlineStr"/>
      <c r="N844" t="inlineStr"/>
    </row>
    <row r="845">
      <c r="A845" t="inlineStr">
        <is>
          <t>ch-zurich</t>
        </is>
      </c>
      <c r="B845" t="inlineStr">
        <is>
          <t>Zurich</t>
        </is>
      </c>
      <c r="C845" t="inlineStr">
        <is>
          <t>Switzerland</t>
        </is>
      </c>
      <c r="D845" t="inlineStr">
        <is>
          <t>Western and Northern Europe</t>
        </is>
      </c>
      <c r="E845" t="inlineStr">
        <is>
          <t>transit_access_commute_raw</t>
        </is>
      </c>
      <c r="F845" t="inlineStr">
        <is>
          <t>Transit access and commute raw</t>
        </is>
      </c>
      <c r="G845" t="inlineStr">
        <is>
          <t>viability</t>
        </is>
      </c>
      <c r="H845" t="inlineStr">
        <is>
          <t>yes</t>
        </is>
      </c>
      <c r="I845" t="inlineStr"/>
      <c r="J845" t="inlineStr"/>
      <c r="K845" t="inlineStr"/>
      <c r="L845" t="inlineStr"/>
      <c r="M845" t="inlineStr"/>
      <c r="N845" t="inlineStr"/>
    </row>
    <row r="846">
      <c r="A846" t="inlineStr">
        <is>
          <t>ch-zurich</t>
        </is>
      </c>
      <c r="B846" t="inlineStr">
        <is>
          <t>Zurich</t>
        </is>
      </c>
      <c r="C846" t="inlineStr">
        <is>
          <t>Switzerland</t>
        </is>
      </c>
      <c r="D846" t="inlineStr">
        <is>
          <t>Western and Northern Europe</t>
        </is>
      </c>
      <c r="E846" t="inlineStr">
        <is>
          <t>clean_air_raw</t>
        </is>
      </c>
      <c r="F846" t="inlineStr">
        <is>
          <t>Clean air raw</t>
        </is>
      </c>
      <c r="G846" t="inlineStr">
        <is>
          <t>viability</t>
        </is>
      </c>
      <c r="H846" t="inlineStr">
        <is>
          <t>yes</t>
        </is>
      </c>
      <c r="I846" t="inlineStr"/>
      <c r="J846" t="inlineStr"/>
      <c r="K846" t="inlineStr"/>
      <c r="L846" t="inlineStr"/>
      <c r="M846" t="inlineStr"/>
      <c r="N846" t="inlineStr"/>
    </row>
    <row r="847">
      <c r="A847" t="inlineStr">
        <is>
          <t>ch-zurich</t>
        </is>
      </c>
      <c r="B847" t="inlineStr">
        <is>
          <t>Zurich</t>
        </is>
      </c>
      <c r="C847" t="inlineStr">
        <is>
          <t>Switzerland</t>
        </is>
      </c>
      <c r="D847" t="inlineStr">
        <is>
          <t>Western and Northern Europe</t>
        </is>
      </c>
      <c r="E847" t="inlineStr">
        <is>
          <t>water_sanitation_utility_raw</t>
        </is>
      </c>
      <c r="F847" t="inlineStr">
        <is>
          <t>Water, sanitation, and utility raw</t>
        </is>
      </c>
      <c r="G847" t="inlineStr">
        <is>
          <t>viability</t>
        </is>
      </c>
      <c r="H847" t="inlineStr">
        <is>
          <t>yes</t>
        </is>
      </c>
      <c r="I847" t="inlineStr"/>
      <c r="J847" t="inlineStr"/>
      <c r="K847" t="inlineStr"/>
      <c r="L847" t="inlineStr"/>
      <c r="M847" t="inlineStr"/>
      <c r="N847" t="inlineStr"/>
    </row>
    <row r="848">
      <c r="A848" t="inlineStr">
        <is>
          <t>ch-zurich</t>
        </is>
      </c>
      <c r="B848" t="inlineStr">
        <is>
          <t>Zurich</t>
        </is>
      </c>
      <c r="C848" t="inlineStr">
        <is>
          <t>Switzerland</t>
        </is>
      </c>
      <c r="D848" t="inlineStr">
        <is>
          <t>Western and Northern Europe</t>
        </is>
      </c>
      <c r="E848" t="inlineStr">
        <is>
          <t>digital_infrastructure_raw</t>
        </is>
      </c>
      <c r="F848" t="inlineStr">
        <is>
          <t>Digital infrastructure raw</t>
        </is>
      </c>
      <c r="G848" t="inlineStr">
        <is>
          <t>viability</t>
        </is>
      </c>
      <c r="H848" t="inlineStr">
        <is>
          <t>yes</t>
        </is>
      </c>
      <c r="I848" t="inlineStr"/>
      <c r="J848" t="inlineStr"/>
      <c r="K848" t="inlineStr"/>
      <c r="L848" t="inlineStr"/>
      <c r="M848" t="inlineStr"/>
      <c r="N848" t="inlineStr"/>
    </row>
    <row r="849">
      <c r="A849" t="inlineStr">
        <is>
          <t>ch-zurich</t>
        </is>
      </c>
      <c r="B849" t="inlineStr">
        <is>
          <t>Zurich</t>
        </is>
      </c>
      <c r="C849" t="inlineStr">
        <is>
          <t>Switzerland</t>
        </is>
      </c>
      <c r="D849" t="inlineStr">
        <is>
          <t>Western and Northern Europe</t>
        </is>
      </c>
      <c r="E849" t="inlineStr">
        <is>
          <t>healthcare_quality_raw</t>
        </is>
      </c>
      <c r="F849" t="inlineStr">
        <is>
          <t>Healthcare quality raw</t>
        </is>
      </c>
      <c r="G849" t="inlineStr">
        <is>
          <t>capability</t>
        </is>
      </c>
      <c r="H849" t="inlineStr">
        <is>
          <t>yes</t>
        </is>
      </c>
      <c r="I849" t="inlineStr"/>
      <c r="J849" t="inlineStr"/>
      <c r="K849" t="inlineStr"/>
      <c r="L849" t="inlineStr"/>
      <c r="M849" t="inlineStr"/>
      <c r="N849" t="inlineStr"/>
    </row>
    <row r="850">
      <c r="A850" t="inlineStr">
        <is>
          <t>ch-zurich</t>
        </is>
      </c>
      <c r="B850" t="inlineStr">
        <is>
          <t>Zurich</t>
        </is>
      </c>
      <c r="C850" t="inlineStr">
        <is>
          <t>Switzerland</t>
        </is>
      </c>
      <c r="D850" t="inlineStr">
        <is>
          <t>Western and Northern Europe</t>
        </is>
      </c>
      <c r="E850" t="inlineStr">
        <is>
          <t>education_quality_raw</t>
        </is>
      </c>
      <c r="F850" t="inlineStr">
        <is>
          <t>Education quality raw</t>
        </is>
      </c>
      <c r="G850" t="inlineStr">
        <is>
          <t>capability</t>
        </is>
      </c>
      <c r="H850" t="inlineStr">
        <is>
          <t>yes</t>
        </is>
      </c>
      <c r="I850" t="inlineStr"/>
      <c r="J850" t="inlineStr"/>
      <c r="K850" t="inlineStr"/>
      <c r="L850" t="inlineStr"/>
      <c r="M850" t="inlineStr"/>
      <c r="N850" t="inlineStr"/>
    </row>
    <row r="851">
      <c r="A851" t="inlineStr">
        <is>
          <t>ch-zurich</t>
        </is>
      </c>
      <c r="B851" t="inlineStr">
        <is>
          <t>Zurich</t>
        </is>
      </c>
      <c r="C851" t="inlineStr">
        <is>
          <t>Switzerland</t>
        </is>
      </c>
      <c r="D851" t="inlineStr">
        <is>
          <t>Western and Northern Europe</t>
        </is>
      </c>
      <c r="E851" t="inlineStr">
        <is>
          <t>equal_opportunity_raw</t>
        </is>
      </c>
      <c r="F851" t="inlineStr">
        <is>
          <t>Equal opportunity raw</t>
        </is>
      </c>
      <c r="G851" t="inlineStr">
        <is>
          <t>capability</t>
        </is>
      </c>
      <c r="H851" t="inlineStr">
        <is>
          <t>yes</t>
        </is>
      </c>
      <c r="I851" t="inlineStr"/>
      <c r="J851" t="inlineStr"/>
      <c r="K851" t="inlineStr"/>
      <c r="L851" t="inlineStr"/>
      <c r="M851" t="inlineStr"/>
      <c r="N851" t="inlineStr"/>
    </row>
    <row r="852">
      <c r="A852" t="inlineStr">
        <is>
          <t>ch-zurich</t>
        </is>
      </c>
      <c r="B852" t="inlineStr">
        <is>
          <t>Zurich</t>
        </is>
      </c>
      <c r="C852" t="inlineStr">
        <is>
          <t>Switzerland</t>
        </is>
      </c>
      <c r="D852" t="inlineStr">
        <is>
          <t>Western and Northern Europe</t>
        </is>
      </c>
      <c r="E852" t="inlineStr">
        <is>
          <t>hospitality_belonging_raw</t>
        </is>
      </c>
      <c r="F852" t="inlineStr">
        <is>
          <t>Hospitality and belonging raw</t>
        </is>
      </c>
      <c r="G852" t="inlineStr">
        <is>
          <t>community</t>
        </is>
      </c>
      <c r="H852" t="inlineStr">
        <is>
          <t>yes</t>
        </is>
      </c>
      <c r="I852" t="inlineStr"/>
      <c r="J852" t="inlineStr"/>
      <c r="K852" t="inlineStr"/>
      <c r="L852" t="inlineStr"/>
      <c r="M852" t="inlineStr"/>
      <c r="N852" t="inlineStr"/>
    </row>
    <row r="853">
      <c r="A853" t="inlineStr">
        <is>
          <t>ch-zurich</t>
        </is>
      </c>
      <c r="B853" t="inlineStr">
        <is>
          <t>Zurich</t>
        </is>
      </c>
      <c r="C853" t="inlineStr">
        <is>
          <t>Switzerland</t>
        </is>
      </c>
      <c r="D853" t="inlineStr">
        <is>
          <t>Western and Northern Europe</t>
        </is>
      </c>
      <c r="E853" t="inlineStr">
        <is>
          <t>tolerance_pluralism_raw</t>
        </is>
      </c>
      <c r="F853" t="inlineStr">
        <is>
          <t>Tolerance and pluralism raw</t>
        </is>
      </c>
      <c r="G853" t="inlineStr">
        <is>
          <t>community</t>
        </is>
      </c>
      <c r="H853" t="inlineStr">
        <is>
          <t>yes</t>
        </is>
      </c>
      <c r="I853" t="inlineStr"/>
      <c r="J853" t="inlineStr"/>
      <c r="K853" t="inlineStr"/>
      <c r="L853" t="inlineStr"/>
      <c r="M853" t="inlineStr"/>
      <c r="N853" t="inlineStr"/>
    </row>
    <row r="854">
      <c r="A854" t="inlineStr">
        <is>
          <t>ch-zurich</t>
        </is>
      </c>
      <c r="B854" t="inlineStr">
        <is>
          <t>Zurich</t>
        </is>
      </c>
      <c r="C854" t="inlineStr">
        <is>
          <t>Switzerland</t>
        </is>
      </c>
      <c r="D854" t="inlineStr">
        <is>
          <t>Western and Northern Europe</t>
        </is>
      </c>
      <c r="E854" t="inlineStr">
        <is>
          <t>cultural_public_life_raw</t>
        </is>
      </c>
      <c r="F854" t="inlineStr">
        <is>
          <t>Cultural public life raw</t>
        </is>
      </c>
      <c r="G854" t="inlineStr">
        <is>
          <t>community</t>
        </is>
      </c>
      <c r="H854" t="inlineStr">
        <is>
          <t>yes</t>
        </is>
      </c>
      <c r="I854" t="inlineStr"/>
      <c r="J854" t="inlineStr"/>
      <c r="K854" t="inlineStr"/>
      <c r="L854" t="inlineStr"/>
      <c r="M854" t="inlineStr"/>
      <c r="N854" t="inlineStr"/>
    </row>
    <row r="855">
      <c r="A855" t="inlineStr">
        <is>
          <t>ch-zurich</t>
        </is>
      </c>
      <c r="B855" t="inlineStr">
        <is>
          <t>Zurich</t>
        </is>
      </c>
      <c r="C855" t="inlineStr">
        <is>
          <t>Switzerland</t>
        </is>
      </c>
      <c r="D855" t="inlineStr">
        <is>
          <t>Western and Northern Europe</t>
        </is>
      </c>
      <c r="E855" t="inlineStr">
        <is>
          <t>entrepreneurial_dynamism_raw</t>
        </is>
      </c>
      <c r="F855" t="inlineStr">
        <is>
          <t>Entrepreneurial dynamism raw</t>
        </is>
      </c>
      <c r="G855" t="inlineStr">
        <is>
          <t>creative</t>
        </is>
      </c>
      <c r="H855" t="inlineStr">
        <is>
          <t>yes</t>
        </is>
      </c>
      <c r="I855" t="inlineStr"/>
      <c r="J855" t="inlineStr"/>
      <c r="K855" t="inlineStr"/>
      <c r="L855" t="inlineStr"/>
      <c r="M855" t="inlineStr"/>
      <c r="N855" t="inlineStr"/>
    </row>
    <row r="856">
      <c r="A856" t="inlineStr">
        <is>
          <t>ch-zurich</t>
        </is>
      </c>
      <c r="B856" t="inlineStr">
        <is>
          <t>Zurich</t>
        </is>
      </c>
      <c r="C856" t="inlineStr">
        <is>
          <t>Switzerland</t>
        </is>
      </c>
      <c r="D856" t="inlineStr">
        <is>
          <t>Western and Northern Europe</t>
        </is>
      </c>
      <c r="E856" t="inlineStr">
        <is>
          <t>innovation_research_intensity_raw</t>
        </is>
      </c>
      <c r="F856" t="inlineStr">
        <is>
          <t>Innovation and research raw</t>
        </is>
      </c>
      <c r="G856" t="inlineStr">
        <is>
          <t>creative</t>
        </is>
      </c>
      <c r="H856" t="inlineStr">
        <is>
          <t>yes</t>
        </is>
      </c>
      <c r="I856" t="inlineStr"/>
      <c r="J856" t="inlineStr"/>
      <c r="K856" t="inlineStr"/>
      <c r="L856" t="inlineStr"/>
      <c r="M856" t="inlineStr"/>
      <c r="N856" t="inlineStr"/>
    </row>
    <row r="857">
      <c r="A857" t="inlineStr">
        <is>
          <t>ch-zurich</t>
        </is>
      </c>
      <c r="B857" t="inlineStr">
        <is>
          <t>Zurich</t>
        </is>
      </c>
      <c r="C857" t="inlineStr">
        <is>
          <t>Switzerland</t>
        </is>
      </c>
      <c r="D857" t="inlineStr">
        <is>
          <t>Western and Northern Europe</t>
        </is>
      </c>
      <c r="E857" t="inlineStr">
        <is>
          <t>investment_signal_raw</t>
        </is>
      </c>
      <c r="F857" t="inlineStr">
        <is>
          <t>Investment signal raw</t>
        </is>
      </c>
      <c r="G857" t="inlineStr">
        <is>
          <t>creative</t>
        </is>
      </c>
      <c r="H857" t="inlineStr">
        <is>
          <t>yes</t>
        </is>
      </c>
      <c r="I857" t="inlineStr"/>
      <c r="J857" t="inlineStr"/>
      <c r="K857" t="inlineStr"/>
      <c r="L857" t="inlineStr"/>
      <c r="M857" t="inlineStr"/>
      <c r="N857" t="inlineStr"/>
    </row>
    <row r="858">
      <c r="A858" t="inlineStr">
        <is>
          <t>ch-zurich</t>
        </is>
      </c>
      <c r="B858" t="inlineStr">
        <is>
          <t>Zurich</t>
        </is>
      </c>
      <c r="C858" t="inlineStr">
        <is>
          <t>Switzerland</t>
        </is>
      </c>
      <c r="D858" t="inlineStr">
        <is>
          <t>Western and Northern Europe</t>
        </is>
      </c>
      <c r="E858" t="inlineStr">
        <is>
          <t>administrative_investment_friction_raw</t>
        </is>
      </c>
      <c r="F858" t="inlineStr">
        <is>
          <t>Administrative investment friction raw</t>
        </is>
      </c>
      <c r="G858" t="inlineStr">
        <is>
          <t>creative</t>
        </is>
      </c>
      <c r="H858" t="inlineStr">
        <is>
          <t>yes</t>
        </is>
      </c>
      <c r="I858" t="inlineStr"/>
      <c r="J858" t="inlineStr"/>
      <c r="K858" t="inlineStr"/>
      <c r="L858" t="inlineStr"/>
      <c r="M858" t="inlineStr"/>
      <c r="N858" t="inlineStr"/>
    </row>
    <row r="859">
      <c r="A859" t="inlineStr">
        <is>
          <t>ch-zurich</t>
        </is>
      </c>
      <c r="B859" t="inlineStr">
        <is>
          <t>Zurich</t>
        </is>
      </c>
      <c r="C859" t="inlineStr">
        <is>
          <t>Switzerland</t>
        </is>
      </c>
      <c r="D859" t="inlineStr">
        <is>
          <t>Western and Northern Europe</t>
        </is>
      </c>
      <c r="E859" t="inlineStr">
        <is>
          <t>visitor_flow_context_raw</t>
        </is>
      </c>
      <c r="F859" t="inlineStr">
        <is>
          <t>Visitor flow context raw</t>
        </is>
      </c>
      <c r="G859" t="inlineStr">
        <is>
          <t>creative</t>
        </is>
      </c>
      <c r="H859" t="inlineStr">
        <is>
          <t>no</t>
        </is>
      </c>
      <c r="I859" t="inlineStr"/>
      <c r="J859" t="inlineStr"/>
      <c r="K859" t="inlineStr"/>
      <c r="L859" t="inlineStr"/>
      <c r="M859" t="inlineStr"/>
      <c r="N859" t="inlineStr"/>
    </row>
    <row r="860">
      <c r="A860" t="inlineStr">
        <is>
          <t>nl-amsterdam</t>
        </is>
      </c>
      <c r="B860" t="inlineStr">
        <is>
          <t>Amsterdam</t>
        </is>
      </c>
      <c r="C860" t="inlineStr">
        <is>
          <t>Netherlands</t>
        </is>
      </c>
      <c r="D860" t="inlineStr">
        <is>
          <t>Western and Northern Europe</t>
        </is>
      </c>
      <c r="E860" t="inlineStr">
        <is>
          <t>gross_income</t>
        </is>
      </c>
      <c r="F860" t="inlineStr">
        <is>
          <t>Gross income</t>
        </is>
      </c>
      <c r="G860" t="inlineStr">
        <is>
          <t>pressure</t>
        </is>
      </c>
      <c r="H860" t="inlineStr">
        <is>
          <t>yes</t>
        </is>
      </c>
      <c r="I860" t="inlineStr"/>
      <c r="J860" t="inlineStr"/>
      <c r="K860" t="inlineStr"/>
      <c r="L860" t="inlineStr"/>
      <c r="M860" t="inlineStr"/>
      <c r="N860" t="inlineStr"/>
    </row>
    <row r="861">
      <c r="A861" t="inlineStr">
        <is>
          <t>nl-amsterdam</t>
        </is>
      </c>
      <c r="B861" t="inlineStr">
        <is>
          <t>Amsterdam</t>
        </is>
      </c>
      <c r="C861" t="inlineStr">
        <is>
          <t>Netherlands</t>
        </is>
      </c>
      <c r="D861" t="inlineStr">
        <is>
          <t>Western and Northern Europe</t>
        </is>
      </c>
      <c r="E861" t="inlineStr">
        <is>
          <t>rent</t>
        </is>
      </c>
      <c r="F861" t="inlineStr">
        <is>
          <t>Rent</t>
        </is>
      </c>
      <c r="G861" t="inlineStr">
        <is>
          <t>pressure</t>
        </is>
      </c>
      <c r="H861" t="inlineStr">
        <is>
          <t>yes</t>
        </is>
      </c>
      <c r="I861" t="inlineStr"/>
      <c r="J861" t="inlineStr"/>
      <c r="K861" t="inlineStr"/>
      <c r="L861" t="inlineStr"/>
      <c r="M861" t="inlineStr"/>
      <c r="N861" t="inlineStr"/>
    </row>
    <row r="862">
      <c r="A862" t="inlineStr">
        <is>
          <t>nl-amsterdam</t>
        </is>
      </c>
      <c r="B862" t="inlineStr">
        <is>
          <t>Amsterdam</t>
        </is>
      </c>
      <c r="C862" t="inlineStr">
        <is>
          <t>Netherlands</t>
        </is>
      </c>
      <c r="D862" t="inlineStr">
        <is>
          <t>Western and Northern Europe</t>
        </is>
      </c>
      <c r="E862" t="inlineStr">
        <is>
          <t>utilities</t>
        </is>
      </c>
      <c r="F862" t="inlineStr">
        <is>
          <t>Utilities</t>
        </is>
      </c>
      <c r="G862" t="inlineStr">
        <is>
          <t>pressure</t>
        </is>
      </c>
      <c r="H862" t="inlineStr">
        <is>
          <t>yes</t>
        </is>
      </c>
      <c r="I862" t="inlineStr"/>
      <c r="J862" t="inlineStr"/>
      <c r="K862" t="inlineStr"/>
      <c r="L862" t="inlineStr"/>
      <c r="M862" t="inlineStr"/>
      <c r="N862" t="inlineStr"/>
    </row>
    <row r="863">
      <c r="A863" t="inlineStr">
        <is>
          <t>nl-amsterdam</t>
        </is>
      </c>
      <c r="B863" t="inlineStr">
        <is>
          <t>Amsterdam</t>
        </is>
      </c>
      <c r="C863" t="inlineStr">
        <is>
          <t>Netherlands</t>
        </is>
      </c>
      <c r="D863" t="inlineStr">
        <is>
          <t>Western and Northern Europe</t>
        </is>
      </c>
      <c r="E863" t="inlineStr">
        <is>
          <t>transit_cost</t>
        </is>
      </c>
      <c r="F863" t="inlineStr">
        <is>
          <t>Transit cost</t>
        </is>
      </c>
      <c r="G863" t="inlineStr">
        <is>
          <t>pressure</t>
        </is>
      </c>
      <c r="H863" t="inlineStr">
        <is>
          <t>yes</t>
        </is>
      </c>
      <c r="I863" t="inlineStr"/>
      <c r="J863" t="inlineStr"/>
      <c r="K863" t="inlineStr"/>
      <c r="L863" t="inlineStr"/>
      <c r="M863" t="inlineStr"/>
      <c r="N863" t="inlineStr"/>
    </row>
    <row r="864">
      <c r="A864" t="inlineStr">
        <is>
          <t>nl-amsterdam</t>
        </is>
      </c>
      <c r="B864" t="inlineStr">
        <is>
          <t>Amsterdam</t>
        </is>
      </c>
      <c r="C864" t="inlineStr">
        <is>
          <t>Netherlands</t>
        </is>
      </c>
      <c r="D864" t="inlineStr">
        <is>
          <t>Western and Northern Europe</t>
        </is>
      </c>
      <c r="E864" t="inlineStr">
        <is>
          <t>internet_cost</t>
        </is>
      </c>
      <c r="F864" t="inlineStr">
        <is>
          <t>Internet cost</t>
        </is>
      </c>
      <c r="G864" t="inlineStr">
        <is>
          <t>pressure</t>
        </is>
      </c>
      <c r="H864" t="inlineStr">
        <is>
          <t>yes</t>
        </is>
      </c>
      <c r="I864" t="inlineStr"/>
      <c r="J864" t="inlineStr"/>
      <c r="K864" t="inlineStr"/>
      <c r="L864" t="inlineStr"/>
      <c r="M864" t="inlineStr"/>
      <c r="N864" t="inlineStr"/>
    </row>
    <row r="865">
      <c r="A865" t="inlineStr">
        <is>
          <t>nl-amsterdam</t>
        </is>
      </c>
      <c r="B865" t="inlineStr">
        <is>
          <t>Amsterdam</t>
        </is>
      </c>
      <c r="C865" t="inlineStr">
        <is>
          <t>Netherlands</t>
        </is>
      </c>
      <c r="D865" t="inlineStr">
        <is>
          <t>Western and Northern Europe</t>
        </is>
      </c>
      <c r="E865" t="inlineStr">
        <is>
          <t>food_cost</t>
        </is>
      </c>
      <c r="F865" t="inlineStr">
        <is>
          <t>Food cost</t>
        </is>
      </c>
      <c r="G865" t="inlineStr">
        <is>
          <t>pressure</t>
        </is>
      </c>
      <c r="H865" t="inlineStr">
        <is>
          <t>yes</t>
        </is>
      </c>
      <c r="I865" t="inlineStr"/>
      <c r="J865" t="inlineStr"/>
      <c r="K865" t="inlineStr"/>
      <c r="L865" t="inlineStr"/>
      <c r="M865" t="inlineStr"/>
      <c r="N865" t="inlineStr"/>
    </row>
    <row r="866">
      <c r="A866" t="inlineStr">
        <is>
          <t>nl-amsterdam</t>
        </is>
      </c>
      <c r="B866" t="inlineStr">
        <is>
          <t>Amsterdam</t>
        </is>
      </c>
      <c r="C866" t="inlineStr">
        <is>
          <t>Netherlands</t>
        </is>
      </c>
      <c r="D866" t="inlineStr">
        <is>
          <t>Western and Northern Europe</t>
        </is>
      </c>
      <c r="E866" t="inlineStr">
        <is>
          <t>housing_burden_raw</t>
        </is>
      </c>
      <c r="F866" t="inlineStr">
        <is>
          <t>Housing burden raw</t>
        </is>
      </c>
      <c r="G866" t="inlineStr">
        <is>
          <t>pressure</t>
        </is>
      </c>
      <c r="H866" t="inlineStr">
        <is>
          <t>yes</t>
        </is>
      </c>
      <c r="I866" t="inlineStr"/>
      <c r="J866" t="inlineStr"/>
      <c r="K866" t="inlineStr"/>
      <c r="L866" t="inlineStr"/>
      <c r="M866" t="inlineStr"/>
      <c r="N866" t="inlineStr"/>
    </row>
    <row r="867">
      <c r="A867" t="inlineStr">
        <is>
          <t>nl-amsterdam</t>
        </is>
      </c>
      <c r="B867" t="inlineStr">
        <is>
          <t>Amsterdam</t>
        </is>
      </c>
      <c r="C867" t="inlineStr">
        <is>
          <t>Netherlands</t>
        </is>
      </c>
      <c r="D867" t="inlineStr">
        <is>
          <t>Western and Northern Europe</t>
        </is>
      </c>
      <c r="E867" t="inlineStr">
        <is>
          <t>household_debt_burden_raw</t>
        </is>
      </c>
      <c r="F867" t="inlineStr">
        <is>
          <t>Household debt burden raw</t>
        </is>
      </c>
      <c r="G867" t="inlineStr">
        <is>
          <t>pressure</t>
        </is>
      </c>
      <c r="H867" t="inlineStr">
        <is>
          <t>yes</t>
        </is>
      </c>
      <c r="I867" t="inlineStr"/>
      <c r="J867" t="inlineStr"/>
      <c r="K867" t="inlineStr"/>
      <c r="L867" t="inlineStr"/>
      <c r="M867" t="inlineStr"/>
      <c r="N867" t="inlineStr"/>
    </row>
    <row r="868">
      <c r="A868" t="inlineStr">
        <is>
          <t>nl-amsterdam</t>
        </is>
      </c>
      <c r="B868" t="inlineStr">
        <is>
          <t>Amsterdam</t>
        </is>
      </c>
      <c r="C868" t="inlineStr">
        <is>
          <t>Netherlands</t>
        </is>
      </c>
      <c r="D868" t="inlineStr">
        <is>
          <t>Western and Northern Europe</t>
        </is>
      </c>
      <c r="E868" t="inlineStr">
        <is>
          <t>working_time_pressure_raw</t>
        </is>
      </c>
      <c r="F868" t="inlineStr">
        <is>
          <t>Working time pressure raw</t>
        </is>
      </c>
      <c r="G868" t="inlineStr">
        <is>
          <t>pressure</t>
        </is>
      </c>
      <c r="H868" t="inlineStr">
        <is>
          <t>yes</t>
        </is>
      </c>
      <c r="I868" t="inlineStr"/>
      <c r="J868" t="inlineStr"/>
      <c r="K868" t="inlineStr"/>
      <c r="L868" t="inlineStr"/>
      <c r="M868" t="inlineStr"/>
      <c r="N868" t="inlineStr"/>
    </row>
    <row r="869">
      <c r="A869" t="inlineStr">
        <is>
          <t>nl-amsterdam</t>
        </is>
      </c>
      <c r="B869" t="inlineStr">
        <is>
          <t>Amsterdam</t>
        </is>
      </c>
      <c r="C869" t="inlineStr">
        <is>
          <t>Netherlands</t>
        </is>
      </c>
      <c r="D869" t="inlineStr">
        <is>
          <t>Western and Northern Europe</t>
        </is>
      </c>
      <c r="E869" t="inlineStr">
        <is>
          <t>suicide_mental_strain_raw</t>
        </is>
      </c>
      <c r="F869" t="inlineStr">
        <is>
          <t>Suicide or mental strain raw</t>
        </is>
      </c>
      <c r="G869" t="inlineStr">
        <is>
          <t>pressure</t>
        </is>
      </c>
      <c r="H869" t="inlineStr">
        <is>
          <t>yes</t>
        </is>
      </c>
      <c r="I869" t="inlineStr"/>
      <c r="J869" t="inlineStr"/>
      <c r="K869" t="inlineStr"/>
      <c r="L869" t="inlineStr"/>
      <c r="M869" t="inlineStr"/>
      <c r="N869" t="inlineStr"/>
    </row>
    <row r="870">
      <c r="A870" t="inlineStr">
        <is>
          <t>nl-amsterdam</t>
        </is>
      </c>
      <c r="B870" t="inlineStr">
        <is>
          <t>Amsterdam</t>
        </is>
      </c>
      <c r="C870" t="inlineStr">
        <is>
          <t>Netherlands</t>
        </is>
      </c>
      <c r="D870" t="inlineStr">
        <is>
          <t>Western and Northern Europe</t>
        </is>
      </c>
      <c r="E870" t="inlineStr">
        <is>
          <t>personal_safety_raw</t>
        </is>
      </c>
      <c r="F870" t="inlineStr">
        <is>
          <t>Personal safety raw</t>
        </is>
      </c>
      <c r="G870" t="inlineStr">
        <is>
          <t>viability</t>
        </is>
      </c>
      <c r="H870" t="inlineStr">
        <is>
          <t>yes</t>
        </is>
      </c>
      <c r="I870" t="inlineStr"/>
      <c r="J870" t="inlineStr"/>
      <c r="K870" t="inlineStr"/>
      <c r="L870" t="inlineStr"/>
      <c r="M870" t="inlineStr"/>
      <c r="N870" t="inlineStr"/>
    </row>
    <row r="871">
      <c r="A871" t="inlineStr">
        <is>
          <t>nl-amsterdam</t>
        </is>
      </c>
      <c r="B871" t="inlineStr">
        <is>
          <t>Amsterdam</t>
        </is>
      </c>
      <c r="C871" t="inlineStr">
        <is>
          <t>Netherlands</t>
        </is>
      </c>
      <c r="D871" t="inlineStr">
        <is>
          <t>Western and Northern Europe</t>
        </is>
      </c>
      <c r="E871" t="inlineStr">
        <is>
          <t>transit_access_commute_raw</t>
        </is>
      </c>
      <c r="F871" t="inlineStr">
        <is>
          <t>Transit access and commute raw</t>
        </is>
      </c>
      <c r="G871" t="inlineStr">
        <is>
          <t>viability</t>
        </is>
      </c>
      <c r="H871" t="inlineStr">
        <is>
          <t>yes</t>
        </is>
      </c>
      <c r="I871" t="inlineStr"/>
      <c r="J871" t="inlineStr"/>
      <c r="K871" t="inlineStr"/>
      <c r="L871" t="inlineStr"/>
      <c r="M871" t="inlineStr"/>
      <c r="N871" t="inlineStr"/>
    </row>
    <row r="872">
      <c r="A872" t="inlineStr">
        <is>
          <t>nl-amsterdam</t>
        </is>
      </c>
      <c r="B872" t="inlineStr">
        <is>
          <t>Amsterdam</t>
        </is>
      </c>
      <c r="C872" t="inlineStr">
        <is>
          <t>Netherlands</t>
        </is>
      </c>
      <c r="D872" t="inlineStr">
        <is>
          <t>Western and Northern Europe</t>
        </is>
      </c>
      <c r="E872" t="inlineStr">
        <is>
          <t>clean_air_raw</t>
        </is>
      </c>
      <c r="F872" t="inlineStr">
        <is>
          <t>Clean air raw</t>
        </is>
      </c>
      <c r="G872" t="inlineStr">
        <is>
          <t>viability</t>
        </is>
      </c>
      <c r="H872" t="inlineStr">
        <is>
          <t>yes</t>
        </is>
      </c>
      <c r="I872" t="inlineStr"/>
      <c r="J872" t="inlineStr"/>
      <c r="K872" t="inlineStr"/>
      <c r="L872" t="inlineStr"/>
      <c r="M872" t="inlineStr"/>
      <c r="N872" t="inlineStr"/>
    </row>
    <row r="873">
      <c r="A873" t="inlineStr">
        <is>
          <t>nl-amsterdam</t>
        </is>
      </c>
      <c r="B873" t="inlineStr">
        <is>
          <t>Amsterdam</t>
        </is>
      </c>
      <c r="C873" t="inlineStr">
        <is>
          <t>Netherlands</t>
        </is>
      </c>
      <c r="D873" t="inlineStr">
        <is>
          <t>Western and Northern Europe</t>
        </is>
      </c>
      <c r="E873" t="inlineStr">
        <is>
          <t>water_sanitation_utility_raw</t>
        </is>
      </c>
      <c r="F873" t="inlineStr">
        <is>
          <t>Water, sanitation, and utility raw</t>
        </is>
      </c>
      <c r="G873" t="inlineStr">
        <is>
          <t>viability</t>
        </is>
      </c>
      <c r="H873" t="inlineStr">
        <is>
          <t>yes</t>
        </is>
      </c>
      <c r="I873" t="inlineStr"/>
      <c r="J873" t="inlineStr"/>
      <c r="K873" t="inlineStr"/>
      <c r="L873" t="inlineStr"/>
      <c r="M873" t="inlineStr"/>
      <c r="N873" t="inlineStr"/>
    </row>
    <row r="874">
      <c r="A874" t="inlineStr">
        <is>
          <t>nl-amsterdam</t>
        </is>
      </c>
      <c r="B874" t="inlineStr">
        <is>
          <t>Amsterdam</t>
        </is>
      </c>
      <c r="C874" t="inlineStr">
        <is>
          <t>Netherlands</t>
        </is>
      </c>
      <c r="D874" t="inlineStr">
        <is>
          <t>Western and Northern Europe</t>
        </is>
      </c>
      <c r="E874" t="inlineStr">
        <is>
          <t>digital_infrastructure_raw</t>
        </is>
      </c>
      <c r="F874" t="inlineStr">
        <is>
          <t>Digital infrastructure raw</t>
        </is>
      </c>
      <c r="G874" t="inlineStr">
        <is>
          <t>viability</t>
        </is>
      </c>
      <c r="H874" t="inlineStr">
        <is>
          <t>yes</t>
        </is>
      </c>
      <c r="I874" t="inlineStr"/>
      <c r="J874" t="inlineStr"/>
      <c r="K874" t="inlineStr"/>
      <c r="L874" t="inlineStr"/>
      <c r="M874" t="inlineStr"/>
      <c r="N874" t="inlineStr"/>
    </row>
    <row r="875">
      <c r="A875" t="inlineStr">
        <is>
          <t>nl-amsterdam</t>
        </is>
      </c>
      <c r="B875" t="inlineStr">
        <is>
          <t>Amsterdam</t>
        </is>
      </c>
      <c r="C875" t="inlineStr">
        <is>
          <t>Netherlands</t>
        </is>
      </c>
      <c r="D875" t="inlineStr">
        <is>
          <t>Western and Northern Europe</t>
        </is>
      </c>
      <c r="E875" t="inlineStr">
        <is>
          <t>healthcare_quality_raw</t>
        </is>
      </c>
      <c r="F875" t="inlineStr">
        <is>
          <t>Healthcare quality raw</t>
        </is>
      </c>
      <c r="G875" t="inlineStr">
        <is>
          <t>capability</t>
        </is>
      </c>
      <c r="H875" t="inlineStr">
        <is>
          <t>yes</t>
        </is>
      </c>
      <c r="I875" t="inlineStr"/>
      <c r="J875" t="inlineStr"/>
      <c r="K875" t="inlineStr"/>
      <c r="L875" t="inlineStr"/>
      <c r="M875" t="inlineStr"/>
      <c r="N875" t="inlineStr"/>
    </row>
    <row r="876">
      <c r="A876" t="inlineStr">
        <is>
          <t>nl-amsterdam</t>
        </is>
      </c>
      <c r="B876" t="inlineStr">
        <is>
          <t>Amsterdam</t>
        </is>
      </c>
      <c r="C876" t="inlineStr">
        <is>
          <t>Netherlands</t>
        </is>
      </c>
      <c r="D876" t="inlineStr">
        <is>
          <t>Western and Northern Europe</t>
        </is>
      </c>
      <c r="E876" t="inlineStr">
        <is>
          <t>education_quality_raw</t>
        </is>
      </c>
      <c r="F876" t="inlineStr">
        <is>
          <t>Education quality raw</t>
        </is>
      </c>
      <c r="G876" t="inlineStr">
        <is>
          <t>capability</t>
        </is>
      </c>
      <c r="H876" t="inlineStr">
        <is>
          <t>yes</t>
        </is>
      </c>
      <c r="I876" t="inlineStr"/>
      <c r="J876" t="inlineStr"/>
      <c r="K876" t="inlineStr"/>
      <c r="L876" t="inlineStr"/>
      <c r="M876" t="inlineStr"/>
      <c r="N876" t="inlineStr"/>
    </row>
    <row r="877">
      <c r="A877" t="inlineStr">
        <is>
          <t>nl-amsterdam</t>
        </is>
      </c>
      <c r="B877" t="inlineStr">
        <is>
          <t>Amsterdam</t>
        </is>
      </c>
      <c r="C877" t="inlineStr">
        <is>
          <t>Netherlands</t>
        </is>
      </c>
      <c r="D877" t="inlineStr">
        <is>
          <t>Western and Northern Europe</t>
        </is>
      </c>
      <c r="E877" t="inlineStr">
        <is>
          <t>equal_opportunity_raw</t>
        </is>
      </c>
      <c r="F877" t="inlineStr">
        <is>
          <t>Equal opportunity raw</t>
        </is>
      </c>
      <c r="G877" t="inlineStr">
        <is>
          <t>capability</t>
        </is>
      </c>
      <c r="H877" t="inlineStr">
        <is>
          <t>yes</t>
        </is>
      </c>
      <c r="I877" t="inlineStr"/>
      <c r="J877" t="inlineStr"/>
      <c r="K877" t="inlineStr"/>
      <c r="L877" t="inlineStr"/>
      <c r="M877" t="inlineStr"/>
      <c r="N877" t="inlineStr"/>
    </row>
    <row r="878">
      <c r="A878" t="inlineStr">
        <is>
          <t>nl-amsterdam</t>
        </is>
      </c>
      <c r="B878" t="inlineStr">
        <is>
          <t>Amsterdam</t>
        </is>
      </c>
      <c r="C878" t="inlineStr">
        <is>
          <t>Netherlands</t>
        </is>
      </c>
      <c r="D878" t="inlineStr">
        <is>
          <t>Western and Northern Europe</t>
        </is>
      </c>
      <c r="E878" t="inlineStr">
        <is>
          <t>hospitality_belonging_raw</t>
        </is>
      </c>
      <c r="F878" t="inlineStr">
        <is>
          <t>Hospitality and belonging raw</t>
        </is>
      </c>
      <c r="G878" t="inlineStr">
        <is>
          <t>community</t>
        </is>
      </c>
      <c r="H878" t="inlineStr">
        <is>
          <t>yes</t>
        </is>
      </c>
      <c r="I878" t="inlineStr"/>
      <c r="J878" t="inlineStr"/>
      <c r="K878" t="inlineStr"/>
      <c r="L878" t="inlineStr"/>
      <c r="M878" t="inlineStr"/>
      <c r="N878" t="inlineStr"/>
    </row>
    <row r="879">
      <c r="A879" t="inlineStr">
        <is>
          <t>nl-amsterdam</t>
        </is>
      </c>
      <c r="B879" t="inlineStr">
        <is>
          <t>Amsterdam</t>
        </is>
      </c>
      <c r="C879" t="inlineStr">
        <is>
          <t>Netherlands</t>
        </is>
      </c>
      <c r="D879" t="inlineStr">
        <is>
          <t>Western and Northern Europe</t>
        </is>
      </c>
      <c r="E879" t="inlineStr">
        <is>
          <t>tolerance_pluralism_raw</t>
        </is>
      </c>
      <c r="F879" t="inlineStr">
        <is>
          <t>Tolerance and pluralism raw</t>
        </is>
      </c>
      <c r="G879" t="inlineStr">
        <is>
          <t>community</t>
        </is>
      </c>
      <c r="H879" t="inlineStr">
        <is>
          <t>yes</t>
        </is>
      </c>
      <c r="I879" t="inlineStr"/>
      <c r="J879" t="inlineStr"/>
      <c r="K879" t="inlineStr"/>
      <c r="L879" t="inlineStr"/>
      <c r="M879" t="inlineStr"/>
      <c r="N879" t="inlineStr"/>
    </row>
    <row r="880">
      <c r="A880" t="inlineStr">
        <is>
          <t>nl-amsterdam</t>
        </is>
      </c>
      <c r="B880" t="inlineStr">
        <is>
          <t>Amsterdam</t>
        </is>
      </c>
      <c r="C880" t="inlineStr">
        <is>
          <t>Netherlands</t>
        </is>
      </c>
      <c r="D880" t="inlineStr">
        <is>
          <t>Western and Northern Europe</t>
        </is>
      </c>
      <c r="E880" t="inlineStr">
        <is>
          <t>cultural_public_life_raw</t>
        </is>
      </c>
      <c r="F880" t="inlineStr">
        <is>
          <t>Cultural public life raw</t>
        </is>
      </c>
      <c r="G880" t="inlineStr">
        <is>
          <t>community</t>
        </is>
      </c>
      <c r="H880" t="inlineStr">
        <is>
          <t>yes</t>
        </is>
      </c>
      <c r="I880" t="inlineStr"/>
      <c r="J880" t="inlineStr"/>
      <c r="K880" t="inlineStr"/>
      <c r="L880" t="inlineStr"/>
      <c r="M880" t="inlineStr"/>
      <c r="N880" t="inlineStr"/>
    </row>
    <row r="881">
      <c r="A881" t="inlineStr">
        <is>
          <t>nl-amsterdam</t>
        </is>
      </c>
      <c r="B881" t="inlineStr">
        <is>
          <t>Amsterdam</t>
        </is>
      </c>
      <c r="C881" t="inlineStr">
        <is>
          <t>Netherlands</t>
        </is>
      </c>
      <c r="D881" t="inlineStr">
        <is>
          <t>Western and Northern Europe</t>
        </is>
      </c>
      <c r="E881" t="inlineStr">
        <is>
          <t>entrepreneurial_dynamism_raw</t>
        </is>
      </c>
      <c r="F881" t="inlineStr">
        <is>
          <t>Entrepreneurial dynamism raw</t>
        </is>
      </c>
      <c r="G881" t="inlineStr">
        <is>
          <t>creative</t>
        </is>
      </c>
      <c r="H881" t="inlineStr">
        <is>
          <t>yes</t>
        </is>
      </c>
      <c r="I881" t="inlineStr"/>
      <c r="J881" t="inlineStr"/>
      <c r="K881" t="inlineStr"/>
      <c r="L881" t="inlineStr"/>
      <c r="M881" t="inlineStr"/>
      <c r="N881" t="inlineStr"/>
    </row>
    <row r="882">
      <c r="A882" t="inlineStr">
        <is>
          <t>nl-amsterdam</t>
        </is>
      </c>
      <c r="B882" t="inlineStr">
        <is>
          <t>Amsterdam</t>
        </is>
      </c>
      <c r="C882" t="inlineStr">
        <is>
          <t>Netherlands</t>
        </is>
      </c>
      <c r="D882" t="inlineStr">
        <is>
          <t>Western and Northern Europe</t>
        </is>
      </c>
      <c r="E882" t="inlineStr">
        <is>
          <t>innovation_research_intensity_raw</t>
        </is>
      </c>
      <c r="F882" t="inlineStr">
        <is>
          <t>Innovation and research raw</t>
        </is>
      </c>
      <c r="G882" t="inlineStr">
        <is>
          <t>creative</t>
        </is>
      </c>
      <c r="H882" t="inlineStr">
        <is>
          <t>yes</t>
        </is>
      </c>
      <c r="I882" t="inlineStr"/>
      <c r="J882" t="inlineStr"/>
      <c r="K882" t="inlineStr"/>
      <c r="L882" t="inlineStr"/>
      <c r="M882" t="inlineStr"/>
      <c r="N882" t="inlineStr"/>
    </row>
    <row r="883">
      <c r="A883" t="inlineStr">
        <is>
          <t>nl-amsterdam</t>
        </is>
      </c>
      <c r="B883" t="inlineStr">
        <is>
          <t>Amsterdam</t>
        </is>
      </c>
      <c r="C883" t="inlineStr">
        <is>
          <t>Netherlands</t>
        </is>
      </c>
      <c r="D883" t="inlineStr">
        <is>
          <t>Western and Northern Europe</t>
        </is>
      </c>
      <c r="E883" t="inlineStr">
        <is>
          <t>investment_signal_raw</t>
        </is>
      </c>
      <c r="F883" t="inlineStr">
        <is>
          <t>Investment signal raw</t>
        </is>
      </c>
      <c r="G883" t="inlineStr">
        <is>
          <t>creative</t>
        </is>
      </c>
      <c r="H883" t="inlineStr">
        <is>
          <t>yes</t>
        </is>
      </c>
      <c r="I883" t="inlineStr"/>
      <c r="J883" t="inlineStr"/>
      <c r="K883" t="inlineStr"/>
      <c r="L883" t="inlineStr"/>
      <c r="M883" t="inlineStr"/>
      <c r="N883" t="inlineStr"/>
    </row>
    <row r="884">
      <c r="A884" t="inlineStr">
        <is>
          <t>nl-amsterdam</t>
        </is>
      </c>
      <c r="B884" t="inlineStr">
        <is>
          <t>Amsterdam</t>
        </is>
      </c>
      <c r="C884" t="inlineStr">
        <is>
          <t>Netherlands</t>
        </is>
      </c>
      <c r="D884" t="inlineStr">
        <is>
          <t>Western and Northern Europe</t>
        </is>
      </c>
      <c r="E884" t="inlineStr">
        <is>
          <t>administrative_investment_friction_raw</t>
        </is>
      </c>
      <c r="F884" t="inlineStr">
        <is>
          <t>Administrative investment friction raw</t>
        </is>
      </c>
      <c r="G884" t="inlineStr">
        <is>
          <t>creative</t>
        </is>
      </c>
      <c r="H884" t="inlineStr">
        <is>
          <t>yes</t>
        </is>
      </c>
      <c r="I884" t="inlineStr"/>
      <c r="J884" t="inlineStr"/>
      <c r="K884" t="inlineStr"/>
      <c r="L884" t="inlineStr"/>
      <c r="M884" t="inlineStr"/>
      <c r="N884" t="inlineStr"/>
    </row>
    <row r="885">
      <c r="A885" t="inlineStr">
        <is>
          <t>nl-amsterdam</t>
        </is>
      </c>
      <c r="B885" t="inlineStr">
        <is>
          <t>Amsterdam</t>
        </is>
      </c>
      <c r="C885" t="inlineStr">
        <is>
          <t>Netherlands</t>
        </is>
      </c>
      <c r="D885" t="inlineStr">
        <is>
          <t>Western and Northern Europe</t>
        </is>
      </c>
      <c r="E885" t="inlineStr">
        <is>
          <t>visitor_flow_context_raw</t>
        </is>
      </c>
      <c r="F885" t="inlineStr">
        <is>
          <t>Visitor flow context raw</t>
        </is>
      </c>
      <c r="G885" t="inlineStr">
        <is>
          <t>creative</t>
        </is>
      </c>
      <c r="H885" t="inlineStr">
        <is>
          <t>no</t>
        </is>
      </c>
      <c r="I885" t="inlineStr"/>
      <c r="J885" t="inlineStr"/>
      <c r="K885" t="inlineStr"/>
      <c r="L885" t="inlineStr"/>
      <c r="M885" t="inlineStr"/>
      <c r="N885" t="inlineStr"/>
    </row>
    <row r="886">
      <c r="A886" t="inlineStr">
        <is>
          <t>dk-copenhagen</t>
        </is>
      </c>
      <c r="B886" t="inlineStr">
        <is>
          <t>Copenhagen</t>
        </is>
      </c>
      <c r="C886" t="inlineStr">
        <is>
          <t>Denmark</t>
        </is>
      </c>
      <c r="D886" t="inlineStr">
        <is>
          <t>Western and Northern Europe</t>
        </is>
      </c>
      <c r="E886" t="inlineStr">
        <is>
          <t>gross_income</t>
        </is>
      </c>
      <c r="F886" t="inlineStr">
        <is>
          <t>Gross income</t>
        </is>
      </c>
      <c r="G886" t="inlineStr">
        <is>
          <t>pressure</t>
        </is>
      </c>
      <c r="H886" t="inlineStr">
        <is>
          <t>yes</t>
        </is>
      </c>
      <c r="I886" t="inlineStr"/>
      <c r="J886" t="inlineStr"/>
      <c r="K886" t="inlineStr"/>
      <c r="L886" t="inlineStr"/>
      <c r="M886" t="inlineStr"/>
      <c r="N886" t="inlineStr"/>
    </row>
    <row r="887">
      <c r="A887" t="inlineStr">
        <is>
          <t>dk-copenhagen</t>
        </is>
      </c>
      <c r="B887" t="inlineStr">
        <is>
          <t>Copenhagen</t>
        </is>
      </c>
      <c r="C887" t="inlineStr">
        <is>
          <t>Denmark</t>
        </is>
      </c>
      <c r="D887" t="inlineStr">
        <is>
          <t>Western and Northern Europe</t>
        </is>
      </c>
      <c r="E887" t="inlineStr">
        <is>
          <t>rent</t>
        </is>
      </c>
      <c r="F887" t="inlineStr">
        <is>
          <t>Rent</t>
        </is>
      </c>
      <c r="G887" t="inlineStr">
        <is>
          <t>pressure</t>
        </is>
      </c>
      <c r="H887" t="inlineStr">
        <is>
          <t>yes</t>
        </is>
      </c>
      <c r="I887" t="inlineStr"/>
      <c r="J887" t="inlineStr"/>
      <c r="K887" t="inlineStr"/>
      <c r="L887" t="inlineStr"/>
      <c r="M887" t="inlineStr"/>
      <c r="N887" t="inlineStr"/>
    </row>
    <row r="888">
      <c r="A888" t="inlineStr">
        <is>
          <t>dk-copenhagen</t>
        </is>
      </c>
      <c r="B888" t="inlineStr">
        <is>
          <t>Copenhagen</t>
        </is>
      </c>
      <c r="C888" t="inlineStr">
        <is>
          <t>Denmark</t>
        </is>
      </c>
      <c r="D888" t="inlineStr">
        <is>
          <t>Western and Northern Europe</t>
        </is>
      </c>
      <c r="E888" t="inlineStr">
        <is>
          <t>utilities</t>
        </is>
      </c>
      <c r="F888" t="inlineStr">
        <is>
          <t>Utilities</t>
        </is>
      </c>
      <c r="G888" t="inlineStr">
        <is>
          <t>pressure</t>
        </is>
      </c>
      <c r="H888" t="inlineStr">
        <is>
          <t>yes</t>
        </is>
      </c>
      <c r="I888" t="inlineStr"/>
      <c r="J888" t="inlineStr"/>
      <c r="K888" t="inlineStr"/>
      <c r="L888" t="inlineStr"/>
      <c r="M888" t="inlineStr"/>
      <c r="N888" t="inlineStr"/>
    </row>
    <row r="889">
      <c r="A889" t="inlineStr">
        <is>
          <t>dk-copenhagen</t>
        </is>
      </c>
      <c r="B889" t="inlineStr">
        <is>
          <t>Copenhagen</t>
        </is>
      </c>
      <c r="C889" t="inlineStr">
        <is>
          <t>Denmark</t>
        </is>
      </c>
      <c r="D889" t="inlineStr">
        <is>
          <t>Western and Northern Europe</t>
        </is>
      </c>
      <c r="E889" t="inlineStr">
        <is>
          <t>transit_cost</t>
        </is>
      </c>
      <c r="F889" t="inlineStr">
        <is>
          <t>Transit cost</t>
        </is>
      </c>
      <c r="G889" t="inlineStr">
        <is>
          <t>pressure</t>
        </is>
      </c>
      <c r="H889" t="inlineStr">
        <is>
          <t>yes</t>
        </is>
      </c>
      <c r="I889" t="inlineStr"/>
      <c r="J889" t="inlineStr"/>
      <c r="K889" t="inlineStr"/>
      <c r="L889" t="inlineStr"/>
      <c r="M889" t="inlineStr"/>
      <c r="N889" t="inlineStr"/>
    </row>
    <row r="890">
      <c r="A890" t="inlineStr">
        <is>
          <t>dk-copenhagen</t>
        </is>
      </c>
      <c r="B890" t="inlineStr">
        <is>
          <t>Copenhagen</t>
        </is>
      </c>
      <c r="C890" t="inlineStr">
        <is>
          <t>Denmark</t>
        </is>
      </c>
      <c r="D890" t="inlineStr">
        <is>
          <t>Western and Northern Europe</t>
        </is>
      </c>
      <c r="E890" t="inlineStr">
        <is>
          <t>internet_cost</t>
        </is>
      </c>
      <c r="F890" t="inlineStr">
        <is>
          <t>Internet cost</t>
        </is>
      </c>
      <c r="G890" t="inlineStr">
        <is>
          <t>pressure</t>
        </is>
      </c>
      <c r="H890" t="inlineStr">
        <is>
          <t>yes</t>
        </is>
      </c>
      <c r="I890" t="inlineStr"/>
      <c r="J890" t="inlineStr"/>
      <c r="K890" t="inlineStr"/>
      <c r="L890" t="inlineStr"/>
      <c r="M890" t="inlineStr"/>
      <c r="N890" t="inlineStr"/>
    </row>
    <row r="891">
      <c r="A891" t="inlineStr">
        <is>
          <t>dk-copenhagen</t>
        </is>
      </c>
      <c r="B891" t="inlineStr">
        <is>
          <t>Copenhagen</t>
        </is>
      </c>
      <c r="C891" t="inlineStr">
        <is>
          <t>Denmark</t>
        </is>
      </c>
      <c r="D891" t="inlineStr">
        <is>
          <t>Western and Northern Europe</t>
        </is>
      </c>
      <c r="E891" t="inlineStr">
        <is>
          <t>food_cost</t>
        </is>
      </c>
      <c r="F891" t="inlineStr">
        <is>
          <t>Food cost</t>
        </is>
      </c>
      <c r="G891" t="inlineStr">
        <is>
          <t>pressure</t>
        </is>
      </c>
      <c r="H891" t="inlineStr">
        <is>
          <t>yes</t>
        </is>
      </c>
      <c r="I891" t="inlineStr"/>
      <c r="J891" t="inlineStr"/>
      <c r="K891" t="inlineStr"/>
      <c r="L891" t="inlineStr"/>
      <c r="M891" t="inlineStr"/>
      <c r="N891" t="inlineStr"/>
    </row>
    <row r="892">
      <c r="A892" t="inlineStr">
        <is>
          <t>dk-copenhagen</t>
        </is>
      </c>
      <c r="B892" t="inlineStr">
        <is>
          <t>Copenhagen</t>
        </is>
      </c>
      <c r="C892" t="inlineStr">
        <is>
          <t>Denmark</t>
        </is>
      </c>
      <c r="D892" t="inlineStr">
        <is>
          <t>Western and Northern Europe</t>
        </is>
      </c>
      <c r="E892" t="inlineStr">
        <is>
          <t>housing_burden_raw</t>
        </is>
      </c>
      <c r="F892" t="inlineStr">
        <is>
          <t>Housing burden raw</t>
        </is>
      </c>
      <c r="G892" t="inlineStr">
        <is>
          <t>pressure</t>
        </is>
      </c>
      <c r="H892" t="inlineStr">
        <is>
          <t>yes</t>
        </is>
      </c>
      <c r="I892" t="inlineStr"/>
      <c r="J892" t="inlineStr"/>
      <c r="K892" t="inlineStr"/>
      <c r="L892" t="inlineStr"/>
      <c r="M892" t="inlineStr"/>
      <c r="N892" t="inlineStr"/>
    </row>
    <row r="893">
      <c r="A893" t="inlineStr">
        <is>
          <t>dk-copenhagen</t>
        </is>
      </c>
      <c r="B893" t="inlineStr">
        <is>
          <t>Copenhagen</t>
        </is>
      </c>
      <c r="C893" t="inlineStr">
        <is>
          <t>Denmark</t>
        </is>
      </c>
      <c r="D893" t="inlineStr">
        <is>
          <t>Western and Northern Europe</t>
        </is>
      </c>
      <c r="E893" t="inlineStr">
        <is>
          <t>household_debt_burden_raw</t>
        </is>
      </c>
      <c r="F893" t="inlineStr">
        <is>
          <t>Household debt burden raw</t>
        </is>
      </c>
      <c r="G893" t="inlineStr">
        <is>
          <t>pressure</t>
        </is>
      </c>
      <c r="H893" t="inlineStr">
        <is>
          <t>yes</t>
        </is>
      </c>
      <c r="I893" t="inlineStr"/>
      <c r="J893" t="inlineStr"/>
      <c r="K893" t="inlineStr"/>
      <c r="L893" t="inlineStr"/>
      <c r="M893" t="inlineStr"/>
      <c r="N893" t="inlineStr"/>
    </row>
    <row r="894">
      <c r="A894" t="inlineStr">
        <is>
          <t>dk-copenhagen</t>
        </is>
      </c>
      <c r="B894" t="inlineStr">
        <is>
          <t>Copenhagen</t>
        </is>
      </c>
      <c r="C894" t="inlineStr">
        <is>
          <t>Denmark</t>
        </is>
      </c>
      <c r="D894" t="inlineStr">
        <is>
          <t>Western and Northern Europe</t>
        </is>
      </c>
      <c r="E894" t="inlineStr">
        <is>
          <t>working_time_pressure_raw</t>
        </is>
      </c>
      <c r="F894" t="inlineStr">
        <is>
          <t>Working time pressure raw</t>
        </is>
      </c>
      <c r="G894" t="inlineStr">
        <is>
          <t>pressure</t>
        </is>
      </c>
      <c r="H894" t="inlineStr">
        <is>
          <t>yes</t>
        </is>
      </c>
      <c r="I894" t="inlineStr"/>
      <c r="J894" t="inlineStr"/>
      <c r="K894" t="inlineStr"/>
      <c r="L894" t="inlineStr"/>
      <c r="M894" t="inlineStr"/>
      <c r="N894" t="inlineStr"/>
    </row>
    <row r="895">
      <c r="A895" t="inlineStr">
        <is>
          <t>dk-copenhagen</t>
        </is>
      </c>
      <c r="B895" t="inlineStr">
        <is>
          <t>Copenhagen</t>
        </is>
      </c>
      <c r="C895" t="inlineStr">
        <is>
          <t>Denmark</t>
        </is>
      </c>
      <c r="D895" t="inlineStr">
        <is>
          <t>Western and Northern Europe</t>
        </is>
      </c>
      <c r="E895" t="inlineStr">
        <is>
          <t>suicide_mental_strain_raw</t>
        </is>
      </c>
      <c r="F895" t="inlineStr">
        <is>
          <t>Suicide or mental strain raw</t>
        </is>
      </c>
      <c r="G895" t="inlineStr">
        <is>
          <t>pressure</t>
        </is>
      </c>
      <c r="H895" t="inlineStr">
        <is>
          <t>yes</t>
        </is>
      </c>
      <c r="I895" t="inlineStr"/>
      <c r="J895" t="inlineStr"/>
      <c r="K895" t="inlineStr"/>
      <c r="L895" t="inlineStr"/>
      <c r="M895" t="inlineStr"/>
      <c r="N895" t="inlineStr"/>
    </row>
    <row r="896">
      <c r="A896" t="inlineStr">
        <is>
          <t>dk-copenhagen</t>
        </is>
      </c>
      <c r="B896" t="inlineStr">
        <is>
          <t>Copenhagen</t>
        </is>
      </c>
      <c r="C896" t="inlineStr">
        <is>
          <t>Denmark</t>
        </is>
      </c>
      <c r="D896" t="inlineStr">
        <is>
          <t>Western and Northern Europe</t>
        </is>
      </c>
      <c r="E896" t="inlineStr">
        <is>
          <t>personal_safety_raw</t>
        </is>
      </c>
      <c r="F896" t="inlineStr">
        <is>
          <t>Personal safety raw</t>
        </is>
      </c>
      <c r="G896" t="inlineStr">
        <is>
          <t>viability</t>
        </is>
      </c>
      <c r="H896" t="inlineStr">
        <is>
          <t>yes</t>
        </is>
      </c>
      <c r="I896" t="inlineStr"/>
      <c r="J896" t="inlineStr"/>
      <c r="K896" t="inlineStr"/>
      <c r="L896" t="inlineStr"/>
      <c r="M896" t="inlineStr"/>
      <c r="N896" t="inlineStr"/>
    </row>
    <row r="897">
      <c r="A897" t="inlineStr">
        <is>
          <t>dk-copenhagen</t>
        </is>
      </c>
      <c r="B897" t="inlineStr">
        <is>
          <t>Copenhagen</t>
        </is>
      </c>
      <c r="C897" t="inlineStr">
        <is>
          <t>Denmark</t>
        </is>
      </c>
      <c r="D897" t="inlineStr">
        <is>
          <t>Western and Northern Europe</t>
        </is>
      </c>
      <c r="E897" t="inlineStr">
        <is>
          <t>transit_access_commute_raw</t>
        </is>
      </c>
      <c r="F897" t="inlineStr">
        <is>
          <t>Transit access and commute raw</t>
        </is>
      </c>
      <c r="G897" t="inlineStr">
        <is>
          <t>viability</t>
        </is>
      </c>
      <c r="H897" t="inlineStr">
        <is>
          <t>yes</t>
        </is>
      </c>
      <c r="I897" t="inlineStr"/>
      <c r="J897" t="inlineStr"/>
      <c r="K897" t="inlineStr"/>
      <c r="L897" t="inlineStr"/>
      <c r="M897" t="inlineStr"/>
      <c r="N897" t="inlineStr"/>
    </row>
    <row r="898">
      <c r="A898" t="inlineStr">
        <is>
          <t>dk-copenhagen</t>
        </is>
      </c>
      <c r="B898" t="inlineStr">
        <is>
          <t>Copenhagen</t>
        </is>
      </c>
      <c r="C898" t="inlineStr">
        <is>
          <t>Denmark</t>
        </is>
      </c>
      <c r="D898" t="inlineStr">
        <is>
          <t>Western and Northern Europe</t>
        </is>
      </c>
      <c r="E898" t="inlineStr">
        <is>
          <t>clean_air_raw</t>
        </is>
      </c>
      <c r="F898" t="inlineStr">
        <is>
          <t>Clean air raw</t>
        </is>
      </c>
      <c r="G898" t="inlineStr">
        <is>
          <t>viability</t>
        </is>
      </c>
      <c r="H898" t="inlineStr">
        <is>
          <t>yes</t>
        </is>
      </c>
      <c r="I898" t="inlineStr"/>
      <c r="J898" t="inlineStr"/>
      <c r="K898" t="inlineStr"/>
      <c r="L898" t="inlineStr"/>
      <c r="M898" t="inlineStr"/>
      <c r="N898" t="inlineStr"/>
    </row>
    <row r="899">
      <c r="A899" t="inlineStr">
        <is>
          <t>dk-copenhagen</t>
        </is>
      </c>
      <c r="B899" t="inlineStr">
        <is>
          <t>Copenhagen</t>
        </is>
      </c>
      <c r="C899" t="inlineStr">
        <is>
          <t>Denmark</t>
        </is>
      </c>
      <c r="D899" t="inlineStr">
        <is>
          <t>Western and Northern Europe</t>
        </is>
      </c>
      <c r="E899" t="inlineStr">
        <is>
          <t>water_sanitation_utility_raw</t>
        </is>
      </c>
      <c r="F899" t="inlineStr">
        <is>
          <t>Water, sanitation, and utility raw</t>
        </is>
      </c>
      <c r="G899" t="inlineStr">
        <is>
          <t>viability</t>
        </is>
      </c>
      <c r="H899" t="inlineStr">
        <is>
          <t>yes</t>
        </is>
      </c>
      <c r="I899" t="inlineStr"/>
      <c r="J899" t="inlineStr"/>
      <c r="K899" t="inlineStr"/>
      <c r="L899" t="inlineStr"/>
      <c r="M899" t="inlineStr"/>
      <c r="N899" t="inlineStr"/>
    </row>
    <row r="900">
      <c r="A900" t="inlineStr">
        <is>
          <t>dk-copenhagen</t>
        </is>
      </c>
      <c r="B900" t="inlineStr">
        <is>
          <t>Copenhagen</t>
        </is>
      </c>
      <c r="C900" t="inlineStr">
        <is>
          <t>Denmark</t>
        </is>
      </c>
      <c r="D900" t="inlineStr">
        <is>
          <t>Western and Northern Europe</t>
        </is>
      </c>
      <c r="E900" t="inlineStr">
        <is>
          <t>digital_infrastructure_raw</t>
        </is>
      </c>
      <c r="F900" t="inlineStr">
        <is>
          <t>Digital infrastructure raw</t>
        </is>
      </c>
      <c r="G900" t="inlineStr">
        <is>
          <t>viability</t>
        </is>
      </c>
      <c r="H900" t="inlineStr">
        <is>
          <t>yes</t>
        </is>
      </c>
      <c r="I900" t="inlineStr"/>
      <c r="J900" t="inlineStr"/>
      <c r="K900" t="inlineStr"/>
      <c r="L900" t="inlineStr"/>
      <c r="M900" t="inlineStr"/>
      <c r="N900" t="inlineStr"/>
    </row>
    <row r="901">
      <c r="A901" t="inlineStr">
        <is>
          <t>dk-copenhagen</t>
        </is>
      </c>
      <c r="B901" t="inlineStr">
        <is>
          <t>Copenhagen</t>
        </is>
      </c>
      <c r="C901" t="inlineStr">
        <is>
          <t>Denmark</t>
        </is>
      </c>
      <c r="D901" t="inlineStr">
        <is>
          <t>Western and Northern Europe</t>
        </is>
      </c>
      <c r="E901" t="inlineStr">
        <is>
          <t>healthcare_quality_raw</t>
        </is>
      </c>
      <c r="F901" t="inlineStr">
        <is>
          <t>Healthcare quality raw</t>
        </is>
      </c>
      <c r="G901" t="inlineStr">
        <is>
          <t>capability</t>
        </is>
      </c>
      <c r="H901" t="inlineStr">
        <is>
          <t>yes</t>
        </is>
      </c>
      <c r="I901" t="inlineStr"/>
      <c r="J901" t="inlineStr"/>
      <c r="K901" t="inlineStr"/>
      <c r="L901" t="inlineStr"/>
      <c r="M901" t="inlineStr"/>
      <c r="N901" t="inlineStr"/>
    </row>
    <row r="902">
      <c r="A902" t="inlineStr">
        <is>
          <t>dk-copenhagen</t>
        </is>
      </c>
      <c r="B902" t="inlineStr">
        <is>
          <t>Copenhagen</t>
        </is>
      </c>
      <c r="C902" t="inlineStr">
        <is>
          <t>Denmark</t>
        </is>
      </c>
      <c r="D902" t="inlineStr">
        <is>
          <t>Western and Northern Europe</t>
        </is>
      </c>
      <c r="E902" t="inlineStr">
        <is>
          <t>education_quality_raw</t>
        </is>
      </c>
      <c r="F902" t="inlineStr">
        <is>
          <t>Education quality raw</t>
        </is>
      </c>
      <c r="G902" t="inlineStr">
        <is>
          <t>capability</t>
        </is>
      </c>
      <c r="H902" t="inlineStr">
        <is>
          <t>yes</t>
        </is>
      </c>
      <c r="I902" t="inlineStr"/>
      <c r="J902" t="inlineStr"/>
      <c r="K902" t="inlineStr"/>
      <c r="L902" t="inlineStr"/>
      <c r="M902" t="inlineStr"/>
      <c r="N902" t="inlineStr"/>
    </row>
    <row r="903">
      <c r="A903" t="inlineStr">
        <is>
          <t>dk-copenhagen</t>
        </is>
      </c>
      <c r="B903" t="inlineStr">
        <is>
          <t>Copenhagen</t>
        </is>
      </c>
      <c r="C903" t="inlineStr">
        <is>
          <t>Denmark</t>
        </is>
      </c>
      <c r="D903" t="inlineStr">
        <is>
          <t>Western and Northern Europe</t>
        </is>
      </c>
      <c r="E903" t="inlineStr">
        <is>
          <t>equal_opportunity_raw</t>
        </is>
      </c>
      <c r="F903" t="inlineStr">
        <is>
          <t>Equal opportunity raw</t>
        </is>
      </c>
      <c r="G903" t="inlineStr">
        <is>
          <t>capability</t>
        </is>
      </c>
      <c r="H903" t="inlineStr">
        <is>
          <t>yes</t>
        </is>
      </c>
      <c r="I903" t="inlineStr"/>
      <c r="J903" t="inlineStr"/>
      <c r="K903" t="inlineStr"/>
      <c r="L903" t="inlineStr"/>
      <c r="M903" t="inlineStr"/>
      <c r="N903" t="inlineStr"/>
    </row>
    <row r="904">
      <c r="A904" t="inlineStr">
        <is>
          <t>dk-copenhagen</t>
        </is>
      </c>
      <c r="B904" t="inlineStr">
        <is>
          <t>Copenhagen</t>
        </is>
      </c>
      <c r="C904" t="inlineStr">
        <is>
          <t>Denmark</t>
        </is>
      </c>
      <c r="D904" t="inlineStr">
        <is>
          <t>Western and Northern Europe</t>
        </is>
      </c>
      <c r="E904" t="inlineStr">
        <is>
          <t>hospitality_belonging_raw</t>
        </is>
      </c>
      <c r="F904" t="inlineStr">
        <is>
          <t>Hospitality and belonging raw</t>
        </is>
      </c>
      <c r="G904" t="inlineStr">
        <is>
          <t>community</t>
        </is>
      </c>
      <c r="H904" t="inlineStr">
        <is>
          <t>yes</t>
        </is>
      </c>
      <c r="I904" t="inlineStr"/>
      <c r="J904" t="inlineStr"/>
      <c r="K904" t="inlineStr"/>
      <c r="L904" t="inlineStr"/>
      <c r="M904" t="inlineStr"/>
      <c r="N904" t="inlineStr"/>
    </row>
    <row r="905">
      <c r="A905" t="inlineStr">
        <is>
          <t>dk-copenhagen</t>
        </is>
      </c>
      <c r="B905" t="inlineStr">
        <is>
          <t>Copenhagen</t>
        </is>
      </c>
      <c r="C905" t="inlineStr">
        <is>
          <t>Denmark</t>
        </is>
      </c>
      <c r="D905" t="inlineStr">
        <is>
          <t>Western and Northern Europe</t>
        </is>
      </c>
      <c r="E905" t="inlineStr">
        <is>
          <t>tolerance_pluralism_raw</t>
        </is>
      </c>
      <c r="F905" t="inlineStr">
        <is>
          <t>Tolerance and pluralism raw</t>
        </is>
      </c>
      <c r="G905" t="inlineStr">
        <is>
          <t>community</t>
        </is>
      </c>
      <c r="H905" t="inlineStr">
        <is>
          <t>yes</t>
        </is>
      </c>
      <c r="I905" t="inlineStr"/>
      <c r="J905" t="inlineStr"/>
      <c r="K905" t="inlineStr"/>
      <c r="L905" t="inlineStr"/>
      <c r="M905" t="inlineStr"/>
      <c r="N905" t="inlineStr"/>
    </row>
    <row r="906">
      <c r="A906" t="inlineStr">
        <is>
          <t>dk-copenhagen</t>
        </is>
      </c>
      <c r="B906" t="inlineStr">
        <is>
          <t>Copenhagen</t>
        </is>
      </c>
      <c r="C906" t="inlineStr">
        <is>
          <t>Denmark</t>
        </is>
      </c>
      <c r="D906" t="inlineStr">
        <is>
          <t>Western and Northern Europe</t>
        </is>
      </c>
      <c r="E906" t="inlineStr">
        <is>
          <t>cultural_public_life_raw</t>
        </is>
      </c>
      <c r="F906" t="inlineStr">
        <is>
          <t>Cultural public life raw</t>
        </is>
      </c>
      <c r="G906" t="inlineStr">
        <is>
          <t>community</t>
        </is>
      </c>
      <c r="H906" t="inlineStr">
        <is>
          <t>yes</t>
        </is>
      </c>
      <c r="I906" t="inlineStr"/>
      <c r="J906" t="inlineStr"/>
      <c r="K906" t="inlineStr"/>
      <c r="L906" t="inlineStr"/>
      <c r="M906" t="inlineStr"/>
      <c r="N906" t="inlineStr"/>
    </row>
    <row r="907">
      <c r="A907" t="inlineStr">
        <is>
          <t>dk-copenhagen</t>
        </is>
      </c>
      <c r="B907" t="inlineStr">
        <is>
          <t>Copenhagen</t>
        </is>
      </c>
      <c r="C907" t="inlineStr">
        <is>
          <t>Denmark</t>
        </is>
      </c>
      <c r="D907" t="inlineStr">
        <is>
          <t>Western and Northern Europe</t>
        </is>
      </c>
      <c r="E907" t="inlineStr">
        <is>
          <t>entrepreneurial_dynamism_raw</t>
        </is>
      </c>
      <c r="F907" t="inlineStr">
        <is>
          <t>Entrepreneurial dynamism raw</t>
        </is>
      </c>
      <c r="G907" t="inlineStr">
        <is>
          <t>creative</t>
        </is>
      </c>
      <c r="H907" t="inlineStr">
        <is>
          <t>yes</t>
        </is>
      </c>
      <c r="I907" t="inlineStr"/>
      <c r="J907" t="inlineStr"/>
      <c r="K907" t="inlineStr"/>
      <c r="L907" t="inlineStr"/>
      <c r="M907" t="inlineStr"/>
      <c r="N907" t="inlineStr"/>
    </row>
    <row r="908">
      <c r="A908" t="inlineStr">
        <is>
          <t>dk-copenhagen</t>
        </is>
      </c>
      <c r="B908" t="inlineStr">
        <is>
          <t>Copenhagen</t>
        </is>
      </c>
      <c r="C908" t="inlineStr">
        <is>
          <t>Denmark</t>
        </is>
      </c>
      <c r="D908" t="inlineStr">
        <is>
          <t>Western and Northern Europe</t>
        </is>
      </c>
      <c r="E908" t="inlineStr">
        <is>
          <t>innovation_research_intensity_raw</t>
        </is>
      </c>
      <c r="F908" t="inlineStr">
        <is>
          <t>Innovation and research raw</t>
        </is>
      </c>
      <c r="G908" t="inlineStr">
        <is>
          <t>creative</t>
        </is>
      </c>
      <c r="H908" t="inlineStr">
        <is>
          <t>yes</t>
        </is>
      </c>
      <c r="I908" t="inlineStr"/>
      <c r="J908" t="inlineStr"/>
      <c r="K908" t="inlineStr"/>
      <c r="L908" t="inlineStr"/>
      <c r="M908" t="inlineStr"/>
      <c r="N908" t="inlineStr"/>
    </row>
    <row r="909">
      <c r="A909" t="inlineStr">
        <is>
          <t>dk-copenhagen</t>
        </is>
      </c>
      <c r="B909" t="inlineStr">
        <is>
          <t>Copenhagen</t>
        </is>
      </c>
      <c r="C909" t="inlineStr">
        <is>
          <t>Denmark</t>
        </is>
      </c>
      <c r="D909" t="inlineStr">
        <is>
          <t>Western and Northern Europe</t>
        </is>
      </c>
      <c r="E909" t="inlineStr">
        <is>
          <t>investment_signal_raw</t>
        </is>
      </c>
      <c r="F909" t="inlineStr">
        <is>
          <t>Investment signal raw</t>
        </is>
      </c>
      <c r="G909" t="inlineStr">
        <is>
          <t>creative</t>
        </is>
      </c>
      <c r="H909" t="inlineStr">
        <is>
          <t>yes</t>
        </is>
      </c>
      <c r="I909" t="inlineStr"/>
      <c r="J909" t="inlineStr"/>
      <c r="K909" t="inlineStr"/>
      <c r="L909" t="inlineStr"/>
      <c r="M909" t="inlineStr"/>
      <c r="N909" t="inlineStr"/>
    </row>
    <row r="910">
      <c r="A910" t="inlineStr">
        <is>
          <t>dk-copenhagen</t>
        </is>
      </c>
      <c r="B910" t="inlineStr">
        <is>
          <t>Copenhagen</t>
        </is>
      </c>
      <c r="C910" t="inlineStr">
        <is>
          <t>Denmark</t>
        </is>
      </c>
      <c r="D910" t="inlineStr">
        <is>
          <t>Western and Northern Europe</t>
        </is>
      </c>
      <c r="E910" t="inlineStr">
        <is>
          <t>administrative_investment_friction_raw</t>
        </is>
      </c>
      <c r="F910" t="inlineStr">
        <is>
          <t>Administrative investment friction raw</t>
        </is>
      </c>
      <c r="G910" t="inlineStr">
        <is>
          <t>creative</t>
        </is>
      </c>
      <c r="H910" t="inlineStr">
        <is>
          <t>yes</t>
        </is>
      </c>
      <c r="I910" t="inlineStr"/>
      <c r="J910" t="inlineStr"/>
      <c r="K910" t="inlineStr"/>
      <c r="L910" t="inlineStr"/>
      <c r="M910" t="inlineStr"/>
      <c r="N910" t="inlineStr"/>
    </row>
    <row r="911">
      <c r="A911" t="inlineStr">
        <is>
          <t>dk-copenhagen</t>
        </is>
      </c>
      <c r="B911" t="inlineStr">
        <is>
          <t>Copenhagen</t>
        </is>
      </c>
      <c r="C911" t="inlineStr">
        <is>
          <t>Denmark</t>
        </is>
      </c>
      <c r="D911" t="inlineStr">
        <is>
          <t>Western and Northern Europe</t>
        </is>
      </c>
      <c r="E911" t="inlineStr">
        <is>
          <t>visitor_flow_context_raw</t>
        </is>
      </c>
      <c r="F911" t="inlineStr">
        <is>
          <t>Visitor flow context raw</t>
        </is>
      </c>
      <c r="G911" t="inlineStr">
        <is>
          <t>creative</t>
        </is>
      </c>
      <c r="H911" t="inlineStr">
        <is>
          <t>no</t>
        </is>
      </c>
      <c r="I911" t="inlineStr"/>
      <c r="J911" t="inlineStr"/>
      <c r="K911" t="inlineStr"/>
      <c r="L911" t="inlineStr"/>
      <c r="M911" t="inlineStr"/>
      <c r="N911" t="inlineStr"/>
    </row>
    <row r="912">
      <c r="A912" t="inlineStr">
        <is>
          <t>it-milan</t>
        </is>
      </c>
      <c r="B912" t="inlineStr">
        <is>
          <t>Milan</t>
        </is>
      </c>
      <c r="C912" t="inlineStr">
        <is>
          <t>Italy</t>
        </is>
      </c>
      <c r="D912" t="inlineStr">
        <is>
          <t>Western, Northern, and Southern Europe</t>
        </is>
      </c>
      <c r="E912" t="inlineStr">
        <is>
          <t>gross_income</t>
        </is>
      </c>
      <c r="F912" t="inlineStr">
        <is>
          <t>Gross income</t>
        </is>
      </c>
      <c r="G912" t="inlineStr">
        <is>
          <t>pressure</t>
        </is>
      </c>
      <c r="H912" t="inlineStr">
        <is>
          <t>yes</t>
        </is>
      </c>
      <c r="I912" t="inlineStr">
        <is>
          <t>39023.18</t>
        </is>
      </c>
      <c r="J912" t="inlineStr">
        <is>
          <t>comune_milano_open_data</t>
        </is>
      </c>
      <c r="K912" t="inlineStr">
        <is>
          <t>https://dati.comune.milano.it/dataset/edfe847d-05f1-4d25-ba44-283d22b1ec73/resource/76b54f5a-24a6-4f7f-a3a9-a6152d8da601/download/redditi_e_principali_variabili_irpef_su_base_comunale_csv_2023.csv</t>
        </is>
      </c>
      <c r="L912" t="inlineStr">
        <is>
          <t>Comune di Milano Open Data | Redditi e variabili Irpef su base comunale: 2024 a.i. 2023</t>
        </is>
      </c>
      <c r="M912" t="inlineStr">
        <is>
          <t>2026-03-12</t>
        </is>
      </c>
      <c r="N912" t="inlineStr">
        <is>
          <t>Computed as total gross income across official 2023 IRPEF income brackets divided by the number of contributors.</t>
        </is>
      </c>
    </row>
    <row r="913">
      <c r="A913" t="inlineStr">
        <is>
          <t>it-milan</t>
        </is>
      </c>
      <c r="B913" t="inlineStr">
        <is>
          <t>Milan</t>
        </is>
      </c>
      <c r="C913" t="inlineStr">
        <is>
          <t>Italy</t>
        </is>
      </c>
      <c r="D913" t="inlineStr">
        <is>
          <t>Western, Northern, and Southern Europe</t>
        </is>
      </c>
      <c r="E913" t="inlineStr">
        <is>
          <t>rent</t>
        </is>
      </c>
      <c r="F913" t="inlineStr">
        <is>
          <t>Rent</t>
        </is>
      </c>
      <c r="G913" t="inlineStr">
        <is>
          <t>pressure</t>
        </is>
      </c>
      <c r="H913" t="inlineStr">
        <is>
          <t>yes</t>
        </is>
      </c>
      <c r="I913" t="inlineStr"/>
      <c r="J913" t="inlineStr"/>
      <c r="K913" t="inlineStr"/>
      <c r="L913" t="inlineStr"/>
      <c r="M913" t="inlineStr"/>
      <c r="N913" t="inlineStr"/>
    </row>
    <row r="914">
      <c r="A914" t="inlineStr">
        <is>
          <t>it-milan</t>
        </is>
      </c>
      <c r="B914" t="inlineStr">
        <is>
          <t>Milan</t>
        </is>
      </c>
      <c r="C914" t="inlineStr">
        <is>
          <t>Italy</t>
        </is>
      </c>
      <c r="D914" t="inlineStr">
        <is>
          <t>Western, Northern, and Southern Europe</t>
        </is>
      </c>
      <c r="E914" t="inlineStr">
        <is>
          <t>utilities</t>
        </is>
      </c>
      <c r="F914" t="inlineStr">
        <is>
          <t>Utilities</t>
        </is>
      </c>
      <c r="G914" t="inlineStr">
        <is>
          <t>pressure</t>
        </is>
      </c>
      <c r="H914" t="inlineStr">
        <is>
          <t>yes</t>
        </is>
      </c>
      <c r="I914" t="inlineStr"/>
      <c r="J914" t="inlineStr"/>
      <c r="K914" t="inlineStr"/>
      <c r="L914" t="inlineStr"/>
      <c r="M914" t="inlineStr"/>
      <c r="N914" t="inlineStr"/>
    </row>
    <row r="915">
      <c r="A915" t="inlineStr">
        <is>
          <t>it-milan</t>
        </is>
      </c>
      <c r="B915" t="inlineStr">
        <is>
          <t>Milan</t>
        </is>
      </c>
      <c r="C915" t="inlineStr">
        <is>
          <t>Italy</t>
        </is>
      </c>
      <c r="D915" t="inlineStr">
        <is>
          <t>Western, Northern, and Southern Europe</t>
        </is>
      </c>
      <c r="E915" t="inlineStr">
        <is>
          <t>transit_cost</t>
        </is>
      </c>
      <c r="F915" t="inlineStr">
        <is>
          <t>Transit cost</t>
        </is>
      </c>
      <c r="G915" t="inlineStr">
        <is>
          <t>pressure</t>
        </is>
      </c>
      <c r="H915" t="inlineStr">
        <is>
          <t>yes</t>
        </is>
      </c>
      <c r="I915" t="inlineStr">
        <is>
          <t>330</t>
        </is>
      </c>
      <c r="J915" t="inlineStr">
        <is>
          <t>atm_milano</t>
        </is>
      </c>
      <c r="K915" t="inlineStr">
        <is>
          <t>https://www.atm.it/en/ViaggiaConNoi/Abbonamenti/Pages/Tipologie.aspx</t>
        </is>
      </c>
      <c r="L915" t="inlineStr">
        <is>
          <t>ATM Milano | Travel pass subscriptions</t>
        </is>
      </c>
      <c r="M915" t="inlineStr">
        <is>
          <t>2026-03-12</t>
        </is>
      </c>
      <c r="N915" t="inlineStr">
        <is>
          <t>Annual urban travel pass valid within Milan municipality; annualized fare used per SLIC essential-cost method.</t>
        </is>
      </c>
    </row>
    <row r="916">
      <c r="A916" t="inlineStr">
        <is>
          <t>it-milan</t>
        </is>
      </c>
      <c r="B916" t="inlineStr">
        <is>
          <t>Milan</t>
        </is>
      </c>
      <c r="C916" t="inlineStr">
        <is>
          <t>Italy</t>
        </is>
      </c>
      <c r="D916" t="inlineStr">
        <is>
          <t>Western, Northern, and Southern Europe</t>
        </is>
      </c>
      <c r="E916" t="inlineStr">
        <is>
          <t>internet_cost</t>
        </is>
      </c>
      <c r="F916" t="inlineStr">
        <is>
          <t>Internet cost</t>
        </is>
      </c>
      <c r="G916" t="inlineStr">
        <is>
          <t>pressure</t>
        </is>
      </c>
      <c r="H916" t="inlineStr">
        <is>
          <t>yes</t>
        </is>
      </c>
      <c r="I916" t="inlineStr"/>
      <c r="J916" t="inlineStr"/>
      <c r="K916" t="inlineStr"/>
      <c r="L916" t="inlineStr"/>
      <c r="M916" t="inlineStr"/>
      <c r="N916" t="inlineStr"/>
    </row>
    <row r="917">
      <c r="A917" t="inlineStr">
        <is>
          <t>it-milan</t>
        </is>
      </c>
      <c r="B917" t="inlineStr">
        <is>
          <t>Milan</t>
        </is>
      </c>
      <c r="C917" t="inlineStr">
        <is>
          <t>Italy</t>
        </is>
      </c>
      <c r="D917" t="inlineStr">
        <is>
          <t>Western, Northern, and Southern Europe</t>
        </is>
      </c>
      <c r="E917" t="inlineStr">
        <is>
          <t>food_cost</t>
        </is>
      </c>
      <c r="F917" t="inlineStr">
        <is>
          <t>Food cost</t>
        </is>
      </c>
      <c r="G917" t="inlineStr">
        <is>
          <t>pressure</t>
        </is>
      </c>
      <c r="H917" t="inlineStr">
        <is>
          <t>yes</t>
        </is>
      </c>
      <c r="I917" t="inlineStr"/>
      <c r="J917" t="inlineStr"/>
      <c r="K917" t="inlineStr"/>
      <c r="L917" t="inlineStr"/>
      <c r="M917" t="inlineStr"/>
      <c r="N917" t="inlineStr"/>
    </row>
    <row r="918">
      <c r="A918" t="inlineStr">
        <is>
          <t>it-milan</t>
        </is>
      </c>
      <c r="B918" t="inlineStr">
        <is>
          <t>Milan</t>
        </is>
      </c>
      <c r="C918" t="inlineStr">
        <is>
          <t>Italy</t>
        </is>
      </c>
      <c r="D918" t="inlineStr">
        <is>
          <t>Western, Northern, and Southern Europe</t>
        </is>
      </c>
      <c r="E918" t="inlineStr">
        <is>
          <t>housing_burden_raw</t>
        </is>
      </c>
      <c r="F918" t="inlineStr">
        <is>
          <t>Housing burden raw</t>
        </is>
      </c>
      <c r="G918" t="inlineStr">
        <is>
          <t>pressure</t>
        </is>
      </c>
      <c r="H918" t="inlineStr">
        <is>
          <t>yes</t>
        </is>
      </c>
      <c r="I918" t="inlineStr"/>
      <c r="J918" t="inlineStr"/>
      <c r="K918" t="inlineStr"/>
      <c r="L918" t="inlineStr"/>
      <c r="M918" t="inlineStr"/>
      <c r="N918" t="inlineStr"/>
    </row>
    <row r="919">
      <c r="A919" t="inlineStr">
        <is>
          <t>it-milan</t>
        </is>
      </c>
      <c r="B919" t="inlineStr">
        <is>
          <t>Milan</t>
        </is>
      </c>
      <c r="C919" t="inlineStr">
        <is>
          <t>Italy</t>
        </is>
      </c>
      <c r="D919" t="inlineStr">
        <is>
          <t>Western, Northern, and Southern Europe</t>
        </is>
      </c>
      <c r="E919" t="inlineStr">
        <is>
          <t>household_debt_burden_raw</t>
        </is>
      </c>
      <c r="F919" t="inlineStr">
        <is>
          <t>Household debt burden raw</t>
        </is>
      </c>
      <c r="G919" t="inlineStr">
        <is>
          <t>pressure</t>
        </is>
      </c>
      <c r="H919" t="inlineStr">
        <is>
          <t>yes</t>
        </is>
      </c>
      <c r="I919" t="inlineStr"/>
      <c r="J919" t="inlineStr"/>
      <c r="K919" t="inlineStr"/>
      <c r="L919" t="inlineStr"/>
      <c r="M919" t="inlineStr"/>
      <c r="N919" t="inlineStr"/>
    </row>
    <row r="920">
      <c r="A920" t="inlineStr">
        <is>
          <t>it-milan</t>
        </is>
      </c>
      <c r="B920" t="inlineStr">
        <is>
          <t>Milan</t>
        </is>
      </c>
      <c r="C920" t="inlineStr">
        <is>
          <t>Italy</t>
        </is>
      </c>
      <c r="D920" t="inlineStr">
        <is>
          <t>Western, Northern, and Southern Europe</t>
        </is>
      </c>
      <c r="E920" t="inlineStr">
        <is>
          <t>working_time_pressure_raw</t>
        </is>
      </c>
      <c r="F920" t="inlineStr">
        <is>
          <t>Working time pressure raw</t>
        </is>
      </c>
      <c r="G920" t="inlineStr">
        <is>
          <t>pressure</t>
        </is>
      </c>
      <c r="H920" t="inlineStr">
        <is>
          <t>yes</t>
        </is>
      </c>
      <c r="I920" t="inlineStr"/>
      <c r="J920" t="inlineStr"/>
      <c r="K920" t="inlineStr"/>
      <c r="L920" t="inlineStr"/>
      <c r="M920" t="inlineStr"/>
      <c r="N920" t="inlineStr"/>
    </row>
    <row r="921">
      <c r="A921" t="inlineStr">
        <is>
          <t>it-milan</t>
        </is>
      </c>
      <c r="B921" t="inlineStr">
        <is>
          <t>Milan</t>
        </is>
      </c>
      <c r="C921" t="inlineStr">
        <is>
          <t>Italy</t>
        </is>
      </c>
      <c r="D921" t="inlineStr">
        <is>
          <t>Western, Northern, and Southern Europe</t>
        </is>
      </c>
      <c r="E921" t="inlineStr">
        <is>
          <t>suicide_mental_strain_raw</t>
        </is>
      </c>
      <c r="F921" t="inlineStr">
        <is>
          <t>Suicide or mental strain raw</t>
        </is>
      </c>
      <c r="G921" t="inlineStr">
        <is>
          <t>pressure</t>
        </is>
      </c>
      <c r="H921" t="inlineStr">
        <is>
          <t>yes</t>
        </is>
      </c>
      <c r="I921" t="inlineStr"/>
      <c r="J921" t="inlineStr"/>
      <c r="K921" t="inlineStr"/>
      <c r="L921" t="inlineStr"/>
      <c r="M921" t="inlineStr"/>
      <c r="N921" t="inlineStr"/>
    </row>
    <row r="922">
      <c r="A922" t="inlineStr">
        <is>
          <t>it-milan</t>
        </is>
      </c>
      <c r="B922" t="inlineStr">
        <is>
          <t>Milan</t>
        </is>
      </c>
      <c r="C922" t="inlineStr">
        <is>
          <t>Italy</t>
        </is>
      </c>
      <c r="D922" t="inlineStr">
        <is>
          <t>Western, Northern, and Southern Europe</t>
        </is>
      </c>
      <c r="E922" t="inlineStr">
        <is>
          <t>personal_safety_raw</t>
        </is>
      </c>
      <c r="F922" t="inlineStr">
        <is>
          <t>Personal safety raw</t>
        </is>
      </c>
      <c r="G922" t="inlineStr">
        <is>
          <t>viability</t>
        </is>
      </c>
      <c r="H922" t="inlineStr">
        <is>
          <t>yes</t>
        </is>
      </c>
      <c r="I922" t="inlineStr">
        <is>
          <t>102.95</t>
        </is>
      </c>
      <c r="J922" t="inlineStr">
        <is>
          <t>comune_milano_open_data</t>
        </is>
      </c>
      <c r="K922" t="inlineStr">
        <is>
          <t>https://dati.comune.milano.it/dataset/34e2d2af-5c3b-4768-918b-ab7e5c0d15da/resource/8b03b9f2-f2d7-4408-b439-bc6efc093cff/download/ds564_reati_denunciati_2004_2023.csv</t>
        </is>
      </c>
      <c r="L922" t="inlineStr">
        <is>
          <t>Comune di Milano Open Data | Reati denunciati all'autorita giudiziaria (2004-2023)</t>
        </is>
      </c>
      <c r="M922" t="inlineStr">
        <is>
          <t>2026-03-12</t>
        </is>
      </c>
      <c r="N922" t="inlineStr">
        <is>
          <t>Computed as total reported crimes in 2023 per 1,000 residents using the official crime series and the official 2024 resident count.</t>
        </is>
      </c>
    </row>
    <row r="923">
      <c r="A923" t="inlineStr">
        <is>
          <t>it-milan</t>
        </is>
      </c>
      <c r="B923" t="inlineStr">
        <is>
          <t>Milan</t>
        </is>
      </c>
      <c r="C923" t="inlineStr">
        <is>
          <t>Italy</t>
        </is>
      </c>
      <c r="D923" t="inlineStr">
        <is>
          <t>Western, Northern, and Southern Europe</t>
        </is>
      </c>
      <c r="E923" t="inlineStr">
        <is>
          <t>transit_access_commute_raw</t>
        </is>
      </c>
      <c r="F923" t="inlineStr">
        <is>
          <t>Transit access and commute raw</t>
        </is>
      </c>
      <c r="G923" t="inlineStr">
        <is>
          <t>viability</t>
        </is>
      </c>
      <c r="H923" t="inlineStr">
        <is>
          <t>yes</t>
        </is>
      </c>
      <c r="I923" t="inlineStr">
        <is>
          <t>75.43</t>
        </is>
      </c>
      <c r="J923" t="inlineStr">
        <is>
          <t>comune_milano_open_data</t>
        </is>
      </c>
      <c r="K923" t="inlineStr">
        <is>
          <t>https://dati.comune.milano.it/dataset/0ac0f655-1858-410a-9873-70fd057ef65d/resource/39d6ef17-8882-49b6-b2de-dd4a8486d923/download/ds393_popolazione_pendolari_movimenti_interni_mezzo_tempo_orario_uscita_genere__2011c.csv</t>
        </is>
      </c>
      <c r="L923" t="inlineStr">
        <is>
          <t>Comune di Milano Open Data | Censimento 2011: movimenti pendolari interni per mezzo, tempo impiegato, orario di uscita e genere</t>
        </is>
      </c>
      <c r="M923" t="inlineStr">
        <is>
          <t>2026-03-12</t>
        </is>
      </c>
      <c r="N923" t="inlineStr">
        <is>
          <t>Computed as the share of internal commuters whose travel time is 30 minutes or less from the official commuting dataset.</t>
        </is>
      </c>
    </row>
    <row r="924">
      <c r="A924" t="inlineStr">
        <is>
          <t>it-milan</t>
        </is>
      </c>
      <c r="B924" t="inlineStr">
        <is>
          <t>Milan</t>
        </is>
      </c>
      <c r="C924" t="inlineStr">
        <is>
          <t>Italy</t>
        </is>
      </c>
      <c r="D924" t="inlineStr">
        <is>
          <t>Western, Northern, and Southern Europe</t>
        </is>
      </c>
      <c r="E924" t="inlineStr">
        <is>
          <t>clean_air_raw</t>
        </is>
      </c>
      <c r="F924" t="inlineStr">
        <is>
          <t>Clean air raw</t>
        </is>
      </c>
      <c r="G924" t="inlineStr">
        <is>
          <t>viability</t>
        </is>
      </c>
      <c r="H924" t="inlineStr">
        <is>
          <t>yes</t>
        </is>
      </c>
      <c r="I924" t="inlineStr">
        <is>
          <t>21</t>
        </is>
      </c>
      <c r="J924" t="inlineStr">
        <is>
          <t>arpa_lombardia</t>
        </is>
      </c>
      <c r="K924" t="inlineStr">
        <is>
          <t>https://www.arpalombardia.it/agenda/notizie/2026/qualita-dell-aria-prosegue-il-miglioramento-anche-nell-anno-2025/</t>
        </is>
      </c>
      <c r="L924" t="inlineStr">
        <is>
          <t>ARPA Lombardia | Qualita dell'aria, prosegue il miglioramento anche nell'anno 2025</t>
        </is>
      </c>
      <c r="M924" t="inlineStr">
        <is>
          <t>2026-03-12</t>
        </is>
      </c>
      <c r="N924" t="inlineStr">
        <is>
          <t>Official PM2.5 annual mean for Milan in 2025 from the ARPA Lombardia annual air-quality summary.</t>
        </is>
      </c>
    </row>
    <row r="925">
      <c r="A925" t="inlineStr">
        <is>
          <t>it-milan</t>
        </is>
      </c>
      <c r="B925" t="inlineStr">
        <is>
          <t>Milan</t>
        </is>
      </c>
      <c r="C925" t="inlineStr">
        <is>
          <t>Italy</t>
        </is>
      </c>
      <c r="D925" t="inlineStr">
        <is>
          <t>Western, Northern, and Southern Europe</t>
        </is>
      </c>
      <c r="E925" t="inlineStr">
        <is>
          <t>water_sanitation_utility_raw</t>
        </is>
      </c>
      <c r="F925" t="inlineStr">
        <is>
          <t>Water, sanitation, and utility raw</t>
        </is>
      </c>
      <c r="G925" t="inlineStr">
        <is>
          <t>viability</t>
        </is>
      </c>
      <c r="H925" t="inlineStr">
        <is>
          <t>yes</t>
        </is>
      </c>
      <c r="I925" t="inlineStr"/>
      <c r="J925" t="inlineStr"/>
      <c r="K925" t="inlineStr"/>
      <c r="L925" t="inlineStr"/>
      <c r="M925" t="inlineStr"/>
      <c r="N925" t="inlineStr"/>
    </row>
    <row r="926">
      <c r="A926" t="inlineStr">
        <is>
          <t>it-milan</t>
        </is>
      </c>
      <c r="B926" t="inlineStr">
        <is>
          <t>Milan</t>
        </is>
      </c>
      <c r="C926" t="inlineStr">
        <is>
          <t>Italy</t>
        </is>
      </c>
      <c r="D926" t="inlineStr">
        <is>
          <t>Western, Northern, and Southern Europe</t>
        </is>
      </c>
      <c r="E926" t="inlineStr">
        <is>
          <t>digital_infrastructure_raw</t>
        </is>
      </c>
      <c r="F926" t="inlineStr">
        <is>
          <t>Digital infrastructure raw</t>
        </is>
      </c>
      <c r="G926" t="inlineStr">
        <is>
          <t>viability</t>
        </is>
      </c>
      <c r="H926" t="inlineStr">
        <is>
          <t>yes</t>
        </is>
      </c>
      <c r="I926" t="inlineStr"/>
      <c r="J926" t="inlineStr"/>
      <c r="K926" t="inlineStr"/>
      <c r="L926" t="inlineStr"/>
      <c r="M926" t="inlineStr"/>
      <c r="N926" t="inlineStr"/>
    </row>
    <row r="927">
      <c r="A927" t="inlineStr">
        <is>
          <t>it-milan</t>
        </is>
      </c>
      <c r="B927" t="inlineStr">
        <is>
          <t>Milan</t>
        </is>
      </c>
      <c r="C927" t="inlineStr">
        <is>
          <t>Italy</t>
        </is>
      </c>
      <c r="D927" t="inlineStr">
        <is>
          <t>Western, Northern, and Southern Europe</t>
        </is>
      </c>
      <c r="E927" t="inlineStr">
        <is>
          <t>healthcare_quality_raw</t>
        </is>
      </c>
      <c r="F927" t="inlineStr">
        <is>
          <t>Healthcare quality raw</t>
        </is>
      </c>
      <c r="G927" t="inlineStr">
        <is>
          <t>capability</t>
        </is>
      </c>
      <c r="H927" t="inlineStr">
        <is>
          <t>yes</t>
        </is>
      </c>
      <c r="I927" t="inlineStr">
        <is>
          <t>6.45</t>
        </is>
      </c>
      <c r="J927" t="inlineStr">
        <is>
          <t>comune_milano_open_data</t>
        </is>
      </c>
      <c r="K927" t="inlineStr">
        <is>
          <t>https://dati.comune.milano.it/dataset/71477d58-03a6-468b-81de-b168a264c82c/resource/7632c319-4a2a-4ab5-a39d-74d6ecc7323d/download/ds683_posti_letto_strutture_milano_010925_.csv</t>
        </is>
      </c>
      <c r="L927" t="inlineStr">
        <is>
          <t>Comune di Milano Open Data | Sanita: posti letto delle strutture ospedaliere e case di cura</t>
        </is>
      </c>
      <c r="M927" t="inlineStr">
        <is>
          <t>2026-03-12</t>
        </is>
      </c>
      <c r="N927" t="inlineStr">
        <is>
          <t>Computed as total hospital and accredited care beds in 2023 per 1,000 residents using the official bed dataset and the official 2024 resident count.</t>
        </is>
      </c>
    </row>
    <row r="928">
      <c r="A928" t="inlineStr">
        <is>
          <t>it-milan</t>
        </is>
      </c>
      <c r="B928" t="inlineStr">
        <is>
          <t>Milan</t>
        </is>
      </c>
      <c r="C928" t="inlineStr">
        <is>
          <t>Italy</t>
        </is>
      </c>
      <c r="D928" t="inlineStr">
        <is>
          <t>Western, Northern, and Southern Europe</t>
        </is>
      </c>
      <c r="E928" t="inlineStr">
        <is>
          <t>education_quality_raw</t>
        </is>
      </c>
      <c r="F928" t="inlineStr">
        <is>
          <t>Education quality raw</t>
        </is>
      </c>
      <c r="G928" t="inlineStr">
        <is>
          <t>capability</t>
        </is>
      </c>
      <c r="H928" t="inlineStr">
        <is>
          <t>yes</t>
        </is>
      </c>
      <c r="I928" t="inlineStr"/>
      <c r="J928" t="inlineStr"/>
      <c r="K928" t="inlineStr"/>
      <c r="L928" t="inlineStr"/>
      <c r="M928" t="inlineStr"/>
      <c r="N928" t="inlineStr"/>
    </row>
    <row r="929">
      <c r="A929" t="inlineStr">
        <is>
          <t>it-milan</t>
        </is>
      </c>
      <c r="B929" t="inlineStr">
        <is>
          <t>Milan</t>
        </is>
      </c>
      <c r="C929" t="inlineStr">
        <is>
          <t>Italy</t>
        </is>
      </c>
      <c r="D929" t="inlineStr">
        <is>
          <t>Western, Northern, and Southern Europe</t>
        </is>
      </c>
      <c r="E929" t="inlineStr">
        <is>
          <t>equal_opportunity_raw</t>
        </is>
      </c>
      <c r="F929" t="inlineStr">
        <is>
          <t>Equal opportunity raw</t>
        </is>
      </c>
      <c r="G929" t="inlineStr">
        <is>
          <t>capability</t>
        </is>
      </c>
      <c r="H929" t="inlineStr">
        <is>
          <t>yes</t>
        </is>
      </c>
      <c r="I929" t="inlineStr"/>
      <c r="J929" t="inlineStr"/>
      <c r="K929" t="inlineStr"/>
      <c r="L929" t="inlineStr"/>
      <c r="M929" t="inlineStr"/>
      <c r="N929" t="inlineStr"/>
    </row>
    <row r="930">
      <c r="A930" t="inlineStr">
        <is>
          <t>it-milan</t>
        </is>
      </c>
      <c r="B930" t="inlineStr">
        <is>
          <t>Milan</t>
        </is>
      </c>
      <c r="C930" t="inlineStr">
        <is>
          <t>Italy</t>
        </is>
      </c>
      <c r="D930" t="inlineStr">
        <is>
          <t>Western, Northern, and Southern Europe</t>
        </is>
      </c>
      <c r="E930" t="inlineStr">
        <is>
          <t>hospitality_belonging_raw</t>
        </is>
      </c>
      <c r="F930" t="inlineStr">
        <is>
          <t>Hospitality and belonging raw</t>
        </is>
      </c>
      <c r="G930" t="inlineStr">
        <is>
          <t>community</t>
        </is>
      </c>
      <c r="H930" t="inlineStr">
        <is>
          <t>yes</t>
        </is>
      </c>
      <c r="I930" t="inlineStr"/>
      <c r="J930" t="inlineStr"/>
      <c r="K930" t="inlineStr"/>
      <c r="L930" t="inlineStr"/>
      <c r="M930" t="inlineStr"/>
      <c r="N930" t="inlineStr"/>
    </row>
    <row r="931">
      <c r="A931" t="inlineStr">
        <is>
          <t>it-milan</t>
        </is>
      </c>
      <c r="B931" t="inlineStr">
        <is>
          <t>Milan</t>
        </is>
      </c>
      <c r="C931" t="inlineStr">
        <is>
          <t>Italy</t>
        </is>
      </c>
      <c r="D931" t="inlineStr">
        <is>
          <t>Western, Northern, and Southern Europe</t>
        </is>
      </c>
      <c r="E931" t="inlineStr">
        <is>
          <t>tolerance_pluralism_raw</t>
        </is>
      </c>
      <c r="F931" t="inlineStr">
        <is>
          <t>Tolerance and pluralism raw</t>
        </is>
      </c>
      <c r="G931" t="inlineStr">
        <is>
          <t>community</t>
        </is>
      </c>
      <c r="H931" t="inlineStr">
        <is>
          <t>yes</t>
        </is>
      </c>
      <c r="I931" t="inlineStr"/>
      <c r="J931" t="inlineStr"/>
      <c r="K931" t="inlineStr"/>
      <c r="L931" t="inlineStr"/>
      <c r="M931" t="inlineStr"/>
      <c r="N931" t="inlineStr"/>
    </row>
    <row r="932">
      <c r="A932" t="inlineStr">
        <is>
          <t>it-milan</t>
        </is>
      </c>
      <c r="B932" t="inlineStr">
        <is>
          <t>Milan</t>
        </is>
      </c>
      <c r="C932" t="inlineStr">
        <is>
          <t>Italy</t>
        </is>
      </c>
      <c r="D932" t="inlineStr">
        <is>
          <t>Western, Northern, and Southern Europe</t>
        </is>
      </c>
      <c r="E932" t="inlineStr">
        <is>
          <t>cultural_public_life_raw</t>
        </is>
      </c>
      <c r="F932" t="inlineStr">
        <is>
          <t>Cultural public life raw</t>
        </is>
      </c>
      <c r="G932" t="inlineStr">
        <is>
          <t>community</t>
        </is>
      </c>
      <c r="H932" t="inlineStr">
        <is>
          <t>yes</t>
        </is>
      </c>
      <c r="I932" t="inlineStr"/>
      <c r="J932" t="inlineStr"/>
      <c r="K932" t="inlineStr"/>
      <c r="L932" t="inlineStr"/>
      <c r="M932" t="inlineStr"/>
      <c r="N932" t="inlineStr"/>
    </row>
    <row r="933">
      <c r="A933" t="inlineStr">
        <is>
          <t>it-milan</t>
        </is>
      </c>
      <c r="B933" t="inlineStr">
        <is>
          <t>Milan</t>
        </is>
      </c>
      <c r="C933" t="inlineStr">
        <is>
          <t>Italy</t>
        </is>
      </c>
      <c r="D933" t="inlineStr">
        <is>
          <t>Western, Northern, and Southern Europe</t>
        </is>
      </c>
      <c r="E933" t="inlineStr">
        <is>
          <t>entrepreneurial_dynamism_raw</t>
        </is>
      </c>
      <c r="F933" t="inlineStr">
        <is>
          <t>Entrepreneurial dynamism raw</t>
        </is>
      </c>
      <c r="G933" t="inlineStr">
        <is>
          <t>creative</t>
        </is>
      </c>
      <c r="H933" t="inlineStr">
        <is>
          <t>yes</t>
        </is>
      </c>
      <c r="I933" t="inlineStr">
        <is>
          <t>135.84</t>
        </is>
      </c>
      <c r="J933" t="inlineStr">
        <is>
          <t>comune_milano_open_data</t>
        </is>
      </c>
      <c r="K933" t="inlineStr">
        <is>
          <t>https://dati.comune.milano.it/dataset/8d8a4d19-0004-48a8-9425-e892deffde10/resource/68ebcbed-a736-4f0a-b654-17232b18deb0/download/ds691_imprese.csv</t>
        </is>
      </c>
      <c r="L933" t="inlineStr">
        <is>
          <t>Comune di Milano Open Data | Imprese attive divise per settore merceologico e anno</t>
        </is>
      </c>
      <c r="M933" t="inlineStr">
        <is>
          <t>2026-03-12</t>
        </is>
      </c>
      <c r="N933" t="inlineStr">
        <is>
          <t>Computed as total active enterprises in 2024 per 1,000 residents using the official enterprise dataset and the official 2024 resident count.</t>
        </is>
      </c>
    </row>
    <row r="934">
      <c r="A934" t="inlineStr">
        <is>
          <t>it-milan</t>
        </is>
      </c>
      <c r="B934" t="inlineStr">
        <is>
          <t>Milan</t>
        </is>
      </c>
      <c r="C934" t="inlineStr">
        <is>
          <t>Italy</t>
        </is>
      </c>
      <c r="D934" t="inlineStr">
        <is>
          <t>Western, Northern, and Southern Europe</t>
        </is>
      </c>
      <c r="E934" t="inlineStr">
        <is>
          <t>innovation_research_intensity_raw</t>
        </is>
      </c>
      <c r="F934" t="inlineStr">
        <is>
          <t>Innovation and research raw</t>
        </is>
      </c>
      <c r="G934" t="inlineStr">
        <is>
          <t>creative</t>
        </is>
      </c>
      <c r="H934" t="inlineStr">
        <is>
          <t>yes</t>
        </is>
      </c>
      <c r="I934" t="inlineStr"/>
      <c r="J934" t="inlineStr"/>
      <c r="K934" t="inlineStr"/>
      <c r="L934" t="inlineStr"/>
      <c r="M934" t="inlineStr"/>
      <c r="N934" t="inlineStr"/>
    </row>
    <row r="935">
      <c r="A935" t="inlineStr">
        <is>
          <t>it-milan</t>
        </is>
      </c>
      <c r="B935" t="inlineStr">
        <is>
          <t>Milan</t>
        </is>
      </c>
      <c r="C935" t="inlineStr">
        <is>
          <t>Italy</t>
        </is>
      </c>
      <c r="D935" t="inlineStr">
        <is>
          <t>Western, Northern, and Southern Europe</t>
        </is>
      </c>
      <c r="E935" t="inlineStr">
        <is>
          <t>investment_signal_raw</t>
        </is>
      </c>
      <c r="F935" t="inlineStr">
        <is>
          <t>Investment signal raw</t>
        </is>
      </c>
      <c r="G935" t="inlineStr">
        <is>
          <t>creative</t>
        </is>
      </c>
      <c r="H935" t="inlineStr">
        <is>
          <t>yes</t>
        </is>
      </c>
      <c r="I935" t="inlineStr"/>
      <c r="J935" t="inlineStr"/>
      <c r="K935" t="inlineStr"/>
      <c r="L935" t="inlineStr"/>
      <c r="M935" t="inlineStr"/>
      <c r="N935" t="inlineStr"/>
    </row>
    <row r="936">
      <c r="A936" t="inlineStr">
        <is>
          <t>it-milan</t>
        </is>
      </c>
      <c r="B936" t="inlineStr">
        <is>
          <t>Milan</t>
        </is>
      </c>
      <c r="C936" t="inlineStr">
        <is>
          <t>Italy</t>
        </is>
      </c>
      <c r="D936" t="inlineStr">
        <is>
          <t>Western, Northern, and Southern Europe</t>
        </is>
      </c>
      <c r="E936" t="inlineStr">
        <is>
          <t>administrative_investment_friction_raw</t>
        </is>
      </c>
      <c r="F936" t="inlineStr">
        <is>
          <t>Administrative investment friction raw</t>
        </is>
      </c>
      <c r="G936" t="inlineStr">
        <is>
          <t>creative</t>
        </is>
      </c>
      <c r="H936" t="inlineStr">
        <is>
          <t>yes</t>
        </is>
      </c>
      <c r="I936" t="inlineStr"/>
      <c r="J936" t="inlineStr"/>
      <c r="K936" t="inlineStr"/>
      <c r="L936" t="inlineStr"/>
      <c r="M936" t="inlineStr"/>
      <c r="N936" t="inlineStr"/>
    </row>
    <row r="937">
      <c r="A937" t="inlineStr">
        <is>
          <t>it-milan</t>
        </is>
      </c>
      <c r="B937" t="inlineStr">
        <is>
          <t>Milan</t>
        </is>
      </c>
      <c r="C937" t="inlineStr">
        <is>
          <t>Italy</t>
        </is>
      </c>
      <c r="D937" t="inlineStr">
        <is>
          <t>Western, Northern, and Southern Europe</t>
        </is>
      </c>
      <c r="E937" t="inlineStr">
        <is>
          <t>visitor_flow_context_raw</t>
        </is>
      </c>
      <c r="F937" t="inlineStr">
        <is>
          <t>Visitor flow context raw</t>
        </is>
      </c>
      <c r="G937" t="inlineStr">
        <is>
          <t>creative</t>
        </is>
      </c>
      <c r="H937" t="inlineStr">
        <is>
          <t>no</t>
        </is>
      </c>
      <c r="I937" t="inlineStr">
        <is>
          <t>16491113</t>
        </is>
      </c>
      <c r="J937" t="inlineStr">
        <is>
          <t>comune_milano_open_data</t>
        </is>
      </c>
      <c r="K937" t="inlineStr">
        <is>
          <t>https://dati.comune.milano.it/dataset/645e64c2-0a51-4823-8a40-633cc162b4af/resource/89f7c6c4-fd98-4e5e-8e9a-041b92bac9d8/download/ds215_presenze_mensili-1.csv</t>
        </is>
      </c>
      <c r="L937" t="inlineStr">
        <is>
          <t>Comune di Milano Open Data | Presenze mensili</t>
        </is>
      </c>
      <c r="M937" t="inlineStr">
        <is>
          <t>2026-03-12</t>
        </is>
      </c>
      <c r="N937" t="inlineStr">
        <is>
          <t>Computed as total overnight stays in Milan for 2024 summed from the official monthly tourism-presence dataset.</t>
        </is>
      </c>
    </row>
    <row r="938">
      <c r="A938" t="inlineStr">
        <is>
          <t>at-graz</t>
        </is>
      </c>
      <c r="B938" t="inlineStr">
        <is>
          <t>Graz</t>
        </is>
      </c>
      <c r="C938" t="inlineStr">
        <is>
          <t>Austria</t>
        </is>
      </c>
      <c r="D938" t="inlineStr">
        <is>
          <t>Western and Northern Europe</t>
        </is>
      </c>
      <c r="E938" t="inlineStr">
        <is>
          <t>gross_income</t>
        </is>
      </c>
      <c r="F938" t="inlineStr">
        <is>
          <t>Gross income</t>
        </is>
      </c>
      <c r="G938" t="inlineStr">
        <is>
          <t>pressure</t>
        </is>
      </c>
      <c r="H938" t="inlineStr">
        <is>
          <t>yes</t>
        </is>
      </c>
      <c r="I938" t="inlineStr"/>
      <c r="J938" t="inlineStr"/>
      <c r="K938" t="inlineStr"/>
      <c r="L938" t="inlineStr"/>
      <c r="M938" t="inlineStr"/>
      <c r="N938" t="inlineStr"/>
    </row>
    <row r="939">
      <c r="A939" t="inlineStr">
        <is>
          <t>at-graz</t>
        </is>
      </c>
      <c r="B939" t="inlineStr">
        <is>
          <t>Graz</t>
        </is>
      </c>
      <c r="C939" t="inlineStr">
        <is>
          <t>Austria</t>
        </is>
      </c>
      <c r="D939" t="inlineStr">
        <is>
          <t>Western and Northern Europe</t>
        </is>
      </c>
      <c r="E939" t="inlineStr">
        <is>
          <t>rent</t>
        </is>
      </c>
      <c r="F939" t="inlineStr">
        <is>
          <t>Rent</t>
        </is>
      </c>
      <c r="G939" t="inlineStr">
        <is>
          <t>pressure</t>
        </is>
      </c>
      <c r="H939" t="inlineStr">
        <is>
          <t>yes</t>
        </is>
      </c>
      <c r="I939" t="inlineStr"/>
      <c r="J939" t="inlineStr"/>
      <c r="K939" t="inlineStr"/>
      <c r="L939" t="inlineStr"/>
      <c r="M939" t="inlineStr"/>
      <c r="N939" t="inlineStr"/>
    </row>
    <row r="940">
      <c r="A940" t="inlineStr">
        <is>
          <t>at-graz</t>
        </is>
      </c>
      <c r="B940" t="inlineStr">
        <is>
          <t>Graz</t>
        </is>
      </c>
      <c r="C940" t="inlineStr">
        <is>
          <t>Austria</t>
        </is>
      </c>
      <c r="D940" t="inlineStr">
        <is>
          <t>Western and Northern Europe</t>
        </is>
      </c>
      <c r="E940" t="inlineStr">
        <is>
          <t>utilities</t>
        </is>
      </c>
      <c r="F940" t="inlineStr">
        <is>
          <t>Utilities</t>
        </is>
      </c>
      <c r="G940" t="inlineStr">
        <is>
          <t>pressure</t>
        </is>
      </c>
      <c r="H940" t="inlineStr">
        <is>
          <t>yes</t>
        </is>
      </c>
      <c r="I940" t="inlineStr"/>
      <c r="J940" t="inlineStr"/>
      <c r="K940" t="inlineStr"/>
      <c r="L940" t="inlineStr"/>
      <c r="M940" t="inlineStr"/>
      <c r="N940" t="inlineStr"/>
    </row>
    <row r="941">
      <c r="A941" t="inlineStr">
        <is>
          <t>at-graz</t>
        </is>
      </c>
      <c r="B941" t="inlineStr">
        <is>
          <t>Graz</t>
        </is>
      </c>
      <c r="C941" t="inlineStr">
        <is>
          <t>Austria</t>
        </is>
      </c>
      <c r="D941" t="inlineStr">
        <is>
          <t>Western and Northern Europe</t>
        </is>
      </c>
      <c r="E941" t="inlineStr">
        <is>
          <t>transit_cost</t>
        </is>
      </c>
      <c r="F941" t="inlineStr">
        <is>
          <t>Transit cost</t>
        </is>
      </c>
      <c r="G941" t="inlineStr">
        <is>
          <t>pressure</t>
        </is>
      </c>
      <c r="H941" t="inlineStr">
        <is>
          <t>yes</t>
        </is>
      </c>
      <c r="I941" t="inlineStr"/>
      <c r="J941" t="inlineStr"/>
      <c r="K941" t="inlineStr"/>
      <c r="L941" t="inlineStr"/>
      <c r="M941" t="inlineStr"/>
      <c r="N941" t="inlineStr"/>
    </row>
    <row r="942">
      <c r="A942" t="inlineStr">
        <is>
          <t>at-graz</t>
        </is>
      </c>
      <c r="B942" t="inlineStr">
        <is>
          <t>Graz</t>
        </is>
      </c>
      <c r="C942" t="inlineStr">
        <is>
          <t>Austria</t>
        </is>
      </c>
      <c r="D942" t="inlineStr">
        <is>
          <t>Western and Northern Europe</t>
        </is>
      </c>
      <c r="E942" t="inlineStr">
        <is>
          <t>internet_cost</t>
        </is>
      </c>
      <c r="F942" t="inlineStr">
        <is>
          <t>Internet cost</t>
        </is>
      </c>
      <c r="G942" t="inlineStr">
        <is>
          <t>pressure</t>
        </is>
      </c>
      <c r="H942" t="inlineStr">
        <is>
          <t>yes</t>
        </is>
      </c>
      <c r="I942" t="inlineStr"/>
      <c r="J942" t="inlineStr"/>
      <c r="K942" t="inlineStr"/>
      <c r="L942" t="inlineStr"/>
      <c r="M942" t="inlineStr"/>
      <c r="N942" t="inlineStr"/>
    </row>
    <row r="943">
      <c r="A943" t="inlineStr">
        <is>
          <t>at-graz</t>
        </is>
      </c>
      <c r="B943" t="inlineStr">
        <is>
          <t>Graz</t>
        </is>
      </c>
      <c r="C943" t="inlineStr">
        <is>
          <t>Austria</t>
        </is>
      </c>
      <c r="D943" t="inlineStr">
        <is>
          <t>Western and Northern Europe</t>
        </is>
      </c>
      <c r="E943" t="inlineStr">
        <is>
          <t>food_cost</t>
        </is>
      </c>
      <c r="F943" t="inlineStr">
        <is>
          <t>Food cost</t>
        </is>
      </c>
      <c r="G943" t="inlineStr">
        <is>
          <t>pressure</t>
        </is>
      </c>
      <c r="H943" t="inlineStr">
        <is>
          <t>yes</t>
        </is>
      </c>
      <c r="I943" t="inlineStr"/>
      <c r="J943" t="inlineStr"/>
      <c r="K943" t="inlineStr"/>
      <c r="L943" t="inlineStr"/>
      <c r="M943" t="inlineStr"/>
      <c r="N943" t="inlineStr"/>
    </row>
    <row r="944">
      <c r="A944" t="inlineStr">
        <is>
          <t>at-graz</t>
        </is>
      </c>
      <c r="B944" t="inlineStr">
        <is>
          <t>Graz</t>
        </is>
      </c>
      <c r="C944" t="inlineStr">
        <is>
          <t>Austria</t>
        </is>
      </c>
      <c r="D944" t="inlineStr">
        <is>
          <t>Western and Northern Europe</t>
        </is>
      </c>
      <c r="E944" t="inlineStr">
        <is>
          <t>housing_burden_raw</t>
        </is>
      </c>
      <c r="F944" t="inlineStr">
        <is>
          <t>Housing burden raw</t>
        </is>
      </c>
      <c r="G944" t="inlineStr">
        <is>
          <t>pressure</t>
        </is>
      </c>
      <c r="H944" t="inlineStr">
        <is>
          <t>yes</t>
        </is>
      </c>
      <c r="I944" t="inlineStr"/>
      <c r="J944" t="inlineStr"/>
      <c r="K944" t="inlineStr"/>
      <c r="L944" t="inlineStr"/>
      <c r="M944" t="inlineStr"/>
      <c r="N944" t="inlineStr"/>
    </row>
    <row r="945">
      <c r="A945" t="inlineStr">
        <is>
          <t>at-graz</t>
        </is>
      </c>
      <c r="B945" t="inlineStr">
        <is>
          <t>Graz</t>
        </is>
      </c>
      <c r="C945" t="inlineStr">
        <is>
          <t>Austria</t>
        </is>
      </c>
      <c r="D945" t="inlineStr">
        <is>
          <t>Western and Northern Europe</t>
        </is>
      </c>
      <c r="E945" t="inlineStr">
        <is>
          <t>household_debt_burden_raw</t>
        </is>
      </c>
      <c r="F945" t="inlineStr">
        <is>
          <t>Household debt burden raw</t>
        </is>
      </c>
      <c r="G945" t="inlineStr">
        <is>
          <t>pressure</t>
        </is>
      </c>
      <c r="H945" t="inlineStr">
        <is>
          <t>yes</t>
        </is>
      </c>
      <c r="I945" t="inlineStr"/>
      <c r="J945" t="inlineStr"/>
      <c r="K945" t="inlineStr"/>
      <c r="L945" t="inlineStr"/>
      <c r="M945" t="inlineStr"/>
      <c r="N945" t="inlineStr"/>
    </row>
    <row r="946">
      <c r="A946" t="inlineStr">
        <is>
          <t>at-graz</t>
        </is>
      </c>
      <c r="B946" t="inlineStr">
        <is>
          <t>Graz</t>
        </is>
      </c>
      <c r="C946" t="inlineStr">
        <is>
          <t>Austria</t>
        </is>
      </c>
      <c r="D946" t="inlineStr">
        <is>
          <t>Western and Northern Europe</t>
        </is>
      </c>
      <c r="E946" t="inlineStr">
        <is>
          <t>working_time_pressure_raw</t>
        </is>
      </c>
      <c r="F946" t="inlineStr">
        <is>
          <t>Working time pressure raw</t>
        </is>
      </c>
      <c r="G946" t="inlineStr">
        <is>
          <t>pressure</t>
        </is>
      </c>
      <c r="H946" t="inlineStr">
        <is>
          <t>yes</t>
        </is>
      </c>
      <c r="I946" t="inlineStr"/>
      <c r="J946" t="inlineStr"/>
      <c r="K946" t="inlineStr"/>
      <c r="L946" t="inlineStr"/>
      <c r="M946" t="inlineStr"/>
      <c r="N946" t="inlineStr"/>
    </row>
    <row r="947">
      <c r="A947" t="inlineStr">
        <is>
          <t>at-graz</t>
        </is>
      </c>
      <c r="B947" t="inlineStr">
        <is>
          <t>Graz</t>
        </is>
      </c>
      <c r="C947" t="inlineStr">
        <is>
          <t>Austria</t>
        </is>
      </c>
      <c r="D947" t="inlineStr">
        <is>
          <t>Western and Northern Europe</t>
        </is>
      </c>
      <c r="E947" t="inlineStr">
        <is>
          <t>suicide_mental_strain_raw</t>
        </is>
      </c>
      <c r="F947" t="inlineStr">
        <is>
          <t>Suicide or mental strain raw</t>
        </is>
      </c>
      <c r="G947" t="inlineStr">
        <is>
          <t>pressure</t>
        </is>
      </c>
      <c r="H947" t="inlineStr">
        <is>
          <t>yes</t>
        </is>
      </c>
      <c r="I947" t="inlineStr"/>
      <c r="J947" t="inlineStr"/>
      <c r="K947" t="inlineStr"/>
      <c r="L947" t="inlineStr"/>
      <c r="M947" t="inlineStr"/>
      <c r="N947" t="inlineStr"/>
    </row>
    <row r="948">
      <c r="A948" t="inlineStr">
        <is>
          <t>at-graz</t>
        </is>
      </c>
      <c r="B948" t="inlineStr">
        <is>
          <t>Graz</t>
        </is>
      </c>
      <c r="C948" t="inlineStr">
        <is>
          <t>Austria</t>
        </is>
      </c>
      <c r="D948" t="inlineStr">
        <is>
          <t>Western and Northern Europe</t>
        </is>
      </c>
      <c r="E948" t="inlineStr">
        <is>
          <t>personal_safety_raw</t>
        </is>
      </c>
      <c r="F948" t="inlineStr">
        <is>
          <t>Personal safety raw</t>
        </is>
      </c>
      <c r="G948" t="inlineStr">
        <is>
          <t>viability</t>
        </is>
      </c>
      <c r="H948" t="inlineStr">
        <is>
          <t>yes</t>
        </is>
      </c>
      <c r="I948" t="inlineStr"/>
      <c r="J948" t="inlineStr"/>
      <c r="K948" t="inlineStr"/>
      <c r="L948" t="inlineStr"/>
      <c r="M948" t="inlineStr"/>
      <c r="N948" t="inlineStr"/>
    </row>
    <row r="949">
      <c r="A949" t="inlineStr">
        <is>
          <t>at-graz</t>
        </is>
      </c>
      <c r="B949" t="inlineStr">
        <is>
          <t>Graz</t>
        </is>
      </c>
      <c r="C949" t="inlineStr">
        <is>
          <t>Austria</t>
        </is>
      </c>
      <c r="D949" t="inlineStr">
        <is>
          <t>Western and Northern Europe</t>
        </is>
      </c>
      <c r="E949" t="inlineStr">
        <is>
          <t>transit_access_commute_raw</t>
        </is>
      </c>
      <c r="F949" t="inlineStr">
        <is>
          <t>Transit access and commute raw</t>
        </is>
      </c>
      <c r="G949" t="inlineStr">
        <is>
          <t>viability</t>
        </is>
      </c>
      <c r="H949" t="inlineStr">
        <is>
          <t>yes</t>
        </is>
      </c>
      <c r="I949" t="inlineStr"/>
      <c r="J949" t="inlineStr"/>
      <c r="K949" t="inlineStr"/>
      <c r="L949" t="inlineStr"/>
      <c r="M949" t="inlineStr"/>
      <c r="N949" t="inlineStr"/>
    </row>
    <row r="950">
      <c r="A950" t="inlineStr">
        <is>
          <t>at-graz</t>
        </is>
      </c>
      <c r="B950" t="inlineStr">
        <is>
          <t>Graz</t>
        </is>
      </c>
      <c r="C950" t="inlineStr">
        <is>
          <t>Austria</t>
        </is>
      </c>
      <c r="D950" t="inlineStr">
        <is>
          <t>Western and Northern Europe</t>
        </is>
      </c>
      <c r="E950" t="inlineStr">
        <is>
          <t>clean_air_raw</t>
        </is>
      </c>
      <c r="F950" t="inlineStr">
        <is>
          <t>Clean air raw</t>
        </is>
      </c>
      <c r="G950" t="inlineStr">
        <is>
          <t>viability</t>
        </is>
      </c>
      <c r="H950" t="inlineStr">
        <is>
          <t>yes</t>
        </is>
      </c>
      <c r="I950" t="inlineStr"/>
      <c r="J950" t="inlineStr"/>
      <c r="K950" t="inlineStr"/>
      <c r="L950" t="inlineStr"/>
      <c r="M950" t="inlineStr"/>
      <c r="N950" t="inlineStr"/>
    </row>
    <row r="951">
      <c r="A951" t="inlineStr">
        <is>
          <t>at-graz</t>
        </is>
      </c>
      <c r="B951" t="inlineStr">
        <is>
          <t>Graz</t>
        </is>
      </c>
      <c r="C951" t="inlineStr">
        <is>
          <t>Austria</t>
        </is>
      </c>
      <c r="D951" t="inlineStr">
        <is>
          <t>Western and Northern Europe</t>
        </is>
      </c>
      <c r="E951" t="inlineStr">
        <is>
          <t>water_sanitation_utility_raw</t>
        </is>
      </c>
      <c r="F951" t="inlineStr">
        <is>
          <t>Water, sanitation, and utility raw</t>
        </is>
      </c>
      <c r="G951" t="inlineStr">
        <is>
          <t>viability</t>
        </is>
      </c>
      <c r="H951" t="inlineStr">
        <is>
          <t>yes</t>
        </is>
      </c>
      <c r="I951" t="inlineStr"/>
      <c r="J951" t="inlineStr"/>
      <c r="K951" t="inlineStr"/>
      <c r="L951" t="inlineStr"/>
      <c r="M951" t="inlineStr"/>
      <c r="N951" t="inlineStr"/>
    </row>
    <row r="952">
      <c r="A952" t="inlineStr">
        <is>
          <t>at-graz</t>
        </is>
      </c>
      <c r="B952" t="inlineStr">
        <is>
          <t>Graz</t>
        </is>
      </c>
      <c r="C952" t="inlineStr">
        <is>
          <t>Austria</t>
        </is>
      </c>
      <c r="D952" t="inlineStr">
        <is>
          <t>Western and Northern Europe</t>
        </is>
      </c>
      <c r="E952" t="inlineStr">
        <is>
          <t>digital_infrastructure_raw</t>
        </is>
      </c>
      <c r="F952" t="inlineStr">
        <is>
          <t>Digital infrastructure raw</t>
        </is>
      </c>
      <c r="G952" t="inlineStr">
        <is>
          <t>viability</t>
        </is>
      </c>
      <c r="H952" t="inlineStr">
        <is>
          <t>yes</t>
        </is>
      </c>
      <c r="I952" t="inlineStr"/>
      <c r="J952" t="inlineStr"/>
      <c r="K952" t="inlineStr"/>
      <c r="L952" t="inlineStr"/>
      <c r="M952" t="inlineStr"/>
      <c r="N952" t="inlineStr"/>
    </row>
    <row r="953">
      <c r="A953" t="inlineStr">
        <is>
          <t>at-graz</t>
        </is>
      </c>
      <c r="B953" t="inlineStr">
        <is>
          <t>Graz</t>
        </is>
      </c>
      <c r="C953" t="inlineStr">
        <is>
          <t>Austria</t>
        </is>
      </c>
      <c r="D953" t="inlineStr">
        <is>
          <t>Western and Northern Europe</t>
        </is>
      </c>
      <c r="E953" t="inlineStr">
        <is>
          <t>healthcare_quality_raw</t>
        </is>
      </c>
      <c r="F953" t="inlineStr">
        <is>
          <t>Healthcare quality raw</t>
        </is>
      </c>
      <c r="G953" t="inlineStr">
        <is>
          <t>capability</t>
        </is>
      </c>
      <c r="H953" t="inlineStr">
        <is>
          <t>yes</t>
        </is>
      </c>
      <c r="I953" t="inlineStr"/>
      <c r="J953" t="inlineStr"/>
      <c r="K953" t="inlineStr"/>
      <c r="L953" t="inlineStr"/>
      <c r="M953" t="inlineStr"/>
      <c r="N953" t="inlineStr"/>
    </row>
    <row r="954">
      <c r="A954" t="inlineStr">
        <is>
          <t>at-graz</t>
        </is>
      </c>
      <c r="B954" t="inlineStr">
        <is>
          <t>Graz</t>
        </is>
      </c>
      <c r="C954" t="inlineStr">
        <is>
          <t>Austria</t>
        </is>
      </c>
      <c r="D954" t="inlineStr">
        <is>
          <t>Western and Northern Europe</t>
        </is>
      </c>
      <c r="E954" t="inlineStr">
        <is>
          <t>education_quality_raw</t>
        </is>
      </c>
      <c r="F954" t="inlineStr">
        <is>
          <t>Education quality raw</t>
        </is>
      </c>
      <c r="G954" t="inlineStr">
        <is>
          <t>capability</t>
        </is>
      </c>
      <c r="H954" t="inlineStr">
        <is>
          <t>yes</t>
        </is>
      </c>
      <c r="I954" t="inlineStr"/>
      <c r="J954" t="inlineStr"/>
      <c r="K954" t="inlineStr"/>
      <c r="L954" t="inlineStr"/>
      <c r="M954" t="inlineStr"/>
      <c r="N954" t="inlineStr"/>
    </row>
    <row r="955">
      <c r="A955" t="inlineStr">
        <is>
          <t>at-graz</t>
        </is>
      </c>
      <c r="B955" t="inlineStr">
        <is>
          <t>Graz</t>
        </is>
      </c>
      <c r="C955" t="inlineStr">
        <is>
          <t>Austria</t>
        </is>
      </c>
      <c r="D955" t="inlineStr">
        <is>
          <t>Western and Northern Europe</t>
        </is>
      </c>
      <c r="E955" t="inlineStr">
        <is>
          <t>equal_opportunity_raw</t>
        </is>
      </c>
      <c r="F955" t="inlineStr">
        <is>
          <t>Equal opportunity raw</t>
        </is>
      </c>
      <c r="G955" t="inlineStr">
        <is>
          <t>capability</t>
        </is>
      </c>
      <c r="H955" t="inlineStr">
        <is>
          <t>yes</t>
        </is>
      </c>
      <c r="I955" t="inlineStr"/>
      <c r="J955" t="inlineStr"/>
      <c r="K955" t="inlineStr"/>
      <c r="L955" t="inlineStr"/>
      <c r="M955" t="inlineStr"/>
      <c r="N955" t="inlineStr"/>
    </row>
    <row r="956">
      <c r="A956" t="inlineStr">
        <is>
          <t>at-graz</t>
        </is>
      </c>
      <c r="B956" t="inlineStr">
        <is>
          <t>Graz</t>
        </is>
      </c>
      <c r="C956" t="inlineStr">
        <is>
          <t>Austria</t>
        </is>
      </c>
      <c r="D956" t="inlineStr">
        <is>
          <t>Western and Northern Europe</t>
        </is>
      </c>
      <c r="E956" t="inlineStr">
        <is>
          <t>hospitality_belonging_raw</t>
        </is>
      </c>
      <c r="F956" t="inlineStr">
        <is>
          <t>Hospitality and belonging raw</t>
        </is>
      </c>
      <c r="G956" t="inlineStr">
        <is>
          <t>community</t>
        </is>
      </c>
      <c r="H956" t="inlineStr">
        <is>
          <t>yes</t>
        </is>
      </c>
      <c r="I956" t="inlineStr"/>
      <c r="J956" t="inlineStr"/>
      <c r="K956" t="inlineStr"/>
      <c r="L956" t="inlineStr"/>
      <c r="M956" t="inlineStr"/>
      <c r="N956" t="inlineStr"/>
    </row>
    <row r="957">
      <c r="A957" t="inlineStr">
        <is>
          <t>at-graz</t>
        </is>
      </c>
      <c r="B957" t="inlineStr">
        <is>
          <t>Graz</t>
        </is>
      </c>
      <c r="C957" t="inlineStr">
        <is>
          <t>Austria</t>
        </is>
      </c>
      <c r="D957" t="inlineStr">
        <is>
          <t>Western and Northern Europe</t>
        </is>
      </c>
      <c r="E957" t="inlineStr">
        <is>
          <t>tolerance_pluralism_raw</t>
        </is>
      </c>
      <c r="F957" t="inlineStr">
        <is>
          <t>Tolerance and pluralism raw</t>
        </is>
      </c>
      <c r="G957" t="inlineStr">
        <is>
          <t>community</t>
        </is>
      </c>
      <c r="H957" t="inlineStr">
        <is>
          <t>yes</t>
        </is>
      </c>
      <c r="I957" t="inlineStr"/>
      <c r="J957" t="inlineStr"/>
      <c r="K957" t="inlineStr"/>
      <c r="L957" t="inlineStr"/>
      <c r="M957" t="inlineStr"/>
      <c r="N957" t="inlineStr"/>
    </row>
    <row r="958">
      <c r="A958" t="inlineStr">
        <is>
          <t>at-graz</t>
        </is>
      </c>
      <c r="B958" t="inlineStr">
        <is>
          <t>Graz</t>
        </is>
      </c>
      <c r="C958" t="inlineStr">
        <is>
          <t>Austria</t>
        </is>
      </c>
      <c r="D958" t="inlineStr">
        <is>
          <t>Western and Northern Europe</t>
        </is>
      </c>
      <c r="E958" t="inlineStr">
        <is>
          <t>cultural_public_life_raw</t>
        </is>
      </c>
      <c r="F958" t="inlineStr">
        <is>
          <t>Cultural public life raw</t>
        </is>
      </c>
      <c r="G958" t="inlineStr">
        <is>
          <t>community</t>
        </is>
      </c>
      <c r="H958" t="inlineStr">
        <is>
          <t>yes</t>
        </is>
      </c>
      <c r="I958" t="inlineStr"/>
      <c r="J958" t="inlineStr"/>
      <c r="K958" t="inlineStr"/>
      <c r="L958" t="inlineStr"/>
      <c r="M958" t="inlineStr"/>
      <c r="N958" t="inlineStr"/>
    </row>
    <row r="959">
      <c r="A959" t="inlineStr">
        <is>
          <t>at-graz</t>
        </is>
      </c>
      <c r="B959" t="inlineStr">
        <is>
          <t>Graz</t>
        </is>
      </c>
      <c r="C959" t="inlineStr">
        <is>
          <t>Austria</t>
        </is>
      </c>
      <c r="D959" t="inlineStr">
        <is>
          <t>Western and Northern Europe</t>
        </is>
      </c>
      <c r="E959" t="inlineStr">
        <is>
          <t>entrepreneurial_dynamism_raw</t>
        </is>
      </c>
      <c r="F959" t="inlineStr">
        <is>
          <t>Entrepreneurial dynamism raw</t>
        </is>
      </c>
      <c r="G959" t="inlineStr">
        <is>
          <t>creative</t>
        </is>
      </c>
      <c r="H959" t="inlineStr">
        <is>
          <t>yes</t>
        </is>
      </c>
      <c r="I959" t="inlineStr"/>
      <c r="J959" t="inlineStr"/>
      <c r="K959" t="inlineStr"/>
      <c r="L959" t="inlineStr"/>
      <c r="M959" t="inlineStr"/>
      <c r="N959" t="inlineStr"/>
    </row>
    <row r="960">
      <c r="A960" t="inlineStr">
        <is>
          <t>at-graz</t>
        </is>
      </c>
      <c r="B960" t="inlineStr">
        <is>
          <t>Graz</t>
        </is>
      </c>
      <c r="C960" t="inlineStr">
        <is>
          <t>Austria</t>
        </is>
      </c>
      <c r="D960" t="inlineStr">
        <is>
          <t>Western and Northern Europe</t>
        </is>
      </c>
      <c r="E960" t="inlineStr">
        <is>
          <t>innovation_research_intensity_raw</t>
        </is>
      </c>
      <c r="F960" t="inlineStr">
        <is>
          <t>Innovation and research raw</t>
        </is>
      </c>
      <c r="G960" t="inlineStr">
        <is>
          <t>creative</t>
        </is>
      </c>
      <c r="H960" t="inlineStr">
        <is>
          <t>yes</t>
        </is>
      </c>
      <c r="I960" t="inlineStr"/>
      <c r="J960" t="inlineStr"/>
      <c r="K960" t="inlineStr"/>
      <c r="L960" t="inlineStr"/>
      <c r="M960" t="inlineStr"/>
      <c r="N960" t="inlineStr"/>
    </row>
    <row r="961">
      <c r="A961" t="inlineStr">
        <is>
          <t>at-graz</t>
        </is>
      </c>
      <c r="B961" t="inlineStr">
        <is>
          <t>Graz</t>
        </is>
      </c>
      <c r="C961" t="inlineStr">
        <is>
          <t>Austria</t>
        </is>
      </c>
      <c r="D961" t="inlineStr">
        <is>
          <t>Western and Northern Europe</t>
        </is>
      </c>
      <c r="E961" t="inlineStr">
        <is>
          <t>investment_signal_raw</t>
        </is>
      </c>
      <c r="F961" t="inlineStr">
        <is>
          <t>Investment signal raw</t>
        </is>
      </c>
      <c r="G961" t="inlineStr">
        <is>
          <t>creative</t>
        </is>
      </c>
      <c r="H961" t="inlineStr">
        <is>
          <t>yes</t>
        </is>
      </c>
      <c r="I961" t="inlineStr"/>
      <c r="J961" t="inlineStr"/>
      <c r="K961" t="inlineStr"/>
      <c r="L961" t="inlineStr"/>
      <c r="M961" t="inlineStr"/>
      <c r="N961" t="inlineStr"/>
    </row>
    <row r="962">
      <c r="A962" t="inlineStr">
        <is>
          <t>at-graz</t>
        </is>
      </c>
      <c r="B962" t="inlineStr">
        <is>
          <t>Graz</t>
        </is>
      </c>
      <c r="C962" t="inlineStr">
        <is>
          <t>Austria</t>
        </is>
      </c>
      <c r="D962" t="inlineStr">
        <is>
          <t>Western and Northern Europe</t>
        </is>
      </c>
      <c r="E962" t="inlineStr">
        <is>
          <t>administrative_investment_friction_raw</t>
        </is>
      </c>
      <c r="F962" t="inlineStr">
        <is>
          <t>Administrative investment friction raw</t>
        </is>
      </c>
      <c r="G962" t="inlineStr">
        <is>
          <t>creative</t>
        </is>
      </c>
      <c r="H962" t="inlineStr">
        <is>
          <t>yes</t>
        </is>
      </c>
      <c r="I962" t="inlineStr"/>
      <c r="J962" t="inlineStr"/>
      <c r="K962" t="inlineStr"/>
      <c r="L962" t="inlineStr"/>
      <c r="M962" t="inlineStr"/>
      <c r="N962" t="inlineStr"/>
    </row>
    <row r="963">
      <c r="A963" t="inlineStr">
        <is>
          <t>at-graz</t>
        </is>
      </c>
      <c r="B963" t="inlineStr">
        <is>
          <t>Graz</t>
        </is>
      </c>
      <c r="C963" t="inlineStr">
        <is>
          <t>Austria</t>
        </is>
      </c>
      <c r="D963" t="inlineStr">
        <is>
          <t>Western and Northern Europe</t>
        </is>
      </c>
      <c r="E963" t="inlineStr">
        <is>
          <t>visitor_flow_context_raw</t>
        </is>
      </c>
      <c r="F963" t="inlineStr">
        <is>
          <t>Visitor flow context raw</t>
        </is>
      </c>
      <c r="G963" t="inlineStr">
        <is>
          <t>creative</t>
        </is>
      </c>
      <c r="H963" t="inlineStr">
        <is>
          <t>no</t>
        </is>
      </c>
      <c r="I963" t="inlineStr"/>
      <c r="J963" t="inlineStr"/>
      <c r="K963" t="inlineStr"/>
      <c r="L963" t="inlineStr"/>
      <c r="M963" t="inlineStr"/>
      <c r="N963" t="inlineStr"/>
    </row>
    <row r="964">
      <c r="A964" t="inlineStr">
        <is>
          <t>pt-porto</t>
        </is>
      </c>
      <c r="B964" t="inlineStr">
        <is>
          <t>Porto</t>
        </is>
      </c>
      <c r="C964" t="inlineStr">
        <is>
          <t>Portugal</t>
        </is>
      </c>
      <c r="D964" t="inlineStr">
        <is>
          <t>Western and Northern Europe</t>
        </is>
      </c>
      <c r="E964" t="inlineStr">
        <is>
          <t>gross_income</t>
        </is>
      </c>
      <c r="F964" t="inlineStr">
        <is>
          <t>Gross income</t>
        </is>
      </c>
      <c r="G964" t="inlineStr">
        <is>
          <t>pressure</t>
        </is>
      </c>
      <c r="H964" t="inlineStr">
        <is>
          <t>yes</t>
        </is>
      </c>
      <c r="I964" t="inlineStr"/>
      <c r="J964" t="inlineStr"/>
      <c r="K964" t="inlineStr"/>
      <c r="L964" t="inlineStr"/>
      <c r="M964" t="inlineStr"/>
      <c r="N964" t="inlineStr"/>
    </row>
    <row r="965">
      <c r="A965" t="inlineStr">
        <is>
          <t>pt-porto</t>
        </is>
      </c>
      <c r="B965" t="inlineStr">
        <is>
          <t>Porto</t>
        </is>
      </c>
      <c r="C965" t="inlineStr">
        <is>
          <t>Portugal</t>
        </is>
      </c>
      <c r="D965" t="inlineStr">
        <is>
          <t>Western and Northern Europe</t>
        </is>
      </c>
      <c r="E965" t="inlineStr">
        <is>
          <t>rent</t>
        </is>
      </c>
      <c r="F965" t="inlineStr">
        <is>
          <t>Rent</t>
        </is>
      </c>
      <c r="G965" t="inlineStr">
        <is>
          <t>pressure</t>
        </is>
      </c>
      <c r="H965" t="inlineStr">
        <is>
          <t>yes</t>
        </is>
      </c>
      <c r="I965" t="inlineStr"/>
      <c r="J965" t="inlineStr"/>
      <c r="K965" t="inlineStr"/>
      <c r="L965" t="inlineStr"/>
      <c r="M965" t="inlineStr"/>
      <c r="N965" t="inlineStr"/>
    </row>
    <row r="966">
      <c r="A966" t="inlineStr">
        <is>
          <t>pt-porto</t>
        </is>
      </c>
      <c r="B966" t="inlineStr">
        <is>
          <t>Porto</t>
        </is>
      </c>
      <c r="C966" t="inlineStr">
        <is>
          <t>Portugal</t>
        </is>
      </c>
      <c r="D966" t="inlineStr">
        <is>
          <t>Western and Northern Europe</t>
        </is>
      </c>
      <c r="E966" t="inlineStr">
        <is>
          <t>utilities</t>
        </is>
      </c>
      <c r="F966" t="inlineStr">
        <is>
          <t>Utilities</t>
        </is>
      </c>
      <c r="G966" t="inlineStr">
        <is>
          <t>pressure</t>
        </is>
      </c>
      <c r="H966" t="inlineStr">
        <is>
          <t>yes</t>
        </is>
      </c>
      <c r="I966" t="inlineStr"/>
      <c r="J966" t="inlineStr"/>
      <c r="K966" t="inlineStr"/>
      <c r="L966" t="inlineStr"/>
      <c r="M966" t="inlineStr"/>
      <c r="N966" t="inlineStr"/>
    </row>
    <row r="967">
      <c r="A967" t="inlineStr">
        <is>
          <t>pt-porto</t>
        </is>
      </c>
      <c r="B967" t="inlineStr">
        <is>
          <t>Porto</t>
        </is>
      </c>
      <c r="C967" t="inlineStr">
        <is>
          <t>Portugal</t>
        </is>
      </c>
      <c r="D967" t="inlineStr">
        <is>
          <t>Western and Northern Europe</t>
        </is>
      </c>
      <c r="E967" t="inlineStr">
        <is>
          <t>transit_cost</t>
        </is>
      </c>
      <c r="F967" t="inlineStr">
        <is>
          <t>Transit cost</t>
        </is>
      </c>
      <c r="G967" t="inlineStr">
        <is>
          <t>pressure</t>
        </is>
      </c>
      <c r="H967" t="inlineStr">
        <is>
          <t>yes</t>
        </is>
      </c>
      <c r="I967" t="inlineStr"/>
      <c r="J967" t="inlineStr"/>
      <c r="K967" t="inlineStr"/>
      <c r="L967" t="inlineStr"/>
      <c r="M967" t="inlineStr"/>
      <c r="N967" t="inlineStr"/>
    </row>
    <row r="968">
      <c r="A968" t="inlineStr">
        <is>
          <t>pt-porto</t>
        </is>
      </c>
      <c r="B968" t="inlineStr">
        <is>
          <t>Porto</t>
        </is>
      </c>
      <c r="C968" t="inlineStr">
        <is>
          <t>Portugal</t>
        </is>
      </c>
      <c r="D968" t="inlineStr">
        <is>
          <t>Western and Northern Europe</t>
        </is>
      </c>
      <c r="E968" t="inlineStr">
        <is>
          <t>internet_cost</t>
        </is>
      </c>
      <c r="F968" t="inlineStr">
        <is>
          <t>Internet cost</t>
        </is>
      </c>
      <c r="G968" t="inlineStr">
        <is>
          <t>pressure</t>
        </is>
      </c>
      <c r="H968" t="inlineStr">
        <is>
          <t>yes</t>
        </is>
      </c>
      <c r="I968" t="inlineStr"/>
      <c r="J968" t="inlineStr"/>
      <c r="K968" t="inlineStr"/>
      <c r="L968" t="inlineStr"/>
      <c r="M968" t="inlineStr"/>
      <c r="N968" t="inlineStr"/>
    </row>
    <row r="969">
      <c r="A969" t="inlineStr">
        <is>
          <t>pt-porto</t>
        </is>
      </c>
      <c r="B969" t="inlineStr">
        <is>
          <t>Porto</t>
        </is>
      </c>
      <c r="C969" t="inlineStr">
        <is>
          <t>Portugal</t>
        </is>
      </c>
      <c r="D969" t="inlineStr">
        <is>
          <t>Western and Northern Europe</t>
        </is>
      </c>
      <c r="E969" t="inlineStr">
        <is>
          <t>food_cost</t>
        </is>
      </c>
      <c r="F969" t="inlineStr">
        <is>
          <t>Food cost</t>
        </is>
      </c>
      <c r="G969" t="inlineStr">
        <is>
          <t>pressure</t>
        </is>
      </c>
      <c r="H969" t="inlineStr">
        <is>
          <t>yes</t>
        </is>
      </c>
      <c r="I969" t="inlineStr"/>
      <c r="J969" t="inlineStr"/>
      <c r="K969" t="inlineStr"/>
      <c r="L969" t="inlineStr"/>
      <c r="M969" t="inlineStr"/>
      <c r="N969" t="inlineStr"/>
    </row>
    <row r="970">
      <c r="A970" t="inlineStr">
        <is>
          <t>pt-porto</t>
        </is>
      </c>
      <c r="B970" t="inlineStr">
        <is>
          <t>Porto</t>
        </is>
      </c>
      <c r="C970" t="inlineStr">
        <is>
          <t>Portugal</t>
        </is>
      </c>
      <c r="D970" t="inlineStr">
        <is>
          <t>Western and Northern Europe</t>
        </is>
      </c>
      <c r="E970" t="inlineStr">
        <is>
          <t>housing_burden_raw</t>
        </is>
      </c>
      <c r="F970" t="inlineStr">
        <is>
          <t>Housing burden raw</t>
        </is>
      </c>
      <c r="G970" t="inlineStr">
        <is>
          <t>pressure</t>
        </is>
      </c>
      <c r="H970" t="inlineStr">
        <is>
          <t>yes</t>
        </is>
      </c>
      <c r="I970" t="inlineStr"/>
      <c r="J970" t="inlineStr"/>
      <c r="K970" t="inlineStr"/>
      <c r="L970" t="inlineStr"/>
      <c r="M970" t="inlineStr"/>
      <c r="N970" t="inlineStr"/>
    </row>
    <row r="971">
      <c r="A971" t="inlineStr">
        <is>
          <t>pt-porto</t>
        </is>
      </c>
      <c r="B971" t="inlineStr">
        <is>
          <t>Porto</t>
        </is>
      </c>
      <c r="C971" t="inlineStr">
        <is>
          <t>Portugal</t>
        </is>
      </c>
      <c r="D971" t="inlineStr">
        <is>
          <t>Western and Northern Europe</t>
        </is>
      </c>
      <c r="E971" t="inlineStr">
        <is>
          <t>household_debt_burden_raw</t>
        </is>
      </c>
      <c r="F971" t="inlineStr">
        <is>
          <t>Household debt burden raw</t>
        </is>
      </c>
      <c r="G971" t="inlineStr">
        <is>
          <t>pressure</t>
        </is>
      </c>
      <c r="H971" t="inlineStr">
        <is>
          <t>yes</t>
        </is>
      </c>
      <c r="I971" t="inlineStr"/>
      <c r="J971" t="inlineStr"/>
      <c r="K971" t="inlineStr"/>
      <c r="L971" t="inlineStr"/>
      <c r="M971" t="inlineStr"/>
      <c r="N971" t="inlineStr"/>
    </row>
    <row r="972">
      <c r="A972" t="inlineStr">
        <is>
          <t>pt-porto</t>
        </is>
      </c>
      <c r="B972" t="inlineStr">
        <is>
          <t>Porto</t>
        </is>
      </c>
      <c r="C972" t="inlineStr">
        <is>
          <t>Portugal</t>
        </is>
      </c>
      <c r="D972" t="inlineStr">
        <is>
          <t>Western and Northern Europe</t>
        </is>
      </c>
      <c r="E972" t="inlineStr">
        <is>
          <t>working_time_pressure_raw</t>
        </is>
      </c>
      <c r="F972" t="inlineStr">
        <is>
          <t>Working time pressure raw</t>
        </is>
      </c>
      <c r="G972" t="inlineStr">
        <is>
          <t>pressure</t>
        </is>
      </c>
      <c r="H972" t="inlineStr">
        <is>
          <t>yes</t>
        </is>
      </c>
      <c r="I972" t="inlineStr"/>
      <c r="J972" t="inlineStr"/>
      <c r="K972" t="inlineStr"/>
      <c r="L972" t="inlineStr"/>
      <c r="M972" t="inlineStr"/>
      <c r="N972" t="inlineStr"/>
    </row>
    <row r="973">
      <c r="A973" t="inlineStr">
        <is>
          <t>pt-porto</t>
        </is>
      </c>
      <c r="B973" t="inlineStr">
        <is>
          <t>Porto</t>
        </is>
      </c>
      <c r="C973" t="inlineStr">
        <is>
          <t>Portugal</t>
        </is>
      </c>
      <c r="D973" t="inlineStr">
        <is>
          <t>Western and Northern Europe</t>
        </is>
      </c>
      <c r="E973" t="inlineStr">
        <is>
          <t>suicide_mental_strain_raw</t>
        </is>
      </c>
      <c r="F973" t="inlineStr">
        <is>
          <t>Suicide or mental strain raw</t>
        </is>
      </c>
      <c r="G973" t="inlineStr">
        <is>
          <t>pressure</t>
        </is>
      </c>
      <c r="H973" t="inlineStr">
        <is>
          <t>yes</t>
        </is>
      </c>
      <c r="I973" t="inlineStr"/>
      <c r="J973" t="inlineStr"/>
      <c r="K973" t="inlineStr"/>
      <c r="L973" t="inlineStr"/>
      <c r="M973" t="inlineStr"/>
      <c r="N973" t="inlineStr"/>
    </row>
    <row r="974">
      <c r="A974" t="inlineStr">
        <is>
          <t>pt-porto</t>
        </is>
      </c>
      <c r="B974" t="inlineStr">
        <is>
          <t>Porto</t>
        </is>
      </c>
      <c r="C974" t="inlineStr">
        <is>
          <t>Portugal</t>
        </is>
      </c>
      <c r="D974" t="inlineStr">
        <is>
          <t>Western and Northern Europe</t>
        </is>
      </c>
      <c r="E974" t="inlineStr">
        <is>
          <t>personal_safety_raw</t>
        </is>
      </c>
      <c r="F974" t="inlineStr">
        <is>
          <t>Personal safety raw</t>
        </is>
      </c>
      <c r="G974" t="inlineStr">
        <is>
          <t>viability</t>
        </is>
      </c>
      <c r="H974" t="inlineStr">
        <is>
          <t>yes</t>
        </is>
      </c>
      <c r="I974" t="inlineStr"/>
      <c r="J974" t="inlineStr"/>
      <c r="K974" t="inlineStr"/>
      <c r="L974" t="inlineStr"/>
      <c r="M974" t="inlineStr"/>
      <c r="N974" t="inlineStr"/>
    </row>
    <row r="975">
      <c r="A975" t="inlineStr">
        <is>
          <t>pt-porto</t>
        </is>
      </c>
      <c r="B975" t="inlineStr">
        <is>
          <t>Porto</t>
        </is>
      </c>
      <c r="C975" t="inlineStr">
        <is>
          <t>Portugal</t>
        </is>
      </c>
      <c r="D975" t="inlineStr">
        <is>
          <t>Western and Northern Europe</t>
        </is>
      </c>
      <c r="E975" t="inlineStr">
        <is>
          <t>transit_access_commute_raw</t>
        </is>
      </c>
      <c r="F975" t="inlineStr">
        <is>
          <t>Transit access and commute raw</t>
        </is>
      </c>
      <c r="G975" t="inlineStr">
        <is>
          <t>viability</t>
        </is>
      </c>
      <c r="H975" t="inlineStr">
        <is>
          <t>yes</t>
        </is>
      </c>
      <c r="I975" t="inlineStr"/>
      <c r="J975" t="inlineStr"/>
      <c r="K975" t="inlineStr"/>
      <c r="L975" t="inlineStr"/>
      <c r="M975" t="inlineStr"/>
      <c r="N975" t="inlineStr"/>
    </row>
    <row r="976">
      <c r="A976" t="inlineStr">
        <is>
          <t>pt-porto</t>
        </is>
      </c>
      <c r="B976" t="inlineStr">
        <is>
          <t>Porto</t>
        </is>
      </c>
      <c r="C976" t="inlineStr">
        <is>
          <t>Portugal</t>
        </is>
      </c>
      <c r="D976" t="inlineStr">
        <is>
          <t>Western and Northern Europe</t>
        </is>
      </c>
      <c r="E976" t="inlineStr">
        <is>
          <t>clean_air_raw</t>
        </is>
      </c>
      <c r="F976" t="inlineStr">
        <is>
          <t>Clean air raw</t>
        </is>
      </c>
      <c r="G976" t="inlineStr">
        <is>
          <t>viability</t>
        </is>
      </c>
      <c r="H976" t="inlineStr">
        <is>
          <t>yes</t>
        </is>
      </c>
      <c r="I976" t="inlineStr"/>
      <c r="J976" t="inlineStr"/>
      <c r="K976" t="inlineStr"/>
      <c r="L976" t="inlineStr"/>
      <c r="M976" t="inlineStr"/>
      <c r="N976" t="inlineStr"/>
    </row>
    <row r="977">
      <c r="A977" t="inlineStr">
        <is>
          <t>pt-porto</t>
        </is>
      </c>
      <c r="B977" t="inlineStr">
        <is>
          <t>Porto</t>
        </is>
      </c>
      <c r="C977" t="inlineStr">
        <is>
          <t>Portugal</t>
        </is>
      </c>
      <c r="D977" t="inlineStr">
        <is>
          <t>Western and Northern Europe</t>
        </is>
      </c>
      <c r="E977" t="inlineStr">
        <is>
          <t>water_sanitation_utility_raw</t>
        </is>
      </c>
      <c r="F977" t="inlineStr">
        <is>
          <t>Water, sanitation, and utility raw</t>
        </is>
      </c>
      <c r="G977" t="inlineStr">
        <is>
          <t>viability</t>
        </is>
      </c>
      <c r="H977" t="inlineStr">
        <is>
          <t>yes</t>
        </is>
      </c>
      <c r="I977" t="inlineStr"/>
      <c r="J977" t="inlineStr"/>
      <c r="K977" t="inlineStr"/>
      <c r="L977" t="inlineStr"/>
      <c r="M977" t="inlineStr"/>
      <c r="N977" t="inlineStr"/>
    </row>
    <row r="978">
      <c r="A978" t="inlineStr">
        <is>
          <t>pt-porto</t>
        </is>
      </c>
      <c r="B978" t="inlineStr">
        <is>
          <t>Porto</t>
        </is>
      </c>
      <c r="C978" t="inlineStr">
        <is>
          <t>Portugal</t>
        </is>
      </c>
      <c r="D978" t="inlineStr">
        <is>
          <t>Western and Northern Europe</t>
        </is>
      </c>
      <c r="E978" t="inlineStr">
        <is>
          <t>digital_infrastructure_raw</t>
        </is>
      </c>
      <c r="F978" t="inlineStr">
        <is>
          <t>Digital infrastructure raw</t>
        </is>
      </c>
      <c r="G978" t="inlineStr">
        <is>
          <t>viability</t>
        </is>
      </c>
      <c r="H978" t="inlineStr">
        <is>
          <t>yes</t>
        </is>
      </c>
      <c r="I978" t="inlineStr"/>
      <c r="J978" t="inlineStr"/>
      <c r="K978" t="inlineStr"/>
      <c r="L978" t="inlineStr"/>
      <c r="M978" t="inlineStr"/>
      <c r="N978" t="inlineStr"/>
    </row>
    <row r="979">
      <c r="A979" t="inlineStr">
        <is>
          <t>pt-porto</t>
        </is>
      </c>
      <c r="B979" t="inlineStr">
        <is>
          <t>Porto</t>
        </is>
      </c>
      <c r="C979" t="inlineStr">
        <is>
          <t>Portugal</t>
        </is>
      </c>
      <c r="D979" t="inlineStr">
        <is>
          <t>Western and Northern Europe</t>
        </is>
      </c>
      <c r="E979" t="inlineStr">
        <is>
          <t>healthcare_quality_raw</t>
        </is>
      </c>
      <c r="F979" t="inlineStr">
        <is>
          <t>Healthcare quality raw</t>
        </is>
      </c>
      <c r="G979" t="inlineStr">
        <is>
          <t>capability</t>
        </is>
      </c>
      <c r="H979" t="inlineStr">
        <is>
          <t>yes</t>
        </is>
      </c>
      <c r="I979" t="inlineStr"/>
      <c r="J979" t="inlineStr"/>
      <c r="K979" t="inlineStr"/>
      <c r="L979" t="inlineStr"/>
      <c r="M979" t="inlineStr"/>
      <c r="N979" t="inlineStr"/>
    </row>
    <row r="980">
      <c r="A980" t="inlineStr">
        <is>
          <t>pt-porto</t>
        </is>
      </c>
      <c r="B980" t="inlineStr">
        <is>
          <t>Porto</t>
        </is>
      </c>
      <c r="C980" t="inlineStr">
        <is>
          <t>Portugal</t>
        </is>
      </c>
      <c r="D980" t="inlineStr">
        <is>
          <t>Western and Northern Europe</t>
        </is>
      </c>
      <c r="E980" t="inlineStr">
        <is>
          <t>education_quality_raw</t>
        </is>
      </c>
      <c r="F980" t="inlineStr">
        <is>
          <t>Education quality raw</t>
        </is>
      </c>
      <c r="G980" t="inlineStr">
        <is>
          <t>capability</t>
        </is>
      </c>
      <c r="H980" t="inlineStr">
        <is>
          <t>yes</t>
        </is>
      </c>
      <c r="I980" t="inlineStr"/>
      <c r="J980" t="inlineStr"/>
      <c r="K980" t="inlineStr"/>
      <c r="L980" t="inlineStr"/>
      <c r="M980" t="inlineStr"/>
      <c r="N980" t="inlineStr"/>
    </row>
    <row r="981">
      <c r="A981" t="inlineStr">
        <is>
          <t>pt-porto</t>
        </is>
      </c>
      <c r="B981" t="inlineStr">
        <is>
          <t>Porto</t>
        </is>
      </c>
      <c r="C981" t="inlineStr">
        <is>
          <t>Portugal</t>
        </is>
      </c>
      <c r="D981" t="inlineStr">
        <is>
          <t>Western and Northern Europe</t>
        </is>
      </c>
      <c r="E981" t="inlineStr">
        <is>
          <t>equal_opportunity_raw</t>
        </is>
      </c>
      <c r="F981" t="inlineStr">
        <is>
          <t>Equal opportunity raw</t>
        </is>
      </c>
      <c r="G981" t="inlineStr">
        <is>
          <t>capability</t>
        </is>
      </c>
      <c r="H981" t="inlineStr">
        <is>
          <t>yes</t>
        </is>
      </c>
      <c r="I981" t="inlineStr"/>
      <c r="J981" t="inlineStr"/>
      <c r="K981" t="inlineStr"/>
      <c r="L981" t="inlineStr"/>
      <c r="M981" t="inlineStr"/>
      <c r="N981" t="inlineStr"/>
    </row>
    <row r="982">
      <c r="A982" t="inlineStr">
        <is>
          <t>pt-porto</t>
        </is>
      </c>
      <c r="B982" t="inlineStr">
        <is>
          <t>Porto</t>
        </is>
      </c>
      <c r="C982" t="inlineStr">
        <is>
          <t>Portugal</t>
        </is>
      </c>
      <c r="D982" t="inlineStr">
        <is>
          <t>Western and Northern Europe</t>
        </is>
      </c>
      <c r="E982" t="inlineStr">
        <is>
          <t>hospitality_belonging_raw</t>
        </is>
      </c>
      <c r="F982" t="inlineStr">
        <is>
          <t>Hospitality and belonging raw</t>
        </is>
      </c>
      <c r="G982" t="inlineStr">
        <is>
          <t>community</t>
        </is>
      </c>
      <c r="H982" t="inlineStr">
        <is>
          <t>yes</t>
        </is>
      </c>
      <c r="I982" t="inlineStr"/>
      <c r="J982" t="inlineStr"/>
      <c r="K982" t="inlineStr"/>
      <c r="L982" t="inlineStr"/>
      <c r="M982" t="inlineStr"/>
      <c r="N982" t="inlineStr"/>
    </row>
    <row r="983">
      <c r="A983" t="inlineStr">
        <is>
          <t>pt-porto</t>
        </is>
      </c>
      <c r="B983" t="inlineStr">
        <is>
          <t>Porto</t>
        </is>
      </c>
      <c r="C983" t="inlineStr">
        <is>
          <t>Portugal</t>
        </is>
      </c>
      <c r="D983" t="inlineStr">
        <is>
          <t>Western and Northern Europe</t>
        </is>
      </c>
      <c r="E983" t="inlineStr">
        <is>
          <t>tolerance_pluralism_raw</t>
        </is>
      </c>
      <c r="F983" t="inlineStr">
        <is>
          <t>Tolerance and pluralism raw</t>
        </is>
      </c>
      <c r="G983" t="inlineStr">
        <is>
          <t>community</t>
        </is>
      </c>
      <c r="H983" t="inlineStr">
        <is>
          <t>yes</t>
        </is>
      </c>
      <c r="I983" t="inlineStr"/>
      <c r="J983" t="inlineStr"/>
      <c r="K983" t="inlineStr"/>
      <c r="L983" t="inlineStr"/>
      <c r="M983" t="inlineStr"/>
      <c r="N983" t="inlineStr"/>
    </row>
    <row r="984">
      <c r="A984" t="inlineStr">
        <is>
          <t>pt-porto</t>
        </is>
      </c>
      <c r="B984" t="inlineStr">
        <is>
          <t>Porto</t>
        </is>
      </c>
      <c r="C984" t="inlineStr">
        <is>
          <t>Portugal</t>
        </is>
      </c>
      <c r="D984" t="inlineStr">
        <is>
          <t>Western and Northern Europe</t>
        </is>
      </c>
      <c r="E984" t="inlineStr">
        <is>
          <t>cultural_public_life_raw</t>
        </is>
      </c>
      <c r="F984" t="inlineStr">
        <is>
          <t>Cultural public life raw</t>
        </is>
      </c>
      <c r="G984" t="inlineStr">
        <is>
          <t>community</t>
        </is>
      </c>
      <c r="H984" t="inlineStr">
        <is>
          <t>yes</t>
        </is>
      </c>
      <c r="I984" t="inlineStr"/>
      <c r="J984" t="inlineStr"/>
      <c r="K984" t="inlineStr"/>
      <c r="L984" t="inlineStr"/>
      <c r="M984" t="inlineStr"/>
      <c r="N984" t="inlineStr"/>
    </row>
    <row r="985">
      <c r="A985" t="inlineStr">
        <is>
          <t>pt-porto</t>
        </is>
      </c>
      <c r="B985" t="inlineStr">
        <is>
          <t>Porto</t>
        </is>
      </c>
      <c r="C985" t="inlineStr">
        <is>
          <t>Portugal</t>
        </is>
      </c>
      <c r="D985" t="inlineStr">
        <is>
          <t>Western and Northern Europe</t>
        </is>
      </c>
      <c r="E985" t="inlineStr">
        <is>
          <t>entrepreneurial_dynamism_raw</t>
        </is>
      </c>
      <c r="F985" t="inlineStr">
        <is>
          <t>Entrepreneurial dynamism raw</t>
        </is>
      </c>
      <c r="G985" t="inlineStr">
        <is>
          <t>creative</t>
        </is>
      </c>
      <c r="H985" t="inlineStr">
        <is>
          <t>yes</t>
        </is>
      </c>
      <c r="I985" t="inlineStr"/>
      <c r="J985" t="inlineStr"/>
      <c r="K985" t="inlineStr"/>
      <c r="L985" t="inlineStr"/>
      <c r="M985" t="inlineStr"/>
      <c r="N985" t="inlineStr"/>
    </row>
    <row r="986">
      <c r="A986" t="inlineStr">
        <is>
          <t>pt-porto</t>
        </is>
      </c>
      <c r="B986" t="inlineStr">
        <is>
          <t>Porto</t>
        </is>
      </c>
      <c r="C986" t="inlineStr">
        <is>
          <t>Portugal</t>
        </is>
      </c>
      <c r="D986" t="inlineStr">
        <is>
          <t>Western and Northern Europe</t>
        </is>
      </c>
      <c r="E986" t="inlineStr">
        <is>
          <t>innovation_research_intensity_raw</t>
        </is>
      </c>
      <c r="F986" t="inlineStr">
        <is>
          <t>Innovation and research raw</t>
        </is>
      </c>
      <c r="G986" t="inlineStr">
        <is>
          <t>creative</t>
        </is>
      </c>
      <c r="H986" t="inlineStr">
        <is>
          <t>yes</t>
        </is>
      </c>
      <c r="I986" t="inlineStr"/>
      <c r="J986" t="inlineStr"/>
      <c r="K986" t="inlineStr"/>
      <c r="L986" t="inlineStr"/>
      <c r="M986" t="inlineStr"/>
      <c r="N986" t="inlineStr"/>
    </row>
    <row r="987">
      <c r="A987" t="inlineStr">
        <is>
          <t>pt-porto</t>
        </is>
      </c>
      <c r="B987" t="inlineStr">
        <is>
          <t>Porto</t>
        </is>
      </c>
      <c r="C987" t="inlineStr">
        <is>
          <t>Portugal</t>
        </is>
      </c>
      <c r="D987" t="inlineStr">
        <is>
          <t>Western and Northern Europe</t>
        </is>
      </c>
      <c r="E987" t="inlineStr">
        <is>
          <t>investment_signal_raw</t>
        </is>
      </c>
      <c r="F987" t="inlineStr">
        <is>
          <t>Investment signal raw</t>
        </is>
      </c>
      <c r="G987" t="inlineStr">
        <is>
          <t>creative</t>
        </is>
      </c>
      <c r="H987" t="inlineStr">
        <is>
          <t>yes</t>
        </is>
      </c>
      <c r="I987" t="inlineStr"/>
      <c r="J987" t="inlineStr"/>
      <c r="K987" t="inlineStr"/>
      <c r="L987" t="inlineStr"/>
      <c r="M987" t="inlineStr"/>
      <c r="N987" t="inlineStr"/>
    </row>
    <row r="988">
      <c r="A988" t="inlineStr">
        <is>
          <t>pt-porto</t>
        </is>
      </c>
      <c r="B988" t="inlineStr">
        <is>
          <t>Porto</t>
        </is>
      </c>
      <c r="C988" t="inlineStr">
        <is>
          <t>Portugal</t>
        </is>
      </c>
      <c r="D988" t="inlineStr">
        <is>
          <t>Western and Northern Europe</t>
        </is>
      </c>
      <c r="E988" t="inlineStr">
        <is>
          <t>administrative_investment_friction_raw</t>
        </is>
      </c>
      <c r="F988" t="inlineStr">
        <is>
          <t>Administrative investment friction raw</t>
        </is>
      </c>
      <c r="G988" t="inlineStr">
        <is>
          <t>creative</t>
        </is>
      </c>
      <c r="H988" t="inlineStr">
        <is>
          <t>yes</t>
        </is>
      </c>
      <c r="I988" t="inlineStr"/>
      <c r="J988" t="inlineStr"/>
      <c r="K988" t="inlineStr"/>
      <c r="L988" t="inlineStr"/>
      <c r="M988" t="inlineStr"/>
      <c r="N988" t="inlineStr"/>
    </row>
    <row r="989">
      <c r="A989" t="inlineStr">
        <is>
          <t>pt-porto</t>
        </is>
      </c>
      <c r="B989" t="inlineStr">
        <is>
          <t>Porto</t>
        </is>
      </c>
      <c r="C989" t="inlineStr">
        <is>
          <t>Portugal</t>
        </is>
      </c>
      <c r="D989" t="inlineStr">
        <is>
          <t>Western and Northern Europe</t>
        </is>
      </c>
      <c r="E989" t="inlineStr">
        <is>
          <t>visitor_flow_context_raw</t>
        </is>
      </c>
      <c r="F989" t="inlineStr">
        <is>
          <t>Visitor flow context raw</t>
        </is>
      </c>
      <c r="G989" t="inlineStr">
        <is>
          <t>creative</t>
        </is>
      </c>
      <c r="H989" t="inlineStr">
        <is>
          <t>no</t>
        </is>
      </c>
      <c r="I989" t="inlineStr"/>
      <c r="J989" t="inlineStr"/>
      <c r="K989" t="inlineStr"/>
      <c r="L989" t="inlineStr"/>
      <c r="M989" t="inlineStr"/>
      <c r="N989" t="inlineStr"/>
    </row>
    <row r="990">
      <c r="A990" t="inlineStr">
        <is>
          <t>pt-braga</t>
        </is>
      </c>
      <c r="B990" t="inlineStr">
        <is>
          <t>Braga</t>
        </is>
      </c>
      <c r="C990" t="inlineStr">
        <is>
          <t>Portugal</t>
        </is>
      </c>
      <c r="D990" t="inlineStr">
        <is>
          <t>Western and Northern Europe</t>
        </is>
      </c>
      <c r="E990" t="inlineStr">
        <is>
          <t>gross_income</t>
        </is>
      </c>
      <c r="F990" t="inlineStr">
        <is>
          <t>Gross income</t>
        </is>
      </c>
      <c r="G990" t="inlineStr">
        <is>
          <t>pressure</t>
        </is>
      </c>
      <c r="H990" t="inlineStr">
        <is>
          <t>yes</t>
        </is>
      </c>
      <c r="I990" t="inlineStr"/>
      <c r="J990" t="inlineStr"/>
      <c r="K990" t="inlineStr"/>
      <c r="L990" t="inlineStr"/>
      <c r="M990" t="inlineStr"/>
      <c r="N990" t="inlineStr"/>
    </row>
    <row r="991">
      <c r="A991" t="inlineStr">
        <is>
          <t>pt-braga</t>
        </is>
      </c>
      <c r="B991" t="inlineStr">
        <is>
          <t>Braga</t>
        </is>
      </c>
      <c r="C991" t="inlineStr">
        <is>
          <t>Portugal</t>
        </is>
      </c>
      <c r="D991" t="inlineStr">
        <is>
          <t>Western and Northern Europe</t>
        </is>
      </c>
      <c r="E991" t="inlineStr">
        <is>
          <t>rent</t>
        </is>
      </c>
      <c r="F991" t="inlineStr">
        <is>
          <t>Rent</t>
        </is>
      </c>
      <c r="G991" t="inlineStr">
        <is>
          <t>pressure</t>
        </is>
      </c>
      <c r="H991" t="inlineStr">
        <is>
          <t>yes</t>
        </is>
      </c>
      <c r="I991" t="inlineStr"/>
      <c r="J991" t="inlineStr"/>
      <c r="K991" t="inlineStr"/>
      <c r="L991" t="inlineStr"/>
      <c r="M991" t="inlineStr"/>
      <c r="N991" t="inlineStr"/>
    </row>
    <row r="992">
      <c r="A992" t="inlineStr">
        <is>
          <t>pt-braga</t>
        </is>
      </c>
      <c r="B992" t="inlineStr">
        <is>
          <t>Braga</t>
        </is>
      </c>
      <c r="C992" t="inlineStr">
        <is>
          <t>Portugal</t>
        </is>
      </c>
      <c r="D992" t="inlineStr">
        <is>
          <t>Western and Northern Europe</t>
        </is>
      </c>
      <c r="E992" t="inlineStr">
        <is>
          <t>utilities</t>
        </is>
      </c>
      <c r="F992" t="inlineStr">
        <is>
          <t>Utilities</t>
        </is>
      </c>
      <c r="G992" t="inlineStr">
        <is>
          <t>pressure</t>
        </is>
      </c>
      <c r="H992" t="inlineStr">
        <is>
          <t>yes</t>
        </is>
      </c>
      <c r="I992" t="inlineStr"/>
      <c r="J992" t="inlineStr"/>
      <c r="K992" t="inlineStr"/>
      <c r="L992" t="inlineStr"/>
      <c r="M992" t="inlineStr"/>
      <c r="N992" t="inlineStr"/>
    </row>
    <row r="993">
      <c r="A993" t="inlineStr">
        <is>
          <t>pt-braga</t>
        </is>
      </c>
      <c r="B993" t="inlineStr">
        <is>
          <t>Braga</t>
        </is>
      </c>
      <c r="C993" t="inlineStr">
        <is>
          <t>Portugal</t>
        </is>
      </c>
      <c r="D993" t="inlineStr">
        <is>
          <t>Western and Northern Europe</t>
        </is>
      </c>
      <c r="E993" t="inlineStr">
        <is>
          <t>transit_cost</t>
        </is>
      </c>
      <c r="F993" t="inlineStr">
        <is>
          <t>Transit cost</t>
        </is>
      </c>
      <c r="G993" t="inlineStr">
        <is>
          <t>pressure</t>
        </is>
      </c>
      <c r="H993" t="inlineStr">
        <is>
          <t>yes</t>
        </is>
      </c>
      <c r="I993" t="inlineStr"/>
      <c r="J993" t="inlineStr"/>
      <c r="K993" t="inlineStr"/>
      <c r="L993" t="inlineStr"/>
      <c r="M993" t="inlineStr"/>
      <c r="N993" t="inlineStr"/>
    </row>
    <row r="994">
      <c r="A994" t="inlineStr">
        <is>
          <t>pt-braga</t>
        </is>
      </c>
      <c r="B994" t="inlineStr">
        <is>
          <t>Braga</t>
        </is>
      </c>
      <c r="C994" t="inlineStr">
        <is>
          <t>Portugal</t>
        </is>
      </c>
      <c r="D994" t="inlineStr">
        <is>
          <t>Western and Northern Europe</t>
        </is>
      </c>
      <c r="E994" t="inlineStr">
        <is>
          <t>internet_cost</t>
        </is>
      </c>
      <c r="F994" t="inlineStr">
        <is>
          <t>Internet cost</t>
        </is>
      </c>
      <c r="G994" t="inlineStr">
        <is>
          <t>pressure</t>
        </is>
      </c>
      <c r="H994" t="inlineStr">
        <is>
          <t>yes</t>
        </is>
      </c>
      <c r="I994" t="inlineStr"/>
      <c r="J994" t="inlineStr"/>
      <c r="K994" t="inlineStr"/>
      <c r="L994" t="inlineStr"/>
      <c r="M994" t="inlineStr"/>
      <c r="N994" t="inlineStr"/>
    </row>
    <row r="995">
      <c r="A995" t="inlineStr">
        <is>
          <t>pt-braga</t>
        </is>
      </c>
      <c r="B995" t="inlineStr">
        <is>
          <t>Braga</t>
        </is>
      </c>
      <c r="C995" t="inlineStr">
        <is>
          <t>Portugal</t>
        </is>
      </c>
      <c r="D995" t="inlineStr">
        <is>
          <t>Western and Northern Europe</t>
        </is>
      </c>
      <c r="E995" t="inlineStr">
        <is>
          <t>food_cost</t>
        </is>
      </c>
      <c r="F995" t="inlineStr">
        <is>
          <t>Food cost</t>
        </is>
      </c>
      <c r="G995" t="inlineStr">
        <is>
          <t>pressure</t>
        </is>
      </c>
      <c r="H995" t="inlineStr">
        <is>
          <t>yes</t>
        </is>
      </c>
      <c r="I995" t="inlineStr"/>
      <c r="J995" t="inlineStr"/>
      <c r="K995" t="inlineStr"/>
      <c r="L995" t="inlineStr"/>
      <c r="M995" t="inlineStr"/>
      <c r="N995" t="inlineStr"/>
    </row>
    <row r="996">
      <c r="A996" t="inlineStr">
        <is>
          <t>pt-braga</t>
        </is>
      </c>
      <c r="B996" t="inlineStr">
        <is>
          <t>Braga</t>
        </is>
      </c>
      <c r="C996" t="inlineStr">
        <is>
          <t>Portugal</t>
        </is>
      </c>
      <c r="D996" t="inlineStr">
        <is>
          <t>Western and Northern Europe</t>
        </is>
      </c>
      <c r="E996" t="inlineStr">
        <is>
          <t>housing_burden_raw</t>
        </is>
      </c>
      <c r="F996" t="inlineStr">
        <is>
          <t>Housing burden raw</t>
        </is>
      </c>
      <c r="G996" t="inlineStr">
        <is>
          <t>pressure</t>
        </is>
      </c>
      <c r="H996" t="inlineStr">
        <is>
          <t>yes</t>
        </is>
      </c>
      <c r="I996" t="inlineStr"/>
      <c r="J996" t="inlineStr"/>
      <c r="K996" t="inlineStr"/>
      <c r="L996" t="inlineStr"/>
      <c r="M996" t="inlineStr"/>
      <c r="N996" t="inlineStr"/>
    </row>
    <row r="997">
      <c r="A997" t="inlineStr">
        <is>
          <t>pt-braga</t>
        </is>
      </c>
      <c r="B997" t="inlineStr">
        <is>
          <t>Braga</t>
        </is>
      </c>
      <c r="C997" t="inlineStr">
        <is>
          <t>Portugal</t>
        </is>
      </c>
      <c r="D997" t="inlineStr">
        <is>
          <t>Western and Northern Europe</t>
        </is>
      </c>
      <c r="E997" t="inlineStr">
        <is>
          <t>household_debt_burden_raw</t>
        </is>
      </c>
      <c r="F997" t="inlineStr">
        <is>
          <t>Household debt burden raw</t>
        </is>
      </c>
      <c r="G997" t="inlineStr">
        <is>
          <t>pressure</t>
        </is>
      </c>
      <c r="H997" t="inlineStr">
        <is>
          <t>yes</t>
        </is>
      </c>
      <c r="I997" t="inlineStr"/>
      <c r="J997" t="inlineStr"/>
      <c r="K997" t="inlineStr"/>
      <c r="L997" t="inlineStr"/>
      <c r="M997" t="inlineStr"/>
      <c r="N997" t="inlineStr"/>
    </row>
    <row r="998">
      <c r="A998" t="inlineStr">
        <is>
          <t>pt-braga</t>
        </is>
      </c>
      <c r="B998" t="inlineStr">
        <is>
          <t>Braga</t>
        </is>
      </c>
      <c r="C998" t="inlineStr">
        <is>
          <t>Portugal</t>
        </is>
      </c>
      <c r="D998" t="inlineStr">
        <is>
          <t>Western and Northern Europe</t>
        </is>
      </c>
      <c r="E998" t="inlineStr">
        <is>
          <t>working_time_pressure_raw</t>
        </is>
      </c>
      <c r="F998" t="inlineStr">
        <is>
          <t>Working time pressure raw</t>
        </is>
      </c>
      <c r="G998" t="inlineStr">
        <is>
          <t>pressure</t>
        </is>
      </c>
      <c r="H998" t="inlineStr">
        <is>
          <t>yes</t>
        </is>
      </c>
      <c r="I998" t="inlineStr"/>
      <c r="J998" t="inlineStr"/>
      <c r="K998" t="inlineStr"/>
      <c r="L998" t="inlineStr"/>
      <c r="M998" t="inlineStr"/>
      <c r="N998" t="inlineStr"/>
    </row>
    <row r="999">
      <c r="A999" t="inlineStr">
        <is>
          <t>pt-braga</t>
        </is>
      </c>
      <c r="B999" t="inlineStr">
        <is>
          <t>Braga</t>
        </is>
      </c>
      <c r="C999" t="inlineStr">
        <is>
          <t>Portugal</t>
        </is>
      </c>
      <c r="D999" t="inlineStr">
        <is>
          <t>Western and Northern Europe</t>
        </is>
      </c>
      <c r="E999" t="inlineStr">
        <is>
          <t>suicide_mental_strain_raw</t>
        </is>
      </c>
      <c r="F999" t="inlineStr">
        <is>
          <t>Suicide or mental strain raw</t>
        </is>
      </c>
      <c r="G999" t="inlineStr">
        <is>
          <t>pressure</t>
        </is>
      </c>
      <c r="H999" t="inlineStr">
        <is>
          <t>yes</t>
        </is>
      </c>
      <c r="I999" t="inlineStr"/>
      <c r="J999" t="inlineStr"/>
      <c r="K999" t="inlineStr"/>
      <c r="L999" t="inlineStr"/>
      <c r="M999" t="inlineStr"/>
      <c r="N999" t="inlineStr"/>
    </row>
    <row r="1000">
      <c r="A1000" t="inlineStr">
        <is>
          <t>pt-braga</t>
        </is>
      </c>
      <c r="B1000" t="inlineStr">
        <is>
          <t>Braga</t>
        </is>
      </c>
      <c r="C1000" t="inlineStr">
        <is>
          <t>Portugal</t>
        </is>
      </c>
      <c r="D1000" t="inlineStr">
        <is>
          <t>Western and Northern Europe</t>
        </is>
      </c>
      <c r="E1000" t="inlineStr">
        <is>
          <t>personal_safety_raw</t>
        </is>
      </c>
      <c r="F1000" t="inlineStr">
        <is>
          <t>Personal safety raw</t>
        </is>
      </c>
      <c r="G1000" t="inlineStr">
        <is>
          <t>viability</t>
        </is>
      </c>
      <c r="H1000" t="inlineStr">
        <is>
          <t>yes</t>
        </is>
      </c>
      <c r="I1000" t="inlineStr"/>
      <c r="J1000" t="inlineStr"/>
      <c r="K1000" t="inlineStr"/>
      <c r="L1000" t="inlineStr"/>
      <c r="M1000" t="inlineStr"/>
      <c r="N1000" t="inlineStr"/>
    </row>
    <row r="1001">
      <c r="A1001" t="inlineStr">
        <is>
          <t>pt-braga</t>
        </is>
      </c>
      <c r="B1001" t="inlineStr">
        <is>
          <t>Braga</t>
        </is>
      </c>
      <c r="C1001" t="inlineStr">
        <is>
          <t>Portugal</t>
        </is>
      </c>
      <c r="D1001" t="inlineStr">
        <is>
          <t>Western and Northern Europe</t>
        </is>
      </c>
      <c r="E1001" t="inlineStr">
        <is>
          <t>transit_access_commute_raw</t>
        </is>
      </c>
      <c r="F1001" t="inlineStr">
        <is>
          <t>Transit access and commute raw</t>
        </is>
      </c>
      <c r="G1001" t="inlineStr">
        <is>
          <t>viability</t>
        </is>
      </c>
      <c r="H1001" t="inlineStr">
        <is>
          <t>yes</t>
        </is>
      </c>
      <c r="I1001" t="inlineStr"/>
      <c r="J1001" t="inlineStr"/>
      <c r="K1001" t="inlineStr"/>
      <c r="L1001" t="inlineStr"/>
      <c r="M1001" t="inlineStr"/>
      <c r="N1001" t="inlineStr"/>
    </row>
    <row r="1002">
      <c r="A1002" t="inlineStr">
        <is>
          <t>pt-braga</t>
        </is>
      </c>
      <c r="B1002" t="inlineStr">
        <is>
          <t>Braga</t>
        </is>
      </c>
      <c r="C1002" t="inlineStr">
        <is>
          <t>Portugal</t>
        </is>
      </c>
      <c r="D1002" t="inlineStr">
        <is>
          <t>Western and Northern Europe</t>
        </is>
      </c>
      <c r="E1002" t="inlineStr">
        <is>
          <t>clean_air_raw</t>
        </is>
      </c>
      <c r="F1002" t="inlineStr">
        <is>
          <t>Clean air raw</t>
        </is>
      </c>
      <c r="G1002" t="inlineStr">
        <is>
          <t>viability</t>
        </is>
      </c>
      <c r="H1002" t="inlineStr">
        <is>
          <t>yes</t>
        </is>
      </c>
      <c r="I1002" t="inlineStr"/>
      <c r="J1002" t="inlineStr"/>
      <c r="K1002" t="inlineStr"/>
      <c r="L1002" t="inlineStr"/>
      <c r="M1002" t="inlineStr"/>
      <c r="N1002" t="inlineStr"/>
    </row>
    <row r="1003">
      <c r="A1003" t="inlineStr">
        <is>
          <t>pt-braga</t>
        </is>
      </c>
      <c r="B1003" t="inlineStr">
        <is>
          <t>Braga</t>
        </is>
      </c>
      <c r="C1003" t="inlineStr">
        <is>
          <t>Portugal</t>
        </is>
      </c>
      <c r="D1003" t="inlineStr">
        <is>
          <t>Western and Northern Europe</t>
        </is>
      </c>
      <c r="E1003" t="inlineStr">
        <is>
          <t>water_sanitation_utility_raw</t>
        </is>
      </c>
      <c r="F1003" t="inlineStr">
        <is>
          <t>Water, sanitation, and utility raw</t>
        </is>
      </c>
      <c r="G1003" t="inlineStr">
        <is>
          <t>viability</t>
        </is>
      </c>
      <c r="H1003" t="inlineStr">
        <is>
          <t>yes</t>
        </is>
      </c>
      <c r="I1003" t="inlineStr"/>
      <c r="J1003" t="inlineStr"/>
      <c r="K1003" t="inlineStr"/>
      <c r="L1003" t="inlineStr"/>
      <c r="M1003" t="inlineStr"/>
      <c r="N1003" t="inlineStr"/>
    </row>
    <row r="1004">
      <c r="A1004" t="inlineStr">
        <is>
          <t>pt-braga</t>
        </is>
      </c>
      <c r="B1004" t="inlineStr">
        <is>
          <t>Braga</t>
        </is>
      </c>
      <c r="C1004" t="inlineStr">
        <is>
          <t>Portugal</t>
        </is>
      </c>
      <c r="D1004" t="inlineStr">
        <is>
          <t>Western and Northern Europe</t>
        </is>
      </c>
      <c r="E1004" t="inlineStr">
        <is>
          <t>digital_infrastructure_raw</t>
        </is>
      </c>
      <c r="F1004" t="inlineStr">
        <is>
          <t>Digital infrastructure raw</t>
        </is>
      </c>
      <c r="G1004" t="inlineStr">
        <is>
          <t>viability</t>
        </is>
      </c>
      <c r="H1004" t="inlineStr">
        <is>
          <t>yes</t>
        </is>
      </c>
      <c r="I1004" t="inlineStr"/>
      <c r="J1004" t="inlineStr"/>
      <c r="K1004" t="inlineStr"/>
      <c r="L1004" t="inlineStr"/>
      <c r="M1004" t="inlineStr"/>
      <c r="N1004" t="inlineStr"/>
    </row>
    <row r="1005">
      <c r="A1005" t="inlineStr">
        <is>
          <t>pt-braga</t>
        </is>
      </c>
      <c r="B1005" t="inlineStr">
        <is>
          <t>Braga</t>
        </is>
      </c>
      <c r="C1005" t="inlineStr">
        <is>
          <t>Portugal</t>
        </is>
      </c>
      <c r="D1005" t="inlineStr">
        <is>
          <t>Western and Northern Europe</t>
        </is>
      </c>
      <c r="E1005" t="inlineStr">
        <is>
          <t>healthcare_quality_raw</t>
        </is>
      </c>
      <c r="F1005" t="inlineStr">
        <is>
          <t>Healthcare quality raw</t>
        </is>
      </c>
      <c r="G1005" t="inlineStr">
        <is>
          <t>capability</t>
        </is>
      </c>
      <c r="H1005" t="inlineStr">
        <is>
          <t>yes</t>
        </is>
      </c>
      <c r="I1005" t="inlineStr"/>
      <c r="J1005" t="inlineStr"/>
      <c r="K1005" t="inlineStr"/>
      <c r="L1005" t="inlineStr"/>
      <c r="M1005" t="inlineStr"/>
      <c r="N1005" t="inlineStr"/>
    </row>
    <row r="1006">
      <c r="A1006" t="inlineStr">
        <is>
          <t>pt-braga</t>
        </is>
      </c>
      <c r="B1006" t="inlineStr">
        <is>
          <t>Braga</t>
        </is>
      </c>
      <c r="C1006" t="inlineStr">
        <is>
          <t>Portugal</t>
        </is>
      </c>
      <c r="D1006" t="inlineStr">
        <is>
          <t>Western and Northern Europe</t>
        </is>
      </c>
      <c r="E1006" t="inlineStr">
        <is>
          <t>education_quality_raw</t>
        </is>
      </c>
      <c r="F1006" t="inlineStr">
        <is>
          <t>Education quality raw</t>
        </is>
      </c>
      <c r="G1006" t="inlineStr">
        <is>
          <t>capability</t>
        </is>
      </c>
      <c r="H1006" t="inlineStr">
        <is>
          <t>yes</t>
        </is>
      </c>
      <c r="I1006" t="inlineStr"/>
      <c r="J1006" t="inlineStr"/>
      <c r="K1006" t="inlineStr"/>
      <c r="L1006" t="inlineStr"/>
      <c r="M1006" t="inlineStr"/>
      <c r="N1006" t="inlineStr"/>
    </row>
    <row r="1007">
      <c r="A1007" t="inlineStr">
        <is>
          <t>pt-braga</t>
        </is>
      </c>
      <c r="B1007" t="inlineStr">
        <is>
          <t>Braga</t>
        </is>
      </c>
      <c r="C1007" t="inlineStr">
        <is>
          <t>Portugal</t>
        </is>
      </c>
      <c r="D1007" t="inlineStr">
        <is>
          <t>Western and Northern Europe</t>
        </is>
      </c>
      <c r="E1007" t="inlineStr">
        <is>
          <t>equal_opportunity_raw</t>
        </is>
      </c>
      <c r="F1007" t="inlineStr">
        <is>
          <t>Equal opportunity raw</t>
        </is>
      </c>
      <c r="G1007" t="inlineStr">
        <is>
          <t>capability</t>
        </is>
      </c>
      <c r="H1007" t="inlineStr">
        <is>
          <t>yes</t>
        </is>
      </c>
      <c r="I1007" t="inlineStr"/>
      <c r="J1007" t="inlineStr"/>
      <c r="K1007" t="inlineStr"/>
      <c r="L1007" t="inlineStr"/>
      <c r="M1007" t="inlineStr"/>
      <c r="N1007" t="inlineStr"/>
    </row>
    <row r="1008">
      <c r="A1008" t="inlineStr">
        <is>
          <t>pt-braga</t>
        </is>
      </c>
      <c r="B1008" t="inlineStr">
        <is>
          <t>Braga</t>
        </is>
      </c>
      <c r="C1008" t="inlineStr">
        <is>
          <t>Portugal</t>
        </is>
      </c>
      <c r="D1008" t="inlineStr">
        <is>
          <t>Western and Northern Europe</t>
        </is>
      </c>
      <c r="E1008" t="inlineStr">
        <is>
          <t>hospitality_belonging_raw</t>
        </is>
      </c>
      <c r="F1008" t="inlineStr">
        <is>
          <t>Hospitality and belonging raw</t>
        </is>
      </c>
      <c r="G1008" t="inlineStr">
        <is>
          <t>community</t>
        </is>
      </c>
      <c r="H1008" t="inlineStr">
        <is>
          <t>yes</t>
        </is>
      </c>
      <c r="I1008" t="inlineStr"/>
      <c r="J1008" t="inlineStr"/>
      <c r="K1008" t="inlineStr"/>
      <c r="L1008" t="inlineStr"/>
      <c r="M1008" t="inlineStr"/>
      <c r="N1008" t="inlineStr"/>
    </row>
    <row r="1009">
      <c r="A1009" t="inlineStr">
        <is>
          <t>pt-braga</t>
        </is>
      </c>
      <c r="B1009" t="inlineStr">
        <is>
          <t>Braga</t>
        </is>
      </c>
      <c r="C1009" t="inlineStr">
        <is>
          <t>Portugal</t>
        </is>
      </c>
      <c r="D1009" t="inlineStr">
        <is>
          <t>Western and Northern Europe</t>
        </is>
      </c>
      <c r="E1009" t="inlineStr">
        <is>
          <t>tolerance_pluralism_raw</t>
        </is>
      </c>
      <c r="F1009" t="inlineStr">
        <is>
          <t>Tolerance and pluralism raw</t>
        </is>
      </c>
      <c r="G1009" t="inlineStr">
        <is>
          <t>community</t>
        </is>
      </c>
      <c r="H1009" t="inlineStr">
        <is>
          <t>yes</t>
        </is>
      </c>
      <c r="I1009" t="inlineStr"/>
      <c r="J1009" t="inlineStr"/>
      <c r="K1009" t="inlineStr"/>
      <c r="L1009" t="inlineStr"/>
      <c r="M1009" t="inlineStr"/>
      <c r="N1009" t="inlineStr"/>
    </row>
    <row r="1010">
      <c r="A1010" t="inlineStr">
        <is>
          <t>pt-braga</t>
        </is>
      </c>
      <c r="B1010" t="inlineStr">
        <is>
          <t>Braga</t>
        </is>
      </c>
      <c r="C1010" t="inlineStr">
        <is>
          <t>Portugal</t>
        </is>
      </c>
      <c r="D1010" t="inlineStr">
        <is>
          <t>Western and Northern Europe</t>
        </is>
      </c>
      <c r="E1010" t="inlineStr">
        <is>
          <t>cultural_public_life_raw</t>
        </is>
      </c>
      <c r="F1010" t="inlineStr">
        <is>
          <t>Cultural public life raw</t>
        </is>
      </c>
      <c r="G1010" t="inlineStr">
        <is>
          <t>community</t>
        </is>
      </c>
      <c r="H1010" t="inlineStr">
        <is>
          <t>yes</t>
        </is>
      </c>
      <c r="I1010" t="inlineStr"/>
      <c r="J1010" t="inlineStr"/>
      <c r="K1010" t="inlineStr"/>
      <c r="L1010" t="inlineStr"/>
      <c r="M1010" t="inlineStr"/>
      <c r="N1010" t="inlineStr"/>
    </row>
    <row r="1011">
      <c r="A1011" t="inlineStr">
        <is>
          <t>pt-braga</t>
        </is>
      </c>
      <c r="B1011" t="inlineStr">
        <is>
          <t>Braga</t>
        </is>
      </c>
      <c r="C1011" t="inlineStr">
        <is>
          <t>Portugal</t>
        </is>
      </c>
      <c r="D1011" t="inlineStr">
        <is>
          <t>Western and Northern Europe</t>
        </is>
      </c>
      <c r="E1011" t="inlineStr">
        <is>
          <t>entrepreneurial_dynamism_raw</t>
        </is>
      </c>
      <c r="F1011" t="inlineStr">
        <is>
          <t>Entrepreneurial dynamism raw</t>
        </is>
      </c>
      <c r="G1011" t="inlineStr">
        <is>
          <t>creative</t>
        </is>
      </c>
      <c r="H1011" t="inlineStr">
        <is>
          <t>yes</t>
        </is>
      </c>
      <c r="I1011" t="inlineStr"/>
      <c r="J1011" t="inlineStr"/>
      <c r="K1011" t="inlineStr"/>
      <c r="L1011" t="inlineStr"/>
      <c r="M1011" t="inlineStr"/>
      <c r="N1011" t="inlineStr"/>
    </row>
    <row r="1012">
      <c r="A1012" t="inlineStr">
        <is>
          <t>pt-braga</t>
        </is>
      </c>
      <c r="B1012" t="inlineStr">
        <is>
          <t>Braga</t>
        </is>
      </c>
      <c r="C1012" t="inlineStr">
        <is>
          <t>Portugal</t>
        </is>
      </c>
      <c r="D1012" t="inlineStr">
        <is>
          <t>Western and Northern Europe</t>
        </is>
      </c>
      <c r="E1012" t="inlineStr">
        <is>
          <t>innovation_research_intensity_raw</t>
        </is>
      </c>
      <c r="F1012" t="inlineStr">
        <is>
          <t>Innovation and research raw</t>
        </is>
      </c>
      <c r="G1012" t="inlineStr">
        <is>
          <t>creative</t>
        </is>
      </c>
      <c r="H1012" t="inlineStr">
        <is>
          <t>yes</t>
        </is>
      </c>
      <c r="I1012" t="inlineStr"/>
      <c r="J1012" t="inlineStr"/>
      <c r="K1012" t="inlineStr"/>
      <c r="L1012" t="inlineStr"/>
      <c r="M1012" t="inlineStr"/>
      <c r="N1012" t="inlineStr"/>
    </row>
    <row r="1013">
      <c r="A1013" t="inlineStr">
        <is>
          <t>pt-braga</t>
        </is>
      </c>
      <c r="B1013" t="inlineStr">
        <is>
          <t>Braga</t>
        </is>
      </c>
      <c r="C1013" t="inlineStr">
        <is>
          <t>Portugal</t>
        </is>
      </c>
      <c r="D1013" t="inlineStr">
        <is>
          <t>Western and Northern Europe</t>
        </is>
      </c>
      <c r="E1013" t="inlineStr">
        <is>
          <t>investment_signal_raw</t>
        </is>
      </c>
      <c r="F1013" t="inlineStr">
        <is>
          <t>Investment signal raw</t>
        </is>
      </c>
      <c r="G1013" t="inlineStr">
        <is>
          <t>creative</t>
        </is>
      </c>
      <c r="H1013" t="inlineStr">
        <is>
          <t>yes</t>
        </is>
      </c>
      <c r="I1013" t="inlineStr"/>
      <c r="J1013" t="inlineStr"/>
      <c r="K1013" t="inlineStr"/>
      <c r="L1013" t="inlineStr"/>
      <c r="M1013" t="inlineStr"/>
      <c r="N1013" t="inlineStr"/>
    </row>
    <row r="1014">
      <c r="A1014" t="inlineStr">
        <is>
          <t>pt-braga</t>
        </is>
      </c>
      <c r="B1014" t="inlineStr">
        <is>
          <t>Braga</t>
        </is>
      </c>
      <c r="C1014" t="inlineStr">
        <is>
          <t>Portugal</t>
        </is>
      </c>
      <c r="D1014" t="inlineStr">
        <is>
          <t>Western and Northern Europe</t>
        </is>
      </c>
      <c r="E1014" t="inlineStr">
        <is>
          <t>administrative_investment_friction_raw</t>
        </is>
      </c>
      <c r="F1014" t="inlineStr">
        <is>
          <t>Administrative investment friction raw</t>
        </is>
      </c>
      <c r="G1014" t="inlineStr">
        <is>
          <t>creative</t>
        </is>
      </c>
      <c r="H1014" t="inlineStr">
        <is>
          <t>yes</t>
        </is>
      </c>
      <c r="I1014" t="inlineStr"/>
      <c r="J1014" t="inlineStr"/>
      <c r="K1014" t="inlineStr"/>
      <c r="L1014" t="inlineStr"/>
      <c r="M1014" t="inlineStr"/>
      <c r="N1014" t="inlineStr"/>
    </row>
    <row r="1015">
      <c r="A1015" t="inlineStr">
        <is>
          <t>pt-braga</t>
        </is>
      </c>
      <c r="B1015" t="inlineStr">
        <is>
          <t>Braga</t>
        </is>
      </c>
      <c r="C1015" t="inlineStr">
        <is>
          <t>Portugal</t>
        </is>
      </c>
      <c r="D1015" t="inlineStr">
        <is>
          <t>Western and Northern Europe</t>
        </is>
      </c>
      <c r="E1015" t="inlineStr">
        <is>
          <t>visitor_flow_context_raw</t>
        </is>
      </c>
      <c r="F1015" t="inlineStr">
        <is>
          <t>Visitor flow context raw</t>
        </is>
      </c>
      <c r="G1015" t="inlineStr">
        <is>
          <t>creative</t>
        </is>
      </c>
      <c r="H1015" t="inlineStr">
        <is>
          <t>no</t>
        </is>
      </c>
      <c r="I1015" t="inlineStr"/>
      <c r="J1015" t="inlineStr"/>
      <c r="K1015" t="inlineStr"/>
      <c r="L1015" t="inlineStr"/>
      <c r="M1015" t="inlineStr"/>
      <c r="N1015" t="inlineStr"/>
    </row>
    <row r="1016">
      <c r="A1016" t="inlineStr">
        <is>
          <t>ee-tallinn</t>
        </is>
      </c>
      <c r="B1016" t="inlineStr">
        <is>
          <t>Tallinn</t>
        </is>
      </c>
      <c r="C1016" t="inlineStr">
        <is>
          <t>Estonia</t>
        </is>
      </c>
      <c r="D1016" t="inlineStr">
        <is>
          <t>Western and Northern Europe</t>
        </is>
      </c>
      <c r="E1016" t="inlineStr">
        <is>
          <t>gross_income</t>
        </is>
      </c>
      <c r="F1016" t="inlineStr">
        <is>
          <t>Gross income</t>
        </is>
      </c>
      <c r="G1016" t="inlineStr">
        <is>
          <t>pressure</t>
        </is>
      </c>
      <c r="H1016" t="inlineStr">
        <is>
          <t>yes</t>
        </is>
      </c>
      <c r="I1016" t="inlineStr"/>
      <c r="J1016" t="inlineStr"/>
      <c r="K1016" t="inlineStr"/>
      <c r="L1016" t="inlineStr"/>
      <c r="M1016" t="inlineStr"/>
      <c r="N1016" t="inlineStr"/>
    </row>
    <row r="1017">
      <c r="A1017" t="inlineStr">
        <is>
          <t>ee-tallinn</t>
        </is>
      </c>
      <c r="B1017" t="inlineStr">
        <is>
          <t>Tallinn</t>
        </is>
      </c>
      <c r="C1017" t="inlineStr">
        <is>
          <t>Estonia</t>
        </is>
      </c>
      <c r="D1017" t="inlineStr">
        <is>
          <t>Western and Northern Europe</t>
        </is>
      </c>
      <c r="E1017" t="inlineStr">
        <is>
          <t>rent</t>
        </is>
      </c>
      <c r="F1017" t="inlineStr">
        <is>
          <t>Rent</t>
        </is>
      </c>
      <c r="G1017" t="inlineStr">
        <is>
          <t>pressure</t>
        </is>
      </c>
      <c r="H1017" t="inlineStr">
        <is>
          <t>yes</t>
        </is>
      </c>
      <c r="I1017" t="inlineStr"/>
      <c r="J1017" t="inlineStr"/>
      <c r="K1017" t="inlineStr"/>
      <c r="L1017" t="inlineStr"/>
      <c r="M1017" t="inlineStr"/>
      <c r="N1017" t="inlineStr"/>
    </row>
    <row r="1018">
      <c r="A1018" t="inlineStr">
        <is>
          <t>ee-tallinn</t>
        </is>
      </c>
      <c r="B1018" t="inlineStr">
        <is>
          <t>Tallinn</t>
        </is>
      </c>
      <c r="C1018" t="inlineStr">
        <is>
          <t>Estonia</t>
        </is>
      </c>
      <c r="D1018" t="inlineStr">
        <is>
          <t>Western and Northern Europe</t>
        </is>
      </c>
      <c r="E1018" t="inlineStr">
        <is>
          <t>utilities</t>
        </is>
      </c>
      <c r="F1018" t="inlineStr">
        <is>
          <t>Utilities</t>
        </is>
      </c>
      <c r="G1018" t="inlineStr">
        <is>
          <t>pressure</t>
        </is>
      </c>
      <c r="H1018" t="inlineStr">
        <is>
          <t>yes</t>
        </is>
      </c>
      <c r="I1018" t="inlineStr"/>
      <c r="J1018" t="inlineStr"/>
      <c r="K1018" t="inlineStr"/>
      <c r="L1018" t="inlineStr"/>
      <c r="M1018" t="inlineStr"/>
      <c r="N1018" t="inlineStr"/>
    </row>
    <row r="1019">
      <c r="A1019" t="inlineStr">
        <is>
          <t>ee-tallinn</t>
        </is>
      </c>
      <c r="B1019" t="inlineStr">
        <is>
          <t>Tallinn</t>
        </is>
      </c>
      <c r="C1019" t="inlineStr">
        <is>
          <t>Estonia</t>
        </is>
      </c>
      <c r="D1019" t="inlineStr">
        <is>
          <t>Western and Northern Europe</t>
        </is>
      </c>
      <c r="E1019" t="inlineStr">
        <is>
          <t>transit_cost</t>
        </is>
      </c>
      <c r="F1019" t="inlineStr">
        <is>
          <t>Transit cost</t>
        </is>
      </c>
      <c r="G1019" t="inlineStr">
        <is>
          <t>pressure</t>
        </is>
      </c>
      <c r="H1019" t="inlineStr">
        <is>
          <t>yes</t>
        </is>
      </c>
      <c r="I1019" t="inlineStr"/>
      <c r="J1019" t="inlineStr"/>
      <c r="K1019" t="inlineStr"/>
      <c r="L1019" t="inlineStr"/>
      <c r="M1019" t="inlineStr"/>
      <c r="N1019" t="inlineStr"/>
    </row>
    <row r="1020">
      <c r="A1020" t="inlineStr">
        <is>
          <t>ee-tallinn</t>
        </is>
      </c>
      <c r="B1020" t="inlineStr">
        <is>
          <t>Tallinn</t>
        </is>
      </c>
      <c r="C1020" t="inlineStr">
        <is>
          <t>Estonia</t>
        </is>
      </c>
      <c r="D1020" t="inlineStr">
        <is>
          <t>Western and Northern Europe</t>
        </is>
      </c>
      <c r="E1020" t="inlineStr">
        <is>
          <t>internet_cost</t>
        </is>
      </c>
      <c r="F1020" t="inlineStr">
        <is>
          <t>Internet cost</t>
        </is>
      </c>
      <c r="G1020" t="inlineStr">
        <is>
          <t>pressure</t>
        </is>
      </c>
      <c r="H1020" t="inlineStr">
        <is>
          <t>yes</t>
        </is>
      </c>
      <c r="I1020" t="inlineStr"/>
      <c r="J1020" t="inlineStr"/>
      <c r="K1020" t="inlineStr"/>
      <c r="L1020" t="inlineStr"/>
      <c r="M1020" t="inlineStr"/>
      <c r="N1020" t="inlineStr"/>
    </row>
    <row r="1021">
      <c r="A1021" t="inlineStr">
        <is>
          <t>ee-tallinn</t>
        </is>
      </c>
      <c r="B1021" t="inlineStr">
        <is>
          <t>Tallinn</t>
        </is>
      </c>
      <c r="C1021" t="inlineStr">
        <is>
          <t>Estonia</t>
        </is>
      </c>
      <c r="D1021" t="inlineStr">
        <is>
          <t>Western and Northern Europe</t>
        </is>
      </c>
      <c r="E1021" t="inlineStr">
        <is>
          <t>food_cost</t>
        </is>
      </c>
      <c r="F1021" t="inlineStr">
        <is>
          <t>Food cost</t>
        </is>
      </c>
      <c r="G1021" t="inlineStr">
        <is>
          <t>pressure</t>
        </is>
      </c>
      <c r="H1021" t="inlineStr">
        <is>
          <t>yes</t>
        </is>
      </c>
      <c r="I1021" t="inlineStr"/>
      <c r="J1021" t="inlineStr"/>
      <c r="K1021" t="inlineStr"/>
      <c r="L1021" t="inlineStr"/>
      <c r="M1021" t="inlineStr"/>
      <c r="N1021" t="inlineStr"/>
    </row>
    <row r="1022">
      <c r="A1022" t="inlineStr">
        <is>
          <t>ee-tallinn</t>
        </is>
      </c>
      <c r="B1022" t="inlineStr">
        <is>
          <t>Tallinn</t>
        </is>
      </c>
      <c r="C1022" t="inlineStr">
        <is>
          <t>Estonia</t>
        </is>
      </c>
      <c r="D1022" t="inlineStr">
        <is>
          <t>Western and Northern Europe</t>
        </is>
      </c>
      <c r="E1022" t="inlineStr">
        <is>
          <t>housing_burden_raw</t>
        </is>
      </c>
      <c r="F1022" t="inlineStr">
        <is>
          <t>Housing burden raw</t>
        </is>
      </c>
      <c r="G1022" t="inlineStr">
        <is>
          <t>pressure</t>
        </is>
      </c>
      <c r="H1022" t="inlineStr">
        <is>
          <t>yes</t>
        </is>
      </c>
      <c r="I1022" t="inlineStr"/>
      <c r="J1022" t="inlineStr"/>
      <c r="K1022" t="inlineStr"/>
      <c r="L1022" t="inlineStr"/>
      <c r="M1022" t="inlineStr"/>
      <c r="N1022" t="inlineStr"/>
    </row>
    <row r="1023">
      <c r="A1023" t="inlineStr">
        <is>
          <t>ee-tallinn</t>
        </is>
      </c>
      <c r="B1023" t="inlineStr">
        <is>
          <t>Tallinn</t>
        </is>
      </c>
      <c r="C1023" t="inlineStr">
        <is>
          <t>Estonia</t>
        </is>
      </c>
      <c r="D1023" t="inlineStr">
        <is>
          <t>Western and Northern Europe</t>
        </is>
      </c>
      <c r="E1023" t="inlineStr">
        <is>
          <t>household_debt_burden_raw</t>
        </is>
      </c>
      <c r="F1023" t="inlineStr">
        <is>
          <t>Household debt burden raw</t>
        </is>
      </c>
      <c r="G1023" t="inlineStr">
        <is>
          <t>pressure</t>
        </is>
      </c>
      <c r="H1023" t="inlineStr">
        <is>
          <t>yes</t>
        </is>
      </c>
      <c r="I1023" t="inlineStr"/>
      <c r="J1023" t="inlineStr"/>
      <c r="K1023" t="inlineStr"/>
      <c r="L1023" t="inlineStr"/>
      <c r="M1023" t="inlineStr"/>
      <c r="N1023" t="inlineStr"/>
    </row>
    <row r="1024">
      <c r="A1024" t="inlineStr">
        <is>
          <t>ee-tallinn</t>
        </is>
      </c>
      <c r="B1024" t="inlineStr">
        <is>
          <t>Tallinn</t>
        </is>
      </c>
      <c r="C1024" t="inlineStr">
        <is>
          <t>Estonia</t>
        </is>
      </c>
      <c r="D1024" t="inlineStr">
        <is>
          <t>Western and Northern Europe</t>
        </is>
      </c>
      <c r="E1024" t="inlineStr">
        <is>
          <t>working_time_pressure_raw</t>
        </is>
      </c>
      <c r="F1024" t="inlineStr">
        <is>
          <t>Working time pressure raw</t>
        </is>
      </c>
      <c r="G1024" t="inlineStr">
        <is>
          <t>pressure</t>
        </is>
      </c>
      <c r="H1024" t="inlineStr">
        <is>
          <t>yes</t>
        </is>
      </c>
      <c r="I1024" t="inlineStr"/>
      <c r="J1024" t="inlineStr"/>
      <c r="K1024" t="inlineStr"/>
      <c r="L1024" t="inlineStr"/>
      <c r="M1024" t="inlineStr"/>
      <c r="N1024" t="inlineStr"/>
    </row>
    <row r="1025">
      <c r="A1025" t="inlineStr">
        <is>
          <t>ee-tallinn</t>
        </is>
      </c>
      <c r="B1025" t="inlineStr">
        <is>
          <t>Tallinn</t>
        </is>
      </c>
      <c r="C1025" t="inlineStr">
        <is>
          <t>Estonia</t>
        </is>
      </c>
      <c r="D1025" t="inlineStr">
        <is>
          <t>Western and Northern Europe</t>
        </is>
      </c>
      <c r="E1025" t="inlineStr">
        <is>
          <t>suicide_mental_strain_raw</t>
        </is>
      </c>
      <c r="F1025" t="inlineStr">
        <is>
          <t>Suicide or mental strain raw</t>
        </is>
      </c>
      <c r="G1025" t="inlineStr">
        <is>
          <t>pressure</t>
        </is>
      </c>
      <c r="H1025" t="inlineStr">
        <is>
          <t>yes</t>
        </is>
      </c>
      <c r="I1025" t="inlineStr"/>
      <c r="J1025" t="inlineStr"/>
      <c r="K1025" t="inlineStr"/>
      <c r="L1025" t="inlineStr"/>
      <c r="M1025" t="inlineStr"/>
      <c r="N1025" t="inlineStr"/>
    </row>
    <row r="1026">
      <c r="A1026" t="inlineStr">
        <is>
          <t>ee-tallinn</t>
        </is>
      </c>
      <c r="B1026" t="inlineStr">
        <is>
          <t>Tallinn</t>
        </is>
      </c>
      <c r="C1026" t="inlineStr">
        <is>
          <t>Estonia</t>
        </is>
      </c>
      <c r="D1026" t="inlineStr">
        <is>
          <t>Western and Northern Europe</t>
        </is>
      </c>
      <c r="E1026" t="inlineStr">
        <is>
          <t>personal_safety_raw</t>
        </is>
      </c>
      <c r="F1026" t="inlineStr">
        <is>
          <t>Personal safety raw</t>
        </is>
      </c>
      <c r="G1026" t="inlineStr">
        <is>
          <t>viability</t>
        </is>
      </c>
      <c r="H1026" t="inlineStr">
        <is>
          <t>yes</t>
        </is>
      </c>
      <c r="I1026" t="inlineStr"/>
      <c r="J1026" t="inlineStr"/>
      <c r="K1026" t="inlineStr"/>
      <c r="L1026" t="inlineStr"/>
      <c r="M1026" t="inlineStr"/>
      <c r="N1026" t="inlineStr"/>
    </row>
    <row r="1027">
      <c r="A1027" t="inlineStr">
        <is>
          <t>ee-tallinn</t>
        </is>
      </c>
      <c r="B1027" t="inlineStr">
        <is>
          <t>Tallinn</t>
        </is>
      </c>
      <c r="C1027" t="inlineStr">
        <is>
          <t>Estonia</t>
        </is>
      </c>
      <c r="D1027" t="inlineStr">
        <is>
          <t>Western and Northern Europe</t>
        </is>
      </c>
      <c r="E1027" t="inlineStr">
        <is>
          <t>transit_access_commute_raw</t>
        </is>
      </c>
      <c r="F1027" t="inlineStr">
        <is>
          <t>Transit access and commute raw</t>
        </is>
      </c>
      <c r="G1027" t="inlineStr">
        <is>
          <t>viability</t>
        </is>
      </c>
      <c r="H1027" t="inlineStr">
        <is>
          <t>yes</t>
        </is>
      </c>
      <c r="I1027" t="inlineStr"/>
      <c r="J1027" t="inlineStr"/>
      <c r="K1027" t="inlineStr"/>
      <c r="L1027" t="inlineStr"/>
      <c r="M1027" t="inlineStr"/>
      <c r="N1027" t="inlineStr"/>
    </row>
    <row r="1028">
      <c r="A1028" t="inlineStr">
        <is>
          <t>ee-tallinn</t>
        </is>
      </c>
      <c r="B1028" t="inlineStr">
        <is>
          <t>Tallinn</t>
        </is>
      </c>
      <c r="C1028" t="inlineStr">
        <is>
          <t>Estonia</t>
        </is>
      </c>
      <c r="D1028" t="inlineStr">
        <is>
          <t>Western and Northern Europe</t>
        </is>
      </c>
      <c r="E1028" t="inlineStr">
        <is>
          <t>clean_air_raw</t>
        </is>
      </c>
      <c r="F1028" t="inlineStr">
        <is>
          <t>Clean air raw</t>
        </is>
      </c>
      <c r="G1028" t="inlineStr">
        <is>
          <t>viability</t>
        </is>
      </c>
      <c r="H1028" t="inlineStr">
        <is>
          <t>yes</t>
        </is>
      </c>
      <c r="I1028" t="inlineStr"/>
      <c r="J1028" t="inlineStr"/>
      <c r="K1028" t="inlineStr"/>
      <c r="L1028" t="inlineStr"/>
      <c r="M1028" t="inlineStr"/>
      <c r="N1028" t="inlineStr"/>
    </row>
    <row r="1029">
      <c r="A1029" t="inlineStr">
        <is>
          <t>ee-tallinn</t>
        </is>
      </c>
      <c r="B1029" t="inlineStr">
        <is>
          <t>Tallinn</t>
        </is>
      </c>
      <c r="C1029" t="inlineStr">
        <is>
          <t>Estonia</t>
        </is>
      </c>
      <c r="D1029" t="inlineStr">
        <is>
          <t>Western and Northern Europe</t>
        </is>
      </c>
      <c r="E1029" t="inlineStr">
        <is>
          <t>water_sanitation_utility_raw</t>
        </is>
      </c>
      <c r="F1029" t="inlineStr">
        <is>
          <t>Water, sanitation, and utility raw</t>
        </is>
      </c>
      <c r="G1029" t="inlineStr">
        <is>
          <t>viability</t>
        </is>
      </c>
      <c r="H1029" t="inlineStr">
        <is>
          <t>yes</t>
        </is>
      </c>
      <c r="I1029" t="inlineStr"/>
      <c r="J1029" t="inlineStr"/>
      <c r="K1029" t="inlineStr"/>
      <c r="L1029" t="inlineStr"/>
      <c r="M1029" t="inlineStr"/>
      <c r="N1029" t="inlineStr"/>
    </row>
    <row r="1030">
      <c r="A1030" t="inlineStr">
        <is>
          <t>ee-tallinn</t>
        </is>
      </c>
      <c r="B1030" t="inlineStr">
        <is>
          <t>Tallinn</t>
        </is>
      </c>
      <c r="C1030" t="inlineStr">
        <is>
          <t>Estonia</t>
        </is>
      </c>
      <c r="D1030" t="inlineStr">
        <is>
          <t>Western and Northern Europe</t>
        </is>
      </c>
      <c r="E1030" t="inlineStr">
        <is>
          <t>digital_infrastructure_raw</t>
        </is>
      </c>
      <c r="F1030" t="inlineStr">
        <is>
          <t>Digital infrastructure raw</t>
        </is>
      </c>
      <c r="G1030" t="inlineStr">
        <is>
          <t>viability</t>
        </is>
      </c>
      <c r="H1030" t="inlineStr">
        <is>
          <t>yes</t>
        </is>
      </c>
      <c r="I1030" t="inlineStr"/>
      <c r="J1030" t="inlineStr"/>
      <c r="K1030" t="inlineStr"/>
      <c r="L1030" t="inlineStr"/>
      <c r="M1030" t="inlineStr"/>
      <c r="N1030" t="inlineStr"/>
    </row>
    <row r="1031">
      <c r="A1031" t="inlineStr">
        <is>
          <t>ee-tallinn</t>
        </is>
      </c>
      <c r="B1031" t="inlineStr">
        <is>
          <t>Tallinn</t>
        </is>
      </c>
      <c r="C1031" t="inlineStr">
        <is>
          <t>Estonia</t>
        </is>
      </c>
      <c r="D1031" t="inlineStr">
        <is>
          <t>Western and Northern Europe</t>
        </is>
      </c>
      <c r="E1031" t="inlineStr">
        <is>
          <t>healthcare_quality_raw</t>
        </is>
      </c>
      <c r="F1031" t="inlineStr">
        <is>
          <t>Healthcare quality raw</t>
        </is>
      </c>
      <c r="G1031" t="inlineStr">
        <is>
          <t>capability</t>
        </is>
      </c>
      <c r="H1031" t="inlineStr">
        <is>
          <t>yes</t>
        </is>
      </c>
      <c r="I1031" t="inlineStr"/>
      <c r="J1031" t="inlineStr"/>
      <c r="K1031" t="inlineStr"/>
      <c r="L1031" t="inlineStr"/>
      <c r="M1031" t="inlineStr"/>
      <c r="N1031" t="inlineStr"/>
    </row>
    <row r="1032">
      <c r="A1032" t="inlineStr">
        <is>
          <t>ee-tallinn</t>
        </is>
      </c>
      <c r="B1032" t="inlineStr">
        <is>
          <t>Tallinn</t>
        </is>
      </c>
      <c r="C1032" t="inlineStr">
        <is>
          <t>Estonia</t>
        </is>
      </c>
      <c r="D1032" t="inlineStr">
        <is>
          <t>Western and Northern Europe</t>
        </is>
      </c>
      <c r="E1032" t="inlineStr">
        <is>
          <t>education_quality_raw</t>
        </is>
      </c>
      <c r="F1032" t="inlineStr">
        <is>
          <t>Education quality raw</t>
        </is>
      </c>
      <c r="G1032" t="inlineStr">
        <is>
          <t>capability</t>
        </is>
      </c>
      <c r="H1032" t="inlineStr">
        <is>
          <t>yes</t>
        </is>
      </c>
      <c r="I1032" t="inlineStr"/>
      <c r="J1032" t="inlineStr"/>
      <c r="K1032" t="inlineStr"/>
      <c r="L1032" t="inlineStr"/>
      <c r="M1032" t="inlineStr"/>
      <c r="N1032" t="inlineStr"/>
    </row>
    <row r="1033">
      <c r="A1033" t="inlineStr">
        <is>
          <t>ee-tallinn</t>
        </is>
      </c>
      <c r="B1033" t="inlineStr">
        <is>
          <t>Tallinn</t>
        </is>
      </c>
      <c r="C1033" t="inlineStr">
        <is>
          <t>Estonia</t>
        </is>
      </c>
      <c r="D1033" t="inlineStr">
        <is>
          <t>Western and Northern Europe</t>
        </is>
      </c>
      <c r="E1033" t="inlineStr">
        <is>
          <t>equal_opportunity_raw</t>
        </is>
      </c>
      <c r="F1033" t="inlineStr">
        <is>
          <t>Equal opportunity raw</t>
        </is>
      </c>
      <c r="G1033" t="inlineStr">
        <is>
          <t>capability</t>
        </is>
      </c>
      <c r="H1033" t="inlineStr">
        <is>
          <t>yes</t>
        </is>
      </c>
      <c r="I1033" t="inlineStr"/>
      <c r="J1033" t="inlineStr"/>
      <c r="K1033" t="inlineStr"/>
      <c r="L1033" t="inlineStr"/>
      <c r="M1033" t="inlineStr"/>
      <c r="N1033" t="inlineStr"/>
    </row>
    <row r="1034">
      <c r="A1034" t="inlineStr">
        <is>
          <t>ee-tallinn</t>
        </is>
      </c>
      <c r="B1034" t="inlineStr">
        <is>
          <t>Tallinn</t>
        </is>
      </c>
      <c r="C1034" t="inlineStr">
        <is>
          <t>Estonia</t>
        </is>
      </c>
      <c r="D1034" t="inlineStr">
        <is>
          <t>Western and Northern Europe</t>
        </is>
      </c>
      <c r="E1034" t="inlineStr">
        <is>
          <t>hospitality_belonging_raw</t>
        </is>
      </c>
      <c r="F1034" t="inlineStr">
        <is>
          <t>Hospitality and belonging raw</t>
        </is>
      </c>
      <c r="G1034" t="inlineStr">
        <is>
          <t>community</t>
        </is>
      </c>
      <c r="H1034" t="inlineStr">
        <is>
          <t>yes</t>
        </is>
      </c>
      <c r="I1034" t="inlineStr"/>
      <c r="J1034" t="inlineStr"/>
      <c r="K1034" t="inlineStr"/>
      <c r="L1034" t="inlineStr"/>
      <c r="M1034" t="inlineStr"/>
      <c r="N1034" t="inlineStr"/>
    </row>
    <row r="1035">
      <c r="A1035" t="inlineStr">
        <is>
          <t>ee-tallinn</t>
        </is>
      </c>
      <c r="B1035" t="inlineStr">
        <is>
          <t>Tallinn</t>
        </is>
      </c>
      <c r="C1035" t="inlineStr">
        <is>
          <t>Estonia</t>
        </is>
      </c>
      <c r="D1035" t="inlineStr">
        <is>
          <t>Western and Northern Europe</t>
        </is>
      </c>
      <c r="E1035" t="inlineStr">
        <is>
          <t>tolerance_pluralism_raw</t>
        </is>
      </c>
      <c r="F1035" t="inlineStr">
        <is>
          <t>Tolerance and pluralism raw</t>
        </is>
      </c>
      <c r="G1035" t="inlineStr">
        <is>
          <t>community</t>
        </is>
      </c>
      <c r="H1035" t="inlineStr">
        <is>
          <t>yes</t>
        </is>
      </c>
      <c r="I1035" t="inlineStr"/>
      <c r="J1035" t="inlineStr"/>
      <c r="K1035" t="inlineStr"/>
      <c r="L1035" t="inlineStr"/>
      <c r="M1035" t="inlineStr"/>
      <c r="N1035" t="inlineStr"/>
    </row>
    <row r="1036">
      <c r="A1036" t="inlineStr">
        <is>
          <t>ee-tallinn</t>
        </is>
      </c>
      <c r="B1036" t="inlineStr">
        <is>
          <t>Tallinn</t>
        </is>
      </c>
      <c r="C1036" t="inlineStr">
        <is>
          <t>Estonia</t>
        </is>
      </c>
      <c r="D1036" t="inlineStr">
        <is>
          <t>Western and Northern Europe</t>
        </is>
      </c>
      <c r="E1036" t="inlineStr">
        <is>
          <t>cultural_public_life_raw</t>
        </is>
      </c>
      <c r="F1036" t="inlineStr">
        <is>
          <t>Cultural public life raw</t>
        </is>
      </c>
      <c r="G1036" t="inlineStr">
        <is>
          <t>community</t>
        </is>
      </c>
      <c r="H1036" t="inlineStr">
        <is>
          <t>yes</t>
        </is>
      </c>
      <c r="I1036" t="inlineStr"/>
      <c r="J1036" t="inlineStr"/>
      <c r="K1036" t="inlineStr"/>
      <c r="L1036" t="inlineStr"/>
      <c r="M1036" t="inlineStr"/>
      <c r="N1036" t="inlineStr"/>
    </row>
    <row r="1037">
      <c r="A1037" t="inlineStr">
        <is>
          <t>ee-tallinn</t>
        </is>
      </c>
      <c r="B1037" t="inlineStr">
        <is>
          <t>Tallinn</t>
        </is>
      </c>
      <c r="C1037" t="inlineStr">
        <is>
          <t>Estonia</t>
        </is>
      </c>
      <c r="D1037" t="inlineStr">
        <is>
          <t>Western and Northern Europe</t>
        </is>
      </c>
      <c r="E1037" t="inlineStr">
        <is>
          <t>entrepreneurial_dynamism_raw</t>
        </is>
      </c>
      <c r="F1037" t="inlineStr">
        <is>
          <t>Entrepreneurial dynamism raw</t>
        </is>
      </c>
      <c r="G1037" t="inlineStr">
        <is>
          <t>creative</t>
        </is>
      </c>
      <c r="H1037" t="inlineStr">
        <is>
          <t>yes</t>
        </is>
      </c>
      <c r="I1037" t="inlineStr"/>
      <c r="J1037" t="inlineStr"/>
      <c r="K1037" t="inlineStr"/>
      <c r="L1037" t="inlineStr"/>
      <c r="M1037" t="inlineStr"/>
      <c r="N1037" t="inlineStr"/>
    </row>
    <row r="1038">
      <c r="A1038" t="inlineStr">
        <is>
          <t>ee-tallinn</t>
        </is>
      </c>
      <c r="B1038" t="inlineStr">
        <is>
          <t>Tallinn</t>
        </is>
      </c>
      <c r="C1038" t="inlineStr">
        <is>
          <t>Estonia</t>
        </is>
      </c>
      <c r="D1038" t="inlineStr">
        <is>
          <t>Western and Northern Europe</t>
        </is>
      </c>
      <c r="E1038" t="inlineStr">
        <is>
          <t>innovation_research_intensity_raw</t>
        </is>
      </c>
      <c r="F1038" t="inlineStr">
        <is>
          <t>Innovation and research raw</t>
        </is>
      </c>
      <c r="G1038" t="inlineStr">
        <is>
          <t>creative</t>
        </is>
      </c>
      <c r="H1038" t="inlineStr">
        <is>
          <t>yes</t>
        </is>
      </c>
      <c r="I1038" t="inlineStr"/>
      <c r="J1038" t="inlineStr"/>
      <c r="K1038" t="inlineStr"/>
      <c r="L1038" t="inlineStr"/>
      <c r="M1038" t="inlineStr"/>
      <c r="N1038" t="inlineStr"/>
    </row>
    <row r="1039">
      <c r="A1039" t="inlineStr">
        <is>
          <t>ee-tallinn</t>
        </is>
      </c>
      <c r="B1039" t="inlineStr">
        <is>
          <t>Tallinn</t>
        </is>
      </c>
      <c r="C1039" t="inlineStr">
        <is>
          <t>Estonia</t>
        </is>
      </c>
      <c r="D1039" t="inlineStr">
        <is>
          <t>Western and Northern Europe</t>
        </is>
      </c>
      <c r="E1039" t="inlineStr">
        <is>
          <t>investment_signal_raw</t>
        </is>
      </c>
      <c r="F1039" t="inlineStr">
        <is>
          <t>Investment signal raw</t>
        </is>
      </c>
      <c r="G1039" t="inlineStr">
        <is>
          <t>creative</t>
        </is>
      </c>
      <c r="H1039" t="inlineStr">
        <is>
          <t>yes</t>
        </is>
      </c>
      <c r="I1039" t="inlineStr"/>
      <c r="J1039" t="inlineStr"/>
      <c r="K1039" t="inlineStr"/>
      <c r="L1039" t="inlineStr"/>
      <c r="M1039" t="inlineStr"/>
      <c r="N1039" t="inlineStr"/>
    </row>
    <row r="1040">
      <c r="A1040" t="inlineStr">
        <is>
          <t>ee-tallinn</t>
        </is>
      </c>
      <c r="B1040" t="inlineStr">
        <is>
          <t>Tallinn</t>
        </is>
      </c>
      <c r="C1040" t="inlineStr">
        <is>
          <t>Estonia</t>
        </is>
      </c>
      <c r="D1040" t="inlineStr">
        <is>
          <t>Western and Northern Europe</t>
        </is>
      </c>
      <c r="E1040" t="inlineStr">
        <is>
          <t>administrative_investment_friction_raw</t>
        </is>
      </c>
      <c r="F1040" t="inlineStr">
        <is>
          <t>Administrative investment friction raw</t>
        </is>
      </c>
      <c r="G1040" t="inlineStr">
        <is>
          <t>creative</t>
        </is>
      </c>
      <c r="H1040" t="inlineStr">
        <is>
          <t>yes</t>
        </is>
      </c>
      <c r="I1040" t="inlineStr"/>
      <c r="J1040" t="inlineStr"/>
      <c r="K1040" t="inlineStr"/>
      <c r="L1040" t="inlineStr"/>
      <c r="M1040" t="inlineStr"/>
      <c r="N1040" t="inlineStr"/>
    </row>
    <row r="1041">
      <c r="A1041" t="inlineStr">
        <is>
          <t>ee-tallinn</t>
        </is>
      </c>
      <c r="B1041" t="inlineStr">
        <is>
          <t>Tallinn</t>
        </is>
      </c>
      <c r="C1041" t="inlineStr">
        <is>
          <t>Estonia</t>
        </is>
      </c>
      <c r="D1041" t="inlineStr">
        <is>
          <t>Western and Northern Europe</t>
        </is>
      </c>
      <c r="E1041" t="inlineStr">
        <is>
          <t>visitor_flow_context_raw</t>
        </is>
      </c>
      <c r="F1041" t="inlineStr">
        <is>
          <t>Visitor flow context raw</t>
        </is>
      </c>
      <c r="G1041" t="inlineStr">
        <is>
          <t>creative</t>
        </is>
      </c>
      <c r="H1041" t="inlineStr">
        <is>
          <t>no</t>
        </is>
      </c>
      <c r="I1041" t="inlineStr"/>
      <c r="J1041" t="inlineStr"/>
      <c r="K1041" t="inlineStr"/>
      <c r="L1041" t="inlineStr"/>
      <c r="M1041" t="inlineStr"/>
      <c r="N1041" t="inlineStr"/>
    </row>
    <row r="1042">
      <c r="A1042" t="inlineStr">
        <is>
          <t>fi-helsinki</t>
        </is>
      </c>
      <c r="B1042" t="inlineStr">
        <is>
          <t>Helsinki</t>
        </is>
      </c>
      <c r="C1042" t="inlineStr">
        <is>
          <t>Finland</t>
        </is>
      </c>
      <c r="D1042" t="inlineStr">
        <is>
          <t>Western and Northern Europe</t>
        </is>
      </c>
      <c r="E1042" t="inlineStr">
        <is>
          <t>gross_income</t>
        </is>
      </c>
      <c r="F1042" t="inlineStr">
        <is>
          <t>Gross income</t>
        </is>
      </c>
      <c r="G1042" t="inlineStr">
        <is>
          <t>pressure</t>
        </is>
      </c>
      <c r="H1042" t="inlineStr">
        <is>
          <t>yes</t>
        </is>
      </c>
      <c r="I1042" t="inlineStr"/>
      <c r="J1042" t="inlineStr"/>
      <c r="K1042" t="inlineStr"/>
      <c r="L1042" t="inlineStr"/>
      <c r="M1042" t="inlineStr"/>
      <c r="N1042" t="inlineStr"/>
    </row>
    <row r="1043">
      <c r="A1043" t="inlineStr">
        <is>
          <t>fi-helsinki</t>
        </is>
      </c>
      <c r="B1043" t="inlineStr">
        <is>
          <t>Helsinki</t>
        </is>
      </c>
      <c r="C1043" t="inlineStr">
        <is>
          <t>Finland</t>
        </is>
      </c>
      <c r="D1043" t="inlineStr">
        <is>
          <t>Western and Northern Europe</t>
        </is>
      </c>
      <c r="E1043" t="inlineStr">
        <is>
          <t>rent</t>
        </is>
      </c>
      <c r="F1043" t="inlineStr">
        <is>
          <t>Rent</t>
        </is>
      </c>
      <c r="G1043" t="inlineStr">
        <is>
          <t>pressure</t>
        </is>
      </c>
      <c r="H1043" t="inlineStr">
        <is>
          <t>yes</t>
        </is>
      </c>
      <c r="I1043" t="inlineStr"/>
      <c r="J1043" t="inlineStr"/>
      <c r="K1043" t="inlineStr"/>
      <c r="L1043" t="inlineStr"/>
      <c r="M1043" t="inlineStr"/>
      <c r="N1043" t="inlineStr"/>
    </row>
    <row r="1044">
      <c r="A1044" t="inlineStr">
        <is>
          <t>fi-helsinki</t>
        </is>
      </c>
      <c r="B1044" t="inlineStr">
        <is>
          <t>Helsinki</t>
        </is>
      </c>
      <c r="C1044" t="inlineStr">
        <is>
          <t>Finland</t>
        </is>
      </c>
      <c r="D1044" t="inlineStr">
        <is>
          <t>Western and Northern Europe</t>
        </is>
      </c>
      <c r="E1044" t="inlineStr">
        <is>
          <t>utilities</t>
        </is>
      </c>
      <c r="F1044" t="inlineStr">
        <is>
          <t>Utilities</t>
        </is>
      </c>
      <c r="G1044" t="inlineStr">
        <is>
          <t>pressure</t>
        </is>
      </c>
      <c r="H1044" t="inlineStr">
        <is>
          <t>yes</t>
        </is>
      </c>
      <c r="I1044" t="inlineStr"/>
      <c r="J1044" t="inlineStr"/>
      <c r="K1044" t="inlineStr"/>
      <c r="L1044" t="inlineStr"/>
      <c r="M1044" t="inlineStr"/>
      <c r="N1044" t="inlineStr"/>
    </row>
    <row r="1045">
      <c r="A1045" t="inlineStr">
        <is>
          <t>fi-helsinki</t>
        </is>
      </c>
      <c r="B1045" t="inlineStr">
        <is>
          <t>Helsinki</t>
        </is>
      </c>
      <c r="C1045" t="inlineStr">
        <is>
          <t>Finland</t>
        </is>
      </c>
      <c r="D1045" t="inlineStr">
        <is>
          <t>Western and Northern Europe</t>
        </is>
      </c>
      <c r="E1045" t="inlineStr">
        <is>
          <t>transit_cost</t>
        </is>
      </c>
      <c r="F1045" t="inlineStr">
        <is>
          <t>Transit cost</t>
        </is>
      </c>
      <c r="G1045" t="inlineStr">
        <is>
          <t>pressure</t>
        </is>
      </c>
      <c r="H1045" t="inlineStr">
        <is>
          <t>yes</t>
        </is>
      </c>
      <c r="I1045" t="inlineStr"/>
      <c r="J1045" t="inlineStr"/>
      <c r="K1045" t="inlineStr"/>
      <c r="L1045" t="inlineStr"/>
      <c r="M1045" t="inlineStr"/>
      <c r="N1045" t="inlineStr"/>
    </row>
    <row r="1046">
      <c r="A1046" t="inlineStr">
        <is>
          <t>fi-helsinki</t>
        </is>
      </c>
      <c r="B1046" t="inlineStr">
        <is>
          <t>Helsinki</t>
        </is>
      </c>
      <c r="C1046" t="inlineStr">
        <is>
          <t>Finland</t>
        </is>
      </c>
      <c r="D1046" t="inlineStr">
        <is>
          <t>Western and Northern Europe</t>
        </is>
      </c>
      <c r="E1046" t="inlineStr">
        <is>
          <t>internet_cost</t>
        </is>
      </c>
      <c r="F1046" t="inlineStr">
        <is>
          <t>Internet cost</t>
        </is>
      </c>
      <c r="G1046" t="inlineStr">
        <is>
          <t>pressure</t>
        </is>
      </c>
      <c r="H1046" t="inlineStr">
        <is>
          <t>yes</t>
        </is>
      </c>
      <c r="I1046" t="inlineStr"/>
      <c r="J1046" t="inlineStr"/>
      <c r="K1046" t="inlineStr"/>
      <c r="L1046" t="inlineStr"/>
      <c r="M1046" t="inlineStr"/>
      <c r="N1046" t="inlineStr"/>
    </row>
    <row r="1047">
      <c r="A1047" t="inlineStr">
        <is>
          <t>fi-helsinki</t>
        </is>
      </c>
      <c r="B1047" t="inlineStr">
        <is>
          <t>Helsinki</t>
        </is>
      </c>
      <c r="C1047" t="inlineStr">
        <is>
          <t>Finland</t>
        </is>
      </c>
      <c r="D1047" t="inlineStr">
        <is>
          <t>Western and Northern Europe</t>
        </is>
      </c>
      <c r="E1047" t="inlineStr">
        <is>
          <t>food_cost</t>
        </is>
      </c>
      <c r="F1047" t="inlineStr">
        <is>
          <t>Food cost</t>
        </is>
      </c>
      <c r="G1047" t="inlineStr">
        <is>
          <t>pressure</t>
        </is>
      </c>
      <c r="H1047" t="inlineStr">
        <is>
          <t>yes</t>
        </is>
      </c>
      <c r="I1047" t="inlineStr"/>
      <c r="J1047" t="inlineStr"/>
      <c r="K1047" t="inlineStr"/>
      <c r="L1047" t="inlineStr"/>
      <c r="M1047" t="inlineStr"/>
      <c r="N1047" t="inlineStr"/>
    </row>
    <row r="1048">
      <c r="A1048" t="inlineStr">
        <is>
          <t>fi-helsinki</t>
        </is>
      </c>
      <c r="B1048" t="inlineStr">
        <is>
          <t>Helsinki</t>
        </is>
      </c>
      <c r="C1048" t="inlineStr">
        <is>
          <t>Finland</t>
        </is>
      </c>
      <c r="D1048" t="inlineStr">
        <is>
          <t>Western and Northern Europe</t>
        </is>
      </c>
      <c r="E1048" t="inlineStr">
        <is>
          <t>housing_burden_raw</t>
        </is>
      </c>
      <c r="F1048" t="inlineStr">
        <is>
          <t>Housing burden raw</t>
        </is>
      </c>
      <c r="G1048" t="inlineStr">
        <is>
          <t>pressure</t>
        </is>
      </c>
      <c r="H1048" t="inlineStr">
        <is>
          <t>yes</t>
        </is>
      </c>
      <c r="I1048" t="inlineStr"/>
      <c r="J1048" t="inlineStr"/>
      <c r="K1048" t="inlineStr"/>
      <c r="L1048" t="inlineStr"/>
      <c r="M1048" t="inlineStr"/>
      <c r="N1048" t="inlineStr"/>
    </row>
    <row r="1049">
      <c r="A1049" t="inlineStr">
        <is>
          <t>fi-helsinki</t>
        </is>
      </c>
      <c r="B1049" t="inlineStr">
        <is>
          <t>Helsinki</t>
        </is>
      </c>
      <c r="C1049" t="inlineStr">
        <is>
          <t>Finland</t>
        </is>
      </c>
      <c r="D1049" t="inlineStr">
        <is>
          <t>Western and Northern Europe</t>
        </is>
      </c>
      <c r="E1049" t="inlineStr">
        <is>
          <t>household_debt_burden_raw</t>
        </is>
      </c>
      <c r="F1049" t="inlineStr">
        <is>
          <t>Household debt burden raw</t>
        </is>
      </c>
      <c r="G1049" t="inlineStr">
        <is>
          <t>pressure</t>
        </is>
      </c>
      <c r="H1049" t="inlineStr">
        <is>
          <t>yes</t>
        </is>
      </c>
      <c r="I1049" t="inlineStr"/>
      <c r="J1049" t="inlineStr"/>
      <c r="K1049" t="inlineStr"/>
      <c r="L1049" t="inlineStr"/>
      <c r="M1049" t="inlineStr"/>
      <c r="N1049" t="inlineStr"/>
    </row>
    <row r="1050">
      <c r="A1050" t="inlineStr">
        <is>
          <t>fi-helsinki</t>
        </is>
      </c>
      <c r="B1050" t="inlineStr">
        <is>
          <t>Helsinki</t>
        </is>
      </c>
      <c r="C1050" t="inlineStr">
        <is>
          <t>Finland</t>
        </is>
      </c>
      <c r="D1050" t="inlineStr">
        <is>
          <t>Western and Northern Europe</t>
        </is>
      </c>
      <c r="E1050" t="inlineStr">
        <is>
          <t>working_time_pressure_raw</t>
        </is>
      </c>
      <c r="F1050" t="inlineStr">
        <is>
          <t>Working time pressure raw</t>
        </is>
      </c>
      <c r="G1050" t="inlineStr">
        <is>
          <t>pressure</t>
        </is>
      </c>
      <c r="H1050" t="inlineStr">
        <is>
          <t>yes</t>
        </is>
      </c>
      <c r="I1050" t="inlineStr"/>
      <c r="J1050" t="inlineStr"/>
      <c r="K1050" t="inlineStr"/>
      <c r="L1050" t="inlineStr"/>
      <c r="M1050" t="inlineStr"/>
      <c r="N1050" t="inlineStr"/>
    </row>
    <row r="1051">
      <c r="A1051" t="inlineStr">
        <is>
          <t>fi-helsinki</t>
        </is>
      </c>
      <c r="B1051" t="inlineStr">
        <is>
          <t>Helsinki</t>
        </is>
      </c>
      <c r="C1051" t="inlineStr">
        <is>
          <t>Finland</t>
        </is>
      </c>
      <c r="D1051" t="inlineStr">
        <is>
          <t>Western and Northern Europe</t>
        </is>
      </c>
      <c r="E1051" t="inlineStr">
        <is>
          <t>suicide_mental_strain_raw</t>
        </is>
      </c>
      <c r="F1051" t="inlineStr">
        <is>
          <t>Suicide or mental strain raw</t>
        </is>
      </c>
      <c r="G1051" t="inlineStr">
        <is>
          <t>pressure</t>
        </is>
      </c>
      <c r="H1051" t="inlineStr">
        <is>
          <t>yes</t>
        </is>
      </c>
      <c r="I1051" t="inlineStr"/>
      <c r="J1051" t="inlineStr"/>
      <c r="K1051" t="inlineStr"/>
      <c r="L1051" t="inlineStr"/>
      <c r="M1051" t="inlineStr"/>
      <c r="N1051" t="inlineStr"/>
    </row>
    <row r="1052">
      <c r="A1052" t="inlineStr">
        <is>
          <t>fi-helsinki</t>
        </is>
      </c>
      <c r="B1052" t="inlineStr">
        <is>
          <t>Helsinki</t>
        </is>
      </c>
      <c r="C1052" t="inlineStr">
        <is>
          <t>Finland</t>
        </is>
      </c>
      <c r="D1052" t="inlineStr">
        <is>
          <t>Western and Northern Europe</t>
        </is>
      </c>
      <c r="E1052" t="inlineStr">
        <is>
          <t>personal_safety_raw</t>
        </is>
      </c>
      <c r="F1052" t="inlineStr">
        <is>
          <t>Personal safety raw</t>
        </is>
      </c>
      <c r="G1052" t="inlineStr">
        <is>
          <t>viability</t>
        </is>
      </c>
      <c r="H1052" t="inlineStr">
        <is>
          <t>yes</t>
        </is>
      </c>
      <c r="I1052" t="inlineStr"/>
      <c r="J1052" t="inlineStr"/>
      <c r="K1052" t="inlineStr"/>
      <c r="L1052" t="inlineStr"/>
      <c r="M1052" t="inlineStr"/>
      <c r="N1052" t="inlineStr"/>
    </row>
    <row r="1053">
      <c r="A1053" t="inlineStr">
        <is>
          <t>fi-helsinki</t>
        </is>
      </c>
      <c r="B1053" t="inlineStr">
        <is>
          <t>Helsinki</t>
        </is>
      </c>
      <c r="C1053" t="inlineStr">
        <is>
          <t>Finland</t>
        </is>
      </c>
      <c r="D1053" t="inlineStr">
        <is>
          <t>Western and Northern Europe</t>
        </is>
      </c>
      <c r="E1053" t="inlineStr">
        <is>
          <t>transit_access_commute_raw</t>
        </is>
      </c>
      <c r="F1053" t="inlineStr">
        <is>
          <t>Transit access and commute raw</t>
        </is>
      </c>
      <c r="G1053" t="inlineStr">
        <is>
          <t>viability</t>
        </is>
      </c>
      <c r="H1053" t="inlineStr">
        <is>
          <t>yes</t>
        </is>
      </c>
      <c r="I1053" t="inlineStr"/>
      <c r="J1053" t="inlineStr"/>
      <c r="K1053" t="inlineStr"/>
      <c r="L1053" t="inlineStr"/>
      <c r="M1053" t="inlineStr"/>
      <c r="N1053" t="inlineStr"/>
    </row>
    <row r="1054">
      <c r="A1054" t="inlineStr">
        <is>
          <t>fi-helsinki</t>
        </is>
      </c>
      <c r="B1054" t="inlineStr">
        <is>
          <t>Helsinki</t>
        </is>
      </c>
      <c r="C1054" t="inlineStr">
        <is>
          <t>Finland</t>
        </is>
      </c>
      <c r="D1054" t="inlineStr">
        <is>
          <t>Western and Northern Europe</t>
        </is>
      </c>
      <c r="E1054" t="inlineStr">
        <is>
          <t>clean_air_raw</t>
        </is>
      </c>
      <c r="F1054" t="inlineStr">
        <is>
          <t>Clean air raw</t>
        </is>
      </c>
      <c r="G1054" t="inlineStr">
        <is>
          <t>viability</t>
        </is>
      </c>
      <c r="H1054" t="inlineStr">
        <is>
          <t>yes</t>
        </is>
      </c>
      <c r="I1054" t="inlineStr"/>
      <c r="J1054" t="inlineStr"/>
      <c r="K1054" t="inlineStr"/>
      <c r="L1054" t="inlineStr"/>
      <c r="M1054" t="inlineStr"/>
      <c r="N1054" t="inlineStr"/>
    </row>
    <row r="1055">
      <c r="A1055" t="inlineStr">
        <is>
          <t>fi-helsinki</t>
        </is>
      </c>
      <c r="B1055" t="inlineStr">
        <is>
          <t>Helsinki</t>
        </is>
      </c>
      <c r="C1055" t="inlineStr">
        <is>
          <t>Finland</t>
        </is>
      </c>
      <c r="D1055" t="inlineStr">
        <is>
          <t>Western and Northern Europe</t>
        </is>
      </c>
      <c r="E1055" t="inlineStr">
        <is>
          <t>water_sanitation_utility_raw</t>
        </is>
      </c>
      <c r="F1055" t="inlineStr">
        <is>
          <t>Water, sanitation, and utility raw</t>
        </is>
      </c>
      <c r="G1055" t="inlineStr">
        <is>
          <t>viability</t>
        </is>
      </c>
      <c r="H1055" t="inlineStr">
        <is>
          <t>yes</t>
        </is>
      </c>
      <c r="I1055" t="inlineStr"/>
      <c r="J1055" t="inlineStr"/>
      <c r="K1055" t="inlineStr"/>
      <c r="L1055" t="inlineStr"/>
      <c r="M1055" t="inlineStr"/>
      <c r="N1055" t="inlineStr"/>
    </row>
    <row r="1056">
      <c r="A1056" t="inlineStr">
        <is>
          <t>fi-helsinki</t>
        </is>
      </c>
      <c r="B1056" t="inlineStr">
        <is>
          <t>Helsinki</t>
        </is>
      </c>
      <c r="C1056" t="inlineStr">
        <is>
          <t>Finland</t>
        </is>
      </c>
      <c r="D1056" t="inlineStr">
        <is>
          <t>Western and Northern Europe</t>
        </is>
      </c>
      <c r="E1056" t="inlineStr">
        <is>
          <t>digital_infrastructure_raw</t>
        </is>
      </c>
      <c r="F1056" t="inlineStr">
        <is>
          <t>Digital infrastructure raw</t>
        </is>
      </c>
      <c r="G1056" t="inlineStr">
        <is>
          <t>viability</t>
        </is>
      </c>
      <c r="H1056" t="inlineStr">
        <is>
          <t>yes</t>
        </is>
      </c>
      <c r="I1056" t="inlineStr"/>
      <c r="J1056" t="inlineStr"/>
      <c r="K1056" t="inlineStr"/>
      <c r="L1056" t="inlineStr"/>
      <c r="M1056" t="inlineStr"/>
      <c r="N1056" t="inlineStr"/>
    </row>
    <row r="1057">
      <c r="A1057" t="inlineStr">
        <is>
          <t>fi-helsinki</t>
        </is>
      </c>
      <c r="B1057" t="inlineStr">
        <is>
          <t>Helsinki</t>
        </is>
      </c>
      <c r="C1057" t="inlineStr">
        <is>
          <t>Finland</t>
        </is>
      </c>
      <c r="D1057" t="inlineStr">
        <is>
          <t>Western and Northern Europe</t>
        </is>
      </c>
      <c r="E1057" t="inlineStr">
        <is>
          <t>healthcare_quality_raw</t>
        </is>
      </c>
      <c r="F1057" t="inlineStr">
        <is>
          <t>Healthcare quality raw</t>
        </is>
      </c>
      <c r="G1057" t="inlineStr">
        <is>
          <t>capability</t>
        </is>
      </c>
      <c r="H1057" t="inlineStr">
        <is>
          <t>yes</t>
        </is>
      </c>
      <c r="I1057" t="inlineStr"/>
      <c r="J1057" t="inlineStr"/>
      <c r="K1057" t="inlineStr"/>
      <c r="L1057" t="inlineStr"/>
      <c r="M1057" t="inlineStr"/>
      <c r="N1057" t="inlineStr"/>
    </row>
    <row r="1058">
      <c r="A1058" t="inlineStr">
        <is>
          <t>fi-helsinki</t>
        </is>
      </c>
      <c r="B1058" t="inlineStr">
        <is>
          <t>Helsinki</t>
        </is>
      </c>
      <c r="C1058" t="inlineStr">
        <is>
          <t>Finland</t>
        </is>
      </c>
      <c r="D1058" t="inlineStr">
        <is>
          <t>Western and Northern Europe</t>
        </is>
      </c>
      <c r="E1058" t="inlineStr">
        <is>
          <t>education_quality_raw</t>
        </is>
      </c>
      <c r="F1058" t="inlineStr">
        <is>
          <t>Education quality raw</t>
        </is>
      </c>
      <c r="G1058" t="inlineStr">
        <is>
          <t>capability</t>
        </is>
      </c>
      <c r="H1058" t="inlineStr">
        <is>
          <t>yes</t>
        </is>
      </c>
      <c r="I1058" t="inlineStr"/>
      <c r="J1058" t="inlineStr"/>
      <c r="K1058" t="inlineStr"/>
      <c r="L1058" t="inlineStr"/>
      <c r="M1058" t="inlineStr"/>
      <c r="N1058" t="inlineStr"/>
    </row>
    <row r="1059">
      <c r="A1059" t="inlineStr">
        <is>
          <t>fi-helsinki</t>
        </is>
      </c>
      <c r="B1059" t="inlineStr">
        <is>
          <t>Helsinki</t>
        </is>
      </c>
      <c r="C1059" t="inlineStr">
        <is>
          <t>Finland</t>
        </is>
      </c>
      <c r="D1059" t="inlineStr">
        <is>
          <t>Western and Northern Europe</t>
        </is>
      </c>
      <c r="E1059" t="inlineStr">
        <is>
          <t>equal_opportunity_raw</t>
        </is>
      </c>
      <c r="F1059" t="inlineStr">
        <is>
          <t>Equal opportunity raw</t>
        </is>
      </c>
      <c r="G1059" t="inlineStr">
        <is>
          <t>capability</t>
        </is>
      </c>
      <c r="H1059" t="inlineStr">
        <is>
          <t>yes</t>
        </is>
      </c>
      <c r="I1059" t="inlineStr"/>
      <c r="J1059" t="inlineStr"/>
      <c r="K1059" t="inlineStr"/>
      <c r="L1059" t="inlineStr"/>
      <c r="M1059" t="inlineStr"/>
      <c r="N1059" t="inlineStr"/>
    </row>
    <row r="1060">
      <c r="A1060" t="inlineStr">
        <is>
          <t>fi-helsinki</t>
        </is>
      </c>
      <c r="B1060" t="inlineStr">
        <is>
          <t>Helsinki</t>
        </is>
      </c>
      <c r="C1060" t="inlineStr">
        <is>
          <t>Finland</t>
        </is>
      </c>
      <c r="D1060" t="inlineStr">
        <is>
          <t>Western and Northern Europe</t>
        </is>
      </c>
      <c r="E1060" t="inlineStr">
        <is>
          <t>hospitality_belonging_raw</t>
        </is>
      </c>
      <c r="F1060" t="inlineStr">
        <is>
          <t>Hospitality and belonging raw</t>
        </is>
      </c>
      <c r="G1060" t="inlineStr">
        <is>
          <t>community</t>
        </is>
      </c>
      <c r="H1060" t="inlineStr">
        <is>
          <t>yes</t>
        </is>
      </c>
      <c r="I1060" t="inlineStr"/>
      <c r="J1060" t="inlineStr"/>
      <c r="K1060" t="inlineStr"/>
      <c r="L1060" t="inlineStr"/>
      <c r="M1060" t="inlineStr"/>
      <c r="N1060" t="inlineStr"/>
    </row>
    <row r="1061">
      <c r="A1061" t="inlineStr">
        <is>
          <t>fi-helsinki</t>
        </is>
      </c>
      <c r="B1061" t="inlineStr">
        <is>
          <t>Helsinki</t>
        </is>
      </c>
      <c r="C1061" t="inlineStr">
        <is>
          <t>Finland</t>
        </is>
      </c>
      <c r="D1061" t="inlineStr">
        <is>
          <t>Western and Northern Europe</t>
        </is>
      </c>
      <c r="E1061" t="inlineStr">
        <is>
          <t>tolerance_pluralism_raw</t>
        </is>
      </c>
      <c r="F1061" t="inlineStr">
        <is>
          <t>Tolerance and pluralism raw</t>
        </is>
      </c>
      <c r="G1061" t="inlineStr">
        <is>
          <t>community</t>
        </is>
      </c>
      <c r="H1061" t="inlineStr">
        <is>
          <t>yes</t>
        </is>
      </c>
      <c r="I1061" t="inlineStr"/>
      <c r="J1061" t="inlineStr"/>
      <c r="K1061" t="inlineStr"/>
      <c r="L1061" t="inlineStr"/>
      <c r="M1061" t="inlineStr"/>
      <c r="N1061" t="inlineStr"/>
    </row>
    <row r="1062">
      <c r="A1062" t="inlineStr">
        <is>
          <t>fi-helsinki</t>
        </is>
      </c>
      <c r="B1062" t="inlineStr">
        <is>
          <t>Helsinki</t>
        </is>
      </c>
      <c r="C1062" t="inlineStr">
        <is>
          <t>Finland</t>
        </is>
      </c>
      <c r="D1062" t="inlineStr">
        <is>
          <t>Western and Northern Europe</t>
        </is>
      </c>
      <c r="E1062" t="inlineStr">
        <is>
          <t>cultural_public_life_raw</t>
        </is>
      </c>
      <c r="F1062" t="inlineStr">
        <is>
          <t>Cultural public life raw</t>
        </is>
      </c>
      <c r="G1062" t="inlineStr">
        <is>
          <t>community</t>
        </is>
      </c>
      <c r="H1062" t="inlineStr">
        <is>
          <t>yes</t>
        </is>
      </c>
      <c r="I1062" t="inlineStr"/>
      <c r="J1062" t="inlineStr"/>
      <c r="K1062" t="inlineStr"/>
      <c r="L1062" t="inlineStr"/>
      <c r="M1062" t="inlineStr"/>
      <c r="N1062" t="inlineStr"/>
    </row>
    <row r="1063">
      <c r="A1063" t="inlineStr">
        <is>
          <t>fi-helsinki</t>
        </is>
      </c>
      <c r="B1063" t="inlineStr">
        <is>
          <t>Helsinki</t>
        </is>
      </c>
      <c r="C1063" t="inlineStr">
        <is>
          <t>Finland</t>
        </is>
      </c>
      <c r="D1063" t="inlineStr">
        <is>
          <t>Western and Northern Europe</t>
        </is>
      </c>
      <c r="E1063" t="inlineStr">
        <is>
          <t>entrepreneurial_dynamism_raw</t>
        </is>
      </c>
      <c r="F1063" t="inlineStr">
        <is>
          <t>Entrepreneurial dynamism raw</t>
        </is>
      </c>
      <c r="G1063" t="inlineStr">
        <is>
          <t>creative</t>
        </is>
      </c>
      <c r="H1063" t="inlineStr">
        <is>
          <t>yes</t>
        </is>
      </c>
      <c r="I1063" t="inlineStr"/>
      <c r="J1063" t="inlineStr"/>
      <c r="K1063" t="inlineStr"/>
      <c r="L1063" t="inlineStr"/>
      <c r="M1063" t="inlineStr"/>
      <c r="N1063" t="inlineStr"/>
    </row>
    <row r="1064">
      <c r="A1064" t="inlineStr">
        <is>
          <t>fi-helsinki</t>
        </is>
      </c>
      <c r="B1064" t="inlineStr">
        <is>
          <t>Helsinki</t>
        </is>
      </c>
      <c r="C1064" t="inlineStr">
        <is>
          <t>Finland</t>
        </is>
      </c>
      <c r="D1064" t="inlineStr">
        <is>
          <t>Western and Northern Europe</t>
        </is>
      </c>
      <c r="E1064" t="inlineStr">
        <is>
          <t>innovation_research_intensity_raw</t>
        </is>
      </c>
      <c r="F1064" t="inlineStr">
        <is>
          <t>Innovation and research raw</t>
        </is>
      </c>
      <c r="G1064" t="inlineStr">
        <is>
          <t>creative</t>
        </is>
      </c>
      <c r="H1064" t="inlineStr">
        <is>
          <t>yes</t>
        </is>
      </c>
      <c r="I1064" t="inlineStr"/>
      <c r="J1064" t="inlineStr"/>
      <c r="K1064" t="inlineStr"/>
      <c r="L1064" t="inlineStr"/>
      <c r="M1064" t="inlineStr"/>
      <c r="N1064" t="inlineStr"/>
    </row>
    <row r="1065">
      <c r="A1065" t="inlineStr">
        <is>
          <t>fi-helsinki</t>
        </is>
      </c>
      <c r="B1065" t="inlineStr">
        <is>
          <t>Helsinki</t>
        </is>
      </c>
      <c r="C1065" t="inlineStr">
        <is>
          <t>Finland</t>
        </is>
      </c>
      <c r="D1065" t="inlineStr">
        <is>
          <t>Western and Northern Europe</t>
        </is>
      </c>
      <c r="E1065" t="inlineStr">
        <is>
          <t>investment_signal_raw</t>
        </is>
      </c>
      <c r="F1065" t="inlineStr">
        <is>
          <t>Investment signal raw</t>
        </is>
      </c>
      <c r="G1065" t="inlineStr">
        <is>
          <t>creative</t>
        </is>
      </c>
      <c r="H1065" t="inlineStr">
        <is>
          <t>yes</t>
        </is>
      </c>
      <c r="I1065" t="inlineStr"/>
      <c r="J1065" t="inlineStr"/>
      <c r="K1065" t="inlineStr"/>
      <c r="L1065" t="inlineStr"/>
      <c r="M1065" t="inlineStr"/>
      <c r="N1065" t="inlineStr"/>
    </row>
    <row r="1066">
      <c r="A1066" t="inlineStr">
        <is>
          <t>fi-helsinki</t>
        </is>
      </c>
      <c r="B1066" t="inlineStr">
        <is>
          <t>Helsinki</t>
        </is>
      </c>
      <c r="C1066" t="inlineStr">
        <is>
          <t>Finland</t>
        </is>
      </c>
      <c r="D1066" t="inlineStr">
        <is>
          <t>Western and Northern Europe</t>
        </is>
      </c>
      <c r="E1066" t="inlineStr">
        <is>
          <t>administrative_investment_friction_raw</t>
        </is>
      </c>
      <c r="F1066" t="inlineStr">
        <is>
          <t>Administrative investment friction raw</t>
        </is>
      </c>
      <c r="G1066" t="inlineStr">
        <is>
          <t>creative</t>
        </is>
      </c>
      <c r="H1066" t="inlineStr">
        <is>
          <t>yes</t>
        </is>
      </c>
      <c r="I1066" t="inlineStr"/>
      <c r="J1066" t="inlineStr"/>
      <c r="K1066" t="inlineStr"/>
      <c r="L1066" t="inlineStr"/>
      <c r="M1066" t="inlineStr"/>
      <c r="N1066" t="inlineStr"/>
    </row>
    <row r="1067">
      <c r="A1067" t="inlineStr">
        <is>
          <t>fi-helsinki</t>
        </is>
      </c>
      <c r="B1067" t="inlineStr">
        <is>
          <t>Helsinki</t>
        </is>
      </c>
      <c r="C1067" t="inlineStr">
        <is>
          <t>Finland</t>
        </is>
      </c>
      <c r="D1067" t="inlineStr">
        <is>
          <t>Western and Northern Europe</t>
        </is>
      </c>
      <c r="E1067" t="inlineStr">
        <is>
          <t>visitor_flow_context_raw</t>
        </is>
      </c>
      <c r="F1067" t="inlineStr">
        <is>
          <t>Visitor flow context raw</t>
        </is>
      </c>
      <c r="G1067" t="inlineStr">
        <is>
          <t>creative</t>
        </is>
      </c>
      <c r="H1067" t="inlineStr">
        <is>
          <t>no</t>
        </is>
      </c>
      <c r="I1067" t="inlineStr"/>
      <c r="J1067" t="inlineStr"/>
      <c r="K1067" t="inlineStr"/>
      <c r="L1067" t="inlineStr"/>
      <c r="M1067" t="inlineStr"/>
      <c r="N1067" t="inlineStr"/>
    </row>
    <row r="1068">
      <c r="A1068" t="inlineStr">
        <is>
          <t>it-bologna</t>
        </is>
      </c>
      <c r="B1068" t="inlineStr">
        <is>
          <t>Bologna</t>
        </is>
      </c>
      <c r="C1068" t="inlineStr">
        <is>
          <t>Italy</t>
        </is>
      </c>
      <c r="D1068" t="inlineStr">
        <is>
          <t>Western, Northern, and Southern Europe</t>
        </is>
      </c>
      <c r="E1068" t="inlineStr">
        <is>
          <t>gross_income</t>
        </is>
      </c>
      <c r="F1068" t="inlineStr">
        <is>
          <t>Gross income</t>
        </is>
      </c>
      <c r="G1068" t="inlineStr">
        <is>
          <t>pressure</t>
        </is>
      </c>
      <c r="H1068" t="inlineStr">
        <is>
          <t>yes</t>
        </is>
      </c>
      <c r="I1068" t="inlineStr"/>
      <c r="J1068" t="inlineStr"/>
      <c r="K1068" t="inlineStr"/>
      <c r="L1068" t="inlineStr"/>
      <c r="M1068" t="inlineStr"/>
      <c r="N1068" t="inlineStr"/>
    </row>
    <row r="1069">
      <c r="A1069" t="inlineStr">
        <is>
          <t>it-bologna</t>
        </is>
      </c>
      <c r="B1069" t="inlineStr">
        <is>
          <t>Bologna</t>
        </is>
      </c>
      <c r="C1069" t="inlineStr">
        <is>
          <t>Italy</t>
        </is>
      </c>
      <c r="D1069" t="inlineStr">
        <is>
          <t>Western, Northern, and Southern Europe</t>
        </is>
      </c>
      <c r="E1069" t="inlineStr">
        <is>
          <t>rent</t>
        </is>
      </c>
      <c r="F1069" t="inlineStr">
        <is>
          <t>Rent</t>
        </is>
      </c>
      <c r="G1069" t="inlineStr">
        <is>
          <t>pressure</t>
        </is>
      </c>
      <c r="H1069" t="inlineStr">
        <is>
          <t>yes</t>
        </is>
      </c>
      <c r="I1069" t="inlineStr"/>
      <c r="J1069" t="inlineStr"/>
      <c r="K1069" t="inlineStr"/>
      <c r="L1069" t="inlineStr"/>
      <c r="M1069" t="inlineStr"/>
      <c r="N1069" t="inlineStr"/>
    </row>
    <row r="1070">
      <c r="A1070" t="inlineStr">
        <is>
          <t>it-bologna</t>
        </is>
      </c>
      <c r="B1070" t="inlineStr">
        <is>
          <t>Bologna</t>
        </is>
      </c>
      <c r="C1070" t="inlineStr">
        <is>
          <t>Italy</t>
        </is>
      </c>
      <c r="D1070" t="inlineStr">
        <is>
          <t>Western, Northern, and Southern Europe</t>
        </is>
      </c>
      <c r="E1070" t="inlineStr">
        <is>
          <t>utilities</t>
        </is>
      </c>
      <c r="F1070" t="inlineStr">
        <is>
          <t>Utilities</t>
        </is>
      </c>
      <c r="G1070" t="inlineStr">
        <is>
          <t>pressure</t>
        </is>
      </c>
      <c r="H1070" t="inlineStr">
        <is>
          <t>yes</t>
        </is>
      </c>
      <c r="I1070" t="inlineStr"/>
      <c r="J1070" t="inlineStr"/>
      <c r="K1070" t="inlineStr"/>
      <c r="L1070" t="inlineStr"/>
      <c r="M1070" t="inlineStr"/>
      <c r="N1070" t="inlineStr"/>
    </row>
    <row r="1071">
      <c r="A1071" t="inlineStr">
        <is>
          <t>it-bologna</t>
        </is>
      </c>
      <c r="B1071" t="inlineStr">
        <is>
          <t>Bologna</t>
        </is>
      </c>
      <c r="C1071" t="inlineStr">
        <is>
          <t>Italy</t>
        </is>
      </c>
      <c r="D1071" t="inlineStr">
        <is>
          <t>Western, Northern, and Southern Europe</t>
        </is>
      </c>
      <c r="E1071" t="inlineStr">
        <is>
          <t>transit_cost</t>
        </is>
      </c>
      <c r="F1071" t="inlineStr">
        <is>
          <t>Transit cost</t>
        </is>
      </c>
      <c r="G1071" t="inlineStr">
        <is>
          <t>pressure</t>
        </is>
      </c>
      <c r="H1071" t="inlineStr">
        <is>
          <t>yes</t>
        </is>
      </c>
      <c r="I1071" t="inlineStr"/>
      <c r="J1071" t="inlineStr"/>
      <c r="K1071" t="inlineStr"/>
      <c r="L1071" t="inlineStr"/>
      <c r="M1071" t="inlineStr"/>
      <c r="N1071" t="inlineStr"/>
    </row>
    <row r="1072">
      <c r="A1072" t="inlineStr">
        <is>
          <t>it-bologna</t>
        </is>
      </c>
      <c r="B1072" t="inlineStr">
        <is>
          <t>Bologna</t>
        </is>
      </c>
      <c r="C1072" t="inlineStr">
        <is>
          <t>Italy</t>
        </is>
      </c>
      <c r="D1072" t="inlineStr">
        <is>
          <t>Western, Northern, and Southern Europe</t>
        </is>
      </c>
      <c r="E1072" t="inlineStr">
        <is>
          <t>internet_cost</t>
        </is>
      </c>
      <c r="F1072" t="inlineStr">
        <is>
          <t>Internet cost</t>
        </is>
      </c>
      <c r="G1072" t="inlineStr">
        <is>
          <t>pressure</t>
        </is>
      </c>
      <c r="H1072" t="inlineStr">
        <is>
          <t>yes</t>
        </is>
      </c>
      <c r="I1072" t="inlineStr"/>
      <c r="J1072" t="inlineStr"/>
      <c r="K1072" t="inlineStr"/>
      <c r="L1072" t="inlineStr"/>
      <c r="M1072" t="inlineStr"/>
      <c r="N1072" t="inlineStr"/>
    </row>
    <row r="1073">
      <c r="A1073" t="inlineStr">
        <is>
          <t>it-bologna</t>
        </is>
      </c>
      <c r="B1073" t="inlineStr">
        <is>
          <t>Bologna</t>
        </is>
      </c>
      <c r="C1073" t="inlineStr">
        <is>
          <t>Italy</t>
        </is>
      </c>
      <c r="D1073" t="inlineStr">
        <is>
          <t>Western, Northern, and Southern Europe</t>
        </is>
      </c>
      <c r="E1073" t="inlineStr">
        <is>
          <t>food_cost</t>
        </is>
      </c>
      <c r="F1073" t="inlineStr">
        <is>
          <t>Food cost</t>
        </is>
      </c>
      <c r="G1073" t="inlineStr">
        <is>
          <t>pressure</t>
        </is>
      </c>
      <c r="H1073" t="inlineStr">
        <is>
          <t>yes</t>
        </is>
      </c>
      <c r="I1073" t="inlineStr"/>
      <c r="J1073" t="inlineStr"/>
      <c r="K1073" t="inlineStr"/>
      <c r="L1073" t="inlineStr"/>
      <c r="M1073" t="inlineStr"/>
      <c r="N1073" t="inlineStr"/>
    </row>
    <row r="1074">
      <c r="A1074" t="inlineStr">
        <is>
          <t>it-bologna</t>
        </is>
      </c>
      <c r="B1074" t="inlineStr">
        <is>
          <t>Bologna</t>
        </is>
      </c>
      <c r="C1074" t="inlineStr">
        <is>
          <t>Italy</t>
        </is>
      </c>
      <c r="D1074" t="inlineStr">
        <is>
          <t>Western, Northern, and Southern Europe</t>
        </is>
      </c>
      <c r="E1074" t="inlineStr">
        <is>
          <t>housing_burden_raw</t>
        </is>
      </c>
      <c r="F1074" t="inlineStr">
        <is>
          <t>Housing burden raw</t>
        </is>
      </c>
      <c r="G1074" t="inlineStr">
        <is>
          <t>pressure</t>
        </is>
      </c>
      <c r="H1074" t="inlineStr">
        <is>
          <t>yes</t>
        </is>
      </c>
      <c r="I1074" t="inlineStr"/>
      <c r="J1074" t="inlineStr"/>
      <c r="K1074" t="inlineStr"/>
      <c r="L1074" t="inlineStr"/>
      <c r="M1074" t="inlineStr"/>
      <c r="N1074" t="inlineStr"/>
    </row>
    <row r="1075">
      <c r="A1075" t="inlineStr">
        <is>
          <t>it-bologna</t>
        </is>
      </c>
      <c r="B1075" t="inlineStr">
        <is>
          <t>Bologna</t>
        </is>
      </c>
      <c r="C1075" t="inlineStr">
        <is>
          <t>Italy</t>
        </is>
      </c>
      <c r="D1075" t="inlineStr">
        <is>
          <t>Western, Northern, and Southern Europe</t>
        </is>
      </c>
      <c r="E1075" t="inlineStr">
        <is>
          <t>household_debt_burden_raw</t>
        </is>
      </c>
      <c r="F1075" t="inlineStr">
        <is>
          <t>Household debt burden raw</t>
        </is>
      </c>
      <c r="G1075" t="inlineStr">
        <is>
          <t>pressure</t>
        </is>
      </c>
      <c r="H1075" t="inlineStr">
        <is>
          <t>yes</t>
        </is>
      </c>
      <c r="I1075" t="inlineStr"/>
      <c r="J1075" t="inlineStr"/>
      <c r="K1075" t="inlineStr"/>
      <c r="L1075" t="inlineStr"/>
      <c r="M1075" t="inlineStr"/>
      <c r="N1075" t="inlineStr"/>
    </row>
    <row r="1076">
      <c r="A1076" t="inlineStr">
        <is>
          <t>it-bologna</t>
        </is>
      </c>
      <c r="B1076" t="inlineStr">
        <is>
          <t>Bologna</t>
        </is>
      </c>
      <c r="C1076" t="inlineStr">
        <is>
          <t>Italy</t>
        </is>
      </c>
      <c r="D1076" t="inlineStr">
        <is>
          <t>Western, Northern, and Southern Europe</t>
        </is>
      </c>
      <c r="E1076" t="inlineStr">
        <is>
          <t>working_time_pressure_raw</t>
        </is>
      </c>
      <c r="F1076" t="inlineStr">
        <is>
          <t>Working time pressure raw</t>
        </is>
      </c>
      <c r="G1076" t="inlineStr">
        <is>
          <t>pressure</t>
        </is>
      </c>
      <c r="H1076" t="inlineStr">
        <is>
          <t>yes</t>
        </is>
      </c>
      <c r="I1076" t="inlineStr"/>
      <c r="J1076" t="inlineStr"/>
      <c r="K1076" t="inlineStr"/>
      <c r="L1076" t="inlineStr"/>
      <c r="M1076" t="inlineStr"/>
      <c r="N1076" t="inlineStr"/>
    </row>
    <row r="1077">
      <c r="A1077" t="inlineStr">
        <is>
          <t>it-bologna</t>
        </is>
      </c>
      <c r="B1077" t="inlineStr">
        <is>
          <t>Bologna</t>
        </is>
      </c>
      <c r="C1077" t="inlineStr">
        <is>
          <t>Italy</t>
        </is>
      </c>
      <c r="D1077" t="inlineStr">
        <is>
          <t>Western, Northern, and Southern Europe</t>
        </is>
      </c>
      <c r="E1077" t="inlineStr">
        <is>
          <t>suicide_mental_strain_raw</t>
        </is>
      </c>
      <c r="F1077" t="inlineStr">
        <is>
          <t>Suicide or mental strain raw</t>
        </is>
      </c>
      <c r="G1077" t="inlineStr">
        <is>
          <t>pressure</t>
        </is>
      </c>
      <c r="H1077" t="inlineStr">
        <is>
          <t>yes</t>
        </is>
      </c>
      <c r="I1077" t="inlineStr"/>
      <c r="J1077" t="inlineStr"/>
      <c r="K1077" t="inlineStr"/>
      <c r="L1077" t="inlineStr"/>
      <c r="M1077" t="inlineStr"/>
      <c r="N1077" t="inlineStr"/>
    </row>
    <row r="1078">
      <c r="A1078" t="inlineStr">
        <is>
          <t>it-bologna</t>
        </is>
      </c>
      <c r="B1078" t="inlineStr">
        <is>
          <t>Bologna</t>
        </is>
      </c>
      <c r="C1078" t="inlineStr">
        <is>
          <t>Italy</t>
        </is>
      </c>
      <c r="D1078" t="inlineStr">
        <is>
          <t>Western, Northern, and Southern Europe</t>
        </is>
      </c>
      <c r="E1078" t="inlineStr">
        <is>
          <t>personal_safety_raw</t>
        </is>
      </c>
      <c r="F1078" t="inlineStr">
        <is>
          <t>Personal safety raw</t>
        </is>
      </c>
      <c r="G1078" t="inlineStr">
        <is>
          <t>viability</t>
        </is>
      </c>
      <c r="H1078" t="inlineStr">
        <is>
          <t>yes</t>
        </is>
      </c>
      <c r="I1078" t="inlineStr"/>
      <c r="J1078" t="inlineStr"/>
      <c r="K1078" t="inlineStr"/>
      <c r="L1078" t="inlineStr"/>
      <c r="M1078" t="inlineStr"/>
      <c r="N1078" t="inlineStr"/>
    </row>
    <row r="1079">
      <c r="A1079" t="inlineStr">
        <is>
          <t>it-bologna</t>
        </is>
      </c>
      <c r="B1079" t="inlineStr">
        <is>
          <t>Bologna</t>
        </is>
      </c>
      <c r="C1079" t="inlineStr">
        <is>
          <t>Italy</t>
        </is>
      </c>
      <c r="D1079" t="inlineStr">
        <is>
          <t>Western, Northern, and Southern Europe</t>
        </is>
      </c>
      <c r="E1079" t="inlineStr">
        <is>
          <t>transit_access_commute_raw</t>
        </is>
      </c>
      <c r="F1079" t="inlineStr">
        <is>
          <t>Transit access and commute raw</t>
        </is>
      </c>
      <c r="G1079" t="inlineStr">
        <is>
          <t>viability</t>
        </is>
      </c>
      <c r="H1079" t="inlineStr">
        <is>
          <t>yes</t>
        </is>
      </c>
      <c r="I1079" t="inlineStr"/>
      <c r="J1079" t="inlineStr"/>
      <c r="K1079" t="inlineStr"/>
      <c r="L1079" t="inlineStr"/>
      <c r="M1079" t="inlineStr"/>
      <c r="N1079" t="inlineStr"/>
    </row>
    <row r="1080">
      <c r="A1080" t="inlineStr">
        <is>
          <t>it-bologna</t>
        </is>
      </c>
      <c r="B1080" t="inlineStr">
        <is>
          <t>Bologna</t>
        </is>
      </c>
      <c r="C1080" t="inlineStr">
        <is>
          <t>Italy</t>
        </is>
      </c>
      <c r="D1080" t="inlineStr">
        <is>
          <t>Western, Northern, and Southern Europe</t>
        </is>
      </c>
      <c r="E1080" t="inlineStr">
        <is>
          <t>clean_air_raw</t>
        </is>
      </c>
      <c r="F1080" t="inlineStr">
        <is>
          <t>Clean air raw</t>
        </is>
      </c>
      <c r="G1080" t="inlineStr">
        <is>
          <t>viability</t>
        </is>
      </c>
      <c r="H1080" t="inlineStr">
        <is>
          <t>yes</t>
        </is>
      </c>
      <c r="I1080" t="inlineStr"/>
      <c r="J1080" t="inlineStr"/>
      <c r="K1080" t="inlineStr"/>
      <c r="L1080" t="inlineStr"/>
      <c r="M1080" t="inlineStr"/>
      <c r="N1080" t="inlineStr"/>
    </row>
    <row r="1081">
      <c r="A1081" t="inlineStr">
        <is>
          <t>it-bologna</t>
        </is>
      </c>
      <c r="B1081" t="inlineStr">
        <is>
          <t>Bologna</t>
        </is>
      </c>
      <c r="C1081" t="inlineStr">
        <is>
          <t>Italy</t>
        </is>
      </c>
      <c r="D1081" t="inlineStr">
        <is>
          <t>Western, Northern, and Southern Europe</t>
        </is>
      </c>
      <c r="E1081" t="inlineStr">
        <is>
          <t>water_sanitation_utility_raw</t>
        </is>
      </c>
      <c r="F1081" t="inlineStr">
        <is>
          <t>Water, sanitation, and utility raw</t>
        </is>
      </c>
      <c r="G1081" t="inlineStr">
        <is>
          <t>viability</t>
        </is>
      </c>
      <c r="H1081" t="inlineStr">
        <is>
          <t>yes</t>
        </is>
      </c>
      <c r="I1081" t="inlineStr"/>
      <c r="J1081" t="inlineStr"/>
      <c r="K1081" t="inlineStr"/>
      <c r="L1081" t="inlineStr"/>
      <c r="M1081" t="inlineStr"/>
      <c r="N1081" t="inlineStr"/>
    </row>
    <row r="1082">
      <c r="A1082" t="inlineStr">
        <is>
          <t>it-bologna</t>
        </is>
      </c>
      <c r="B1082" t="inlineStr">
        <is>
          <t>Bologna</t>
        </is>
      </c>
      <c r="C1082" t="inlineStr">
        <is>
          <t>Italy</t>
        </is>
      </c>
      <c r="D1082" t="inlineStr">
        <is>
          <t>Western, Northern, and Southern Europe</t>
        </is>
      </c>
      <c r="E1082" t="inlineStr">
        <is>
          <t>digital_infrastructure_raw</t>
        </is>
      </c>
      <c r="F1082" t="inlineStr">
        <is>
          <t>Digital infrastructure raw</t>
        </is>
      </c>
      <c r="G1082" t="inlineStr">
        <is>
          <t>viability</t>
        </is>
      </c>
      <c r="H1082" t="inlineStr">
        <is>
          <t>yes</t>
        </is>
      </c>
      <c r="I1082" t="inlineStr"/>
      <c r="J1082" t="inlineStr"/>
      <c r="K1082" t="inlineStr"/>
      <c r="L1082" t="inlineStr"/>
      <c r="M1082" t="inlineStr"/>
      <c r="N1082" t="inlineStr"/>
    </row>
    <row r="1083">
      <c r="A1083" t="inlineStr">
        <is>
          <t>it-bologna</t>
        </is>
      </c>
      <c r="B1083" t="inlineStr">
        <is>
          <t>Bologna</t>
        </is>
      </c>
      <c r="C1083" t="inlineStr">
        <is>
          <t>Italy</t>
        </is>
      </c>
      <c r="D1083" t="inlineStr">
        <is>
          <t>Western, Northern, and Southern Europe</t>
        </is>
      </c>
      <c r="E1083" t="inlineStr">
        <is>
          <t>healthcare_quality_raw</t>
        </is>
      </c>
      <c r="F1083" t="inlineStr">
        <is>
          <t>Healthcare quality raw</t>
        </is>
      </c>
      <c r="G1083" t="inlineStr">
        <is>
          <t>capability</t>
        </is>
      </c>
      <c r="H1083" t="inlineStr">
        <is>
          <t>yes</t>
        </is>
      </c>
      <c r="I1083" t="inlineStr"/>
      <c r="J1083" t="inlineStr"/>
      <c r="K1083" t="inlineStr"/>
      <c r="L1083" t="inlineStr"/>
      <c r="M1083" t="inlineStr"/>
      <c r="N1083" t="inlineStr"/>
    </row>
    <row r="1084">
      <c r="A1084" t="inlineStr">
        <is>
          <t>it-bologna</t>
        </is>
      </c>
      <c r="B1084" t="inlineStr">
        <is>
          <t>Bologna</t>
        </is>
      </c>
      <c r="C1084" t="inlineStr">
        <is>
          <t>Italy</t>
        </is>
      </c>
      <c r="D1084" t="inlineStr">
        <is>
          <t>Western, Northern, and Southern Europe</t>
        </is>
      </c>
      <c r="E1084" t="inlineStr">
        <is>
          <t>education_quality_raw</t>
        </is>
      </c>
      <c r="F1084" t="inlineStr">
        <is>
          <t>Education quality raw</t>
        </is>
      </c>
      <c r="G1084" t="inlineStr">
        <is>
          <t>capability</t>
        </is>
      </c>
      <c r="H1084" t="inlineStr">
        <is>
          <t>yes</t>
        </is>
      </c>
      <c r="I1084" t="inlineStr"/>
      <c r="J1084" t="inlineStr"/>
      <c r="K1084" t="inlineStr"/>
      <c r="L1084" t="inlineStr"/>
      <c r="M1084" t="inlineStr"/>
      <c r="N1084" t="inlineStr"/>
    </row>
    <row r="1085">
      <c r="A1085" t="inlineStr">
        <is>
          <t>it-bologna</t>
        </is>
      </c>
      <c r="B1085" t="inlineStr">
        <is>
          <t>Bologna</t>
        </is>
      </c>
      <c r="C1085" t="inlineStr">
        <is>
          <t>Italy</t>
        </is>
      </c>
      <c r="D1085" t="inlineStr">
        <is>
          <t>Western, Northern, and Southern Europe</t>
        </is>
      </c>
      <c r="E1085" t="inlineStr">
        <is>
          <t>equal_opportunity_raw</t>
        </is>
      </c>
      <c r="F1085" t="inlineStr">
        <is>
          <t>Equal opportunity raw</t>
        </is>
      </c>
      <c r="G1085" t="inlineStr">
        <is>
          <t>capability</t>
        </is>
      </c>
      <c r="H1085" t="inlineStr">
        <is>
          <t>yes</t>
        </is>
      </c>
      <c r="I1085" t="inlineStr"/>
      <c r="J1085" t="inlineStr"/>
      <c r="K1085" t="inlineStr"/>
      <c r="L1085" t="inlineStr"/>
      <c r="M1085" t="inlineStr"/>
      <c r="N1085" t="inlineStr"/>
    </row>
    <row r="1086">
      <c r="A1086" t="inlineStr">
        <is>
          <t>it-bologna</t>
        </is>
      </c>
      <c r="B1086" t="inlineStr">
        <is>
          <t>Bologna</t>
        </is>
      </c>
      <c r="C1086" t="inlineStr">
        <is>
          <t>Italy</t>
        </is>
      </c>
      <c r="D1086" t="inlineStr">
        <is>
          <t>Western, Northern, and Southern Europe</t>
        </is>
      </c>
      <c r="E1086" t="inlineStr">
        <is>
          <t>hospitality_belonging_raw</t>
        </is>
      </c>
      <c r="F1086" t="inlineStr">
        <is>
          <t>Hospitality and belonging raw</t>
        </is>
      </c>
      <c r="G1086" t="inlineStr">
        <is>
          <t>community</t>
        </is>
      </c>
      <c r="H1086" t="inlineStr">
        <is>
          <t>yes</t>
        </is>
      </c>
      <c r="I1086" t="inlineStr"/>
      <c r="J1086" t="inlineStr"/>
      <c r="K1086" t="inlineStr"/>
      <c r="L1086" t="inlineStr"/>
      <c r="M1086" t="inlineStr"/>
      <c r="N1086" t="inlineStr"/>
    </row>
    <row r="1087">
      <c r="A1087" t="inlineStr">
        <is>
          <t>it-bologna</t>
        </is>
      </c>
      <c r="B1087" t="inlineStr">
        <is>
          <t>Bologna</t>
        </is>
      </c>
      <c r="C1087" t="inlineStr">
        <is>
          <t>Italy</t>
        </is>
      </c>
      <c r="D1087" t="inlineStr">
        <is>
          <t>Western, Northern, and Southern Europe</t>
        </is>
      </c>
      <c r="E1087" t="inlineStr">
        <is>
          <t>tolerance_pluralism_raw</t>
        </is>
      </c>
      <c r="F1087" t="inlineStr">
        <is>
          <t>Tolerance and pluralism raw</t>
        </is>
      </c>
      <c r="G1087" t="inlineStr">
        <is>
          <t>community</t>
        </is>
      </c>
      <c r="H1087" t="inlineStr">
        <is>
          <t>yes</t>
        </is>
      </c>
      <c r="I1087" t="inlineStr"/>
      <c r="J1087" t="inlineStr"/>
      <c r="K1087" t="inlineStr"/>
      <c r="L1087" t="inlineStr"/>
      <c r="M1087" t="inlineStr"/>
      <c r="N1087" t="inlineStr"/>
    </row>
    <row r="1088">
      <c r="A1088" t="inlineStr">
        <is>
          <t>it-bologna</t>
        </is>
      </c>
      <c r="B1088" t="inlineStr">
        <is>
          <t>Bologna</t>
        </is>
      </c>
      <c r="C1088" t="inlineStr">
        <is>
          <t>Italy</t>
        </is>
      </c>
      <c r="D1088" t="inlineStr">
        <is>
          <t>Western, Northern, and Southern Europe</t>
        </is>
      </c>
      <c r="E1088" t="inlineStr">
        <is>
          <t>cultural_public_life_raw</t>
        </is>
      </c>
      <c r="F1088" t="inlineStr">
        <is>
          <t>Cultural public life raw</t>
        </is>
      </c>
      <c r="G1088" t="inlineStr">
        <is>
          <t>community</t>
        </is>
      </c>
      <c r="H1088" t="inlineStr">
        <is>
          <t>yes</t>
        </is>
      </c>
      <c r="I1088" t="inlineStr"/>
      <c r="J1088" t="inlineStr"/>
      <c r="K1088" t="inlineStr"/>
      <c r="L1088" t="inlineStr"/>
      <c r="M1088" t="inlineStr"/>
      <c r="N1088" t="inlineStr"/>
    </row>
    <row r="1089">
      <c r="A1089" t="inlineStr">
        <is>
          <t>it-bologna</t>
        </is>
      </c>
      <c r="B1089" t="inlineStr">
        <is>
          <t>Bologna</t>
        </is>
      </c>
      <c r="C1089" t="inlineStr">
        <is>
          <t>Italy</t>
        </is>
      </c>
      <c r="D1089" t="inlineStr">
        <is>
          <t>Western, Northern, and Southern Europe</t>
        </is>
      </c>
      <c r="E1089" t="inlineStr">
        <is>
          <t>entrepreneurial_dynamism_raw</t>
        </is>
      </c>
      <c r="F1089" t="inlineStr">
        <is>
          <t>Entrepreneurial dynamism raw</t>
        </is>
      </c>
      <c r="G1089" t="inlineStr">
        <is>
          <t>creative</t>
        </is>
      </c>
      <c r="H1089" t="inlineStr">
        <is>
          <t>yes</t>
        </is>
      </c>
      <c r="I1089" t="inlineStr"/>
      <c r="J1089" t="inlineStr"/>
      <c r="K1089" t="inlineStr"/>
      <c r="L1089" t="inlineStr"/>
      <c r="M1089" t="inlineStr"/>
      <c r="N1089" t="inlineStr"/>
    </row>
    <row r="1090">
      <c r="A1090" t="inlineStr">
        <is>
          <t>it-bologna</t>
        </is>
      </c>
      <c r="B1090" t="inlineStr">
        <is>
          <t>Bologna</t>
        </is>
      </c>
      <c r="C1090" t="inlineStr">
        <is>
          <t>Italy</t>
        </is>
      </c>
      <c r="D1090" t="inlineStr">
        <is>
          <t>Western, Northern, and Southern Europe</t>
        </is>
      </c>
      <c r="E1090" t="inlineStr">
        <is>
          <t>innovation_research_intensity_raw</t>
        </is>
      </c>
      <c r="F1090" t="inlineStr">
        <is>
          <t>Innovation and research raw</t>
        </is>
      </c>
      <c r="G1090" t="inlineStr">
        <is>
          <t>creative</t>
        </is>
      </c>
      <c r="H1090" t="inlineStr">
        <is>
          <t>yes</t>
        </is>
      </c>
      <c r="I1090" t="inlineStr"/>
      <c r="J1090" t="inlineStr"/>
      <c r="K1090" t="inlineStr"/>
      <c r="L1090" t="inlineStr"/>
      <c r="M1090" t="inlineStr"/>
      <c r="N1090" t="inlineStr"/>
    </row>
    <row r="1091">
      <c r="A1091" t="inlineStr">
        <is>
          <t>it-bologna</t>
        </is>
      </c>
      <c r="B1091" t="inlineStr">
        <is>
          <t>Bologna</t>
        </is>
      </c>
      <c r="C1091" t="inlineStr">
        <is>
          <t>Italy</t>
        </is>
      </c>
      <c r="D1091" t="inlineStr">
        <is>
          <t>Western, Northern, and Southern Europe</t>
        </is>
      </c>
      <c r="E1091" t="inlineStr">
        <is>
          <t>investment_signal_raw</t>
        </is>
      </c>
      <c r="F1091" t="inlineStr">
        <is>
          <t>Investment signal raw</t>
        </is>
      </c>
      <c r="G1091" t="inlineStr">
        <is>
          <t>creative</t>
        </is>
      </c>
      <c r="H1091" t="inlineStr">
        <is>
          <t>yes</t>
        </is>
      </c>
      <c r="I1091" t="inlineStr"/>
      <c r="J1091" t="inlineStr"/>
      <c r="K1091" t="inlineStr"/>
      <c r="L1091" t="inlineStr"/>
      <c r="M1091" t="inlineStr"/>
      <c r="N1091" t="inlineStr"/>
    </row>
    <row r="1092">
      <c r="A1092" t="inlineStr">
        <is>
          <t>it-bologna</t>
        </is>
      </c>
      <c r="B1092" t="inlineStr">
        <is>
          <t>Bologna</t>
        </is>
      </c>
      <c r="C1092" t="inlineStr">
        <is>
          <t>Italy</t>
        </is>
      </c>
      <c r="D1092" t="inlineStr">
        <is>
          <t>Western, Northern, and Southern Europe</t>
        </is>
      </c>
      <c r="E1092" t="inlineStr">
        <is>
          <t>administrative_investment_friction_raw</t>
        </is>
      </c>
      <c r="F1092" t="inlineStr">
        <is>
          <t>Administrative investment friction raw</t>
        </is>
      </c>
      <c r="G1092" t="inlineStr">
        <is>
          <t>creative</t>
        </is>
      </c>
      <c r="H1092" t="inlineStr">
        <is>
          <t>yes</t>
        </is>
      </c>
      <c r="I1092" t="inlineStr"/>
      <c r="J1092" t="inlineStr"/>
      <c r="K1092" t="inlineStr"/>
      <c r="L1092" t="inlineStr"/>
      <c r="M1092" t="inlineStr"/>
      <c r="N1092" t="inlineStr"/>
    </row>
    <row r="1093">
      <c r="A1093" t="inlineStr">
        <is>
          <t>it-bologna</t>
        </is>
      </c>
      <c r="B1093" t="inlineStr">
        <is>
          <t>Bologna</t>
        </is>
      </c>
      <c r="C1093" t="inlineStr">
        <is>
          <t>Italy</t>
        </is>
      </c>
      <c r="D1093" t="inlineStr">
        <is>
          <t>Western, Northern, and Southern Europe</t>
        </is>
      </c>
      <c r="E1093" t="inlineStr">
        <is>
          <t>visitor_flow_context_raw</t>
        </is>
      </c>
      <c r="F1093" t="inlineStr">
        <is>
          <t>Visitor flow context raw</t>
        </is>
      </c>
      <c r="G1093" t="inlineStr">
        <is>
          <t>creative</t>
        </is>
      </c>
      <c r="H1093" t="inlineStr">
        <is>
          <t>no</t>
        </is>
      </c>
      <c r="I1093" t="inlineStr"/>
      <c r="J1093" t="inlineStr"/>
      <c r="K1093" t="inlineStr"/>
      <c r="L1093" t="inlineStr"/>
      <c r="M1093" t="inlineStr"/>
      <c r="N1093" t="inlineStr"/>
    </row>
    <row r="1094">
      <c r="A1094" t="inlineStr">
        <is>
          <t>ru-moscow</t>
        </is>
      </c>
      <c r="B1094" t="inlineStr">
        <is>
          <t>Moscow</t>
        </is>
      </c>
      <c r="C1094" t="inlineStr">
        <is>
          <t>Russia</t>
        </is>
      </c>
      <c r="D1094" t="inlineStr">
        <is>
          <t>Southern/Eastern Europe and Eurasia</t>
        </is>
      </c>
      <c r="E1094" t="inlineStr">
        <is>
          <t>gross_income</t>
        </is>
      </c>
      <c r="F1094" t="inlineStr">
        <is>
          <t>Gross income</t>
        </is>
      </c>
      <c r="G1094" t="inlineStr">
        <is>
          <t>pressure</t>
        </is>
      </c>
      <c r="H1094" t="inlineStr">
        <is>
          <t>yes</t>
        </is>
      </c>
      <c r="I1094" t="inlineStr"/>
      <c r="J1094" t="inlineStr"/>
      <c r="K1094" t="inlineStr"/>
      <c r="L1094" t="inlineStr"/>
      <c r="M1094" t="inlineStr"/>
      <c r="N1094" t="inlineStr"/>
    </row>
    <row r="1095">
      <c r="A1095" t="inlineStr">
        <is>
          <t>ru-moscow</t>
        </is>
      </c>
      <c r="B1095" t="inlineStr">
        <is>
          <t>Moscow</t>
        </is>
      </c>
      <c r="C1095" t="inlineStr">
        <is>
          <t>Russia</t>
        </is>
      </c>
      <c r="D1095" t="inlineStr">
        <is>
          <t>Southern/Eastern Europe and Eurasia</t>
        </is>
      </c>
      <c r="E1095" t="inlineStr">
        <is>
          <t>rent</t>
        </is>
      </c>
      <c r="F1095" t="inlineStr">
        <is>
          <t>Rent</t>
        </is>
      </c>
      <c r="G1095" t="inlineStr">
        <is>
          <t>pressure</t>
        </is>
      </c>
      <c r="H1095" t="inlineStr">
        <is>
          <t>yes</t>
        </is>
      </c>
      <c r="I1095" t="inlineStr"/>
      <c r="J1095" t="inlineStr"/>
      <c r="K1095" t="inlineStr"/>
      <c r="L1095" t="inlineStr"/>
      <c r="M1095" t="inlineStr"/>
      <c r="N1095" t="inlineStr"/>
    </row>
    <row r="1096">
      <c r="A1096" t="inlineStr">
        <is>
          <t>ru-moscow</t>
        </is>
      </c>
      <c r="B1096" t="inlineStr">
        <is>
          <t>Moscow</t>
        </is>
      </c>
      <c r="C1096" t="inlineStr">
        <is>
          <t>Russia</t>
        </is>
      </c>
      <c r="D1096" t="inlineStr">
        <is>
          <t>Southern/Eastern Europe and Eurasia</t>
        </is>
      </c>
      <c r="E1096" t="inlineStr">
        <is>
          <t>utilities</t>
        </is>
      </c>
      <c r="F1096" t="inlineStr">
        <is>
          <t>Utilities</t>
        </is>
      </c>
      <c r="G1096" t="inlineStr">
        <is>
          <t>pressure</t>
        </is>
      </c>
      <c r="H1096" t="inlineStr">
        <is>
          <t>yes</t>
        </is>
      </c>
      <c r="I1096" t="inlineStr"/>
      <c r="J1096" t="inlineStr"/>
      <c r="K1096" t="inlineStr"/>
      <c r="L1096" t="inlineStr"/>
      <c r="M1096" t="inlineStr"/>
      <c r="N1096" t="inlineStr"/>
    </row>
    <row r="1097">
      <c r="A1097" t="inlineStr">
        <is>
          <t>ru-moscow</t>
        </is>
      </c>
      <c r="B1097" t="inlineStr">
        <is>
          <t>Moscow</t>
        </is>
      </c>
      <c r="C1097" t="inlineStr">
        <is>
          <t>Russia</t>
        </is>
      </c>
      <c r="D1097" t="inlineStr">
        <is>
          <t>Southern/Eastern Europe and Eurasia</t>
        </is>
      </c>
      <c r="E1097" t="inlineStr">
        <is>
          <t>transit_cost</t>
        </is>
      </c>
      <c r="F1097" t="inlineStr">
        <is>
          <t>Transit cost</t>
        </is>
      </c>
      <c r="G1097" t="inlineStr">
        <is>
          <t>pressure</t>
        </is>
      </c>
      <c r="H1097" t="inlineStr">
        <is>
          <t>yes</t>
        </is>
      </c>
      <c r="I1097" t="inlineStr"/>
      <c r="J1097" t="inlineStr"/>
      <c r="K1097" t="inlineStr"/>
      <c r="L1097" t="inlineStr"/>
      <c r="M1097" t="inlineStr"/>
      <c r="N1097" t="inlineStr"/>
    </row>
    <row r="1098">
      <c r="A1098" t="inlineStr">
        <is>
          <t>ru-moscow</t>
        </is>
      </c>
      <c r="B1098" t="inlineStr">
        <is>
          <t>Moscow</t>
        </is>
      </c>
      <c r="C1098" t="inlineStr">
        <is>
          <t>Russia</t>
        </is>
      </c>
      <c r="D1098" t="inlineStr">
        <is>
          <t>Southern/Eastern Europe and Eurasia</t>
        </is>
      </c>
      <c r="E1098" t="inlineStr">
        <is>
          <t>internet_cost</t>
        </is>
      </c>
      <c r="F1098" t="inlineStr">
        <is>
          <t>Internet cost</t>
        </is>
      </c>
      <c r="G1098" t="inlineStr">
        <is>
          <t>pressure</t>
        </is>
      </c>
      <c r="H1098" t="inlineStr">
        <is>
          <t>yes</t>
        </is>
      </c>
      <c r="I1098" t="inlineStr"/>
      <c r="J1098" t="inlineStr"/>
      <c r="K1098" t="inlineStr"/>
      <c r="L1098" t="inlineStr"/>
      <c r="M1098" t="inlineStr"/>
      <c r="N1098" t="inlineStr"/>
    </row>
    <row r="1099">
      <c r="A1099" t="inlineStr">
        <is>
          <t>ru-moscow</t>
        </is>
      </c>
      <c r="B1099" t="inlineStr">
        <is>
          <t>Moscow</t>
        </is>
      </c>
      <c r="C1099" t="inlineStr">
        <is>
          <t>Russia</t>
        </is>
      </c>
      <c r="D1099" t="inlineStr">
        <is>
          <t>Southern/Eastern Europe and Eurasia</t>
        </is>
      </c>
      <c r="E1099" t="inlineStr">
        <is>
          <t>food_cost</t>
        </is>
      </c>
      <c r="F1099" t="inlineStr">
        <is>
          <t>Food cost</t>
        </is>
      </c>
      <c r="G1099" t="inlineStr">
        <is>
          <t>pressure</t>
        </is>
      </c>
      <c r="H1099" t="inlineStr">
        <is>
          <t>yes</t>
        </is>
      </c>
      <c r="I1099" t="inlineStr"/>
      <c r="J1099" t="inlineStr"/>
      <c r="K1099" t="inlineStr"/>
      <c r="L1099" t="inlineStr"/>
      <c r="M1099" t="inlineStr"/>
      <c r="N1099" t="inlineStr"/>
    </row>
    <row r="1100">
      <c r="A1100" t="inlineStr">
        <is>
          <t>ru-moscow</t>
        </is>
      </c>
      <c r="B1100" t="inlineStr">
        <is>
          <t>Moscow</t>
        </is>
      </c>
      <c r="C1100" t="inlineStr">
        <is>
          <t>Russia</t>
        </is>
      </c>
      <c r="D1100" t="inlineStr">
        <is>
          <t>Southern/Eastern Europe and Eurasia</t>
        </is>
      </c>
      <c r="E1100" t="inlineStr">
        <is>
          <t>housing_burden_raw</t>
        </is>
      </c>
      <c r="F1100" t="inlineStr">
        <is>
          <t>Housing burden raw</t>
        </is>
      </c>
      <c r="G1100" t="inlineStr">
        <is>
          <t>pressure</t>
        </is>
      </c>
      <c r="H1100" t="inlineStr">
        <is>
          <t>yes</t>
        </is>
      </c>
      <c r="I1100" t="inlineStr"/>
      <c r="J1100" t="inlineStr"/>
      <c r="K1100" t="inlineStr"/>
      <c r="L1100" t="inlineStr"/>
      <c r="M1100" t="inlineStr"/>
      <c r="N1100" t="inlineStr"/>
    </row>
    <row r="1101">
      <c r="A1101" t="inlineStr">
        <is>
          <t>ru-moscow</t>
        </is>
      </c>
      <c r="B1101" t="inlineStr">
        <is>
          <t>Moscow</t>
        </is>
      </c>
      <c r="C1101" t="inlineStr">
        <is>
          <t>Russia</t>
        </is>
      </c>
      <c r="D1101" t="inlineStr">
        <is>
          <t>Southern/Eastern Europe and Eurasia</t>
        </is>
      </c>
      <c r="E1101" t="inlineStr">
        <is>
          <t>household_debt_burden_raw</t>
        </is>
      </c>
      <c r="F1101" t="inlineStr">
        <is>
          <t>Household debt burden raw</t>
        </is>
      </c>
      <c r="G1101" t="inlineStr">
        <is>
          <t>pressure</t>
        </is>
      </c>
      <c r="H1101" t="inlineStr">
        <is>
          <t>yes</t>
        </is>
      </c>
      <c r="I1101" t="inlineStr"/>
      <c r="J1101" t="inlineStr"/>
      <c r="K1101" t="inlineStr"/>
      <c r="L1101" t="inlineStr"/>
      <c r="M1101" t="inlineStr"/>
      <c r="N1101" t="inlineStr"/>
    </row>
    <row r="1102">
      <c r="A1102" t="inlineStr">
        <is>
          <t>ru-moscow</t>
        </is>
      </c>
      <c r="B1102" t="inlineStr">
        <is>
          <t>Moscow</t>
        </is>
      </c>
      <c r="C1102" t="inlineStr">
        <is>
          <t>Russia</t>
        </is>
      </c>
      <c r="D1102" t="inlineStr">
        <is>
          <t>Southern/Eastern Europe and Eurasia</t>
        </is>
      </c>
      <c r="E1102" t="inlineStr">
        <is>
          <t>working_time_pressure_raw</t>
        </is>
      </c>
      <c r="F1102" t="inlineStr">
        <is>
          <t>Working time pressure raw</t>
        </is>
      </c>
      <c r="G1102" t="inlineStr">
        <is>
          <t>pressure</t>
        </is>
      </c>
      <c r="H1102" t="inlineStr">
        <is>
          <t>yes</t>
        </is>
      </c>
      <c r="I1102" t="inlineStr"/>
      <c r="J1102" t="inlineStr"/>
      <c r="K1102" t="inlineStr"/>
      <c r="L1102" t="inlineStr"/>
      <c r="M1102" t="inlineStr"/>
      <c r="N1102" t="inlineStr"/>
    </row>
    <row r="1103">
      <c r="A1103" t="inlineStr">
        <is>
          <t>ru-moscow</t>
        </is>
      </c>
      <c r="B1103" t="inlineStr">
        <is>
          <t>Moscow</t>
        </is>
      </c>
      <c r="C1103" t="inlineStr">
        <is>
          <t>Russia</t>
        </is>
      </c>
      <c r="D1103" t="inlineStr">
        <is>
          <t>Southern/Eastern Europe and Eurasia</t>
        </is>
      </c>
      <c r="E1103" t="inlineStr">
        <is>
          <t>suicide_mental_strain_raw</t>
        </is>
      </c>
      <c r="F1103" t="inlineStr">
        <is>
          <t>Suicide or mental strain raw</t>
        </is>
      </c>
      <c r="G1103" t="inlineStr">
        <is>
          <t>pressure</t>
        </is>
      </c>
      <c r="H1103" t="inlineStr">
        <is>
          <t>yes</t>
        </is>
      </c>
      <c r="I1103" t="inlineStr"/>
      <c r="J1103" t="inlineStr"/>
      <c r="K1103" t="inlineStr"/>
      <c r="L1103" t="inlineStr"/>
      <c r="M1103" t="inlineStr"/>
      <c r="N1103" t="inlineStr"/>
    </row>
    <row r="1104">
      <c r="A1104" t="inlineStr">
        <is>
          <t>ru-moscow</t>
        </is>
      </c>
      <c r="B1104" t="inlineStr">
        <is>
          <t>Moscow</t>
        </is>
      </c>
      <c r="C1104" t="inlineStr">
        <is>
          <t>Russia</t>
        </is>
      </c>
      <c r="D1104" t="inlineStr">
        <is>
          <t>Southern/Eastern Europe and Eurasia</t>
        </is>
      </c>
      <c r="E1104" t="inlineStr">
        <is>
          <t>personal_safety_raw</t>
        </is>
      </c>
      <c r="F1104" t="inlineStr">
        <is>
          <t>Personal safety raw</t>
        </is>
      </c>
      <c r="G1104" t="inlineStr">
        <is>
          <t>viability</t>
        </is>
      </c>
      <c r="H1104" t="inlineStr">
        <is>
          <t>yes</t>
        </is>
      </c>
      <c r="I1104" t="inlineStr"/>
      <c r="J1104" t="inlineStr"/>
      <c r="K1104" t="inlineStr"/>
      <c r="L1104" t="inlineStr"/>
      <c r="M1104" t="inlineStr"/>
      <c r="N1104" t="inlineStr"/>
    </row>
    <row r="1105">
      <c r="A1105" t="inlineStr">
        <is>
          <t>ru-moscow</t>
        </is>
      </c>
      <c r="B1105" t="inlineStr">
        <is>
          <t>Moscow</t>
        </is>
      </c>
      <c r="C1105" t="inlineStr">
        <is>
          <t>Russia</t>
        </is>
      </c>
      <c r="D1105" t="inlineStr">
        <is>
          <t>Southern/Eastern Europe and Eurasia</t>
        </is>
      </c>
      <c r="E1105" t="inlineStr">
        <is>
          <t>transit_access_commute_raw</t>
        </is>
      </c>
      <c r="F1105" t="inlineStr">
        <is>
          <t>Transit access and commute raw</t>
        </is>
      </c>
      <c r="G1105" t="inlineStr">
        <is>
          <t>viability</t>
        </is>
      </c>
      <c r="H1105" t="inlineStr">
        <is>
          <t>yes</t>
        </is>
      </c>
      <c r="I1105" t="inlineStr"/>
      <c r="J1105" t="inlineStr"/>
      <c r="K1105" t="inlineStr"/>
      <c r="L1105" t="inlineStr"/>
      <c r="M1105" t="inlineStr"/>
      <c r="N1105" t="inlineStr"/>
    </row>
    <row r="1106">
      <c r="A1106" t="inlineStr">
        <is>
          <t>ru-moscow</t>
        </is>
      </c>
      <c r="B1106" t="inlineStr">
        <is>
          <t>Moscow</t>
        </is>
      </c>
      <c r="C1106" t="inlineStr">
        <is>
          <t>Russia</t>
        </is>
      </c>
      <c r="D1106" t="inlineStr">
        <is>
          <t>Southern/Eastern Europe and Eurasia</t>
        </is>
      </c>
      <c r="E1106" t="inlineStr">
        <is>
          <t>clean_air_raw</t>
        </is>
      </c>
      <c r="F1106" t="inlineStr">
        <is>
          <t>Clean air raw</t>
        </is>
      </c>
      <c r="G1106" t="inlineStr">
        <is>
          <t>viability</t>
        </is>
      </c>
      <c r="H1106" t="inlineStr">
        <is>
          <t>yes</t>
        </is>
      </c>
      <c r="I1106" t="inlineStr"/>
      <c r="J1106" t="inlineStr"/>
      <c r="K1106" t="inlineStr"/>
      <c r="L1106" t="inlineStr"/>
      <c r="M1106" t="inlineStr"/>
      <c r="N1106" t="inlineStr"/>
    </row>
    <row r="1107">
      <c r="A1107" t="inlineStr">
        <is>
          <t>ru-moscow</t>
        </is>
      </c>
      <c r="B1107" t="inlineStr">
        <is>
          <t>Moscow</t>
        </is>
      </c>
      <c r="C1107" t="inlineStr">
        <is>
          <t>Russia</t>
        </is>
      </c>
      <c r="D1107" t="inlineStr">
        <is>
          <t>Southern/Eastern Europe and Eurasia</t>
        </is>
      </c>
      <c r="E1107" t="inlineStr">
        <is>
          <t>water_sanitation_utility_raw</t>
        </is>
      </c>
      <c r="F1107" t="inlineStr">
        <is>
          <t>Water, sanitation, and utility raw</t>
        </is>
      </c>
      <c r="G1107" t="inlineStr">
        <is>
          <t>viability</t>
        </is>
      </c>
      <c r="H1107" t="inlineStr">
        <is>
          <t>yes</t>
        </is>
      </c>
      <c r="I1107" t="inlineStr"/>
      <c r="J1107" t="inlineStr"/>
      <c r="K1107" t="inlineStr"/>
      <c r="L1107" t="inlineStr"/>
      <c r="M1107" t="inlineStr"/>
      <c r="N1107" t="inlineStr"/>
    </row>
    <row r="1108">
      <c r="A1108" t="inlineStr">
        <is>
          <t>ru-moscow</t>
        </is>
      </c>
      <c r="B1108" t="inlineStr">
        <is>
          <t>Moscow</t>
        </is>
      </c>
      <c r="C1108" t="inlineStr">
        <is>
          <t>Russia</t>
        </is>
      </c>
      <c r="D1108" t="inlineStr">
        <is>
          <t>Southern/Eastern Europe and Eurasia</t>
        </is>
      </c>
      <c r="E1108" t="inlineStr">
        <is>
          <t>digital_infrastructure_raw</t>
        </is>
      </c>
      <c r="F1108" t="inlineStr">
        <is>
          <t>Digital infrastructure raw</t>
        </is>
      </c>
      <c r="G1108" t="inlineStr">
        <is>
          <t>viability</t>
        </is>
      </c>
      <c r="H1108" t="inlineStr">
        <is>
          <t>yes</t>
        </is>
      </c>
      <c r="I1108" t="inlineStr"/>
      <c r="J1108" t="inlineStr"/>
      <c r="K1108" t="inlineStr"/>
      <c r="L1108" t="inlineStr"/>
      <c r="M1108" t="inlineStr"/>
      <c r="N1108" t="inlineStr"/>
    </row>
    <row r="1109">
      <c r="A1109" t="inlineStr">
        <is>
          <t>ru-moscow</t>
        </is>
      </c>
      <c r="B1109" t="inlineStr">
        <is>
          <t>Moscow</t>
        </is>
      </c>
      <c r="C1109" t="inlineStr">
        <is>
          <t>Russia</t>
        </is>
      </c>
      <c r="D1109" t="inlineStr">
        <is>
          <t>Southern/Eastern Europe and Eurasia</t>
        </is>
      </c>
      <c r="E1109" t="inlineStr">
        <is>
          <t>healthcare_quality_raw</t>
        </is>
      </c>
      <c r="F1109" t="inlineStr">
        <is>
          <t>Healthcare quality raw</t>
        </is>
      </c>
      <c r="G1109" t="inlineStr">
        <is>
          <t>capability</t>
        </is>
      </c>
      <c r="H1109" t="inlineStr">
        <is>
          <t>yes</t>
        </is>
      </c>
      <c r="I1109" t="inlineStr"/>
      <c r="J1109" t="inlineStr"/>
      <c r="K1109" t="inlineStr"/>
      <c r="L1109" t="inlineStr"/>
      <c r="M1109" t="inlineStr"/>
      <c r="N1109" t="inlineStr"/>
    </row>
    <row r="1110">
      <c r="A1110" t="inlineStr">
        <is>
          <t>ru-moscow</t>
        </is>
      </c>
      <c r="B1110" t="inlineStr">
        <is>
          <t>Moscow</t>
        </is>
      </c>
      <c r="C1110" t="inlineStr">
        <is>
          <t>Russia</t>
        </is>
      </c>
      <c r="D1110" t="inlineStr">
        <is>
          <t>Southern/Eastern Europe and Eurasia</t>
        </is>
      </c>
      <c r="E1110" t="inlineStr">
        <is>
          <t>education_quality_raw</t>
        </is>
      </c>
      <c r="F1110" t="inlineStr">
        <is>
          <t>Education quality raw</t>
        </is>
      </c>
      <c r="G1110" t="inlineStr">
        <is>
          <t>capability</t>
        </is>
      </c>
      <c r="H1110" t="inlineStr">
        <is>
          <t>yes</t>
        </is>
      </c>
      <c r="I1110" t="inlineStr"/>
      <c r="J1110" t="inlineStr"/>
      <c r="K1110" t="inlineStr"/>
      <c r="L1110" t="inlineStr"/>
      <c r="M1110" t="inlineStr"/>
      <c r="N1110" t="inlineStr"/>
    </row>
    <row r="1111">
      <c r="A1111" t="inlineStr">
        <is>
          <t>ru-moscow</t>
        </is>
      </c>
      <c r="B1111" t="inlineStr">
        <is>
          <t>Moscow</t>
        </is>
      </c>
      <c r="C1111" t="inlineStr">
        <is>
          <t>Russia</t>
        </is>
      </c>
      <c r="D1111" t="inlineStr">
        <is>
          <t>Southern/Eastern Europe and Eurasia</t>
        </is>
      </c>
      <c r="E1111" t="inlineStr">
        <is>
          <t>equal_opportunity_raw</t>
        </is>
      </c>
      <c r="F1111" t="inlineStr">
        <is>
          <t>Equal opportunity raw</t>
        </is>
      </c>
      <c r="G1111" t="inlineStr">
        <is>
          <t>capability</t>
        </is>
      </c>
      <c r="H1111" t="inlineStr">
        <is>
          <t>yes</t>
        </is>
      </c>
      <c r="I1111" t="inlineStr"/>
      <c r="J1111" t="inlineStr"/>
      <c r="K1111" t="inlineStr"/>
      <c r="L1111" t="inlineStr"/>
      <c r="M1111" t="inlineStr"/>
      <c r="N1111" t="inlineStr"/>
    </row>
    <row r="1112">
      <c r="A1112" t="inlineStr">
        <is>
          <t>ru-moscow</t>
        </is>
      </c>
      <c r="B1112" t="inlineStr">
        <is>
          <t>Moscow</t>
        </is>
      </c>
      <c r="C1112" t="inlineStr">
        <is>
          <t>Russia</t>
        </is>
      </c>
      <c r="D1112" t="inlineStr">
        <is>
          <t>Southern/Eastern Europe and Eurasia</t>
        </is>
      </c>
      <c r="E1112" t="inlineStr">
        <is>
          <t>hospitality_belonging_raw</t>
        </is>
      </c>
      <c r="F1112" t="inlineStr">
        <is>
          <t>Hospitality and belonging raw</t>
        </is>
      </c>
      <c r="G1112" t="inlineStr">
        <is>
          <t>community</t>
        </is>
      </c>
      <c r="H1112" t="inlineStr">
        <is>
          <t>yes</t>
        </is>
      </c>
      <c r="I1112" t="inlineStr"/>
      <c r="J1112" t="inlineStr"/>
      <c r="K1112" t="inlineStr"/>
      <c r="L1112" t="inlineStr"/>
      <c r="M1112" t="inlineStr"/>
      <c r="N1112" t="inlineStr"/>
    </row>
    <row r="1113">
      <c r="A1113" t="inlineStr">
        <is>
          <t>ru-moscow</t>
        </is>
      </c>
      <c r="B1113" t="inlineStr">
        <is>
          <t>Moscow</t>
        </is>
      </c>
      <c r="C1113" t="inlineStr">
        <is>
          <t>Russia</t>
        </is>
      </c>
      <c r="D1113" t="inlineStr">
        <is>
          <t>Southern/Eastern Europe and Eurasia</t>
        </is>
      </c>
      <c r="E1113" t="inlineStr">
        <is>
          <t>tolerance_pluralism_raw</t>
        </is>
      </c>
      <c r="F1113" t="inlineStr">
        <is>
          <t>Tolerance and pluralism raw</t>
        </is>
      </c>
      <c r="G1113" t="inlineStr">
        <is>
          <t>community</t>
        </is>
      </c>
      <c r="H1113" t="inlineStr">
        <is>
          <t>yes</t>
        </is>
      </c>
      <c r="I1113" t="inlineStr"/>
      <c r="J1113" t="inlineStr"/>
      <c r="K1113" t="inlineStr"/>
      <c r="L1113" t="inlineStr"/>
      <c r="M1113" t="inlineStr"/>
      <c r="N1113" t="inlineStr"/>
    </row>
    <row r="1114">
      <c r="A1114" t="inlineStr">
        <is>
          <t>ru-moscow</t>
        </is>
      </c>
      <c r="B1114" t="inlineStr">
        <is>
          <t>Moscow</t>
        </is>
      </c>
      <c r="C1114" t="inlineStr">
        <is>
          <t>Russia</t>
        </is>
      </c>
      <c r="D1114" t="inlineStr">
        <is>
          <t>Southern/Eastern Europe and Eurasia</t>
        </is>
      </c>
      <c r="E1114" t="inlineStr">
        <is>
          <t>cultural_public_life_raw</t>
        </is>
      </c>
      <c r="F1114" t="inlineStr">
        <is>
          <t>Cultural public life raw</t>
        </is>
      </c>
      <c r="G1114" t="inlineStr">
        <is>
          <t>community</t>
        </is>
      </c>
      <c r="H1114" t="inlineStr">
        <is>
          <t>yes</t>
        </is>
      </c>
      <c r="I1114" t="inlineStr"/>
      <c r="J1114" t="inlineStr"/>
      <c r="K1114" t="inlineStr"/>
      <c r="L1114" t="inlineStr"/>
      <c r="M1114" t="inlineStr"/>
      <c r="N1114" t="inlineStr"/>
    </row>
    <row r="1115">
      <c r="A1115" t="inlineStr">
        <is>
          <t>ru-moscow</t>
        </is>
      </c>
      <c r="B1115" t="inlineStr">
        <is>
          <t>Moscow</t>
        </is>
      </c>
      <c r="C1115" t="inlineStr">
        <is>
          <t>Russia</t>
        </is>
      </c>
      <c r="D1115" t="inlineStr">
        <is>
          <t>Southern/Eastern Europe and Eurasia</t>
        </is>
      </c>
      <c r="E1115" t="inlineStr">
        <is>
          <t>entrepreneurial_dynamism_raw</t>
        </is>
      </c>
      <c r="F1115" t="inlineStr">
        <is>
          <t>Entrepreneurial dynamism raw</t>
        </is>
      </c>
      <c r="G1115" t="inlineStr">
        <is>
          <t>creative</t>
        </is>
      </c>
      <c r="H1115" t="inlineStr">
        <is>
          <t>yes</t>
        </is>
      </c>
      <c r="I1115" t="inlineStr"/>
      <c r="J1115" t="inlineStr"/>
      <c r="K1115" t="inlineStr"/>
      <c r="L1115" t="inlineStr"/>
      <c r="M1115" t="inlineStr"/>
      <c r="N1115" t="inlineStr"/>
    </row>
    <row r="1116">
      <c r="A1116" t="inlineStr">
        <is>
          <t>ru-moscow</t>
        </is>
      </c>
      <c r="B1116" t="inlineStr">
        <is>
          <t>Moscow</t>
        </is>
      </c>
      <c r="C1116" t="inlineStr">
        <is>
          <t>Russia</t>
        </is>
      </c>
      <c r="D1116" t="inlineStr">
        <is>
          <t>Southern/Eastern Europe and Eurasia</t>
        </is>
      </c>
      <c r="E1116" t="inlineStr">
        <is>
          <t>innovation_research_intensity_raw</t>
        </is>
      </c>
      <c r="F1116" t="inlineStr">
        <is>
          <t>Innovation and research raw</t>
        </is>
      </c>
      <c r="G1116" t="inlineStr">
        <is>
          <t>creative</t>
        </is>
      </c>
      <c r="H1116" t="inlineStr">
        <is>
          <t>yes</t>
        </is>
      </c>
      <c r="I1116" t="inlineStr"/>
      <c r="J1116" t="inlineStr"/>
      <c r="K1116" t="inlineStr"/>
      <c r="L1116" t="inlineStr"/>
      <c r="M1116" t="inlineStr"/>
      <c r="N1116" t="inlineStr"/>
    </row>
    <row r="1117">
      <c r="A1117" t="inlineStr">
        <is>
          <t>ru-moscow</t>
        </is>
      </c>
      <c r="B1117" t="inlineStr">
        <is>
          <t>Moscow</t>
        </is>
      </c>
      <c r="C1117" t="inlineStr">
        <is>
          <t>Russia</t>
        </is>
      </c>
      <c r="D1117" t="inlineStr">
        <is>
          <t>Southern/Eastern Europe and Eurasia</t>
        </is>
      </c>
      <c r="E1117" t="inlineStr">
        <is>
          <t>investment_signal_raw</t>
        </is>
      </c>
      <c r="F1117" t="inlineStr">
        <is>
          <t>Investment signal raw</t>
        </is>
      </c>
      <c r="G1117" t="inlineStr">
        <is>
          <t>creative</t>
        </is>
      </c>
      <c r="H1117" t="inlineStr">
        <is>
          <t>yes</t>
        </is>
      </c>
      <c r="I1117" t="inlineStr"/>
      <c r="J1117" t="inlineStr"/>
      <c r="K1117" t="inlineStr"/>
      <c r="L1117" t="inlineStr"/>
      <c r="M1117" t="inlineStr"/>
      <c r="N1117" t="inlineStr"/>
    </row>
    <row r="1118">
      <c r="A1118" t="inlineStr">
        <is>
          <t>ru-moscow</t>
        </is>
      </c>
      <c r="B1118" t="inlineStr">
        <is>
          <t>Moscow</t>
        </is>
      </c>
      <c r="C1118" t="inlineStr">
        <is>
          <t>Russia</t>
        </is>
      </c>
      <c r="D1118" t="inlineStr">
        <is>
          <t>Southern/Eastern Europe and Eurasia</t>
        </is>
      </c>
      <c r="E1118" t="inlineStr">
        <is>
          <t>administrative_investment_friction_raw</t>
        </is>
      </c>
      <c r="F1118" t="inlineStr">
        <is>
          <t>Administrative investment friction raw</t>
        </is>
      </c>
      <c r="G1118" t="inlineStr">
        <is>
          <t>creative</t>
        </is>
      </c>
      <c r="H1118" t="inlineStr">
        <is>
          <t>yes</t>
        </is>
      </c>
      <c r="I1118" t="inlineStr"/>
      <c r="J1118" t="inlineStr"/>
      <c r="K1118" t="inlineStr"/>
      <c r="L1118" t="inlineStr"/>
      <c r="M1118" t="inlineStr"/>
      <c r="N1118" t="inlineStr"/>
    </row>
    <row r="1119">
      <c r="A1119" t="inlineStr">
        <is>
          <t>ru-moscow</t>
        </is>
      </c>
      <c r="B1119" t="inlineStr">
        <is>
          <t>Moscow</t>
        </is>
      </c>
      <c r="C1119" t="inlineStr">
        <is>
          <t>Russia</t>
        </is>
      </c>
      <c r="D1119" t="inlineStr">
        <is>
          <t>Southern/Eastern Europe and Eurasia</t>
        </is>
      </c>
      <c r="E1119" t="inlineStr">
        <is>
          <t>visitor_flow_context_raw</t>
        </is>
      </c>
      <c r="F1119" t="inlineStr">
        <is>
          <t>Visitor flow context raw</t>
        </is>
      </c>
      <c r="G1119" t="inlineStr">
        <is>
          <t>creative</t>
        </is>
      </c>
      <c r="H1119" t="inlineStr">
        <is>
          <t>no</t>
        </is>
      </c>
      <c r="I1119" t="inlineStr"/>
      <c r="J1119" t="inlineStr"/>
      <c r="K1119" t="inlineStr"/>
      <c r="L1119" t="inlineStr"/>
      <c r="M1119" t="inlineStr"/>
      <c r="N1119" t="inlineStr"/>
    </row>
    <row r="1120">
      <c r="A1120" t="inlineStr">
        <is>
          <t>hu-budapest</t>
        </is>
      </c>
      <c r="B1120" t="inlineStr">
        <is>
          <t>Budapest</t>
        </is>
      </c>
      <c r="C1120" t="inlineStr">
        <is>
          <t>Hungary</t>
        </is>
      </c>
      <c r="D1120" t="inlineStr">
        <is>
          <t>Southern/Eastern Europe and Eurasia</t>
        </is>
      </c>
      <c r="E1120" t="inlineStr">
        <is>
          <t>gross_income</t>
        </is>
      </c>
      <c r="F1120" t="inlineStr">
        <is>
          <t>Gross income</t>
        </is>
      </c>
      <c r="G1120" t="inlineStr">
        <is>
          <t>pressure</t>
        </is>
      </c>
      <c r="H1120" t="inlineStr">
        <is>
          <t>yes</t>
        </is>
      </c>
      <c r="I1120" t="inlineStr"/>
      <c r="J1120" t="inlineStr"/>
      <c r="K1120" t="inlineStr"/>
      <c r="L1120" t="inlineStr"/>
      <c r="M1120" t="inlineStr"/>
      <c r="N1120" t="inlineStr"/>
    </row>
    <row r="1121">
      <c r="A1121" t="inlineStr">
        <is>
          <t>hu-budapest</t>
        </is>
      </c>
      <c r="B1121" t="inlineStr">
        <is>
          <t>Budapest</t>
        </is>
      </c>
      <c r="C1121" t="inlineStr">
        <is>
          <t>Hungary</t>
        </is>
      </c>
      <c r="D1121" t="inlineStr">
        <is>
          <t>Southern/Eastern Europe and Eurasia</t>
        </is>
      </c>
      <c r="E1121" t="inlineStr">
        <is>
          <t>rent</t>
        </is>
      </c>
      <c r="F1121" t="inlineStr">
        <is>
          <t>Rent</t>
        </is>
      </c>
      <c r="G1121" t="inlineStr">
        <is>
          <t>pressure</t>
        </is>
      </c>
      <c r="H1121" t="inlineStr">
        <is>
          <t>yes</t>
        </is>
      </c>
      <c r="I1121" t="inlineStr"/>
      <c r="J1121" t="inlineStr"/>
      <c r="K1121" t="inlineStr"/>
      <c r="L1121" t="inlineStr"/>
      <c r="M1121" t="inlineStr"/>
      <c r="N1121" t="inlineStr"/>
    </row>
    <row r="1122">
      <c r="A1122" t="inlineStr">
        <is>
          <t>hu-budapest</t>
        </is>
      </c>
      <c r="B1122" t="inlineStr">
        <is>
          <t>Budapest</t>
        </is>
      </c>
      <c r="C1122" t="inlineStr">
        <is>
          <t>Hungary</t>
        </is>
      </c>
      <c r="D1122" t="inlineStr">
        <is>
          <t>Southern/Eastern Europe and Eurasia</t>
        </is>
      </c>
      <c r="E1122" t="inlineStr">
        <is>
          <t>utilities</t>
        </is>
      </c>
      <c r="F1122" t="inlineStr">
        <is>
          <t>Utilities</t>
        </is>
      </c>
      <c r="G1122" t="inlineStr">
        <is>
          <t>pressure</t>
        </is>
      </c>
      <c r="H1122" t="inlineStr">
        <is>
          <t>yes</t>
        </is>
      </c>
      <c r="I1122" t="inlineStr"/>
      <c r="J1122" t="inlineStr"/>
      <c r="K1122" t="inlineStr"/>
      <c r="L1122" t="inlineStr"/>
      <c r="M1122" t="inlineStr"/>
      <c r="N1122" t="inlineStr"/>
    </row>
    <row r="1123">
      <c r="A1123" t="inlineStr">
        <is>
          <t>hu-budapest</t>
        </is>
      </c>
      <c r="B1123" t="inlineStr">
        <is>
          <t>Budapest</t>
        </is>
      </c>
      <c r="C1123" t="inlineStr">
        <is>
          <t>Hungary</t>
        </is>
      </c>
      <c r="D1123" t="inlineStr">
        <is>
          <t>Southern/Eastern Europe and Eurasia</t>
        </is>
      </c>
      <c r="E1123" t="inlineStr">
        <is>
          <t>transit_cost</t>
        </is>
      </c>
      <c r="F1123" t="inlineStr">
        <is>
          <t>Transit cost</t>
        </is>
      </c>
      <c r="G1123" t="inlineStr">
        <is>
          <t>pressure</t>
        </is>
      </c>
      <c r="H1123" t="inlineStr">
        <is>
          <t>yes</t>
        </is>
      </c>
      <c r="I1123" t="inlineStr"/>
      <c r="J1123" t="inlineStr"/>
      <c r="K1123" t="inlineStr"/>
      <c r="L1123" t="inlineStr"/>
      <c r="M1123" t="inlineStr"/>
      <c r="N1123" t="inlineStr"/>
    </row>
    <row r="1124">
      <c r="A1124" t="inlineStr">
        <is>
          <t>hu-budapest</t>
        </is>
      </c>
      <c r="B1124" t="inlineStr">
        <is>
          <t>Budapest</t>
        </is>
      </c>
      <c r="C1124" t="inlineStr">
        <is>
          <t>Hungary</t>
        </is>
      </c>
      <c r="D1124" t="inlineStr">
        <is>
          <t>Southern/Eastern Europe and Eurasia</t>
        </is>
      </c>
      <c r="E1124" t="inlineStr">
        <is>
          <t>internet_cost</t>
        </is>
      </c>
      <c r="F1124" t="inlineStr">
        <is>
          <t>Internet cost</t>
        </is>
      </c>
      <c r="G1124" t="inlineStr">
        <is>
          <t>pressure</t>
        </is>
      </c>
      <c r="H1124" t="inlineStr">
        <is>
          <t>yes</t>
        </is>
      </c>
      <c r="I1124" t="inlineStr"/>
      <c r="J1124" t="inlineStr"/>
      <c r="K1124" t="inlineStr"/>
      <c r="L1124" t="inlineStr"/>
      <c r="M1124" t="inlineStr"/>
      <c r="N1124" t="inlineStr"/>
    </row>
    <row r="1125">
      <c r="A1125" t="inlineStr">
        <is>
          <t>hu-budapest</t>
        </is>
      </c>
      <c r="B1125" t="inlineStr">
        <is>
          <t>Budapest</t>
        </is>
      </c>
      <c r="C1125" t="inlineStr">
        <is>
          <t>Hungary</t>
        </is>
      </c>
      <c r="D1125" t="inlineStr">
        <is>
          <t>Southern/Eastern Europe and Eurasia</t>
        </is>
      </c>
      <c r="E1125" t="inlineStr">
        <is>
          <t>food_cost</t>
        </is>
      </c>
      <c r="F1125" t="inlineStr">
        <is>
          <t>Food cost</t>
        </is>
      </c>
      <c r="G1125" t="inlineStr">
        <is>
          <t>pressure</t>
        </is>
      </c>
      <c r="H1125" t="inlineStr">
        <is>
          <t>yes</t>
        </is>
      </c>
      <c r="I1125" t="inlineStr"/>
      <c r="J1125" t="inlineStr"/>
      <c r="K1125" t="inlineStr"/>
      <c r="L1125" t="inlineStr"/>
      <c r="M1125" t="inlineStr"/>
      <c r="N1125" t="inlineStr"/>
    </row>
    <row r="1126">
      <c r="A1126" t="inlineStr">
        <is>
          <t>hu-budapest</t>
        </is>
      </c>
      <c r="B1126" t="inlineStr">
        <is>
          <t>Budapest</t>
        </is>
      </c>
      <c r="C1126" t="inlineStr">
        <is>
          <t>Hungary</t>
        </is>
      </c>
      <c r="D1126" t="inlineStr">
        <is>
          <t>Southern/Eastern Europe and Eurasia</t>
        </is>
      </c>
      <c r="E1126" t="inlineStr">
        <is>
          <t>housing_burden_raw</t>
        </is>
      </c>
      <c r="F1126" t="inlineStr">
        <is>
          <t>Housing burden raw</t>
        </is>
      </c>
      <c r="G1126" t="inlineStr">
        <is>
          <t>pressure</t>
        </is>
      </c>
      <c r="H1126" t="inlineStr">
        <is>
          <t>yes</t>
        </is>
      </c>
      <c r="I1126" t="inlineStr"/>
      <c r="J1126" t="inlineStr"/>
      <c r="K1126" t="inlineStr"/>
      <c r="L1126" t="inlineStr"/>
      <c r="M1126" t="inlineStr"/>
      <c r="N1126" t="inlineStr"/>
    </row>
    <row r="1127">
      <c r="A1127" t="inlineStr">
        <is>
          <t>hu-budapest</t>
        </is>
      </c>
      <c r="B1127" t="inlineStr">
        <is>
          <t>Budapest</t>
        </is>
      </c>
      <c r="C1127" t="inlineStr">
        <is>
          <t>Hungary</t>
        </is>
      </c>
      <c r="D1127" t="inlineStr">
        <is>
          <t>Southern/Eastern Europe and Eurasia</t>
        </is>
      </c>
      <c r="E1127" t="inlineStr">
        <is>
          <t>household_debt_burden_raw</t>
        </is>
      </c>
      <c r="F1127" t="inlineStr">
        <is>
          <t>Household debt burden raw</t>
        </is>
      </c>
      <c r="G1127" t="inlineStr">
        <is>
          <t>pressure</t>
        </is>
      </c>
      <c r="H1127" t="inlineStr">
        <is>
          <t>yes</t>
        </is>
      </c>
      <c r="I1127" t="inlineStr"/>
      <c r="J1127" t="inlineStr"/>
      <c r="K1127" t="inlineStr"/>
      <c r="L1127" t="inlineStr"/>
      <c r="M1127" t="inlineStr"/>
      <c r="N1127" t="inlineStr"/>
    </row>
    <row r="1128">
      <c r="A1128" t="inlineStr">
        <is>
          <t>hu-budapest</t>
        </is>
      </c>
      <c r="B1128" t="inlineStr">
        <is>
          <t>Budapest</t>
        </is>
      </c>
      <c r="C1128" t="inlineStr">
        <is>
          <t>Hungary</t>
        </is>
      </c>
      <c r="D1128" t="inlineStr">
        <is>
          <t>Southern/Eastern Europe and Eurasia</t>
        </is>
      </c>
      <c r="E1128" t="inlineStr">
        <is>
          <t>working_time_pressure_raw</t>
        </is>
      </c>
      <c r="F1128" t="inlineStr">
        <is>
          <t>Working time pressure raw</t>
        </is>
      </c>
      <c r="G1128" t="inlineStr">
        <is>
          <t>pressure</t>
        </is>
      </c>
      <c r="H1128" t="inlineStr">
        <is>
          <t>yes</t>
        </is>
      </c>
      <c r="I1128" t="inlineStr"/>
      <c r="J1128" t="inlineStr"/>
      <c r="K1128" t="inlineStr"/>
      <c r="L1128" t="inlineStr"/>
      <c r="M1128" t="inlineStr"/>
      <c r="N1128" t="inlineStr"/>
    </row>
    <row r="1129">
      <c r="A1129" t="inlineStr">
        <is>
          <t>hu-budapest</t>
        </is>
      </c>
      <c r="B1129" t="inlineStr">
        <is>
          <t>Budapest</t>
        </is>
      </c>
      <c r="C1129" t="inlineStr">
        <is>
          <t>Hungary</t>
        </is>
      </c>
      <c r="D1129" t="inlineStr">
        <is>
          <t>Southern/Eastern Europe and Eurasia</t>
        </is>
      </c>
      <c r="E1129" t="inlineStr">
        <is>
          <t>suicide_mental_strain_raw</t>
        </is>
      </c>
      <c r="F1129" t="inlineStr">
        <is>
          <t>Suicide or mental strain raw</t>
        </is>
      </c>
      <c r="G1129" t="inlineStr">
        <is>
          <t>pressure</t>
        </is>
      </c>
      <c r="H1129" t="inlineStr">
        <is>
          <t>yes</t>
        </is>
      </c>
      <c r="I1129" t="inlineStr"/>
      <c r="J1129" t="inlineStr"/>
      <c r="K1129" t="inlineStr"/>
      <c r="L1129" t="inlineStr"/>
      <c r="M1129" t="inlineStr"/>
      <c r="N1129" t="inlineStr"/>
    </row>
    <row r="1130">
      <c r="A1130" t="inlineStr">
        <is>
          <t>hu-budapest</t>
        </is>
      </c>
      <c r="B1130" t="inlineStr">
        <is>
          <t>Budapest</t>
        </is>
      </c>
      <c r="C1130" t="inlineStr">
        <is>
          <t>Hungary</t>
        </is>
      </c>
      <c r="D1130" t="inlineStr">
        <is>
          <t>Southern/Eastern Europe and Eurasia</t>
        </is>
      </c>
      <c r="E1130" t="inlineStr">
        <is>
          <t>personal_safety_raw</t>
        </is>
      </c>
      <c r="F1130" t="inlineStr">
        <is>
          <t>Personal safety raw</t>
        </is>
      </c>
      <c r="G1130" t="inlineStr">
        <is>
          <t>viability</t>
        </is>
      </c>
      <c r="H1130" t="inlineStr">
        <is>
          <t>yes</t>
        </is>
      </c>
      <c r="I1130" t="inlineStr"/>
      <c r="J1130" t="inlineStr"/>
      <c r="K1130" t="inlineStr"/>
      <c r="L1130" t="inlineStr"/>
      <c r="M1130" t="inlineStr"/>
      <c r="N1130" t="inlineStr"/>
    </row>
    <row r="1131">
      <c r="A1131" t="inlineStr">
        <is>
          <t>hu-budapest</t>
        </is>
      </c>
      <c r="B1131" t="inlineStr">
        <is>
          <t>Budapest</t>
        </is>
      </c>
      <c r="C1131" t="inlineStr">
        <is>
          <t>Hungary</t>
        </is>
      </c>
      <c r="D1131" t="inlineStr">
        <is>
          <t>Southern/Eastern Europe and Eurasia</t>
        </is>
      </c>
      <c r="E1131" t="inlineStr">
        <is>
          <t>transit_access_commute_raw</t>
        </is>
      </c>
      <c r="F1131" t="inlineStr">
        <is>
          <t>Transit access and commute raw</t>
        </is>
      </c>
      <c r="G1131" t="inlineStr">
        <is>
          <t>viability</t>
        </is>
      </c>
      <c r="H1131" t="inlineStr">
        <is>
          <t>yes</t>
        </is>
      </c>
      <c r="I1131" t="inlineStr"/>
      <c r="J1131" t="inlineStr"/>
      <c r="K1131" t="inlineStr"/>
      <c r="L1131" t="inlineStr"/>
      <c r="M1131" t="inlineStr"/>
      <c r="N1131" t="inlineStr"/>
    </row>
    <row r="1132">
      <c r="A1132" t="inlineStr">
        <is>
          <t>hu-budapest</t>
        </is>
      </c>
      <c r="B1132" t="inlineStr">
        <is>
          <t>Budapest</t>
        </is>
      </c>
      <c r="C1132" t="inlineStr">
        <is>
          <t>Hungary</t>
        </is>
      </c>
      <c r="D1132" t="inlineStr">
        <is>
          <t>Southern/Eastern Europe and Eurasia</t>
        </is>
      </c>
      <c r="E1132" t="inlineStr">
        <is>
          <t>clean_air_raw</t>
        </is>
      </c>
      <c r="F1132" t="inlineStr">
        <is>
          <t>Clean air raw</t>
        </is>
      </c>
      <c r="G1132" t="inlineStr">
        <is>
          <t>viability</t>
        </is>
      </c>
      <c r="H1132" t="inlineStr">
        <is>
          <t>yes</t>
        </is>
      </c>
      <c r="I1132" t="inlineStr"/>
      <c r="J1132" t="inlineStr"/>
      <c r="K1132" t="inlineStr"/>
      <c r="L1132" t="inlineStr"/>
      <c r="M1132" t="inlineStr"/>
      <c r="N1132" t="inlineStr"/>
    </row>
    <row r="1133">
      <c r="A1133" t="inlineStr">
        <is>
          <t>hu-budapest</t>
        </is>
      </c>
      <c r="B1133" t="inlineStr">
        <is>
          <t>Budapest</t>
        </is>
      </c>
      <c r="C1133" t="inlineStr">
        <is>
          <t>Hungary</t>
        </is>
      </c>
      <c r="D1133" t="inlineStr">
        <is>
          <t>Southern/Eastern Europe and Eurasia</t>
        </is>
      </c>
      <c r="E1133" t="inlineStr">
        <is>
          <t>water_sanitation_utility_raw</t>
        </is>
      </c>
      <c r="F1133" t="inlineStr">
        <is>
          <t>Water, sanitation, and utility raw</t>
        </is>
      </c>
      <c r="G1133" t="inlineStr">
        <is>
          <t>viability</t>
        </is>
      </c>
      <c r="H1133" t="inlineStr">
        <is>
          <t>yes</t>
        </is>
      </c>
      <c r="I1133" t="inlineStr"/>
      <c r="J1133" t="inlineStr"/>
      <c r="K1133" t="inlineStr"/>
      <c r="L1133" t="inlineStr"/>
      <c r="M1133" t="inlineStr"/>
      <c r="N1133" t="inlineStr"/>
    </row>
    <row r="1134">
      <c r="A1134" t="inlineStr">
        <is>
          <t>hu-budapest</t>
        </is>
      </c>
      <c r="B1134" t="inlineStr">
        <is>
          <t>Budapest</t>
        </is>
      </c>
      <c r="C1134" t="inlineStr">
        <is>
          <t>Hungary</t>
        </is>
      </c>
      <c r="D1134" t="inlineStr">
        <is>
          <t>Southern/Eastern Europe and Eurasia</t>
        </is>
      </c>
      <c r="E1134" t="inlineStr">
        <is>
          <t>digital_infrastructure_raw</t>
        </is>
      </c>
      <c r="F1134" t="inlineStr">
        <is>
          <t>Digital infrastructure raw</t>
        </is>
      </c>
      <c r="G1134" t="inlineStr">
        <is>
          <t>viability</t>
        </is>
      </c>
      <c r="H1134" t="inlineStr">
        <is>
          <t>yes</t>
        </is>
      </c>
      <c r="I1134" t="inlineStr"/>
      <c r="J1134" t="inlineStr"/>
      <c r="K1134" t="inlineStr"/>
      <c r="L1134" t="inlineStr"/>
      <c r="M1134" t="inlineStr"/>
      <c r="N1134" t="inlineStr"/>
    </row>
    <row r="1135">
      <c r="A1135" t="inlineStr">
        <is>
          <t>hu-budapest</t>
        </is>
      </c>
      <c r="B1135" t="inlineStr">
        <is>
          <t>Budapest</t>
        </is>
      </c>
      <c r="C1135" t="inlineStr">
        <is>
          <t>Hungary</t>
        </is>
      </c>
      <c r="D1135" t="inlineStr">
        <is>
          <t>Southern/Eastern Europe and Eurasia</t>
        </is>
      </c>
      <c r="E1135" t="inlineStr">
        <is>
          <t>healthcare_quality_raw</t>
        </is>
      </c>
      <c r="F1135" t="inlineStr">
        <is>
          <t>Healthcare quality raw</t>
        </is>
      </c>
      <c r="G1135" t="inlineStr">
        <is>
          <t>capability</t>
        </is>
      </c>
      <c r="H1135" t="inlineStr">
        <is>
          <t>yes</t>
        </is>
      </c>
      <c r="I1135" t="inlineStr"/>
      <c r="J1135" t="inlineStr"/>
      <c r="K1135" t="inlineStr"/>
      <c r="L1135" t="inlineStr"/>
      <c r="M1135" t="inlineStr"/>
      <c r="N1135" t="inlineStr"/>
    </row>
    <row r="1136">
      <c r="A1136" t="inlineStr">
        <is>
          <t>hu-budapest</t>
        </is>
      </c>
      <c r="B1136" t="inlineStr">
        <is>
          <t>Budapest</t>
        </is>
      </c>
      <c r="C1136" t="inlineStr">
        <is>
          <t>Hungary</t>
        </is>
      </c>
      <c r="D1136" t="inlineStr">
        <is>
          <t>Southern/Eastern Europe and Eurasia</t>
        </is>
      </c>
      <c r="E1136" t="inlineStr">
        <is>
          <t>education_quality_raw</t>
        </is>
      </c>
      <c r="F1136" t="inlineStr">
        <is>
          <t>Education quality raw</t>
        </is>
      </c>
      <c r="G1136" t="inlineStr">
        <is>
          <t>capability</t>
        </is>
      </c>
      <c r="H1136" t="inlineStr">
        <is>
          <t>yes</t>
        </is>
      </c>
      <c r="I1136" t="inlineStr"/>
      <c r="J1136" t="inlineStr"/>
      <c r="K1136" t="inlineStr"/>
      <c r="L1136" t="inlineStr"/>
      <c r="M1136" t="inlineStr"/>
      <c r="N1136" t="inlineStr"/>
    </row>
    <row r="1137">
      <c r="A1137" t="inlineStr">
        <is>
          <t>hu-budapest</t>
        </is>
      </c>
      <c r="B1137" t="inlineStr">
        <is>
          <t>Budapest</t>
        </is>
      </c>
      <c r="C1137" t="inlineStr">
        <is>
          <t>Hungary</t>
        </is>
      </c>
      <c r="D1137" t="inlineStr">
        <is>
          <t>Southern/Eastern Europe and Eurasia</t>
        </is>
      </c>
      <c r="E1137" t="inlineStr">
        <is>
          <t>equal_opportunity_raw</t>
        </is>
      </c>
      <c r="F1137" t="inlineStr">
        <is>
          <t>Equal opportunity raw</t>
        </is>
      </c>
      <c r="G1137" t="inlineStr">
        <is>
          <t>capability</t>
        </is>
      </c>
      <c r="H1137" t="inlineStr">
        <is>
          <t>yes</t>
        </is>
      </c>
      <c r="I1137" t="inlineStr"/>
      <c r="J1137" t="inlineStr"/>
      <c r="K1137" t="inlineStr"/>
      <c r="L1137" t="inlineStr"/>
      <c r="M1137" t="inlineStr"/>
      <c r="N1137" t="inlineStr"/>
    </row>
    <row r="1138">
      <c r="A1138" t="inlineStr">
        <is>
          <t>hu-budapest</t>
        </is>
      </c>
      <c r="B1138" t="inlineStr">
        <is>
          <t>Budapest</t>
        </is>
      </c>
      <c r="C1138" t="inlineStr">
        <is>
          <t>Hungary</t>
        </is>
      </c>
      <c r="D1138" t="inlineStr">
        <is>
          <t>Southern/Eastern Europe and Eurasia</t>
        </is>
      </c>
      <c r="E1138" t="inlineStr">
        <is>
          <t>hospitality_belonging_raw</t>
        </is>
      </c>
      <c r="F1138" t="inlineStr">
        <is>
          <t>Hospitality and belonging raw</t>
        </is>
      </c>
      <c r="G1138" t="inlineStr">
        <is>
          <t>community</t>
        </is>
      </c>
      <c r="H1138" t="inlineStr">
        <is>
          <t>yes</t>
        </is>
      </c>
      <c r="I1138" t="inlineStr"/>
      <c r="J1138" t="inlineStr"/>
      <c r="K1138" t="inlineStr"/>
      <c r="L1138" t="inlineStr"/>
      <c r="M1138" t="inlineStr"/>
      <c r="N1138" t="inlineStr"/>
    </row>
    <row r="1139">
      <c r="A1139" t="inlineStr">
        <is>
          <t>hu-budapest</t>
        </is>
      </c>
      <c r="B1139" t="inlineStr">
        <is>
          <t>Budapest</t>
        </is>
      </c>
      <c r="C1139" t="inlineStr">
        <is>
          <t>Hungary</t>
        </is>
      </c>
      <c r="D1139" t="inlineStr">
        <is>
          <t>Southern/Eastern Europe and Eurasia</t>
        </is>
      </c>
      <c r="E1139" t="inlineStr">
        <is>
          <t>tolerance_pluralism_raw</t>
        </is>
      </c>
      <c r="F1139" t="inlineStr">
        <is>
          <t>Tolerance and pluralism raw</t>
        </is>
      </c>
      <c r="G1139" t="inlineStr">
        <is>
          <t>community</t>
        </is>
      </c>
      <c r="H1139" t="inlineStr">
        <is>
          <t>yes</t>
        </is>
      </c>
      <c r="I1139" t="inlineStr"/>
      <c r="J1139" t="inlineStr"/>
      <c r="K1139" t="inlineStr"/>
      <c r="L1139" t="inlineStr"/>
      <c r="M1139" t="inlineStr"/>
      <c r="N1139" t="inlineStr"/>
    </row>
    <row r="1140">
      <c r="A1140" t="inlineStr">
        <is>
          <t>hu-budapest</t>
        </is>
      </c>
      <c r="B1140" t="inlineStr">
        <is>
          <t>Budapest</t>
        </is>
      </c>
      <c r="C1140" t="inlineStr">
        <is>
          <t>Hungary</t>
        </is>
      </c>
      <c r="D1140" t="inlineStr">
        <is>
          <t>Southern/Eastern Europe and Eurasia</t>
        </is>
      </c>
      <c r="E1140" t="inlineStr">
        <is>
          <t>cultural_public_life_raw</t>
        </is>
      </c>
      <c r="F1140" t="inlineStr">
        <is>
          <t>Cultural public life raw</t>
        </is>
      </c>
      <c r="G1140" t="inlineStr">
        <is>
          <t>community</t>
        </is>
      </c>
      <c r="H1140" t="inlineStr">
        <is>
          <t>yes</t>
        </is>
      </c>
      <c r="I1140" t="inlineStr"/>
      <c r="J1140" t="inlineStr"/>
      <c r="K1140" t="inlineStr"/>
      <c r="L1140" t="inlineStr"/>
      <c r="M1140" t="inlineStr"/>
      <c r="N1140" t="inlineStr"/>
    </row>
    <row r="1141">
      <c r="A1141" t="inlineStr">
        <is>
          <t>hu-budapest</t>
        </is>
      </c>
      <c r="B1141" t="inlineStr">
        <is>
          <t>Budapest</t>
        </is>
      </c>
      <c r="C1141" t="inlineStr">
        <is>
          <t>Hungary</t>
        </is>
      </c>
      <c r="D1141" t="inlineStr">
        <is>
          <t>Southern/Eastern Europe and Eurasia</t>
        </is>
      </c>
      <c r="E1141" t="inlineStr">
        <is>
          <t>entrepreneurial_dynamism_raw</t>
        </is>
      </c>
      <c r="F1141" t="inlineStr">
        <is>
          <t>Entrepreneurial dynamism raw</t>
        </is>
      </c>
      <c r="G1141" t="inlineStr">
        <is>
          <t>creative</t>
        </is>
      </c>
      <c r="H1141" t="inlineStr">
        <is>
          <t>yes</t>
        </is>
      </c>
      <c r="I1141" t="inlineStr"/>
      <c r="J1141" t="inlineStr"/>
      <c r="K1141" t="inlineStr"/>
      <c r="L1141" t="inlineStr"/>
      <c r="M1141" t="inlineStr"/>
      <c r="N1141" t="inlineStr"/>
    </row>
    <row r="1142">
      <c r="A1142" t="inlineStr">
        <is>
          <t>hu-budapest</t>
        </is>
      </c>
      <c r="B1142" t="inlineStr">
        <is>
          <t>Budapest</t>
        </is>
      </c>
      <c r="C1142" t="inlineStr">
        <is>
          <t>Hungary</t>
        </is>
      </c>
      <c r="D1142" t="inlineStr">
        <is>
          <t>Southern/Eastern Europe and Eurasia</t>
        </is>
      </c>
      <c r="E1142" t="inlineStr">
        <is>
          <t>innovation_research_intensity_raw</t>
        </is>
      </c>
      <c r="F1142" t="inlineStr">
        <is>
          <t>Innovation and research raw</t>
        </is>
      </c>
      <c r="G1142" t="inlineStr">
        <is>
          <t>creative</t>
        </is>
      </c>
      <c r="H1142" t="inlineStr">
        <is>
          <t>yes</t>
        </is>
      </c>
      <c r="I1142" t="inlineStr"/>
      <c r="J1142" t="inlineStr"/>
      <c r="K1142" t="inlineStr"/>
      <c r="L1142" t="inlineStr"/>
      <c r="M1142" t="inlineStr"/>
      <c r="N1142" t="inlineStr"/>
    </row>
    <row r="1143">
      <c r="A1143" t="inlineStr">
        <is>
          <t>hu-budapest</t>
        </is>
      </c>
      <c r="B1143" t="inlineStr">
        <is>
          <t>Budapest</t>
        </is>
      </c>
      <c r="C1143" t="inlineStr">
        <is>
          <t>Hungary</t>
        </is>
      </c>
      <c r="D1143" t="inlineStr">
        <is>
          <t>Southern/Eastern Europe and Eurasia</t>
        </is>
      </c>
      <c r="E1143" t="inlineStr">
        <is>
          <t>investment_signal_raw</t>
        </is>
      </c>
      <c r="F1143" t="inlineStr">
        <is>
          <t>Investment signal raw</t>
        </is>
      </c>
      <c r="G1143" t="inlineStr">
        <is>
          <t>creative</t>
        </is>
      </c>
      <c r="H1143" t="inlineStr">
        <is>
          <t>yes</t>
        </is>
      </c>
      <c r="I1143" t="inlineStr"/>
      <c r="J1143" t="inlineStr"/>
      <c r="K1143" t="inlineStr"/>
      <c r="L1143" t="inlineStr"/>
      <c r="M1143" t="inlineStr"/>
      <c r="N1143" t="inlineStr"/>
    </row>
    <row r="1144">
      <c r="A1144" t="inlineStr">
        <is>
          <t>hu-budapest</t>
        </is>
      </c>
      <c r="B1144" t="inlineStr">
        <is>
          <t>Budapest</t>
        </is>
      </c>
      <c r="C1144" t="inlineStr">
        <is>
          <t>Hungary</t>
        </is>
      </c>
      <c r="D1144" t="inlineStr">
        <is>
          <t>Southern/Eastern Europe and Eurasia</t>
        </is>
      </c>
      <c r="E1144" t="inlineStr">
        <is>
          <t>administrative_investment_friction_raw</t>
        </is>
      </c>
      <c r="F1144" t="inlineStr">
        <is>
          <t>Administrative investment friction raw</t>
        </is>
      </c>
      <c r="G1144" t="inlineStr">
        <is>
          <t>creative</t>
        </is>
      </c>
      <c r="H1144" t="inlineStr">
        <is>
          <t>yes</t>
        </is>
      </c>
      <c r="I1144" t="inlineStr"/>
      <c r="J1144" t="inlineStr"/>
      <c r="K1144" t="inlineStr"/>
      <c r="L1144" t="inlineStr"/>
      <c r="M1144" t="inlineStr"/>
      <c r="N1144" t="inlineStr"/>
    </row>
    <row r="1145">
      <c r="A1145" t="inlineStr">
        <is>
          <t>hu-budapest</t>
        </is>
      </c>
      <c r="B1145" t="inlineStr">
        <is>
          <t>Budapest</t>
        </is>
      </c>
      <c r="C1145" t="inlineStr">
        <is>
          <t>Hungary</t>
        </is>
      </c>
      <c r="D1145" t="inlineStr">
        <is>
          <t>Southern/Eastern Europe and Eurasia</t>
        </is>
      </c>
      <c r="E1145" t="inlineStr">
        <is>
          <t>visitor_flow_context_raw</t>
        </is>
      </c>
      <c r="F1145" t="inlineStr">
        <is>
          <t>Visitor flow context raw</t>
        </is>
      </c>
      <c r="G1145" t="inlineStr">
        <is>
          <t>creative</t>
        </is>
      </c>
      <c r="H1145" t="inlineStr">
        <is>
          <t>no</t>
        </is>
      </c>
      <c r="I1145" t="inlineStr"/>
      <c r="J1145" t="inlineStr"/>
      <c r="K1145" t="inlineStr"/>
      <c r="L1145" t="inlineStr"/>
      <c r="M1145" t="inlineStr"/>
      <c r="N1145" t="inlineStr"/>
    </row>
    <row r="1146">
      <c r="A1146" t="inlineStr">
        <is>
          <t>pl-krakow</t>
        </is>
      </c>
      <c r="B1146" t="inlineStr">
        <is>
          <t>Krakow</t>
        </is>
      </c>
      <c r="C1146" t="inlineStr">
        <is>
          <t>Poland</t>
        </is>
      </c>
      <c r="D1146" t="inlineStr">
        <is>
          <t>Southern/Eastern Europe and Eurasia</t>
        </is>
      </c>
      <c r="E1146" t="inlineStr">
        <is>
          <t>gross_income</t>
        </is>
      </c>
      <c r="F1146" t="inlineStr">
        <is>
          <t>Gross income</t>
        </is>
      </c>
      <c r="G1146" t="inlineStr">
        <is>
          <t>pressure</t>
        </is>
      </c>
      <c r="H1146" t="inlineStr">
        <is>
          <t>yes</t>
        </is>
      </c>
      <c r="I1146" t="inlineStr"/>
      <c r="J1146" t="inlineStr"/>
      <c r="K1146" t="inlineStr"/>
      <c r="L1146" t="inlineStr"/>
      <c r="M1146" t="inlineStr"/>
      <c r="N1146" t="inlineStr"/>
    </row>
    <row r="1147">
      <c r="A1147" t="inlineStr">
        <is>
          <t>pl-krakow</t>
        </is>
      </c>
      <c r="B1147" t="inlineStr">
        <is>
          <t>Krakow</t>
        </is>
      </c>
      <c r="C1147" t="inlineStr">
        <is>
          <t>Poland</t>
        </is>
      </c>
      <c r="D1147" t="inlineStr">
        <is>
          <t>Southern/Eastern Europe and Eurasia</t>
        </is>
      </c>
      <c r="E1147" t="inlineStr">
        <is>
          <t>rent</t>
        </is>
      </c>
      <c r="F1147" t="inlineStr">
        <is>
          <t>Rent</t>
        </is>
      </c>
      <c r="G1147" t="inlineStr">
        <is>
          <t>pressure</t>
        </is>
      </c>
      <c r="H1147" t="inlineStr">
        <is>
          <t>yes</t>
        </is>
      </c>
      <c r="I1147" t="inlineStr"/>
      <c r="J1147" t="inlineStr"/>
      <c r="K1147" t="inlineStr"/>
      <c r="L1147" t="inlineStr"/>
      <c r="M1147" t="inlineStr"/>
      <c r="N1147" t="inlineStr"/>
    </row>
    <row r="1148">
      <c r="A1148" t="inlineStr">
        <is>
          <t>pl-krakow</t>
        </is>
      </c>
      <c r="B1148" t="inlineStr">
        <is>
          <t>Krakow</t>
        </is>
      </c>
      <c r="C1148" t="inlineStr">
        <is>
          <t>Poland</t>
        </is>
      </c>
      <c r="D1148" t="inlineStr">
        <is>
          <t>Southern/Eastern Europe and Eurasia</t>
        </is>
      </c>
      <c r="E1148" t="inlineStr">
        <is>
          <t>utilities</t>
        </is>
      </c>
      <c r="F1148" t="inlineStr">
        <is>
          <t>Utilities</t>
        </is>
      </c>
      <c r="G1148" t="inlineStr">
        <is>
          <t>pressure</t>
        </is>
      </c>
      <c r="H1148" t="inlineStr">
        <is>
          <t>yes</t>
        </is>
      </c>
      <c r="I1148" t="inlineStr"/>
      <c r="J1148" t="inlineStr"/>
      <c r="K1148" t="inlineStr"/>
      <c r="L1148" t="inlineStr"/>
      <c r="M1148" t="inlineStr"/>
      <c r="N1148" t="inlineStr"/>
    </row>
    <row r="1149">
      <c r="A1149" t="inlineStr">
        <is>
          <t>pl-krakow</t>
        </is>
      </c>
      <c r="B1149" t="inlineStr">
        <is>
          <t>Krakow</t>
        </is>
      </c>
      <c r="C1149" t="inlineStr">
        <is>
          <t>Poland</t>
        </is>
      </c>
      <c r="D1149" t="inlineStr">
        <is>
          <t>Southern/Eastern Europe and Eurasia</t>
        </is>
      </c>
      <c r="E1149" t="inlineStr">
        <is>
          <t>transit_cost</t>
        </is>
      </c>
      <c r="F1149" t="inlineStr">
        <is>
          <t>Transit cost</t>
        </is>
      </c>
      <c r="G1149" t="inlineStr">
        <is>
          <t>pressure</t>
        </is>
      </c>
      <c r="H1149" t="inlineStr">
        <is>
          <t>yes</t>
        </is>
      </c>
      <c r="I1149" t="inlineStr"/>
      <c r="J1149" t="inlineStr"/>
      <c r="K1149" t="inlineStr"/>
      <c r="L1149" t="inlineStr"/>
      <c r="M1149" t="inlineStr"/>
      <c r="N1149" t="inlineStr"/>
    </row>
    <row r="1150">
      <c r="A1150" t="inlineStr">
        <is>
          <t>pl-krakow</t>
        </is>
      </c>
      <c r="B1150" t="inlineStr">
        <is>
          <t>Krakow</t>
        </is>
      </c>
      <c r="C1150" t="inlineStr">
        <is>
          <t>Poland</t>
        </is>
      </c>
      <c r="D1150" t="inlineStr">
        <is>
          <t>Southern/Eastern Europe and Eurasia</t>
        </is>
      </c>
      <c r="E1150" t="inlineStr">
        <is>
          <t>internet_cost</t>
        </is>
      </c>
      <c r="F1150" t="inlineStr">
        <is>
          <t>Internet cost</t>
        </is>
      </c>
      <c r="G1150" t="inlineStr">
        <is>
          <t>pressure</t>
        </is>
      </c>
      <c r="H1150" t="inlineStr">
        <is>
          <t>yes</t>
        </is>
      </c>
      <c r="I1150" t="inlineStr"/>
      <c r="J1150" t="inlineStr"/>
      <c r="K1150" t="inlineStr"/>
      <c r="L1150" t="inlineStr"/>
      <c r="M1150" t="inlineStr"/>
      <c r="N1150" t="inlineStr"/>
    </row>
    <row r="1151">
      <c r="A1151" t="inlineStr">
        <is>
          <t>pl-krakow</t>
        </is>
      </c>
      <c r="B1151" t="inlineStr">
        <is>
          <t>Krakow</t>
        </is>
      </c>
      <c r="C1151" t="inlineStr">
        <is>
          <t>Poland</t>
        </is>
      </c>
      <c r="D1151" t="inlineStr">
        <is>
          <t>Southern/Eastern Europe and Eurasia</t>
        </is>
      </c>
      <c r="E1151" t="inlineStr">
        <is>
          <t>food_cost</t>
        </is>
      </c>
      <c r="F1151" t="inlineStr">
        <is>
          <t>Food cost</t>
        </is>
      </c>
      <c r="G1151" t="inlineStr">
        <is>
          <t>pressure</t>
        </is>
      </c>
      <c r="H1151" t="inlineStr">
        <is>
          <t>yes</t>
        </is>
      </c>
      <c r="I1151" t="inlineStr"/>
      <c r="J1151" t="inlineStr"/>
      <c r="K1151" t="inlineStr"/>
      <c r="L1151" t="inlineStr"/>
      <c r="M1151" t="inlineStr"/>
      <c r="N1151" t="inlineStr"/>
    </row>
    <row r="1152">
      <c r="A1152" t="inlineStr">
        <is>
          <t>pl-krakow</t>
        </is>
      </c>
      <c r="B1152" t="inlineStr">
        <is>
          <t>Krakow</t>
        </is>
      </c>
      <c r="C1152" t="inlineStr">
        <is>
          <t>Poland</t>
        </is>
      </c>
      <c r="D1152" t="inlineStr">
        <is>
          <t>Southern/Eastern Europe and Eurasia</t>
        </is>
      </c>
      <c r="E1152" t="inlineStr">
        <is>
          <t>housing_burden_raw</t>
        </is>
      </c>
      <c r="F1152" t="inlineStr">
        <is>
          <t>Housing burden raw</t>
        </is>
      </c>
      <c r="G1152" t="inlineStr">
        <is>
          <t>pressure</t>
        </is>
      </c>
      <c r="H1152" t="inlineStr">
        <is>
          <t>yes</t>
        </is>
      </c>
      <c r="I1152" t="inlineStr"/>
      <c r="J1152" t="inlineStr"/>
      <c r="K1152" t="inlineStr"/>
      <c r="L1152" t="inlineStr"/>
      <c r="M1152" t="inlineStr"/>
      <c r="N1152" t="inlineStr"/>
    </row>
    <row r="1153">
      <c r="A1153" t="inlineStr">
        <is>
          <t>pl-krakow</t>
        </is>
      </c>
      <c r="B1153" t="inlineStr">
        <is>
          <t>Krakow</t>
        </is>
      </c>
      <c r="C1153" t="inlineStr">
        <is>
          <t>Poland</t>
        </is>
      </c>
      <c r="D1153" t="inlineStr">
        <is>
          <t>Southern/Eastern Europe and Eurasia</t>
        </is>
      </c>
      <c r="E1153" t="inlineStr">
        <is>
          <t>household_debt_burden_raw</t>
        </is>
      </c>
      <c r="F1153" t="inlineStr">
        <is>
          <t>Household debt burden raw</t>
        </is>
      </c>
      <c r="G1153" t="inlineStr">
        <is>
          <t>pressure</t>
        </is>
      </c>
      <c r="H1153" t="inlineStr">
        <is>
          <t>yes</t>
        </is>
      </c>
      <c r="I1153" t="inlineStr"/>
      <c r="J1153" t="inlineStr"/>
      <c r="K1153" t="inlineStr"/>
      <c r="L1153" t="inlineStr"/>
      <c r="M1153" t="inlineStr"/>
      <c r="N1153" t="inlineStr"/>
    </row>
    <row r="1154">
      <c r="A1154" t="inlineStr">
        <is>
          <t>pl-krakow</t>
        </is>
      </c>
      <c r="B1154" t="inlineStr">
        <is>
          <t>Krakow</t>
        </is>
      </c>
      <c r="C1154" t="inlineStr">
        <is>
          <t>Poland</t>
        </is>
      </c>
      <c r="D1154" t="inlineStr">
        <is>
          <t>Southern/Eastern Europe and Eurasia</t>
        </is>
      </c>
      <c r="E1154" t="inlineStr">
        <is>
          <t>working_time_pressure_raw</t>
        </is>
      </c>
      <c r="F1154" t="inlineStr">
        <is>
          <t>Working time pressure raw</t>
        </is>
      </c>
      <c r="G1154" t="inlineStr">
        <is>
          <t>pressure</t>
        </is>
      </c>
      <c r="H1154" t="inlineStr">
        <is>
          <t>yes</t>
        </is>
      </c>
      <c r="I1154" t="inlineStr"/>
      <c r="J1154" t="inlineStr"/>
      <c r="K1154" t="inlineStr"/>
      <c r="L1154" t="inlineStr"/>
      <c r="M1154" t="inlineStr"/>
      <c r="N1154" t="inlineStr"/>
    </row>
    <row r="1155">
      <c r="A1155" t="inlineStr">
        <is>
          <t>pl-krakow</t>
        </is>
      </c>
      <c r="B1155" t="inlineStr">
        <is>
          <t>Krakow</t>
        </is>
      </c>
      <c r="C1155" t="inlineStr">
        <is>
          <t>Poland</t>
        </is>
      </c>
      <c r="D1155" t="inlineStr">
        <is>
          <t>Southern/Eastern Europe and Eurasia</t>
        </is>
      </c>
      <c r="E1155" t="inlineStr">
        <is>
          <t>suicide_mental_strain_raw</t>
        </is>
      </c>
      <c r="F1155" t="inlineStr">
        <is>
          <t>Suicide or mental strain raw</t>
        </is>
      </c>
      <c r="G1155" t="inlineStr">
        <is>
          <t>pressure</t>
        </is>
      </c>
      <c r="H1155" t="inlineStr">
        <is>
          <t>yes</t>
        </is>
      </c>
      <c r="I1155" t="inlineStr"/>
      <c r="J1155" t="inlineStr"/>
      <c r="K1155" t="inlineStr"/>
      <c r="L1155" t="inlineStr"/>
      <c r="M1155" t="inlineStr"/>
      <c r="N1155" t="inlineStr"/>
    </row>
    <row r="1156">
      <c r="A1156" t="inlineStr">
        <is>
          <t>pl-krakow</t>
        </is>
      </c>
      <c r="B1156" t="inlineStr">
        <is>
          <t>Krakow</t>
        </is>
      </c>
      <c r="C1156" t="inlineStr">
        <is>
          <t>Poland</t>
        </is>
      </c>
      <c r="D1156" t="inlineStr">
        <is>
          <t>Southern/Eastern Europe and Eurasia</t>
        </is>
      </c>
      <c r="E1156" t="inlineStr">
        <is>
          <t>personal_safety_raw</t>
        </is>
      </c>
      <c r="F1156" t="inlineStr">
        <is>
          <t>Personal safety raw</t>
        </is>
      </c>
      <c r="G1156" t="inlineStr">
        <is>
          <t>viability</t>
        </is>
      </c>
      <c r="H1156" t="inlineStr">
        <is>
          <t>yes</t>
        </is>
      </c>
      <c r="I1156" t="inlineStr"/>
      <c r="J1156" t="inlineStr"/>
      <c r="K1156" t="inlineStr"/>
      <c r="L1156" t="inlineStr"/>
      <c r="M1156" t="inlineStr"/>
      <c r="N1156" t="inlineStr"/>
    </row>
    <row r="1157">
      <c r="A1157" t="inlineStr">
        <is>
          <t>pl-krakow</t>
        </is>
      </c>
      <c r="B1157" t="inlineStr">
        <is>
          <t>Krakow</t>
        </is>
      </c>
      <c r="C1157" t="inlineStr">
        <is>
          <t>Poland</t>
        </is>
      </c>
      <c r="D1157" t="inlineStr">
        <is>
          <t>Southern/Eastern Europe and Eurasia</t>
        </is>
      </c>
      <c r="E1157" t="inlineStr">
        <is>
          <t>transit_access_commute_raw</t>
        </is>
      </c>
      <c r="F1157" t="inlineStr">
        <is>
          <t>Transit access and commute raw</t>
        </is>
      </c>
      <c r="G1157" t="inlineStr">
        <is>
          <t>viability</t>
        </is>
      </c>
      <c r="H1157" t="inlineStr">
        <is>
          <t>yes</t>
        </is>
      </c>
      <c r="I1157" t="inlineStr"/>
      <c r="J1157" t="inlineStr"/>
      <c r="K1157" t="inlineStr"/>
      <c r="L1157" t="inlineStr"/>
      <c r="M1157" t="inlineStr"/>
      <c r="N1157" t="inlineStr"/>
    </row>
    <row r="1158">
      <c r="A1158" t="inlineStr">
        <is>
          <t>pl-krakow</t>
        </is>
      </c>
      <c r="B1158" t="inlineStr">
        <is>
          <t>Krakow</t>
        </is>
      </c>
      <c r="C1158" t="inlineStr">
        <is>
          <t>Poland</t>
        </is>
      </c>
      <c r="D1158" t="inlineStr">
        <is>
          <t>Southern/Eastern Europe and Eurasia</t>
        </is>
      </c>
      <c r="E1158" t="inlineStr">
        <is>
          <t>clean_air_raw</t>
        </is>
      </c>
      <c r="F1158" t="inlineStr">
        <is>
          <t>Clean air raw</t>
        </is>
      </c>
      <c r="G1158" t="inlineStr">
        <is>
          <t>viability</t>
        </is>
      </c>
      <c r="H1158" t="inlineStr">
        <is>
          <t>yes</t>
        </is>
      </c>
      <c r="I1158" t="inlineStr"/>
      <c r="J1158" t="inlineStr"/>
      <c r="K1158" t="inlineStr"/>
      <c r="L1158" t="inlineStr"/>
      <c r="M1158" t="inlineStr"/>
      <c r="N1158" t="inlineStr"/>
    </row>
    <row r="1159">
      <c r="A1159" t="inlineStr">
        <is>
          <t>pl-krakow</t>
        </is>
      </c>
      <c r="B1159" t="inlineStr">
        <is>
          <t>Krakow</t>
        </is>
      </c>
      <c r="C1159" t="inlineStr">
        <is>
          <t>Poland</t>
        </is>
      </c>
      <c r="D1159" t="inlineStr">
        <is>
          <t>Southern/Eastern Europe and Eurasia</t>
        </is>
      </c>
      <c r="E1159" t="inlineStr">
        <is>
          <t>water_sanitation_utility_raw</t>
        </is>
      </c>
      <c r="F1159" t="inlineStr">
        <is>
          <t>Water, sanitation, and utility raw</t>
        </is>
      </c>
      <c r="G1159" t="inlineStr">
        <is>
          <t>viability</t>
        </is>
      </c>
      <c r="H1159" t="inlineStr">
        <is>
          <t>yes</t>
        </is>
      </c>
      <c r="I1159" t="inlineStr"/>
      <c r="J1159" t="inlineStr"/>
      <c r="K1159" t="inlineStr"/>
      <c r="L1159" t="inlineStr"/>
      <c r="M1159" t="inlineStr"/>
      <c r="N1159" t="inlineStr"/>
    </row>
    <row r="1160">
      <c r="A1160" t="inlineStr">
        <is>
          <t>pl-krakow</t>
        </is>
      </c>
      <c r="B1160" t="inlineStr">
        <is>
          <t>Krakow</t>
        </is>
      </c>
      <c r="C1160" t="inlineStr">
        <is>
          <t>Poland</t>
        </is>
      </c>
      <c r="D1160" t="inlineStr">
        <is>
          <t>Southern/Eastern Europe and Eurasia</t>
        </is>
      </c>
      <c r="E1160" t="inlineStr">
        <is>
          <t>digital_infrastructure_raw</t>
        </is>
      </c>
      <c r="F1160" t="inlineStr">
        <is>
          <t>Digital infrastructure raw</t>
        </is>
      </c>
      <c r="G1160" t="inlineStr">
        <is>
          <t>viability</t>
        </is>
      </c>
      <c r="H1160" t="inlineStr">
        <is>
          <t>yes</t>
        </is>
      </c>
      <c r="I1160" t="inlineStr"/>
      <c r="J1160" t="inlineStr"/>
      <c r="K1160" t="inlineStr"/>
      <c r="L1160" t="inlineStr"/>
      <c r="M1160" t="inlineStr"/>
      <c r="N1160" t="inlineStr"/>
    </row>
    <row r="1161">
      <c r="A1161" t="inlineStr">
        <is>
          <t>pl-krakow</t>
        </is>
      </c>
      <c r="B1161" t="inlineStr">
        <is>
          <t>Krakow</t>
        </is>
      </c>
      <c r="C1161" t="inlineStr">
        <is>
          <t>Poland</t>
        </is>
      </c>
      <c r="D1161" t="inlineStr">
        <is>
          <t>Southern/Eastern Europe and Eurasia</t>
        </is>
      </c>
      <c r="E1161" t="inlineStr">
        <is>
          <t>healthcare_quality_raw</t>
        </is>
      </c>
      <c r="F1161" t="inlineStr">
        <is>
          <t>Healthcare quality raw</t>
        </is>
      </c>
      <c r="G1161" t="inlineStr">
        <is>
          <t>capability</t>
        </is>
      </c>
      <c r="H1161" t="inlineStr">
        <is>
          <t>yes</t>
        </is>
      </c>
      <c r="I1161" t="inlineStr"/>
      <c r="J1161" t="inlineStr"/>
      <c r="K1161" t="inlineStr"/>
      <c r="L1161" t="inlineStr"/>
      <c r="M1161" t="inlineStr"/>
      <c r="N1161" t="inlineStr"/>
    </row>
    <row r="1162">
      <c r="A1162" t="inlineStr">
        <is>
          <t>pl-krakow</t>
        </is>
      </c>
      <c r="B1162" t="inlineStr">
        <is>
          <t>Krakow</t>
        </is>
      </c>
      <c r="C1162" t="inlineStr">
        <is>
          <t>Poland</t>
        </is>
      </c>
      <c r="D1162" t="inlineStr">
        <is>
          <t>Southern/Eastern Europe and Eurasia</t>
        </is>
      </c>
      <c r="E1162" t="inlineStr">
        <is>
          <t>education_quality_raw</t>
        </is>
      </c>
      <c r="F1162" t="inlineStr">
        <is>
          <t>Education quality raw</t>
        </is>
      </c>
      <c r="G1162" t="inlineStr">
        <is>
          <t>capability</t>
        </is>
      </c>
      <c r="H1162" t="inlineStr">
        <is>
          <t>yes</t>
        </is>
      </c>
      <c r="I1162" t="inlineStr"/>
      <c r="J1162" t="inlineStr"/>
      <c r="K1162" t="inlineStr"/>
      <c r="L1162" t="inlineStr"/>
      <c r="M1162" t="inlineStr"/>
      <c r="N1162" t="inlineStr"/>
    </row>
    <row r="1163">
      <c r="A1163" t="inlineStr">
        <is>
          <t>pl-krakow</t>
        </is>
      </c>
      <c r="B1163" t="inlineStr">
        <is>
          <t>Krakow</t>
        </is>
      </c>
      <c r="C1163" t="inlineStr">
        <is>
          <t>Poland</t>
        </is>
      </c>
      <c r="D1163" t="inlineStr">
        <is>
          <t>Southern/Eastern Europe and Eurasia</t>
        </is>
      </c>
      <c r="E1163" t="inlineStr">
        <is>
          <t>equal_opportunity_raw</t>
        </is>
      </c>
      <c r="F1163" t="inlineStr">
        <is>
          <t>Equal opportunity raw</t>
        </is>
      </c>
      <c r="G1163" t="inlineStr">
        <is>
          <t>capability</t>
        </is>
      </c>
      <c r="H1163" t="inlineStr">
        <is>
          <t>yes</t>
        </is>
      </c>
      <c r="I1163" t="inlineStr"/>
      <c r="J1163" t="inlineStr"/>
      <c r="K1163" t="inlineStr"/>
      <c r="L1163" t="inlineStr"/>
      <c r="M1163" t="inlineStr"/>
      <c r="N1163" t="inlineStr"/>
    </row>
    <row r="1164">
      <c r="A1164" t="inlineStr">
        <is>
          <t>pl-krakow</t>
        </is>
      </c>
      <c r="B1164" t="inlineStr">
        <is>
          <t>Krakow</t>
        </is>
      </c>
      <c r="C1164" t="inlineStr">
        <is>
          <t>Poland</t>
        </is>
      </c>
      <c r="D1164" t="inlineStr">
        <is>
          <t>Southern/Eastern Europe and Eurasia</t>
        </is>
      </c>
      <c r="E1164" t="inlineStr">
        <is>
          <t>hospitality_belonging_raw</t>
        </is>
      </c>
      <c r="F1164" t="inlineStr">
        <is>
          <t>Hospitality and belonging raw</t>
        </is>
      </c>
      <c r="G1164" t="inlineStr">
        <is>
          <t>community</t>
        </is>
      </c>
      <c r="H1164" t="inlineStr">
        <is>
          <t>yes</t>
        </is>
      </c>
      <c r="I1164" t="inlineStr"/>
      <c r="J1164" t="inlineStr"/>
      <c r="K1164" t="inlineStr"/>
      <c r="L1164" t="inlineStr"/>
      <c r="M1164" t="inlineStr"/>
      <c r="N1164" t="inlineStr"/>
    </row>
    <row r="1165">
      <c r="A1165" t="inlineStr">
        <is>
          <t>pl-krakow</t>
        </is>
      </c>
      <c r="B1165" t="inlineStr">
        <is>
          <t>Krakow</t>
        </is>
      </c>
      <c r="C1165" t="inlineStr">
        <is>
          <t>Poland</t>
        </is>
      </c>
      <c r="D1165" t="inlineStr">
        <is>
          <t>Southern/Eastern Europe and Eurasia</t>
        </is>
      </c>
      <c r="E1165" t="inlineStr">
        <is>
          <t>tolerance_pluralism_raw</t>
        </is>
      </c>
      <c r="F1165" t="inlineStr">
        <is>
          <t>Tolerance and pluralism raw</t>
        </is>
      </c>
      <c r="G1165" t="inlineStr">
        <is>
          <t>community</t>
        </is>
      </c>
      <c r="H1165" t="inlineStr">
        <is>
          <t>yes</t>
        </is>
      </c>
      <c r="I1165" t="inlineStr"/>
      <c r="J1165" t="inlineStr"/>
      <c r="K1165" t="inlineStr"/>
      <c r="L1165" t="inlineStr"/>
      <c r="M1165" t="inlineStr"/>
      <c r="N1165" t="inlineStr"/>
    </row>
    <row r="1166">
      <c r="A1166" t="inlineStr">
        <is>
          <t>pl-krakow</t>
        </is>
      </c>
      <c r="B1166" t="inlineStr">
        <is>
          <t>Krakow</t>
        </is>
      </c>
      <c r="C1166" t="inlineStr">
        <is>
          <t>Poland</t>
        </is>
      </c>
      <c r="D1166" t="inlineStr">
        <is>
          <t>Southern/Eastern Europe and Eurasia</t>
        </is>
      </c>
      <c r="E1166" t="inlineStr">
        <is>
          <t>cultural_public_life_raw</t>
        </is>
      </c>
      <c r="F1166" t="inlineStr">
        <is>
          <t>Cultural public life raw</t>
        </is>
      </c>
      <c r="G1166" t="inlineStr">
        <is>
          <t>community</t>
        </is>
      </c>
      <c r="H1166" t="inlineStr">
        <is>
          <t>yes</t>
        </is>
      </c>
      <c r="I1166" t="inlineStr"/>
      <c r="J1166" t="inlineStr"/>
      <c r="K1166" t="inlineStr"/>
      <c r="L1166" t="inlineStr"/>
      <c r="M1166" t="inlineStr"/>
      <c r="N1166" t="inlineStr"/>
    </row>
    <row r="1167">
      <c r="A1167" t="inlineStr">
        <is>
          <t>pl-krakow</t>
        </is>
      </c>
      <c r="B1167" t="inlineStr">
        <is>
          <t>Krakow</t>
        </is>
      </c>
      <c r="C1167" t="inlineStr">
        <is>
          <t>Poland</t>
        </is>
      </c>
      <c r="D1167" t="inlineStr">
        <is>
          <t>Southern/Eastern Europe and Eurasia</t>
        </is>
      </c>
      <c r="E1167" t="inlineStr">
        <is>
          <t>entrepreneurial_dynamism_raw</t>
        </is>
      </c>
      <c r="F1167" t="inlineStr">
        <is>
          <t>Entrepreneurial dynamism raw</t>
        </is>
      </c>
      <c r="G1167" t="inlineStr">
        <is>
          <t>creative</t>
        </is>
      </c>
      <c r="H1167" t="inlineStr">
        <is>
          <t>yes</t>
        </is>
      </c>
      <c r="I1167" t="inlineStr"/>
      <c r="J1167" t="inlineStr"/>
      <c r="K1167" t="inlineStr"/>
      <c r="L1167" t="inlineStr"/>
      <c r="M1167" t="inlineStr"/>
      <c r="N1167" t="inlineStr"/>
    </row>
    <row r="1168">
      <c r="A1168" t="inlineStr">
        <is>
          <t>pl-krakow</t>
        </is>
      </c>
      <c r="B1168" t="inlineStr">
        <is>
          <t>Krakow</t>
        </is>
      </c>
      <c r="C1168" t="inlineStr">
        <is>
          <t>Poland</t>
        </is>
      </c>
      <c r="D1168" t="inlineStr">
        <is>
          <t>Southern/Eastern Europe and Eurasia</t>
        </is>
      </c>
      <c r="E1168" t="inlineStr">
        <is>
          <t>innovation_research_intensity_raw</t>
        </is>
      </c>
      <c r="F1168" t="inlineStr">
        <is>
          <t>Innovation and research raw</t>
        </is>
      </c>
      <c r="G1168" t="inlineStr">
        <is>
          <t>creative</t>
        </is>
      </c>
      <c r="H1168" t="inlineStr">
        <is>
          <t>yes</t>
        </is>
      </c>
      <c r="I1168" t="inlineStr"/>
      <c r="J1168" t="inlineStr"/>
      <c r="K1168" t="inlineStr"/>
      <c r="L1168" t="inlineStr"/>
      <c r="M1168" t="inlineStr"/>
      <c r="N1168" t="inlineStr"/>
    </row>
    <row r="1169">
      <c r="A1169" t="inlineStr">
        <is>
          <t>pl-krakow</t>
        </is>
      </c>
      <c r="B1169" t="inlineStr">
        <is>
          <t>Krakow</t>
        </is>
      </c>
      <c r="C1169" t="inlineStr">
        <is>
          <t>Poland</t>
        </is>
      </c>
      <c r="D1169" t="inlineStr">
        <is>
          <t>Southern/Eastern Europe and Eurasia</t>
        </is>
      </c>
      <c r="E1169" t="inlineStr">
        <is>
          <t>investment_signal_raw</t>
        </is>
      </c>
      <c r="F1169" t="inlineStr">
        <is>
          <t>Investment signal raw</t>
        </is>
      </c>
      <c r="G1169" t="inlineStr">
        <is>
          <t>creative</t>
        </is>
      </c>
      <c r="H1169" t="inlineStr">
        <is>
          <t>yes</t>
        </is>
      </c>
      <c r="I1169" t="inlineStr"/>
      <c r="J1169" t="inlineStr"/>
      <c r="K1169" t="inlineStr"/>
      <c r="L1169" t="inlineStr"/>
      <c r="M1169" t="inlineStr"/>
      <c r="N1169" t="inlineStr"/>
    </row>
    <row r="1170">
      <c r="A1170" t="inlineStr">
        <is>
          <t>pl-krakow</t>
        </is>
      </c>
      <c r="B1170" t="inlineStr">
        <is>
          <t>Krakow</t>
        </is>
      </c>
      <c r="C1170" t="inlineStr">
        <is>
          <t>Poland</t>
        </is>
      </c>
      <c r="D1170" t="inlineStr">
        <is>
          <t>Southern/Eastern Europe and Eurasia</t>
        </is>
      </c>
      <c r="E1170" t="inlineStr">
        <is>
          <t>administrative_investment_friction_raw</t>
        </is>
      </c>
      <c r="F1170" t="inlineStr">
        <is>
          <t>Administrative investment friction raw</t>
        </is>
      </c>
      <c r="G1170" t="inlineStr">
        <is>
          <t>creative</t>
        </is>
      </c>
      <c r="H1170" t="inlineStr">
        <is>
          <t>yes</t>
        </is>
      </c>
      <c r="I1170" t="inlineStr"/>
      <c r="J1170" t="inlineStr"/>
      <c r="K1170" t="inlineStr"/>
      <c r="L1170" t="inlineStr"/>
      <c r="M1170" t="inlineStr"/>
      <c r="N1170" t="inlineStr"/>
    </row>
    <row r="1171">
      <c r="A1171" t="inlineStr">
        <is>
          <t>pl-krakow</t>
        </is>
      </c>
      <c r="B1171" t="inlineStr">
        <is>
          <t>Krakow</t>
        </is>
      </c>
      <c r="C1171" t="inlineStr">
        <is>
          <t>Poland</t>
        </is>
      </c>
      <c r="D1171" t="inlineStr">
        <is>
          <t>Southern/Eastern Europe and Eurasia</t>
        </is>
      </c>
      <c r="E1171" t="inlineStr">
        <is>
          <t>visitor_flow_context_raw</t>
        </is>
      </c>
      <c r="F1171" t="inlineStr">
        <is>
          <t>Visitor flow context raw</t>
        </is>
      </c>
      <c r="G1171" t="inlineStr">
        <is>
          <t>creative</t>
        </is>
      </c>
      <c r="H1171" t="inlineStr">
        <is>
          <t>no</t>
        </is>
      </c>
      <c r="I1171" t="inlineStr"/>
      <c r="J1171" t="inlineStr"/>
      <c r="K1171" t="inlineStr"/>
      <c r="L1171" t="inlineStr"/>
      <c r="M1171" t="inlineStr"/>
      <c r="N1171" t="inlineStr"/>
    </row>
    <row r="1172">
      <c r="A1172" t="inlineStr">
        <is>
          <t>ro-bucharest</t>
        </is>
      </c>
      <c r="B1172" t="inlineStr">
        <is>
          <t>Bucharest</t>
        </is>
      </c>
      <c r="C1172" t="inlineStr">
        <is>
          <t>Romania</t>
        </is>
      </c>
      <c r="D1172" t="inlineStr">
        <is>
          <t>Southern/Eastern Europe and Eurasia</t>
        </is>
      </c>
      <c r="E1172" t="inlineStr">
        <is>
          <t>gross_income</t>
        </is>
      </c>
      <c r="F1172" t="inlineStr">
        <is>
          <t>Gross income</t>
        </is>
      </c>
      <c r="G1172" t="inlineStr">
        <is>
          <t>pressure</t>
        </is>
      </c>
      <c r="H1172" t="inlineStr">
        <is>
          <t>yes</t>
        </is>
      </c>
      <c r="I1172" t="inlineStr"/>
      <c r="J1172" t="inlineStr"/>
      <c r="K1172" t="inlineStr"/>
      <c r="L1172" t="inlineStr"/>
      <c r="M1172" t="inlineStr"/>
      <c r="N1172" t="inlineStr"/>
    </row>
    <row r="1173">
      <c r="A1173" t="inlineStr">
        <is>
          <t>ro-bucharest</t>
        </is>
      </c>
      <c r="B1173" t="inlineStr">
        <is>
          <t>Bucharest</t>
        </is>
      </c>
      <c r="C1173" t="inlineStr">
        <is>
          <t>Romania</t>
        </is>
      </c>
      <c r="D1173" t="inlineStr">
        <is>
          <t>Southern/Eastern Europe and Eurasia</t>
        </is>
      </c>
      <c r="E1173" t="inlineStr">
        <is>
          <t>rent</t>
        </is>
      </c>
      <c r="F1173" t="inlineStr">
        <is>
          <t>Rent</t>
        </is>
      </c>
      <c r="G1173" t="inlineStr">
        <is>
          <t>pressure</t>
        </is>
      </c>
      <c r="H1173" t="inlineStr">
        <is>
          <t>yes</t>
        </is>
      </c>
      <c r="I1173" t="inlineStr"/>
      <c r="J1173" t="inlineStr"/>
      <c r="K1173" t="inlineStr"/>
      <c r="L1173" t="inlineStr"/>
      <c r="M1173" t="inlineStr"/>
      <c r="N1173" t="inlineStr"/>
    </row>
    <row r="1174">
      <c r="A1174" t="inlineStr">
        <is>
          <t>ro-bucharest</t>
        </is>
      </c>
      <c r="B1174" t="inlineStr">
        <is>
          <t>Bucharest</t>
        </is>
      </c>
      <c r="C1174" t="inlineStr">
        <is>
          <t>Romania</t>
        </is>
      </c>
      <c r="D1174" t="inlineStr">
        <is>
          <t>Southern/Eastern Europe and Eurasia</t>
        </is>
      </c>
      <c r="E1174" t="inlineStr">
        <is>
          <t>utilities</t>
        </is>
      </c>
      <c r="F1174" t="inlineStr">
        <is>
          <t>Utilities</t>
        </is>
      </c>
      <c r="G1174" t="inlineStr">
        <is>
          <t>pressure</t>
        </is>
      </c>
      <c r="H1174" t="inlineStr">
        <is>
          <t>yes</t>
        </is>
      </c>
      <c r="I1174" t="inlineStr"/>
      <c r="J1174" t="inlineStr"/>
      <c r="K1174" t="inlineStr"/>
      <c r="L1174" t="inlineStr"/>
      <c r="M1174" t="inlineStr"/>
      <c r="N1174" t="inlineStr"/>
    </row>
    <row r="1175">
      <c r="A1175" t="inlineStr">
        <is>
          <t>ro-bucharest</t>
        </is>
      </c>
      <c r="B1175" t="inlineStr">
        <is>
          <t>Bucharest</t>
        </is>
      </c>
      <c r="C1175" t="inlineStr">
        <is>
          <t>Romania</t>
        </is>
      </c>
      <c r="D1175" t="inlineStr">
        <is>
          <t>Southern/Eastern Europe and Eurasia</t>
        </is>
      </c>
      <c r="E1175" t="inlineStr">
        <is>
          <t>transit_cost</t>
        </is>
      </c>
      <c r="F1175" t="inlineStr">
        <is>
          <t>Transit cost</t>
        </is>
      </c>
      <c r="G1175" t="inlineStr">
        <is>
          <t>pressure</t>
        </is>
      </c>
      <c r="H1175" t="inlineStr">
        <is>
          <t>yes</t>
        </is>
      </c>
      <c r="I1175" t="inlineStr"/>
      <c r="J1175" t="inlineStr"/>
      <c r="K1175" t="inlineStr"/>
      <c r="L1175" t="inlineStr"/>
      <c r="M1175" t="inlineStr"/>
      <c r="N1175" t="inlineStr"/>
    </row>
    <row r="1176">
      <c r="A1176" t="inlineStr">
        <is>
          <t>ro-bucharest</t>
        </is>
      </c>
      <c r="B1176" t="inlineStr">
        <is>
          <t>Bucharest</t>
        </is>
      </c>
      <c r="C1176" t="inlineStr">
        <is>
          <t>Romania</t>
        </is>
      </c>
      <c r="D1176" t="inlineStr">
        <is>
          <t>Southern/Eastern Europe and Eurasia</t>
        </is>
      </c>
      <c r="E1176" t="inlineStr">
        <is>
          <t>internet_cost</t>
        </is>
      </c>
      <c r="F1176" t="inlineStr">
        <is>
          <t>Internet cost</t>
        </is>
      </c>
      <c r="G1176" t="inlineStr">
        <is>
          <t>pressure</t>
        </is>
      </c>
      <c r="H1176" t="inlineStr">
        <is>
          <t>yes</t>
        </is>
      </c>
      <c r="I1176" t="inlineStr"/>
      <c r="J1176" t="inlineStr"/>
      <c r="K1176" t="inlineStr"/>
      <c r="L1176" t="inlineStr"/>
      <c r="M1176" t="inlineStr"/>
      <c r="N1176" t="inlineStr"/>
    </row>
    <row r="1177">
      <c r="A1177" t="inlineStr">
        <is>
          <t>ro-bucharest</t>
        </is>
      </c>
      <c r="B1177" t="inlineStr">
        <is>
          <t>Bucharest</t>
        </is>
      </c>
      <c r="C1177" t="inlineStr">
        <is>
          <t>Romania</t>
        </is>
      </c>
      <c r="D1177" t="inlineStr">
        <is>
          <t>Southern/Eastern Europe and Eurasia</t>
        </is>
      </c>
      <c r="E1177" t="inlineStr">
        <is>
          <t>food_cost</t>
        </is>
      </c>
      <c r="F1177" t="inlineStr">
        <is>
          <t>Food cost</t>
        </is>
      </c>
      <c r="G1177" t="inlineStr">
        <is>
          <t>pressure</t>
        </is>
      </c>
      <c r="H1177" t="inlineStr">
        <is>
          <t>yes</t>
        </is>
      </c>
      <c r="I1177" t="inlineStr"/>
      <c r="J1177" t="inlineStr"/>
      <c r="K1177" t="inlineStr"/>
      <c r="L1177" t="inlineStr"/>
      <c r="M1177" t="inlineStr"/>
      <c r="N1177" t="inlineStr"/>
    </row>
    <row r="1178">
      <c r="A1178" t="inlineStr">
        <is>
          <t>ro-bucharest</t>
        </is>
      </c>
      <c r="B1178" t="inlineStr">
        <is>
          <t>Bucharest</t>
        </is>
      </c>
      <c r="C1178" t="inlineStr">
        <is>
          <t>Romania</t>
        </is>
      </c>
      <c r="D1178" t="inlineStr">
        <is>
          <t>Southern/Eastern Europe and Eurasia</t>
        </is>
      </c>
      <c r="E1178" t="inlineStr">
        <is>
          <t>housing_burden_raw</t>
        </is>
      </c>
      <c r="F1178" t="inlineStr">
        <is>
          <t>Housing burden raw</t>
        </is>
      </c>
      <c r="G1178" t="inlineStr">
        <is>
          <t>pressure</t>
        </is>
      </c>
      <c r="H1178" t="inlineStr">
        <is>
          <t>yes</t>
        </is>
      </c>
      <c r="I1178" t="inlineStr"/>
      <c r="J1178" t="inlineStr"/>
      <c r="K1178" t="inlineStr"/>
      <c r="L1178" t="inlineStr"/>
      <c r="M1178" t="inlineStr"/>
      <c r="N1178" t="inlineStr"/>
    </row>
    <row r="1179">
      <c r="A1179" t="inlineStr">
        <is>
          <t>ro-bucharest</t>
        </is>
      </c>
      <c r="B1179" t="inlineStr">
        <is>
          <t>Bucharest</t>
        </is>
      </c>
      <c r="C1179" t="inlineStr">
        <is>
          <t>Romania</t>
        </is>
      </c>
      <c r="D1179" t="inlineStr">
        <is>
          <t>Southern/Eastern Europe and Eurasia</t>
        </is>
      </c>
      <c r="E1179" t="inlineStr">
        <is>
          <t>household_debt_burden_raw</t>
        </is>
      </c>
      <c r="F1179" t="inlineStr">
        <is>
          <t>Household debt burden raw</t>
        </is>
      </c>
      <c r="G1179" t="inlineStr">
        <is>
          <t>pressure</t>
        </is>
      </c>
      <c r="H1179" t="inlineStr">
        <is>
          <t>yes</t>
        </is>
      </c>
      <c r="I1179" t="inlineStr"/>
      <c r="J1179" t="inlineStr"/>
      <c r="K1179" t="inlineStr"/>
      <c r="L1179" t="inlineStr"/>
      <c r="M1179" t="inlineStr"/>
      <c r="N1179" t="inlineStr"/>
    </row>
    <row r="1180">
      <c r="A1180" t="inlineStr">
        <is>
          <t>ro-bucharest</t>
        </is>
      </c>
      <c r="B1180" t="inlineStr">
        <is>
          <t>Bucharest</t>
        </is>
      </c>
      <c r="C1180" t="inlineStr">
        <is>
          <t>Romania</t>
        </is>
      </c>
      <c r="D1180" t="inlineStr">
        <is>
          <t>Southern/Eastern Europe and Eurasia</t>
        </is>
      </c>
      <c r="E1180" t="inlineStr">
        <is>
          <t>working_time_pressure_raw</t>
        </is>
      </c>
      <c r="F1180" t="inlineStr">
        <is>
          <t>Working time pressure raw</t>
        </is>
      </c>
      <c r="G1180" t="inlineStr">
        <is>
          <t>pressure</t>
        </is>
      </c>
      <c r="H1180" t="inlineStr">
        <is>
          <t>yes</t>
        </is>
      </c>
      <c r="I1180" t="inlineStr"/>
      <c r="J1180" t="inlineStr"/>
      <c r="K1180" t="inlineStr"/>
      <c r="L1180" t="inlineStr"/>
      <c r="M1180" t="inlineStr"/>
      <c r="N1180" t="inlineStr"/>
    </row>
    <row r="1181">
      <c r="A1181" t="inlineStr">
        <is>
          <t>ro-bucharest</t>
        </is>
      </c>
      <c r="B1181" t="inlineStr">
        <is>
          <t>Bucharest</t>
        </is>
      </c>
      <c r="C1181" t="inlineStr">
        <is>
          <t>Romania</t>
        </is>
      </c>
      <c r="D1181" t="inlineStr">
        <is>
          <t>Southern/Eastern Europe and Eurasia</t>
        </is>
      </c>
      <c r="E1181" t="inlineStr">
        <is>
          <t>suicide_mental_strain_raw</t>
        </is>
      </c>
      <c r="F1181" t="inlineStr">
        <is>
          <t>Suicide or mental strain raw</t>
        </is>
      </c>
      <c r="G1181" t="inlineStr">
        <is>
          <t>pressure</t>
        </is>
      </c>
      <c r="H1181" t="inlineStr">
        <is>
          <t>yes</t>
        </is>
      </c>
      <c r="I1181" t="inlineStr"/>
      <c r="J1181" t="inlineStr"/>
      <c r="K1181" t="inlineStr"/>
      <c r="L1181" t="inlineStr"/>
      <c r="M1181" t="inlineStr"/>
      <c r="N1181" t="inlineStr"/>
    </row>
    <row r="1182">
      <c r="A1182" t="inlineStr">
        <is>
          <t>ro-bucharest</t>
        </is>
      </c>
      <c r="B1182" t="inlineStr">
        <is>
          <t>Bucharest</t>
        </is>
      </c>
      <c r="C1182" t="inlineStr">
        <is>
          <t>Romania</t>
        </is>
      </c>
      <c r="D1182" t="inlineStr">
        <is>
          <t>Southern/Eastern Europe and Eurasia</t>
        </is>
      </c>
      <c r="E1182" t="inlineStr">
        <is>
          <t>personal_safety_raw</t>
        </is>
      </c>
      <c r="F1182" t="inlineStr">
        <is>
          <t>Personal safety raw</t>
        </is>
      </c>
      <c r="G1182" t="inlineStr">
        <is>
          <t>viability</t>
        </is>
      </c>
      <c r="H1182" t="inlineStr">
        <is>
          <t>yes</t>
        </is>
      </c>
      <c r="I1182" t="inlineStr"/>
      <c r="J1182" t="inlineStr"/>
      <c r="K1182" t="inlineStr"/>
      <c r="L1182" t="inlineStr"/>
      <c r="M1182" t="inlineStr"/>
      <c r="N1182" t="inlineStr"/>
    </row>
    <row r="1183">
      <c r="A1183" t="inlineStr">
        <is>
          <t>ro-bucharest</t>
        </is>
      </c>
      <c r="B1183" t="inlineStr">
        <is>
          <t>Bucharest</t>
        </is>
      </c>
      <c r="C1183" t="inlineStr">
        <is>
          <t>Romania</t>
        </is>
      </c>
      <c r="D1183" t="inlineStr">
        <is>
          <t>Southern/Eastern Europe and Eurasia</t>
        </is>
      </c>
      <c r="E1183" t="inlineStr">
        <is>
          <t>transit_access_commute_raw</t>
        </is>
      </c>
      <c r="F1183" t="inlineStr">
        <is>
          <t>Transit access and commute raw</t>
        </is>
      </c>
      <c r="G1183" t="inlineStr">
        <is>
          <t>viability</t>
        </is>
      </c>
      <c r="H1183" t="inlineStr">
        <is>
          <t>yes</t>
        </is>
      </c>
      <c r="I1183" t="inlineStr"/>
      <c r="J1183" t="inlineStr"/>
      <c r="K1183" t="inlineStr"/>
      <c r="L1183" t="inlineStr"/>
      <c r="M1183" t="inlineStr"/>
      <c r="N1183" t="inlineStr"/>
    </row>
    <row r="1184">
      <c r="A1184" t="inlineStr">
        <is>
          <t>ro-bucharest</t>
        </is>
      </c>
      <c r="B1184" t="inlineStr">
        <is>
          <t>Bucharest</t>
        </is>
      </c>
      <c r="C1184" t="inlineStr">
        <is>
          <t>Romania</t>
        </is>
      </c>
      <c r="D1184" t="inlineStr">
        <is>
          <t>Southern/Eastern Europe and Eurasia</t>
        </is>
      </c>
      <c r="E1184" t="inlineStr">
        <is>
          <t>clean_air_raw</t>
        </is>
      </c>
      <c r="F1184" t="inlineStr">
        <is>
          <t>Clean air raw</t>
        </is>
      </c>
      <c r="G1184" t="inlineStr">
        <is>
          <t>viability</t>
        </is>
      </c>
      <c r="H1184" t="inlineStr">
        <is>
          <t>yes</t>
        </is>
      </c>
      <c r="I1184" t="inlineStr"/>
      <c r="J1184" t="inlineStr"/>
      <c r="K1184" t="inlineStr"/>
      <c r="L1184" t="inlineStr"/>
      <c r="M1184" t="inlineStr"/>
      <c r="N1184" t="inlineStr"/>
    </row>
    <row r="1185">
      <c r="A1185" t="inlineStr">
        <is>
          <t>ro-bucharest</t>
        </is>
      </c>
      <c r="B1185" t="inlineStr">
        <is>
          <t>Bucharest</t>
        </is>
      </c>
      <c r="C1185" t="inlineStr">
        <is>
          <t>Romania</t>
        </is>
      </c>
      <c r="D1185" t="inlineStr">
        <is>
          <t>Southern/Eastern Europe and Eurasia</t>
        </is>
      </c>
      <c r="E1185" t="inlineStr">
        <is>
          <t>water_sanitation_utility_raw</t>
        </is>
      </c>
      <c r="F1185" t="inlineStr">
        <is>
          <t>Water, sanitation, and utility raw</t>
        </is>
      </c>
      <c r="G1185" t="inlineStr">
        <is>
          <t>viability</t>
        </is>
      </c>
      <c r="H1185" t="inlineStr">
        <is>
          <t>yes</t>
        </is>
      </c>
      <c r="I1185" t="inlineStr"/>
      <c r="J1185" t="inlineStr"/>
      <c r="K1185" t="inlineStr"/>
      <c r="L1185" t="inlineStr"/>
      <c r="M1185" t="inlineStr"/>
      <c r="N1185" t="inlineStr"/>
    </row>
    <row r="1186">
      <c r="A1186" t="inlineStr">
        <is>
          <t>ro-bucharest</t>
        </is>
      </c>
      <c r="B1186" t="inlineStr">
        <is>
          <t>Bucharest</t>
        </is>
      </c>
      <c r="C1186" t="inlineStr">
        <is>
          <t>Romania</t>
        </is>
      </c>
      <c r="D1186" t="inlineStr">
        <is>
          <t>Southern/Eastern Europe and Eurasia</t>
        </is>
      </c>
      <c r="E1186" t="inlineStr">
        <is>
          <t>digital_infrastructure_raw</t>
        </is>
      </c>
      <c r="F1186" t="inlineStr">
        <is>
          <t>Digital infrastructure raw</t>
        </is>
      </c>
      <c r="G1186" t="inlineStr">
        <is>
          <t>viability</t>
        </is>
      </c>
      <c r="H1186" t="inlineStr">
        <is>
          <t>yes</t>
        </is>
      </c>
      <c r="I1186" t="inlineStr"/>
      <c r="J1186" t="inlineStr"/>
      <c r="K1186" t="inlineStr"/>
      <c r="L1186" t="inlineStr"/>
      <c r="M1186" t="inlineStr"/>
      <c r="N1186" t="inlineStr"/>
    </row>
    <row r="1187">
      <c r="A1187" t="inlineStr">
        <is>
          <t>ro-bucharest</t>
        </is>
      </c>
      <c r="B1187" t="inlineStr">
        <is>
          <t>Bucharest</t>
        </is>
      </c>
      <c r="C1187" t="inlineStr">
        <is>
          <t>Romania</t>
        </is>
      </c>
      <c r="D1187" t="inlineStr">
        <is>
          <t>Southern/Eastern Europe and Eurasia</t>
        </is>
      </c>
      <c r="E1187" t="inlineStr">
        <is>
          <t>healthcare_quality_raw</t>
        </is>
      </c>
      <c r="F1187" t="inlineStr">
        <is>
          <t>Healthcare quality raw</t>
        </is>
      </c>
      <c r="G1187" t="inlineStr">
        <is>
          <t>capability</t>
        </is>
      </c>
      <c r="H1187" t="inlineStr">
        <is>
          <t>yes</t>
        </is>
      </c>
      <c r="I1187" t="inlineStr"/>
      <c r="J1187" t="inlineStr"/>
      <c r="K1187" t="inlineStr"/>
      <c r="L1187" t="inlineStr"/>
      <c r="M1187" t="inlineStr"/>
      <c r="N1187" t="inlineStr"/>
    </row>
    <row r="1188">
      <c r="A1188" t="inlineStr">
        <is>
          <t>ro-bucharest</t>
        </is>
      </c>
      <c r="B1188" t="inlineStr">
        <is>
          <t>Bucharest</t>
        </is>
      </c>
      <c r="C1188" t="inlineStr">
        <is>
          <t>Romania</t>
        </is>
      </c>
      <c r="D1188" t="inlineStr">
        <is>
          <t>Southern/Eastern Europe and Eurasia</t>
        </is>
      </c>
      <c r="E1188" t="inlineStr">
        <is>
          <t>education_quality_raw</t>
        </is>
      </c>
      <c r="F1188" t="inlineStr">
        <is>
          <t>Education quality raw</t>
        </is>
      </c>
      <c r="G1188" t="inlineStr">
        <is>
          <t>capability</t>
        </is>
      </c>
      <c r="H1188" t="inlineStr">
        <is>
          <t>yes</t>
        </is>
      </c>
      <c r="I1188" t="inlineStr"/>
      <c r="J1188" t="inlineStr"/>
      <c r="K1188" t="inlineStr"/>
      <c r="L1188" t="inlineStr"/>
      <c r="M1188" t="inlineStr"/>
      <c r="N1188" t="inlineStr"/>
    </row>
    <row r="1189">
      <c r="A1189" t="inlineStr">
        <is>
          <t>ro-bucharest</t>
        </is>
      </c>
      <c r="B1189" t="inlineStr">
        <is>
          <t>Bucharest</t>
        </is>
      </c>
      <c r="C1189" t="inlineStr">
        <is>
          <t>Romania</t>
        </is>
      </c>
      <c r="D1189" t="inlineStr">
        <is>
          <t>Southern/Eastern Europe and Eurasia</t>
        </is>
      </c>
      <c r="E1189" t="inlineStr">
        <is>
          <t>equal_opportunity_raw</t>
        </is>
      </c>
      <c r="F1189" t="inlineStr">
        <is>
          <t>Equal opportunity raw</t>
        </is>
      </c>
      <c r="G1189" t="inlineStr">
        <is>
          <t>capability</t>
        </is>
      </c>
      <c r="H1189" t="inlineStr">
        <is>
          <t>yes</t>
        </is>
      </c>
      <c r="I1189" t="inlineStr"/>
      <c r="J1189" t="inlineStr"/>
      <c r="K1189" t="inlineStr"/>
      <c r="L1189" t="inlineStr"/>
      <c r="M1189" t="inlineStr"/>
      <c r="N1189" t="inlineStr"/>
    </row>
    <row r="1190">
      <c r="A1190" t="inlineStr">
        <is>
          <t>ro-bucharest</t>
        </is>
      </c>
      <c r="B1190" t="inlineStr">
        <is>
          <t>Bucharest</t>
        </is>
      </c>
      <c r="C1190" t="inlineStr">
        <is>
          <t>Romania</t>
        </is>
      </c>
      <c r="D1190" t="inlineStr">
        <is>
          <t>Southern/Eastern Europe and Eurasia</t>
        </is>
      </c>
      <c r="E1190" t="inlineStr">
        <is>
          <t>hospitality_belonging_raw</t>
        </is>
      </c>
      <c r="F1190" t="inlineStr">
        <is>
          <t>Hospitality and belonging raw</t>
        </is>
      </c>
      <c r="G1190" t="inlineStr">
        <is>
          <t>community</t>
        </is>
      </c>
      <c r="H1190" t="inlineStr">
        <is>
          <t>yes</t>
        </is>
      </c>
      <c r="I1190" t="inlineStr"/>
      <c r="J1190" t="inlineStr"/>
      <c r="K1190" t="inlineStr"/>
      <c r="L1190" t="inlineStr"/>
      <c r="M1190" t="inlineStr"/>
      <c r="N1190" t="inlineStr"/>
    </row>
    <row r="1191">
      <c r="A1191" t="inlineStr">
        <is>
          <t>ro-bucharest</t>
        </is>
      </c>
      <c r="B1191" t="inlineStr">
        <is>
          <t>Bucharest</t>
        </is>
      </c>
      <c r="C1191" t="inlineStr">
        <is>
          <t>Romania</t>
        </is>
      </c>
      <c r="D1191" t="inlineStr">
        <is>
          <t>Southern/Eastern Europe and Eurasia</t>
        </is>
      </c>
      <c r="E1191" t="inlineStr">
        <is>
          <t>tolerance_pluralism_raw</t>
        </is>
      </c>
      <c r="F1191" t="inlineStr">
        <is>
          <t>Tolerance and pluralism raw</t>
        </is>
      </c>
      <c r="G1191" t="inlineStr">
        <is>
          <t>community</t>
        </is>
      </c>
      <c r="H1191" t="inlineStr">
        <is>
          <t>yes</t>
        </is>
      </c>
      <c r="I1191" t="inlineStr"/>
      <c r="J1191" t="inlineStr"/>
      <c r="K1191" t="inlineStr"/>
      <c r="L1191" t="inlineStr"/>
      <c r="M1191" t="inlineStr"/>
      <c r="N1191" t="inlineStr"/>
    </row>
    <row r="1192">
      <c r="A1192" t="inlineStr">
        <is>
          <t>ro-bucharest</t>
        </is>
      </c>
      <c r="B1192" t="inlineStr">
        <is>
          <t>Bucharest</t>
        </is>
      </c>
      <c r="C1192" t="inlineStr">
        <is>
          <t>Romania</t>
        </is>
      </c>
      <c r="D1192" t="inlineStr">
        <is>
          <t>Southern/Eastern Europe and Eurasia</t>
        </is>
      </c>
      <c r="E1192" t="inlineStr">
        <is>
          <t>cultural_public_life_raw</t>
        </is>
      </c>
      <c r="F1192" t="inlineStr">
        <is>
          <t>Cultural public life raw</t>
        </is>
      </c>
      <c r="G1192" t="inlineStr">
        <is>
          <t>community</t>
        </is>
      </c>
      <c r="H1192" t="inlineStr">
        <is>
          <t>yes</t>
        </is>
      </c>
      <c r="I1192" t="inlineStr"/>
      <c r="J1192" t="inlineStr"/>
      <c r="K1192" t="inlineStr"/>
      <c r="L1192" t="inlineStr"/>
      <c r="M1192" t="inlineStr"/>
      <c r="N1192" t="inlineStr"/>
    </row>
    <row r="1193">
      <c r="A1193" t="inlineStr">
        <is>
          <t>ro-bucharest</t>
        </is>
      </c>
      <c r="B1193" t="inlineStr">
        <is>
          <t>Bucharest</t>
        </is>
      </c>
      <c r="C1193" t="inlineStr">
        <is>
          <t>Romania</t>
        </is>
      </c>
      <c r="D1193" t="inlineStr">
        <is>
          <t>Southern/Eastern Europe and Eurasia</t>
        </is>
      </c>
      <c r="E1193" t="inlineStr">
        <is>
          <t>entrepreneurial_dynamism_raw</t>
        </is>
      </c>
      <c r="F1193" t="inlineStr">
        <is>
          <t>Entrepreneurial dynamism raw</t>
        </is>
      </c>
      <c r="G1193" t="inlineStr">
        <is>
          <t>creative</t>
        </is>
      </c>
      <c r="H1193" t="inlineStr">
        <is>
          <t>yes</t>
        </is>
      </c>
      <c r="I1193" t="inlineStr"/>
      <c r="J1193" t="inlineStr"/>
      <c r="K1193" t="inlineStr"/>
      <c r="L1193" t="inlineStr"/>
      <c r="M1193" t="inlineStr"/>
      <c r="N1193" t="inlineStr"/>
    </row>
    <row r="1194">
      <c r="A1194" t="inlineStr">
        <is>
          <t>ro-bucharest</t>
        </is>
      </c>
      <c r="B1194" t="inlineStr">
        <is>
          <t>Bucharest</t>
        </is>
      </c>
      <c r="C1194" t="inlineStr">
        <is>
          <t>Romania</t>
        </is>
      </c>
      <c r="D1194" t="inlineStr">
        <is>
          <t>Southern/Eastern Europe and Eurasia</t>
        </is>
      </c>
      <c r="E1194" t="inlineStr">
        <is>
          <t>innovation_research_intensity_raw</t>
        </is>
      </c>
      <c r="F1194" t="inlineStr">
        <is>
          <t>Innovation and research raw</t>
        </is>
      </c>
      <c r="G1194" t="inlineStr">
        <is>
          <t>creative</t>
        </is>
      </c>
      <c r="H1194" t="inlineStr">
        <is>
          <t>yes</t>
        </is>
      </c>
      <c r="I1194" t="inlineStr"/>
      <c r="J1194" t="inlineStr"/>
      <c r="K1194" t="inlineStr"/>
      <c r="L1194" t="inlineStr"/>
      <c r="M1194" t="inlineStr"/>
      <c r="N1194" t="inlineStr"/>
    </row>
    <row r="1195">
      <c r="A1195" t="inlineStr">
        <is>
          <t>ro-bucharest</t>
        </is>
      </c>
      <c r="B1195" t="inlineStr">
        <is>
          <t>Bucharest</t>
        </is>
      </c>
      <c r="C1195" t="inlineStr">
        <is>
          <t>Romania</t>
        </is>
      </c>
      <c r="D1195" t="inlineStr">
        <is>
          <t>Southern/Eastern Europe and Eurasia</t>
        </is>
      </c>
      <c r="E1195" t="inlineStr">
        <is>
          <t>investment_signal_raw</t>
        </is>
      </c>
      <c r="F1195" t="inlineStr">
        <is>
          <t>Investment signal raw</t>
        </is>
      </c>
      <c r="G1195" t="inlineStr">
        <is>
          <t>creative</t>
        </is>
      </c>
      <c r="H1195" t="inlineStr">
        <is>
          <t>yes</t>
        </is>
      </c>
      <c r="I1195" t="inlineStr"/>
      <c r="J1195" t="inlineStr"/>
      <c r="K1195" t="inlineStr"/>
      <c r="L1195" t="inlineStr"/>
      <c r="M1195" t="inlineStr"/>
      <c r="N1195" t="inlineStr"/>
    </row>
    <row r="1196">
      <c r="A1196" t="inlineStr">
        <is>
          <t>ro-bucharest</t>
        </is>
      </c>
      <c r="B1196" t="inlineStr">
        <is>
          <t>Bucharest</t>
        </is>
      </c>
      <c r="C1196" t="inlineStr">
        <is>
          <t>Romania</t>
        </is>
      </c>
      <c r="D1196" t="inlineStr">
        <is>
          <t>Southern/Eastern Europe and Eurasia</t>
        </is>
      </c>
      <c r="E1196" t="inlineStr">
        <is>
          <t>administrative_investment_friction_raw</t>
        </is>
      </c>
      <c r="F1196" t="inlineStr">
        <is>
          <t>Administrative investment friction raw</t>
        </is>
      </c>
      <c r="G1196" t="inlineStr">
        <is>
          <t>creative</t>
        </is>
      </c>
      <c r="H1196" t="inlineStr">
        <is>
          <t>yes</t>
        </is>
      </c>
      <c r="I1196" t="inlineStr"/>
      <c r="J1196" t="inlineStr"/>
      <c r="K1196" t="inlineStr"/>
      <c r="L1196" t="inlineStr"/>
      <c r="M1196" t="inlineStr"/>
      <c r="N1196" t="inlineStr"/>
    </row>
    <row r="1197">
      <c r="A1197" t="inlineStr">
        <is>
          <t>ro-bucharest</t>
        </is>
      </c>
      <c r="B1197" t="inlineStr">
        <is>
          <t>Bucharest</t>
        </is>
      </c>
      <c r="C1197" t="inlineStr">
        <is>
          <t>Romania</t>
        </is>
      </c>
      <c r="D1197" t="inlineStr">
        <is>
          <t>Southern/Eastern Europe and Eurasia</t>
        </is>
      </c>
      <c r="E1197" t="inlineStr">
        <is>
          <t>visitor_flow_context_raw</t>
        </is>
      </c>
      <c r="F1197" t="inlineStr">
        <is>
          <t>Visitor flow context raw</t>
        </is>
      </c>
      <c r="G1197" t="inlineStr">
        <is>
          <t>creative</t>
        </is>
      </c>
      <c r="H1197" t="inlineStr">
        <is>
          <t>no</t>
        </is>
      </c>
      <c r="I1197" t="inlineStr"/>
      <c r="J1197" t="inlineStr"/>
      <c r="K1197" t="inlineStr"/>
      <c r="L1197" t="inlineStr"/>
      <c r="M1197" t="inlineStr"/>
      <c r="N1197" t="inlineStr"/>
    </row>
    <row r="1198">
      <c r="A1198" t="inlineStr">
        <is>
          <t>rs-belgrade</t>
        </is>
      </c>
      <c r="B1198" t="inlineStr">
        <is>
          <t>Belgrade</t>
        </is>
      </c>
      <c r="C1198" t="inlineStr">
        <is>
          <t>Serbia</t>
        </is>
      </c>
      <c r="D1198" t="inlineStr">
        <is>
          <t>Southern/Eastern Europe and Eurasia</t>
        </is>
      </c>
      <c r="E1198" t="inlineStr">
        <is>
          <t>gross_income</t>
        </is>
      </c>
      <c r="F1198" t="inlineStr">
        <is>
          <t>Gross income</t>
        </is>
      </c>
      <c r="G1198" t="inlineStr">
        <is>
          <t>pressure</t>
        </is>
      </c>
      <c r="H1198" t="inlineStr">
        <is>
          <t>yes</t>
        </is>
      </c>
      <c r="I1198" t="inlineStr"/>
      <c r="J1198" t="inlineStr"/>
      <c r="K1198" t="inlineStr"/>
      <c r="L1198" t="inlineStr"/>
      <c r="M1198" t="inlineStr"/>
      <c r="N1198" t="inlineStr"/>
    </row>
    <row r="1199">
      <c r="A1199" t="inlineStr">
        <is>
          <t>rs-belgrade</t>
        </is>
      </c>
      <c r="B1199" t="inlineStr">
        <is>
          <t>Belgrade</t>
        </is>
      </c>
      <c r="C1199" t="inlineStr">
        <is>
          <t>Serbia</t>
        </is>
      </c>
      <c r="D1199" t="inlineStr">
        <is>
          <t>Southern/Eastern Europe and Eurasia</t>
        </is>
      </c>
      <c r="E1199" t="inlineStr">
        <is>
          <t>rent</t>
        </is>
      </c>
      <c r="F1199" t="inlineStr">
        <is>
          <t>Rent</t>
        </is>
      </c>
      <c r="G1199" t="inlineStr">
        <is>
          <t>pressure</t>
        </is>
      </c>
      <c r="H1199" t="inlineStr">
        <is>
          <t>yes</t>
        </is>
      </c>
      <c r="I1199" t="inlineStr"/>
      <c r="J1199" t="inlineStr"/>
      <c r="K1199" t="inlineStr"/>
      <c r="L1199" t="inlineStr"/>
      <c r="M1199" t="inlineStr"/>
      <c r="N1199" t="inlineStr"/>
    </row>
    <row r="1200">
      <c r="A1200" t="inlineStr">
        <is>
          <t>rs-belgrade</t>
        </is>
      </c>
      <c r="B1200" t="inlineStr">
        <is>
          <t>Belgrade</t>
        </is>
      </c>
      <c r="C1200" t="inlineStr">
        <is>
          <t>Serbia</t>
        </is>
      </c>
      <c r="D1200" t="inlineStr">
        <is>
          <t>Southern/Eastern Europe and Eurasia</t>
        </is>
      </c>
      <c r="E1200" t="inlineStr">
        <is>
          <t>utilities</t>
        </is>
      </c>
      <c r="F1200" t="inlineStr">
        <is>
          <t>Utilities</t>
        </is>
      </c>
      <c r="G1200" t="inlineStr">
        <is>
          <t>pressure</t>
        </is>
      </c>
      <c r="H1200" t="inlineStr">
        <is>
          <t>yes</t>
        </is>
      </c>
      <c r="I1200" t="inlineStr"/>
      <c r="J1200" t="inlineStr"/>
      <c r="K1200" t="inlineStr"/>
      <c r="L1200" t="inlineStr"/>
      <c r="M1200" t="inlineStr"/>
      <c r="N1200" t="inlineStr"/>
    </row>
    <row r="1201">
      <c r="A1201" t="inlineStr">
        <is>
          <t>rs-belgrade</t>
        </is>
      </c>
      <c r="B1201" t="inlineStr">
        <is>
          <t>Belgrade</t>
        </is>
      </c>
      <c r="C1201" t="inlineStr">
        <is>
          <t>Serbia</t>
        </is>
      </c>
      <c r="D1201" t="inlineStr">
        <is>
          <t>Southern/Eastern Europe and Eurasia</t>
        </is>
      </c>
      <c r="E1201" t="inlineStr">
        <is>
          <t>transit_cost</t>
        </is>
      </c>
      <c r="F1201" t="inlineStr">
        <is>
          <t>Transit cost</t>
        </is>
      </c>
      <c r="G1201" t="inlineStr">
        <is>
          <t>pressure</t>
        </is>
      </c>
      <c r="H1201" t="inlineStr">
        <is>
          <t>yes</t>
        </is>
      </c>
      <c r="I1201" t="inlineStr"/>
      <c r="J1201" t="inlineStr"/>
      <c r="K1201" t="inlineStr"/>
      <c r="L1201" t="inlineStr"/>
      <c r="M1201" t="inlineStr"/>
      <c r="N1201" t="inlineStr"/>
    </row>
    <row r="1202">
      <c r="A1202" t="inlineStr">
        <is>
          <t>rs-belgrade</t>
        </is>
      </c>
      <c r="B1202" t="inlineStr">
        <is>
          <t>Belgrade</t>
        </is>
      </c>
      <c r="C1202" t="inlineStr">
        <is>
          <t>Serbia</t>
        </is>
      </c>
      <c r="D1202" t="inlineStr">
        <is>
          <t>Southern/Eastern Europe and Eurasia</t>
        </is>
      </c>
      <c r="E1202" t="inlineStr">
        <is>
          <t>internet_cost</t>
        </is>
      </c>
      <c r="F1202" t="inlineStr">
        <is>
          <t>Internet cost</t>
        </is>
      </c>
      <c r="G1202" t="inlineStr">
        <is>
          <t>pressure</t>
        </is>
      </c>
      <c r="H1202" t="inlineStr">
        <is>
          <t>yes</t>
        </is>
      </c>
      <c r="I1202" t="inlineStr"/>
      <c r="J1202" t="inlineStr"/>
      <c r="K1202" t="inlineStr"/>
      <c r="L1202" t="inlineStr"/>
      <c r="M1202" t="inlineStr"/>
      <c r="N1202" t="inlineStr"/>
    </row>
    <row r="1203">
      <c r="A1203" t="inlineStr">
        <is>
          <t>rs-belgrade</t>
        </is>
      </c>
      <c r="B1203" t="inlineStr">
        <is>
          <t>Belgrade</t>
        </is>
      </c>
      <c r="C1203" t="inlineStr">
        <is>
          <t>Serbia</t>
        </is>
      </c>
      <c r="D1203" t="inlineStr">
        <is>
          <t>Southern/Eastern Europe and Eurasia</t>
        </is>
      </c>
      <c r="E1203" t="inlineStr">
        <is>
          <t>food_cost</t>
        </is>
      </c>
      <c r="F1203" t="inlineStr">
        <is>
          <t>Food cost</t>
        </is>
      </c>
      <c r="G1203" t="inlineStr">
        <is>
          <t>pressure</t>
        </is>
      </c>
      <c r="H1203" t="inlineStr">
        <is>
          <t>yes</t>
        </is>
      </c>
      <c r="I1203" t="inlineStr"/>
      <c r="J1203" t="inlineStr"/>
      <c r="K1203" t="inlineStr"/>
      <c r="L1203" t="inlineStr"/>
      <c r="M1203" t="inlineStr"/>
      <c r="N1203" t="inlineStr"/>
    </row>
    <row r="1204">
      <c r="A1204" t="inlineStr">
        <is>
          <t>rs-belgrade</t>
        </is>
      </c>
      <c r="B1204" t="inlineStr">
        <is>
          <t>Belgrade</t>
        </is>
      </c>
      <c r="C1204" t="inlineStr">
        <is>
          <t>Serbia</t>
        </is>
      </c>
      <c r="D1204" t="inlineStr">
        <is>
          <t>Southern/Eastern Europe and Eurasia</t>
        </is>
      </c>
      <c r="E1204" t="inlineStr">
        <is>
          <t>housing_burden_raw</t>
        </is>
      </c>
      <c r="F1204" t="inlineStr">
        <is>
          <t>Housing burden raw</t>
        </is>
      </c>
      <c r="G1204" t="inlineStr">
        <is>
          <t>pressure</t>
        </is>
      </c>
      <c r="H1204" t="inlineStr">
        <is>
          <t>yes</t>
        </is>
      </c>
      <c r="I1204" t="inlineStr"/>
      <c r="J1204" t="inlineStr"/>
      <c r="K1204" t="inlineStr"/>
      <c r="L1204" t="inlineStr"/>
      <c r="M1204" t="inlineStr"/>
      <c r="N1204" t="inlineStr"/>
    </row>
    <row r="1205">
      <c r="A1205" t="inlineStr">
        <is>
          <t>rs-belgrade</t>
        </is>
      </c>
      <c r="B1205" t="inlineStr">
        <is>
          <t>Belgrade</t>
        </is>
      </c>
      <c r="C1205" t="inlineStr">
        <is>
          <t>Serbia</t>
        </is>
      </c>
      <c r="D1205" t="inlineStr">
        <is>
          <t>Southern/Eastern Europe and Eurasia</t>
        </is>
      </c>
      <c r="E1205" t="inlineStr">
        <is>
          <t>household_debt_burden_raw</t>
        </is>
      </c>
      <c r="F1205" t="inlineStr">
        <is>
          <t>Household debt burden raw</t>
        </is>
      </c>
      <c r="G1205" t="inlineStr">
        <is>
          <t>pressure</t>
        </is>
      </c>
      <c r="H1205" t="inlineStr">
        <is>
          <t>yes</t>
        </is>
      </c>
      <c r="I1205" t="inlineStr"/>
      <c r="J1205" t="inlineStr"/>
      <c r="K1205" t="inlineStr"/>
      <c r="L1205" t="inlineStr"/>
      <c r="M1205" t="inlineStr"/>
      <c r="N1205" t="inlineStr"/>
    </row>
    <row r="1206">
      <c r="A1206" t="inlineStr">
        <is>
          <t>rs-belgrade</t>
        </is>
      </c>
      <c r="B1206" t="inlineStr">
        <is>
          <t>Belgrade</t>
        </is>
      </c>
      <c r="C1206" t="inlineStr">
        <is>
          <t>Serbia</t>
        </is>
      </c>
      <c r="D1206" t="inlineStr">
        <is>
          <t>Southern/Eastern Europe and Eurasia</t>
        </is>
      </c>
      <c r="E1206" t="inlineStr">
        <is>
          <t>working_time_pressure_raw</t>
        </is>
      </c>
      <c r="F1206" t="inlineStr">
        <is>
          <t>Working time pressure raw</t>
        </is>
      </c>
      <c r="G1206" t="inlineStr">
        <is>
          <t>pressure</t>
        </is>
      </c>
      <c r="H1206" t="inlineStr">
        <is>
          <t>yes</t>
        </is>
      </c>
      <c r="I1206" t="inlineStr"/>
      <c r="J1206" t="inlineStr"/>
      <c r="K1206" t="inlineStr"/>
      <c r="L1206" t="inlineStr"/>
      <c r="M1206" t="inlineStr"/>
      <c r="N1206" t="inlineStr"/>
    </row>
    <row r="1207">
      <c r="A1207" t="inlineStr">
        <is>
          <t>rs-belgrade</t>
        </is>
      </c>
      <c r="B1207" t="inlineStr">
        <is>
          <t>Belgrade</t>
        </is>
      </c>
      <c r="C1207" t="inlineStr">
        <is>
          <t>Serbia</t>
        </is>
      </c>
      <c r="D1207" t="inlineStr">
        <is>
          <t>Southern/Eastern Europe and Eurasia</t>
        </is>
      </c>
      <c r="E1207" t="inlineStr">
        <is>
          <t>suicide_mental_strain_raw</t>
        </is>
      </c>
      <c r="F1207" t="inlineStr">
        <is>
          <t>Suicide or mental strain raw</t>
        </is>
      </c>
      <c r="G1207" t="inlineStr">
        <is>
          <t>pressure</t>
        </is>
      </c>
      <c r="H1207" t="inlineStr">
        <is>
          <t>yes</t>
        </is>
      </c>
      <c r="I1207" t="inlineStr"/>
      <c r="J1207" t="inlineStr"/>
      <c r="K1207" t="inlineStr"/>
      <c r="L1207" t="inlineStr"/>
      <c r="M1207" t="inlineStr"/>
      <c r="N1207" t="inlineStr"/>
    </row>
    <row r="1208">
      <c r="A1208" t="inlineStr">
        <is>
          <t>rs-belgrade</t>
        </is>
      </c>
      <c r="B1208" t="inlineStr">
        <is>
          <t>Belgrade</t>
        </is>
      </c>
      <c r="C1208" t="inlineStr">
        <is>
          <t>Serbia</t>
        </is>
      </c>
      <c r="D1208" t="inlineStr">
        <is>
          <t>Southern/Eastern Europe and Eurasia</t>
        </is>
      </c>
      <c r="E1208" t="inlineStr">
        <is>
          <t>personal_safety_raw</t>
        </is>
      </c>
      <c r="F1208" t="inlineStr">
        <is>
          <t>Personal safety raw</t>
        </is>
      </c>
      <c r="G1208" t="inlineStr">
        <is>
          <t>viability</t>
        </is>
      </c>
      <c r="H1208" t="inlineStr">
        <is>
          <t>yes</t>
        </is>
      </c>
      <c r="I1208" t="inlineStr"/>
      <c r="J1208" t="inlineStr"/>
      <c r="K1208" t="inlineStr"/>
      <c r="L1208" t="inlineStr"/>
      <c r="M1208" t="inlineStr"/>
      <c r="N1208" t="inlineStr"/>
    </row>
    <row r="1209">
      <c r="A1209" t="inlineStr">
        <is>
          <t>rs-belgrade</t>
        </is>
      </c>
      <c r="B1209" t="inlineStr">
        <is>
          <t>Belgrade</t>
        </is>
      </c>
      <c r="C1209" t="inlineStr">
        <is>
          <t>Serbia</t>
        </is>
      </c>
      <c r="D1209" t="inlineStr">
        <is>
          <t>Southern/Eastern Europe and Eurasia</t>
        </is>
      </c>
      <c r="E1209" t="inlineStr">
        <is>
          <t>transit_access_commute_raw</t>
        </is>
      </c>
      <c r="F1209" t="inlineStr">
        <is>
          <t>Transit access and commute raw</t>
        </is>
      </c>
      <c r="G1209" t="inlineStr">
        <is>
          <t>viability</t>
        </is>
      </c>
      <c r="H1209" t="inlineStr">
        <is>
          <t>yes</t>
        </is>
      </c>
      <c r="I1209" t="inlineStr"/>
      <c r="J1209" t="inlineStr"/>
      <c r="K1209" t="inlineStr"/>
      <c r="L1209" t="inlineStr"/>
      <c r="M1209" t="inlineStr"/>
      <c r="N1209" t="inlineStr"/>
    </row>
    <row r="1210">
      <c r="A1210" t="inlineStr">
        <is>
          <t>rs-belgrade</t>
        </is>
      </c>
      <c r="B1210" t="inlineStr">
        <is>
          <t>Belgrade</t>
        </is>
      </c>
      <c r="C1210" t="inlineStr">
        <is>
          <t>Serbia</t>
        </is>
      </c>
      <c r="D1210" t="inlineStr">
        <is>
          <t>Southern/Eastern Europe and Eurasia</t>
        </is>
      </c>
      <c r="E1210" t="inlineStr">
        <is>
          <t>clean_air_raw</t>
        </is>
      </c>
      <c r="F1210" t="inlineStr">
        <is>
          <t>Clean air raw</t>
        </is>
      </c>
      <c r="G1210" t="inlineStr">
        <is>
          <t>viability</t>
        </is>
      </c>
      <c r="H1210" t="inlineStr">
        <is>
          <t>yes</t>
        </is>
      </c>
      <c r="I1210" t="inlineStr"/>
      <c r="J1210" t="inlineStr"/>
      <c r="K1210" t="inlineStr"/>
      <c r="L1210" t="inlineStr"/>
      <c r="M1210" t="inlineStr"/>
      <c r="N1210" t="inlineStr"/>
    </row>
    <row r="1211">
      <c r="A1211" t="inlineStr">
        <is>
          <t>rs-belgrade</t>
        </is>
      </c>
      <c r="B1211" t="inlineStr">
        <is>
          <t>Belgrade</t>
        </is>
      </c>
      <c r="C1211" t="inlineStr">
        <is>
          <t>Serbia</t>
        </is>
      </c>
      <c r="D1211" t="inlineStr">
        <is>
          <t>Southern/Eastern Europe and Eurasia</t>
        </is>
      </c>
      <c r="E1211" t="inlineStr">
        <is>
          <t>water_sanitation_utility_raw</t>
        </is>
      </c>
      <c r="F1211" t="inlineStr">
        <is>
          <t>Water, sanitation, and utility raw</t>
        </is>
      </c>
      <c r="G1211" t="inlineStr">
        <is>
          <t>viability</t>
        </is>
      </c>
      <c r="H1211" t="inlineStr">
        <is>
          <t>yes</t>
        </is>
      </c>
      <c r="I1211" t="inlineStr"/>
      <c r="J1211" t="inlineStr"/>
      <c r="K1211" t="inlineStr"/>
      <c r="L1211" t="inlineStr"/>
      <c r="M1211" t="inlineStr"/>
      <c r="N1211" t="inlineStr"/>
    </row>
    <row r="1212">
      <c r="A1212" t="inlineStr">
        <is>
          <t>rs-belgrade</t>
        </is>
      </c>
      <c r="B1212" t="inlineStr">
        <is>
          <t>Belgrade</t>
        </is>
      </c>
      <c r="C1212" t="inlineStr">
        <is>
          <t>Serbia</t>
        </is>
      </c>
      <c r="D1212" t="inlineStr">
        <is>
          <t>Southern/Eastern Europe and Eurasia</t>
        </is>
      </c>
      <c r="E1212" t="inlineStr">
        <is>
          <t>digital_infrastructure_raw</t>
        </is>
      </c>
      <c r="F1212" t="inlineStr">
        <is>
          <t>Digital infrastructure raw</t>
        </is>
      </c>
      <c r="G1212" t="inlineStr">
        <is>
          <t>viability</t>
        </is>
      </c>
      <c r="H1212" t="inlineStr">
        <is>
          <t>yes</t>
        </is>
      </c>
      <c r="I1212" t="inlineStr"/>
      <c r="J1212" t="inlineStr"/>
      <c r="K1212" t="inlineStr"/>
      <c r="L1212" t="inlineStr"/>
      <c r="M1212" t="inlineStr"/>
      <c r="N1212" t="inlineStr"/>
    </row>
    <row r="1213">
      <c r="A1213" t="inlineStr">
        <is>
          <t>rs-belgrade</t>
        </is>
      </c>
      <c r="B1213" t="inlineStr">
        <is>
          <t>Belgrade</t>
        </is>
      </c>
      <c r="C1213" t="inlineStr">
        <is>
          <t>Serbia</t>
        </is>
      </c>
      <c r="D1213" t="inlineStr">
        <is>
          <t>Southern/Eastern Europe and Eurasia</t>
        </is>
      </c>
      <c r="E1213" t="inlineStr">
        <is>
          <t>healthcare_quality_raw</t>
        </is>
      </c>
      <c r="F1213" t="inlineStr">
        <is>
          <t>Healthcare quality raw</t>
        </is>
      </c>
      <c r="G1213" t="inlineStr">
        <is>
          <t>capability</t>
        </is>
      </c>
      <c r="H1213" t="inlineStr">
        <is>
          <t>yes</t>
        </is>
      </c>
      <c r="I1213" t="inlineStr"/>
      <c r="J1213" t="inlineStr"/>
      <c r="K1213" t="inlineStr"/>
      <c r="L1213" t="inlineStr"/>
      <c r="M1213" t="inlineStr"/>
      <c r="N1213" t="inlineStr"/>
    </row>
    <row r="1214">
      <c r="A1214" t="inlineStr">
        <is>
          <t>rs-belgrade</t>
        </is>
      </c>
      <c r="B1214" t="inlineStr">
        <is>
          <t>Belgrade</t>
        </is>
      </c>
      <c r="C1214" t="inlineStr">
        <is>
          <t>Serbia</t>
        </is>
      </c>
      <c r="D1214" t="inlineStr">
        <is>
          <t>Southern/Eastern Europe and Eurasia</t>
        </is>
      </c>
      <c r="E1214" t="inlineStr">
        <is>
          <t>education_quality_raw</t>
        </is>
      </c>
      <c r="F1214" t="inlineStr">
        <is>
          <t>Education quality raw</t>
        </is>
      </c>
      <c r="G1214" t="inlineStr">
        <is>
          <t>capability</t>
        </is>
      </c>
      <c r="H1214" t="inlineStr">
        <is>
          <t>yes</t>
        </is>
      </c>
      <c r="I1214" t="inlineStr"/>
      <c r="J1214" t="inlineStr"/>
      <c r="K1214" t="inlineStr"/>
      <c r="L1214" t="inlineStr"/>
      <c r="M1214" t="inlineStr"/>
      <c r="N1214" t="inlineStr"/>
    </row>
    <row r="1215">
      <c r="A1215" t="inlineStr">
        <is>
          <t>rs-belgrade</t>
        </is>
      </c>
      <c r="B1215" t="inlineStr">
        <is>
          <t>Belgrade</t>
        </is>
      </c>
      <c r="C1215" t="inlineStr">
        <is>
          <t>Serbia</t>
        </is>
      </c>
      <c r="D1215" t="inlineStr">
        <is>
          <t>Southern/Eastern Europe and Eurasia</t>
        </is>
      </c>
      <c r="E1215" t="inlineStr">
        <is>
          <t>equal_opportunity_raw</t>
        </is>
      </c>
      <c r="F1215" t="inlineStr">
        <is>
          <t>Equal opportunity raw</t>
        </is>
      </c>
      <c r="G1215" t="inlineStr">
        <is>
          <t>capability</t>
        </is>
      </c>
      <c r="H1215" t="inlineStr">
        <is>
          <t>yes</t>
        </is>
      </c>
      <c r="I1215" t="inlineStr"/>
      <c r="J1215" t="inlineStr"/>
      <c r="K1215" t="inlineStr"/>
      <c r="L1215" t="inlineStr"/>
      <c r="M1215" t="inlineStr"/>
      <c r="N1215" t="inlineStr"/>
    </row>
    <row r="1216">
      <c r="A1216" t="inlineStr">
        <is>
          <t>rs-belgrade</t>
        </is>
      </c>
      <c r="B1216" t="inlineStr">
        <is>
          <t>Belgrade</t>
        </is>
      </c>
      <c r="C1216" t="inlineStr">
        <is>
          <t>Serbia</t>
        </is>
      </c>
      <c r="D1216" t="inlineStr">
        <is>
          <t>Southern/Eastern Europe and Eurasia</t>
        </is>
      </c>
      <c r="E1216" t="inlineStr">
        <is>
          <t>hospitality_belonging_raw</t>
        </is>
      </c>
      <c r="F1216" t="inlineStr">
        <is>
          <t>Hospitality and belonging raw</t>
        </is>
      </c>
      <c r="G1216" t="inlineStr">
        <is>
          <t>community</t>
        </is>
      </c>
      <c r="H1216" t="inlineStr">
        <is>
          <t>yes</t>
        </is>
      </c>
      <c r="I1216" t="inlineStr"/>
      <c r="J1216" t="inlineStr"/>
      <c r="K1216" t="inlineStr"/>
      <c r="L1216" t="inlineStr"/>
      <c r="M1216" t="inlineStr"/>
      <c r="N1216" t="inlineStr"/>
    </row>
    <row r="1217">
      <c r="A1217" t="inlineStr">
        <is>
          <t>rs-belgrade</t>
        </is>
      </c>
      <c r="B1217" t="inlineStr">
        <is>
          <t>Belgrade</t>
        </is>
      </c>
      <c r="C1217" t="inlineStr">
        <is>
          <t>Serbia</t>
        </is>
      </c>
      <c r="D1217" t="inlineStr">
        <is>
          <t>Southern/Eastern Europe and Eurasia</t>
        </is>
      </c>
      <c r="E1217" t="inlineStr">
        <is>
          <t>tolerance_pluralism_raw</t>
        </is>
      </c>
      <c r="F1217" t="inlineStr">
        <is>
          <t>Tolerance and pluralism raw</t>
        </is>
      </c>
      <c r="G1217" t="inlineStr">
        <is>
          <t>community</t>
        </is>
      </c>
      <c r="H1217" t="inlineStr">
        <is>
          <t>yes</t>
        </is>
      </c>
      <c r="I1217" t="inlineStr"/>
      <c r="J1217" t="inlineStr"/>
      <c r="K1217" t="inlineStr"/>
      <c r="L1217" t="inlineStr"/>
      <c r="M1217" t="inlineStr"/>
      <c r="N1217" t="inlineStr"/>
    </row>
    <row r="1218">
      <c r="A1218" t="inlineStr">
        <is>
          <t>rs-belgrade</t>
        </is>
      </c>
      <c r="B1218" t="inlineStr">
        <is>
          <t>Belgrade</t>
        </is>
      </c>
      <c r="C1218" t="inlineStr">
        <is>
          <t>Serbia</t>
        </is>
      </c>
      <c r="D1218" t="inlineStr">
        <is>
          <t>Southern/Eastern Europe and Eurasia</t>
        </is>
      </c>
      <c r="E1218" t="inlineStr">
        <is>
          <t>cultural_public_life_raw</t>
        </is>
      </c>
      <c r="F1218" t="inlineStr">
        <is>
          <t>Cultural public life raw</t>
        </is>
      </c>
      <c r="G1218" t="inlineStr">
        <is>
          <t>community</t>
        </is>
      </c>
      <c r="H1218" t="inlineStr">
        <is>
          <t>yes</t>
        </is>
      </c>
      <c r="I1218" t="inlineStr"/>
      <c r="J1218" t="inlineStr"/>
      <c r="K1218" t="inlineStr"/>
      <c r="L1218" t="inlineStr"/>
      <c r="M1218" t="inlineStr"/>
      <c r="N1218" t="inlineStr"/>
    </row>
    <row r="1219">
      <c r="A1219" t="inlineStr">
        <is>
          <t>rs-belgrade</t>
        </is>
      </c>
      <c r="B1219" t="inlineStr">
        <is>
          <t>Belgrade</t>
        </is>
      </c>
      <c r="C1219" t="inlineStr">
        <is>
          <t>Serbia</t>
        </is>
      </c>
      <c r="D1219" t="inlineStr">
        <is>
          <t>Southern/Eastern Europe and Eurasia</t>
        </is>
      </c>
      <c r="E1219" t="inlineStr">
        <is>
          <t>entrepreneurial_dynamism_raw</t>
        </is>
      </c>
      <c r="F1219" t="inlineStr">
        <is>
          <t>Entrepreneurial dynamism raw</t>
        </is>
      </c>
      <c r="G1219" t="inlineStr">
        <is>
          <t>creative</t>
        </is>
      </c>
      <c r="H1219" t="inlineStr">
        <is>
          <t>yes</t>
        </is>
      </c>
      <c r="I1219" t="inlineStr"/>
      <c r="J1219" t="inlineStr"/>
      <c r="K1219" t="inlineStr"/>
      <c r="L1219" t="inlineStr"/>
      <c r="M1219" t="inlineStr"/>
      <c r="N1219" t="inlineStr"/>
    </row>
    <row r="1220">
      <c r="A1220" t="inlineStr">
        <is>
          <t>rs-belgrade</t>
        </is>
      </c>
      <c r="B1220" t="inlineStr">
        <is>
          <t>Belgrade</t>
        </is>
      </c>
      <c r="C1220" t="inlineStr">
        <is>
          <t>Serbia</t>
        </is>
      </c>
      <c r="D1220" t="inlineStr">
        <is>
          <t>Southern/Eastern Europe and Eurasia</t>
        </is>
      </c>
      <c r="E1220" t="inlineStr">
        <is>
          <t>innovation_research_intensity_raw</t>
        </is>
      </c>
      <c r="F1220" t="inlineStr">
        <is>
          <t>Innovation and research raw</t>
        </is>
      </c>
      <c r="G1220" t="inlineStr">
        <is>
          <t>creative</t>
        </is>
      </c>
      <c r="H1220" t="inlineStr">
        <is>
          <t>yes</t>
        </is>
      </c>
      <c r="I1220" t="inlineStr"/>
      <c r="J1220" t="inlineStr"/>
      <c r="K1220" t="inlineStr"/>
      <c r="L1220" t="inlineStr"/>
      <c r="M1220" t="inlineStr"/>
      <c r="N1220" t="inlineStr"/>
    </row>
    <row r="1221">
      <c r="A1221" t="inlineStr">
        <is>
          <t>rs-belgrade</t>
        </is>
      </c>
      <c r="B1221" t="inlineStr">
        <is>
          <t>Belgrade</t>
        </is>
      </c>
      <c r="C1221" t="inlineStr">
        <is>
          <t>Serbia</t>
        </is>
      </c>
      <c r="D1221" t="inlineStr">
        <is>
          <t>Southern/Eastern Europe and Eurasia</t>
        </is>
      </c>
      <c r="E1221" t="inlineStr">
        <is>
          <t>investment_signal_raw</t>
        </is>
      </c>
      <c r="F1221" t="inlineStr">
        <is>
          <t>Investment signal raw</t>
        </is>
      </c>
      <c r="G1221" t="inlineStr">
        <is>
          <t>creative</t>
        </is>
      </c>
      <c r="H1221" t="inlineStr">
        <is>
          <t>yes</t>
        </is>
      </c>
      <c r="I1221" t="inlineStr"/>
      <c r="J1221" t="inlineStr"/>
      <c r="K1221" t="inlineStr"/>
      <c r="L1221" t="inlineStr"/>
      <c r="M1221" t="inlineStr"/>
      <c r="N1221" t="inlineStr"/>
    </row>
    <row r="1222">
      <c r="A1222" t="inlineStr">
        <is>
          <t>rs-belgrade</t>
        </is>
      </c>
      <c r="B1222" t="inlineStr">
        <is>
          <t>Belgrade</t>
        </is>
      </c>
      <c r="C1222" t="inlineStr">
        <is>
          <t>Serbia</t>
        </is>
      </c>
      <c r="D1222" t="inlineStr">
        <is>
          <t>Southern/Eastern Europe and Eurasia</t>
        </is>
      </c>
      <c r="E1222" t="inlineStr">
        <is>
          <t>administrative_investment_friction_raw</t>
        </is>
      </c>
      <c r="F1222" t="inlineStr">
        <is>
          <t>Administrative investment friction raw</t>
        </is>
      </c>
      <c r="G1222" t="inlineStr">
        <is>
          <t>creative</t>
        </is>
      </c>
      <c r="H1222" t="inlineStr">
        <is>
          <t>yes</t>
        </is>
      </c>
      <c r="I1222" t="inlineStr"/>
      <c r="J1222" t="inlineStr"/>
      <c r="K1222" t="inlineStr"/>
      <c r="L1222" t="inlineStr"/>
      <c r="M1222" t="inlineStr"/>
      <c r="N1222" t="inlineStr"/>
    </row>
    <row r="1223">
      <c r="A1223" t="inlineStr">
        <is>
          <t>rs-belgrade</t>
        </is>
      </c>
      <c r="B1223" t="inlineStr">
        <is>
          <t>Belgrade</t>
        </is>
      </c>
      <c r="C1223" t="inlineStr">
        <is>
          <t>Serbia</t>
        </is>
      </c>
      <c r="D1223" t="inlineStr">
        <is>
          <t>Southern/Eastern Europe and Eurasia</t>
        </is>
      </c>
      <c r="E1223" t="inlineStr">
        <is>
          <t>visitor_flow_context_raw</t>
        </is>
      </c>
      <c r="F1223" t="inlineStr">
        <is>
          <t>Visitor flow context raw</t>
        </is>
      </c>
      <c r="G1223" t="inlineStr">
        <is>
          <t>creative</t>
        </is>
      </c>
      <c r="H1223" t="inlineStr">
        <is>
          <t>no</t>
        </is>
      </c>
      <c r="I1223" t="inlineStr"/>
      <c r="J1223" t="inlineStr"/>
      <c r="K1223" t="inlineStr"/>
      <c r="L1223" t="inlineStr"/>
      <c r="M1223" t="inlineStr"/>
      <c r="N1223" t="inlineStr"/>
    </row>
    <row r="1224">
      <c r="A1224" t="inlineStr">
        <is>
          <t>ru-nizhny-novgorod</t>
        </is>
      </c>
      <c r="B1224" t="inlineStr">
        <is>
          <t>Nizhny Novgorod</t>
        </is>
      </c>
      <c r="C1224" t="inlineStr">
        <is>
          <t>Russia</t>
        </is>
      </c>
      <c r="D1224" t="inlineStr">
        <is>
          <t>Southern/Eastern Europe and Eurasia</t>
        </is>
      </c>
      <c r="E1224" t="inlineStr">
        <is>
          <t>gross_income</t>
        </is>
      </c>
      <c r="F1224" t="inlineStr">
        <is>
          <t>Gross income</t>
        </is>
      </c>
      <c r="G1224" t="inlineStr">
        <is>
          <t>pressure</t>
        </is>
      </c>
      <c r="H1224" t="inlineStr">
        <is>
          <t>yes</t>
        </is>
      </c>
      <c r="I1224" t="inlineStr"/>
      <c r="J1224" t="inlineStr"/>
      <c r="K1224" t="inlineStr"/>
      <c r="L1224" t="inlineStr"/>
      <c r="M1224" t="inlineStr"/>
      <c r="N1224" t="inlineStr"/>
    </row>
    <row r="1225">
      <c r="A1225" t="inlineStr">
        <is>
          <t>ru-nizhny-novgorod</t>
        </is>
      </c>
      <c r="B1225" t="inlineStr">
        <is>
          <t>Nizhny Novgorod</t>
        </is>
      </c>
      <c r="C1225" t="inlineStr">
        <is>
          <t>Russia</t>
        </is>
      </c>
      <c r="D1225" t="inlineStr">
        <is>
          <t>Southern/Eastern Europe and Eurasia</t>
        </is>
      </c>
      <c r="E1225" t="inlineStr">
        <is>
          <t>rent</t>
        </is>
      </c>
      <c r="F1225" t="inlineStr">
        <is>
          <t>Rent</t>
        </is>
      </c>
      <c r="G1225" t="inlineStr">
        <is>
          <t>pressure</t>
        </is>
      </c>
      <c r="H1225" t="inlineStr">
        <is>
          <t>yes</t>
        </is>
      </c>
      <c r="I1225" t="inlineStr"/>
      <c r="J1225" t="inlineStr"/>
      <c r="K1225" t="inlineStr"/>
      <c r="L1225" t="inlineStr"/>
      <c r="M1225" t="inlineStr"/>
      <c r="N1225" t="inlineStr"/>
    </row>
    <row r="1226">
      <c r="A1226" t="inlineStr">
        <is>
          <t>ru-nizhny-novgorod</t>
        </is>
      </c>
      <c r="B1226" t="inlineStr">
        <is>
          <t>Nizhny Novgorod</t>
        </is>
      </c>
      <c r="C1226" t="inlineStr">
        <is>
          <t>Russia</t>
        </is>
      </c>
      <c r="D1226" t="inlineStr">
        <is>
          <t>Southern/Eastern Europe and Eurasia</t>
        </is>
      </c>
      <c r="E1226" t="inlineStr">
        <is>
          <t>utilities</t>
        </is>
      </c>
      <c r="F1226" t="inlineStr">
        <is>
          <t>Utilities</t>
        </is>
      </c>
      <c r="G1226" t="inlineStr">
        <is>
          <t>pressure</t>
        </is>
      </c>
      <c r="H1226" t="inlineStr">
        <is>
          <t>yes</t>
        </is>
      </c>
      <c r="I1226" t="inlineStr"/>
      <c r="J1226" t="inlineStr"/>
      <c r="K1226" t="inlineStr"/>
      <c r="L1226" t="inlineStr"/>
      <c r="M1226" t="inlineStr"/>
      <c r="N1226" t="inlineStr"/>
    </row>
    <row r="1227">
      <c r="A1227" t="inlineStr">
        <is>
          <t>ru-nizhny-novgorod</t>
        </is>
      </c>
      <c r="B1227" t="inlineStr">
        <is>
          <t>Nizhny Novgorod</t>
        </is>
      </c>
      <c r="C1227" t="inlineStr">
        <is>
          <t>Russia</t>
        </is>
      </c>
      <c r="D1227" t="inlineStr">
        <is>
          <t>Southern/Eastern Europe and Eurasia</t>
        </is>
      </c>
      <c r="E1227" t="inlineStr">
        <is>
          <t>transit_cost</t>
        </is>
      </c>
      <c r="F1227" t="inlineStr">
        <is>
          <t>Transit cost</t>
        </is>
      </c>
      <c r="G1227" t="inlineStr">
        <is>
          <t>pressure</t>
        </is>
      </c>
      <c r="H1227" t="inlineStr">
        <is>
          <t>yes</t>
        </is>
      </c>
      <c r="I1227" t="inlineStr"/>
      <c r="J1227" t="inlineStr"/>
      <c r="K1227" t="inlineStr"/>
      <c r="L1227" t="inlineStr"/>
      <c r="M1227" t="inlineStr"/>
      <c r="N1227" t="inlineStr"/>
    </row>
    <row r="1228">
      <c r="A1228" t="inlineStr">
        <is>
          <t>ru-nizhny-novgorod</t>
        </is>
      </c>
      <c r="B1228" t="inlineStr">
        <is>
          <t>Nizhny Novgorod</t>
        </is>
      </c>
      <c r="C1228" t="inlineStr">
        <is>
          <t>Russia</t>
        </is>
      </c>
      <c r="D1228" t="inlineStr">
        <is>
          <t>Southern/Eastern Europe and Eurasia</t>
        </is>
      </c>
      <c r="E1228" t="inlineStr">
        <is>
          <t>internet_cost</t>
        </is>
      </c>
      <c r="F1228" t="inlineStr">
        <is>
          <t>Internet cost</t>
        </is>
      </c>
      <c r="G1228" t="inlineStr">
        <is>
          <t>pressure</t>
        </is>
      </c>
      <c r="H1228" t="inlineStr">
        <is>
          <t>yes</t>
        </is>
      </c>
      <c r="I1228" t="inlineStr"/>
      <c r="J1228" t="inlineStr"/>
      <c r="K1228" t="inlineStr"/>
      <c r="L1228" t="inlineStr"/>
      <c r="M1228" t="inlineStr"/>
      <c r="N1228" t="inlineStr"/>
    </row>
    <row r="1229">
      <c r="A1229" t="inlineStr">
        <is>
          <t>ru-nizhny-novgorod</t>
        </is>
      </c>
      <c r="B1229" t="inlineStr">
        <is>
          <t>Nizhny Novgorod</t>
        </is>
      </c>
      <c r="C1229" t="inlineStr">
        <is>
          <t>Russia</t>
        </is>
      </c>
      <c r="D1229" t="inlineStr">
        <is>
          <t>Southern/Eastern Europe and Eurasia</t>
        </is>
      </c>
      <c r="E1229" t="inlineStr">
        <is>
          <t>food_cost</t>
        </is>
      </c>
      <c r="F1229" t="inlineStr">
        <is>
          <t>Food cost</t>
        </is>
      </c>
      <c r="G1229" t="inlineStr">
        <is>
          <t>pressure</t>
        </is>
      </c>
      <c r="H1229" t="inlineStr">
        <is>
          <t>yes</t>
        </is>
      </c>
      <c r="I1229" t="inlineStr"/>
      <c r="J1229" t="inlineStr"/>
      <c r="K1229" t="inlineStr"/>
      <c r="L1229" t="inlineStr"/>
      <c r="M1229" t="inlineStr"/>
      <c r="N1229" t="inlineStr"/>
    </row>
    <row r="1230">
      <c r="A1230" t="inlineStr">
        <is>
          <t>ru-nizhny-novgorod</t>
        </is>
      </c>
      <c r="B1230" t="inlineStr">
        <is>
          <t>Nizhny Novgorod</t>
        </is>
      </c>
      <c r="C1230" t="inlineStr">
        <is>
          <t>Russia</t>
        </is>
      </c>
      <c r="D1230" t="inlineStr">
        <is>
          <t>Southern/Eastern Europe and Eurasia</t>
        </is>
      </c>
      <c r="E1230" t="inlineStr">
        <is>
          <t>housing_burden_raw</t>
        </is>
      </c>
      <c r="F1230" t="inlineStr">
        <is>
          <t>Housing burden raw</t>
        </is>
      </c>
      <c r="G1230" t="inlineStr">
        <is>
          <t>pressure</t>
        </is>
      </c>
      <c r="H1230" t="inlineStr">
        <is>
          <t>yes</t>
        </is>
      </c>
      <c r="I1230" t="inlineStr"/>
      <c r="J1230" t="inlineStr"/>
      <c r="K1230" t="inlineStr"/>
      <c r="L1230" t="inlineStr"/>
      <c r="M1230" t="inlineStr"/>
      <c r="N1230" t="inlineStr"/>
    </row>
    <row r="1231">
      <c r="A1231" t="inlineStr">
        <is>
          <t>ru-nizhny-novgorod</t>
        </is>
      </c>
      <c r="B1231" t="inlineStr">
        <is>
          <t>Nizhny Novgorod</t>
        </is>
      </c>
      <c r="C1231" t="inlineStr">
        <is>
          <t>Russia</t>
        </is>
      </c>
      <c r="D1231" t="inlineStr">
        <is>
          <t>Southern/Eastern Europe and Eurasia</t>
        </is>
      </c>
      <c r="E1231" t="inlineStr">
        <is>
          <t>household_debt_burden_raw</t>
        </is>
      </c>
      <c r="F1231" t="inlineStr">
        <is>
          <t>Household debt burden raw</t>
        </is>
      </c>
      <c r="G1231" t="inlineStr">
        <is>
          <t>pressure</t>
        </is>
      </c>
      <c r="H1231" t="inlineStr">
        <is>
          <t>yes</t>
        </is>
      </c>
      <c r="I1231" t="inlineStr"/>
      <c r="J1231" t="inlineStr"/>
      <c r="K1231" t="inlineStr"/>
      <c r="L1231" t="inlineStr"/>
      <c r="M1231" t="inlineStr"/>
      <c r="N1231" t="inlineStr"/>
    </row>
    <row r="1232">
      <c r="A1232" t="inlineStr">
        <is>
          <t>ru-nizhny-novgorod</t>
        </is>
      </c>
      <c r="B1232" t="inlineStr">
        <is>
          <t>Nizhny Novgorod</t>
        </is>
      </c>
      <c r="C1232" t="inlineStr">
        <is>
          <t>Russia</t>
        </is>
      </c>
      <c r="D1232" t="inlineStr">
        <is>
          <t>Southern/Eastern Europe and Eurasia</t>
        </is>
      </c>
      <c r="E1232" t="inlineStr">
        <is>
          <t>working_time_pressure_raw</t>
        </is>
      </c>
      <c r="F1232" t="inlineStr">
        <is>
          <t>Working time pressure raw</t>
        </is>
      </c>
      <c r="G1232" t="inlineStr">
        <is>
          <t>pressure</t>
        </is>
      </c>
      <c r="H1232" t="inlineStr">
        <is>
          <t>yes</t>
        </is>
      </c>
      <c r="I1232" t="inlineStr"/>
      <c r="J1232" t="inlineStr"/>
      <c r="K1232" t="inlineStr"/>
      <c r="L1232" t="inlineStr"/>
      <c r="M1232" t="inlineStr"/>
      <c r="N1232" t="inlineStr"/>
    </row>
    <row r="1233">
      <c r="A1233" t="inlineStr">
        <is>
          <t>ru-nizhny-novgorod</t>
        </is>
      </c>
      <c r="B1233" t="inlineStr">
        <is>
          <t>Nizhny Novgorod</t>
        </is>
      </c>
      <c r="C1233" t="inlineStr">
        <is>
          <t>Russia</t>
        </is>
      </c>
      <c r="D1233" t="inlineStr">
        <is>
          <t>Southern/Eastern Europe and Eurasia</t>
        </is>
      </c>
      <c r="E1233" t="inlineStr">
        <is>
          <t>suicide_mental_strain_raw</t>
        </is>
      </c>
      <c r="F1233" t="inlineStr">
        <is>
          <t>Suicide or mental strain raw</t>
        </is>
      </c>
      <c r="G1233" t="inlineStr">
        <is>
          <t>pressure</t>
        </is>
      </c>
      <c r="H1233" t="inlineStr">
        <is>
          <t>yes</t>
        </is>
      </c>
      <c r="I1233" t="inlineStr"/>
      <c r="J1233" t="inlineStr"/>
      <c r="K1233" t="inlineStr"/>
      <c r="L1233" t="inlineStr"/>
      <c r="M1233" t="inlineStr"/>
      <c r="N1233" t="inlineStr"/>
    </row>
    <row r="1234">
      <c r="A1234" t="inlineStr">
        <is>
          <t>ru-nizhny-novgorod</t>
        </is>
      </c>
      <c r="B1234" t="inlineStr">
        <is>
          <t>Nizhny Novgorod</t>
        </is>
      </c>
      <c r="C1234" t="inlineStr">
        <is>
          <t>Russia</t>
        </is>
      </c>
      <c r="D1234" t="inlineStr">
        <is>
          <t>Southern/Eastern Europe and Eurasia</t>
        </is>
      </c>
      <c r="E1234" t="inlineStr">
        <is>
          <t>personal_safety_raw</t>
        </is>
      </c>
      <c r="F1234" t="inlineStr">
        <is>
          <t>Personal safety raw</t>
        </is>
      </c>
      <c r="G1234" t="inlineStr">
        <is>
          <t>viability</t>
        </is>
      </c>
      <c r="H1234" t="inlineStr">
        <is>
          <t>yes</t>
        </is>
      </c>
      <c r="I1234" t="inlineStr"/>
      <c r="J1234" t="inlineStr"/>
      <c r="K1234" t="inlineStr"/>
      <c r="L1234" t="inlineStr"/>
      <c r="M1234" t="inlineStr"/>
      <c r="N1234" t="inlineStr"/>
    </row>
    <row r="1235">
      <c r="A1235" t="inlineStr">
        <is>
          <t>ru-nizhny-novgorod</t>
        </is>
      </c>
      <c r="B1235" t="inlineStr">
        <is>
          <t>Nizhny Novgorod</t>
        </is>
      </c>
      <c r="C1235" t="inlineStr">
        <is>
          <t>Russia</t>
        </is>
      </c>
      <c r="D1235" t="inlineStr">
        <is>
          <t>Southern/Eastern Europe and Eurasia</t>
        </is>
      </c>
      <c r="E1235" t="inlineStr">
        <is>
          <t>transit_access_commute_raw</t>
        </is>
      </c>
      <c r="F1235" t="inlineStr">
        <is>
          <t>Transit access and commute raw</t>
        </is>
      </c>
      <c r="G1235" t="inlineStr">
        <is>
          <t>viability</t>
        </is>
      </c>
      <c r="H1235" t="inlineStr">
        <is>
          <t>yes</t>
        </is>
      </c>
      <c r="I1235" t="inlineStr"/>
      <c r="J1235" t="inlineStr"/>
      <c r="K1235" t="inlineStr"/>
      <c r="L1235" t="inlineStr"/>
      <c r="M1235" t="inlineStr"/>
      <c r="N1235" t="inlineStr"/>
    </row>
    <row r="1236">
      <c r="A1236" t="inlineStr">
        <is>
          <t>ru-nizhny-novgorod</t>
        </is>
      </c>
      <c r="B1236" t="inlineStr">
        <is>
          <t>Nizhny Novgorod</t>
        </is>
      </c>
      <c r="C1236" t="inlineStr">
        <is>
          <t>Russia</t>
        </is>
      </c>
      <c r="D1236" t="inlineStr">
        <is>
          <t>Southern/Eastern Europe and Eurasia</t>
        </is>
      </c>
      <c r="E1236" t="inlineStr">
        <is>
          <t>clean_air_raw</t>
        </is>
      </c>
      <c r="F1236" t="inlineStr">
        <is>
          <t>Clean air raw</t>
        </is>
      </c>
      <c r="G1236" t="inlineStr">
        <is>
          <t>viability</t>
        </is>
      </c>
      <c r="H1236" t="inlineStr">
        <is>
          <t>yes</t>
        </is>
      </c>
      <c r="I1236" t="inlineStr"/>
      <c r="J1236" t="inlineStr"/>
      <c r="K1236" t="inlineStr"/>
      <c r="L1236" t="inlineStr"/>
      <c r="M1236" t="inlineStr"/>
      <c r="N1236" t="inlineStr"/>
    </row>
    <row r="1237">
      <c r="A1237" t="inlineStr">
        <is>
          <t>ru-nizhny-novgorod</t>
        </is>
      </c>
      <c r="B1237" t="inlineStr">
        <is>
          <t>Nizhny Novgorod</t>
        </is>
      </c>
      <c r="C1237" t="inlineStr">
        <is>
          <t>Russia</t>
        </is>
      </c>
      <c r="D1237" t="inlineStr">
        <is>
          <t>Southern/Eastern Europe and Eurasia</t>
        </is>
      </c>
      <c r="E1237" t="inlineStr">
        <is>
          <t>water_sanitation_utility_raw</t>
        </is>
      </c>
      <c r="F1237" t="inlineStr">
        <is>
          <t>Water, sanitation, and utility raw</t>
        </is>
      </c>
      <c r="G1237" t="inlineStr">
        <is>
          <t>viability</t>
        </is>
      </c>
      <c r="H1237" t="inlineStr">
        <is>
          <t>yes</t>
        </is>
      </c>
      <c r="I1237" t="inlineStr"/>
      <c r="J1237" t="inlineStr"/>
      <c r="K1237" t="inlineStr"/>
      <c r="L1237" t="inlineStr"/>
      <c r="M1237" t="inlineStr"/>
      <c r="N1237" t="inlineStr"/>
    </row>
    <row r="1238">
      <c r="A1238" t="inlineStr">
        <is>
          <t>ru-nizhny-novgorod</t>
        </is>
      </c>
      <c r="B1238" t="inlineStr">
        <is>
          <t>Nizhny Novgorod</t>
        </is>
      </c>
      <c r="C1238" t="inlineStr">
        <is>
          <t>Russia</t>
        </is>
      </c>
      <c r="D1238" t="inlineStr">
        <is>
          <t>Southern/Eastern Europe and Eurasia</t>
        </is>
      </c>
      <c r="E1238" t="inlineStr">
        <is>
          <t>digital_infrastructure_raw</t>
        </is>
      </c>
      <c r="F1238" t="inlineStr">
        <is>
          <t>Digital infrastructure raw</t>
        </is>
      </c>
      <c r="G1238" t="inlineStr">
        <is>
          <t>viability</t>
        </is>
      </c>
      <c r="H1238" t="inlineStr">
        <is>
          <t>yes</t>
        </is>
      </c>
      <c r="I1238" t="inlineStr"/>
      <c r="J1238" t="inlineStr"/>
      <c r="K1238" t="inlineStr"/>
      <c r="L1238" t="inlineStr"/>
      <c r="M1238" t="inlineStr"/>
      <c r="N1238" t="inlineStr"/>
    </row>
    <row r="1239">
      <c r="A1239" t="inlineStr">
        <is>
          <t>ru-nizhny-novgorod</t>
        </is>
      </c>
      <c r="B1239" t="inlineStr">
        <is>
          <t>Nizhny Novgorod</t>
        </is>
      </c>
      <c r="C1239" t="inlineStr">
        <is>
          <t>Russia</t>
        </is>
      </c>
      <c r="D1239" t="inlineStr">
        <is>
          <t>Southern/Eastern Europe and Eurasia</t>
        </is>
      </c>
      <c r="E1239" t="inlineStr">
        <is>
          <t>healthcare_quality_raw</t>
        </is>
      </c>
      <c r="F1239" t="inlineStr">
        <is>
          <t>Healthcare quality raw</t>
        </is>
      </c>
      <c r="G1239" t="inlineStr">
        <is>
          <t>capability</t>
        </is>
      </c>
      <c r="H1239" t="inlineStr">
        <is>
          <t>yes</t>
        </is>
      </c>
      <c r="I1239" t="inlineStr"/>
      <c r="J1239" t="inlineStr"/>
      <c r="K1239" t="inlineStr"/>
      <c r="L1239" t="inlineStr"/>
      <c r="M1239" t="inlineStr"/>
      <c r="N1239" t="inlineStr"/>
    </row>
    <row r="1240">
      <c r="A1240" t="inlineStr">
        <is>
          <t>ru-nizhny-novgorod</t>
        </is>
      </c>
      <c r="B1240" t="inlineStr">
        <is>
          <t>Nizhny Novgorod</t>
        </is>
      </c>
      <c r="C1240" t="inlineStr">
        <is>
          <t>Russia</t>
        </is>
      </c>
      <c r="D1240" t="inlineStr">
        <is>
          <t>Southern/Eastern Europe and Eurasia</t>
        </is>
      </c>
      <c r="E1240" t="inlineStr">
        <is>
          <t>education_quality_raw</t>
        </is>
      </c>
      <c r="F1240" t="inlineStr">
        <is>
          <t>Education quality raw</t>
        </is>
      </c>
      <c r="G1240" t="inlineStr">
        <is>
          <t>capability</t>
        </is>
      </c>
      <c r="H1240" t="inlineStr">
        <is>
          <t>yes</t>
        </is>
      </c>
      <c r="I1240" t="inlineStr"/>
      <c r="J1240" t="inlineStr"/>
      <c r="K1240" t="inlineStr"/>
      <c r="L1240" t="inlineStr"/>
      <c r="M1240" t="inlineStr"/>
      <c r="N1240" t="inlineStr"/>
    </row>
    <row r="1241">
      <c r="A1241" t="inlineStr">
        <is>
          <t>ru-nizhny-novgorod</t>
        </is>
      </c>
      <c r="B1241" t="inlineStr">
        <is>
          <t>Nizhny Novgorod</t>
        </is>
      </c>
      <c r="C1241" t="inlineStr">
        <is>
          <t>Russia</t>
        </is>
      </c>
      <c r="D1241" t="inlineStr">
        <is>
          <t>Southern/Eastern Europe and Eurasia</t>
        </is>
      </c>
      <c r="E1241" t="inlineStr">
        <is>
          <t>equal_opportunity_raw</t>
        </is>
      </c>
      <c r="F1241" t="inlineStr">
        <is>
          <t>Equal opportunity raw</t>
        </is>
      </c>
      <c r="G1241" t="inlineStr">
        <is>
          <t>capability</t>
        </is>
      </c>
      <c r="H1241" t="inlineStr">
        <is>
          <t>yes</t>
        </is>
      </c>
      <c r="I1241" t="inlineStr"/>
      <c r="J1241" t="inlineStr"/>
      <c r="K1241" t="inlineStr"/>
      <c r="L1241" t="inlineStr"/>
      <c r="M1241" t="inlineStr"/>
      <c r="N1241" t="inlineStr"/>
    </row>
    <row r="1242">
      <c r="A1242" t="inlineStr">
        <is>
          <t>ru-nizhny-novgorod</t>
        </is>
      </c>
      <c r="B1242" t="inlineStr">
        <is>
          <t>Nizhny Novgorod</t>
        </is>
      </c>
      <c r="C1242" t="inlineStr">
        <is>
          <t>Russia</t>
        </is>
      </c>
      <c r="D1242" t="inlineStr">
        <is>
          <t>Southern/Eastern Europe and Eurasia</t>
        </is>
      </c>
      <c r="E1242" t="inlineStr">
        <is>
          <t>hospitality_belonging_raw</t>
        </is>
      </c>
      <c r="F1242" t="inlineStr">
        <is>
          <t>Hospitality and belonging raw</t>
        </is>
      </c>
      <c r="G1242" t="inlineStr">
        <is>
          <t>community</t>
        </is>
      </c>
      <c r="H1242" t="inlineStr">
        <is>
          <t>yes</t>
        </is>
      </c>
      <c r="I1242" t="inlineStr"/>
      <c r="J1242" t="inlineStr"/>
      <c r="K1242" t="inlineStr"/>
      <c r="L1242" t="inlineStr"/>
      <c r="M1242" t="inlineStr"/>
      <c r="N1242" t="inlineStr"/>
    </row>
    <row r="1243">
      <c r="A1243" t="inlineStr">
        <is>
          <t>ru-nizhny-novgorod</t>
        </is>
      </c>
      <c r="B1243" t="inlineStr">
        <is>
          <t>Nizhny Novgorod</t>
        </is>
      </c>
      <c r="C1243" t="inlineStr">
        <is>
          <t>Russia</t>
        </is>
      </c>
      <c r="D1243" t="inlineStr">
        <is>
          <t>Southern/Eastern Europe and Eurasia</t>
        </is>
      </c>
      <c r="E1243" t="inlineStr">
        <is>
          <t>tolerance_pluralism_raw</t>
        </is>
      </c>
      <c r="F1243" t="inlineStr">
        <is>
          <t>Tolerance and pluralism raw</t>
        </is>
      </c>
      <c r="G1243" t="inlineStr">
        <is>
          <t>community</t>
        </is>
      </c>
      <c r="H1243" t="inlineStr">
        <is>
          <t>yes</t>
        </is>
      </c>
      <c r="I1243" t="inlineStr"/>
      <c r="J1243" t="inlineStr"/>
      <c r="K1243" t="inlineStr"/>
      <c r="L1243" t="inlineStr"/>
      <c r="M1243" t="inlineStr"/>
      <c r="N1243" t="inlineStr"/>
    </row>
    <row r="1244">
      <c r="A1244" t="inlineStr">
        <is>
          <t>ru-nizhny-novgorod</t>
        </is>
      </c>
      <c r="B1244" t="inlineStr">
        <is>
          <t>Nizhny Novgorod</t>
        </is>
      </c>
      <c r="C1244" t="inlineStr">
        <is>
          <t>Russia</t>
        </is>
      </c>
      <c r="D1244" t="inlineStr">
        <is>
          <t>Southern/Eastern Europe and Eurasia</t>
        </is>
      </c>
      <c r="E1244" t="inlineStr">
        <is>
          <t>cultural_public_life_raw</t>
        </is>
      </c>
      <c r="F1244" t="inlineStr">
        <is>
          <t>Cultural public life raw</t>
        </is>
      </c>
      <c r="G1244" t="inlineStr">
        <is>
          <t>community</t>
        </is>
      </c>
      <c r="H1244" t="inlineStr">
        <is>
          <t>yes</t>
        </is>
      </c>
      <c r="I1244" t="inlineStr"/>
      <c r="J1244" t="inlineStr"/>
      <c r="K1244" t="inlineStr"/>
      <c r="L1244" t="inlineStr"/>
      <c r="M1244" t="inlineStr"/>
      <c r="N1244" t="inlineStr"/>
    </row>
    <row r="1245">
      <c r="A1245" t="inlineStr">
        <is>
          <t>ru-nizhny-novgorod</t>
        </is>
      </c>
      <c r="B1245" t="inlineStr">
        <is>
          <t>Nizhny Novgorod</t>
        </is>
      </c>
      <c r="C1245" t="inlineStr">
        <is>
          <t>Russia</t>
        </is>
      </c>
      <c r="D1245" t="inlineStr">
        <is>
          <t>Southern/Eastern Europe and Eurasia</t>
        </is>
      </c>
      <c r="E1245" t="inlineStr">
        <is>
          <t>entrepreneurial_dynamism_raw</t>
        </is>
      </c>
      <c r="F1245" t="inlineStr">
        <is>
          <t>Entrepreneurial dynamism raw</t>
        </is>
      </c>
      <c r="G1245" t="inlineStr">
        <is>
          <t>creative</t>
        </is>
      </c>
      <c r="H1245" t="inlineStr">
        <is>
          <t>yes</t>
        </is>
      </c>
      <c r="I1245" t="inlineStr"/>
      <c r="J1245" t="inlineStr"/>
      <c r="K1245" t="inlineStr"/>
      <c r="L1245" t="inlineStr"/>
      <c r="M1245" t="inlineStr"/>
      <c r="N1245" t="inlineStr"/>
    </row>
    <row r="1246">
      <c r="A1246" t="inlineStr">
        <is>
          <t>ru-nizhny-novgorod</t>
        </is>
      </c>
      <c r="B1246" t="inlineStr">
        <is>
          <t>Nizhny Novgorod</t>
        </is>
      </c>
      <c r="C1246" t="inlineStr">
        <is>
          <t>Russia</t>
        </is>
      </c>
      <c r="D1246" t="inlineStr">
        <is>
          <t>Southern/Eastern Europe and Eurasia</t>
        </is>
      </c>
      <c r="E1246" t="inlineStr">
        <is>
          <t>innovation_research_intensity_raw</t>
        </is>
      </c>
      <c r="F1246" t="inlineStr">
        <is>
          <t>Innovation and research raw</t>
        </is>
      </c>
      <c r="G1246" t="inlineStr">
        <is>
          <t>creative</t>
        </is>
      </c>
      <c r="H1246" t="inlineStr">
        <is>
          <t>yes</t>
        </is>
      </c>
      <c r="I1246" t="inlineStr"/>
      <c r="J1246" t="inlineStr"/>
      <c r="K1246" t="inlineStr"/>
      <c r="L1246" t="inlineStr"/>
      <c r="M1246" t="inlineStr"/>
      <c r="N1246" t="inlineStr"/>
    </row>
    <row r="1247">
      <c r="A1247" t="inlineStr">
        <is>
          <t>ru-nizhny-novgorod</t>
        </is>
      </c>
      <c r="B1247" t="inlineStr">
        <is>
          <t>Nizhny Novgorod</t>
        </is>
      </c>
      <c r="C1247" t="inlineStr">
        <is>
          <t>Russia</t>
        </is>
      </c>
      <c r="D1247" t="inlineStr">
        <is>
          <t>Southern/Eastern Europe and Eurasia</t>
        </is>
      </c>
      <c r="E1247" t="inlineStr">
        <is>
          <t>investment_signal_raw</t>
        </is>
      </c>
      <c r="F1247" t="inlineStr">
        <is>
          <t>Investment signal raw</t>
        </is>
      </c>
      <c r="G1247" t="inlineStr">
        <is>
          <t>creative</t>
        </is>
      </c>
      <c r="H1247" t="inlineStr">
        <is>
          <t>yes</t>
        </is>
      </c>
      <c r="I1247" t="inlineStr"/>
      <c r="J1247" t="inlineStr"/>
      <c r="K1247" t="inlineStr"/>
      <c r="L1247" t="inlineStr"/>
      <c r="M1247" t="inlineStr"/>
      <c r="N1247" t="inlineStr"/>
    </row>
    <row r="1248">
      <c r="A1248" t="inlineStr">
        <is>
          <t>ru-nizhny-novgorod</t>
        </is>
      </c>
      <c r="B1248" t="inlineStr">
        <is>
          <t>Nizhny Novgorod</t>
        </is>
      </c>
      <c r="C1248" t="inlineStr">
        <is>
          <t>Russia</t>
        </is>
      </c>
      <c r="D1248" t="inlineStr">
        <is>
          <t>Southern/Eastern Europe and Eurasia</t>
        </is>
      </c>
      <c r="E1248" t="inlineStr">
        <is>
          <t>administrative_investment_friction_raw</t>
        </is>
      </c>
      <c r="F1248" t="inlineStr">
        <is>
          <t>Administrative investment friction raw</t>
        </is>
      </c>
      <c r="G1248" t="inlineStr">
        <is>
          <t>creative</t>
        </is>
      </c>
      <c r="H1248" t="inlineStr">
        <is>
          <t>yes</t>
        </is>
      </c>
      <c r="I1248" t="inlineStr"/>
      <c r="J1248" t="inlineStr"/>
      <c r="K1248" t="inlineStr"/>
      <c r="L1248" t="inlineStr"/>
      <c r="M1248" t="inlineStr"/>
      <c r="N1248" t="inlineStr"/>
    </row>
    <row r="1249">
      <c r="A1249" t="inlineStr">
        <is>
          <t>ru-nizhny-novgorod</t>
        </is>
      </c>
      <c r="B1249" t="inlineStr">
        <is>
          <t>Nizhny Novgorod</t>
        </is>
      </c>
      <c r="C1249" t="inlineStr">
        <is>
          <t>Russia</t>
        </is>
      </c>
      <c r="D1249" t="inlineStr">
        <is>
          <t>Southern/Eastern Europe and Eurasia</t>
        </is>
      </c>
      <c r="E1249" t="inlineStr">
        <is>
          <t>visitor_flow_context_raw</t>
        </is>
      </c>
      <c r="F1249" t="inlineStr">
        <is>
          <t>Visitor flow context raw</t>
        </is>
      </c>
      <c r="G1249" t="inlineStr">
        <is>
          <t>creative</t>
        </is>
      </c>
      <c r="H1249" t="inlineStr">
        <is>
          <t>no</t>
        </is>
      </c>
      <c r="I1249" t="inlineStr"/>
      <c r="J1249" t="inlineStr"/>
      <c r="K1249" t="inlineStr"/>
      <c r="L1249" t="inlineStr"/>
      <c r="M1249" t="inlineStr"/>
      <c r="N1249" t="inlineStr"/>
    </row>
    <row r="1250">
      <c r="A1250" t="inlineStr">
        <is>
          <t>pl-katowice</t>
        </is>
      </c>
      <c r="B1250" t="inlineStr">
        <is>
          <t>Katowice</t>
        </is>
      </c>
      <c r="C1250" t="inlineStr">
        <is>
          <t>Poland</t>
        </is>
      </c>
      <c r="D1250" t="inlineStr">
        <is>
          <t>Southern/Eastern Europe and Eurasia</t>
        </is>
      </c>
      <c r="E1250" t="inlineStr">
        <is>
          <t>gross_income</t>
        </is>
      </c>
      <c r="F1250" t="inlineStr">
        <is>
          <t>Gross income</t>
        </is>
      </c>
      <c r="G1250" t="inlineStr">
        <is>
          <t>pressure</t>
        </is>
      </c>
      <c r="H1250" t="inlineStr">
        <is>
          <t>yes</t>
        </is>
      </c>
      <c r="I1250" t="inlineStr"/>
      <c r="J1250" t="inlineStr"/>
      <c r="K1250" t="inlineStr"/>
      <c r="L1250" t="inlineStr"/>
      <c r="M1250" t="inlineStr"/>
      <c r="N1250" t="inlineStr"/>
    </row>
    <row r="1251">
      <c r="A1251" t="inlineStr">
        <is>
          <t>pl-katowice</t>
        </is>
      </c>
      <c r="B1251" t="inlineStr">
        <is>
          <t>Katowice</t>
        </is>
      </c>
      <c r="C1251" t="inlineStr">
        <is>
          <t>Poland</t>
        </is>
      </c>
      <c r="D1251" t="inlineStr">
        <is>
          <t>Southern/Eastern Europe and Eurasia</t>
        </is>
      </c>
      <c r="E1251" t="inlineStr">
        <is>
          <t>rent</t>
        </is>
      </c>
      <c r="F1251" t="inlineStr">
        <is>
          <t>Rent</t>
        </is>
      </c>
      <c r="G1251" t="inlineStr">
        <is>
          <t>pressure</t>
        </is>
      </c>
      <c r="H1251" t="inlineStr">
        <is>
          <t>yes</t>
        </is>
      </c>
      <c r="I1251" t="inlineStr"/>
      <c r="J1251" t="inlineStr"/>
      <c r="K1251" t="inlineStr"/>
      <c r="L1251" t="inlineStr"/>
      <c r="M1251" t="inlineStr"/>
      <c r="N1251" t="inlineStr"/>
    </row>
    <row r="1252">
      <c r="A1252" t="inlineStr">
        <is>
          <t>pl-katowice</t>
        </is>
      </c>
      <c r="B1252" t="inlineStr">
        <is>
          <t>Katowice</t>
        </is>
      </c>
      <c r="C1252" t="inlineStr">
        <is>
          <t>Poland</t>
        </is>
      </c>
      <c r="D1252" t="inlineStr">
        <is>
          <t>Southern/Eastern Europe and Eurasia</t>
        </is>
      </c>
      <c r="E1252" t="inlineStr">
        <is>
          <t>utilities</t>
        </is>
      </c>
      <c r="F1252" t="inlineStr">
        <is>
          <t>Utilities</t>
        </is>
      </c>
      <c r="G1252" t="inlineStr">
        <is>
          <t>pressure</t>
        </is>
      </c>
      <c r="H1252" t="inlineStr">
        <is>
          <t>yes</t>
        </is>
      </c>
      <c r="I1252" t="inlineStr"/>
      <c r="J1252" t="inlineStr"/>
      <c r="K1252" t="inlineStr"/>
      <c r="L1252" t="inlineStr"/>
      <c r="M1252" t="inlineStr"/>
      <c r="N1252" t="inlineStr"/>
    </row>
    <row r="1253">
      <c r="A1253" t="inlineStr">
        <is>
          <t>pl-katowice</t>
        </is>
      </c>
      <c r="B1253" t="inlineStr">
        <is>
          <t>Katowice</t>
        </is>
      </c>
      <c r="C1253" t="inlineStr">
        <is>
          <t>Poland</t>
        </is>
      </c>
      <c r="D1253" t="inlineStr">
        <is>
          <t>Southern/Eastern Europe and Eurasia</t>
        </is>
      </c>
      <c r="E1253" t="inlineStr">
        <is>
          <t>transit_cost</t>
        </is>
      </c>
      <c r="F1253" t="inlineStr">
        <is>
          <t>Transit cost</t>
        </is>
      </c>
      <c r="G1253" t="inlineStr">
        <is>
          <t>pressure</t>
        </is>
      </c>
      <c r="H1253" t="inlineStr">
        <is>
          <t>yes</t>
        </is>
      </c>
      <c r="I1253" t="inlineStr"/>
      <c r="J1253" t="inlineStr"/>
      <c r="K1253" t="inlineStr"/>
      <c r="L1253" t="inlineStr"/>
      <c r="M1253" t="inlineStr"/>
      <c r="N1253" t="inlineStr"/>
    </row>
    <row r="1254">
      <c r="A1254" t="inlineStr">
        <is>
          <t>pl-katowice</t>
        </is>
      </c>
      <c r="B1254" t="inlineStr">
        <is>
          <t>Katowice</t>
        </is>
      </c>
      <c r="C1254" t="inlineStr">
        <is>
          <t>Poland</t>
        </is>
      </c>
      <c r="D1254" t="inlineStr">
        <is>
          <t>Southern/Eastern Europe and Eurasia</t>
        </is>
      </c>
      <c r="E1254" t="inlineStr">
        <is>
          <t>internet_cost</t>
        </is>
      </c>
      <c r="F1254" t="inlineStr">
        <is>
          <t>Internet cost</t>
        </is>
      </c>
      <c r="G1254" t="inlineStr">
        <is>
          <t>pressure</t>
        </is>
      </c>
      <c r="H1254" t="inlineStr">
        <is>
          <t>yes</t>
        </is>
      </c>
      <c r="I1254" t="inlineStr"/>
      <c r="J1254" t="inlineStr"/>
      <c r="K1254" t="inlineStr"/>
      <c r="L1254" t="inlineStr"/>
      <c r="M1254" t="inlineStr"/>
      <c r="N1254" t="inlineStr"/>
    </row>
    <row r="1255">
      <c r="A1255" t="inlineStr">
        <is>
          <t>pl-katowice</t>
        </is>
      </c>
      <c r="B1255" t="inlineStr">
        <is>
          <t>Katowice</t>
        </is>
      </c>
      <c r="C1255" t="inlineStr">
        <is>
          <t>Poland</t>
        </is>
      </c>
      <c r="D1255" t="inlineStr">
        <is>
          <t>Southern/Eastern Europe and Eurasia</t>
        </is>
      </c>
      <c r="E1255" t="inlineStr">
        <is>
          <t>food_cost</t>
        </is>
      </c>
      <c r="F1255" t="inlineStr">
        <is>
          <t>Food cost</t>
        </is>
      </c>
      <c r="G1255" t="inlineStr">
        <is>
          <t>pressure</t>
        </is>
      </c>
      <c r="H1255" t="inlineStr">
        <is>
          <t>yes</t>
        </is>
      </c>
      <c r="I1255" t="inlineStr"/>
      <c r="J1255" t="inlineStr"/>
      <c r="K1255" t="inlineStr"/>
      <c r="L1255" t="inlineStr"/>
      <c r="M1255" t="inlineStr"/>
      <c r="N1255" t="inlineStr"/>
    </row>
    <row r="1256">
      <c r="A1256" t="inlineStr">
        <is>
          <t>pl-katowice</t>
        </is>
      </c>
      <c r="B1256" t="inlineStr">
        <is>
          <t>Katowice</t>
        </is>
      </c>
      <c r="C1256" t="inlineStr">
        <is>
          <t>Poland</t>
        </is>
      </c>
      <c r="D1256" t="inlineStr">
        <is>
          <t>Southern/Eastern Europe and Eurasia</t>
        </is>
      </c>
      <c r="E1256" t="inlineStr">
        <is>
          <t>housing_burden_raw</t>
        </is>
      </c>
      <c r="F1256" t="inlineStr">
        <is>
          <t>Housing burden raw</t>
        </is>
      </c>
      <c r="G1256" t="inlineStr">
        <is>
          <t>pressure</t>
        </is>
      </c>
      <c r="H1256" t="inlineStr">
        <is>
          <t>yes</t>
        </is>
      </c>
      <c r="I1256" t="inlineStr"/>
      <c r="J1256" t="inlineStr"/>
      <c r="K1256" t="inlineStr"/>
      <c r="L1256" t="inlineStr"/>
      <c r="M1256" t="inlineStr"/>
      <c r="N1256" t="inlineStr"/>
    </row>
    <row r="1257">
      <c r="A1257" t="inlineStr">
        <is>
          <t>pl-katowice</t>
        </is>
      </c>
      <c r="B1257" t="inlineStr">
        <is>
          <t>Katowice</t>
        </is>
      </c>
      <c r="C1257" t="inlineStr">
        <is>
          <t>Poland</t>
        </is>
      </c>
      <c r="D1257" t="inlineStr">
        <is>
          <t>Southern/Eastern Europe and Eurasia</t>
        </is>
      </c>
      <c r="E1257" t="inlineStr">
        <is>
          <t>household_debt_burden_raw</t>
        </is>
      </c>
      <c r="F1257" t="inlineStr">
        <is>
          <t>Household debt burden raw</t>
        </is>
      </c>
      <c r="G1257" t="inlineStr">
        <is>
          <t>pressure</t>
        </is>
      </c>
      <c r="H1257" t="inlineStr">
        <is>
          <t>yes</t>
        </is>
      </c>
      <c r="I1257" t="inlineStr"/>
      <c r="J1257" t="inlineStr"/>
      <c r="K1257" t="inlineStr"/>
      <c r="L1257" t="inlineStr"/>
      <c r="M1257" t="inlineStr"/>
      <c r="N1257" t="inlineStr"/>
    </row>
    <row r="1258">
      <c r="A1258" t="inlineStr">
        <is>
          <t>pl-katowice</t>
        </is>
      </c>
      <c r="B1258" t="inlineStr">
        <is>
          <t>Katowice</t>
        </is>
      </c>
      <c r="C1258" t="inlineStr">
        <is>
          <t>Poland</t>
        </is>
      </c>
      <c r="D1258" t="inlineStr">
        <is>
          <t>Southern/Eastern Europe and Eurasia</t>
        </is>
      </c>
      <c r="E1258" t="inlineStr">
        <is>
          <t>working_time_pressure_raw</t>
        </is>
      </c>
      <c r="F1258" t="inlineStr">
        <is>
          <t>Working time pressure raw</t>
        </is>
      </c>
      <c r="G1258" t="inlineStr">
        <is>
          <t>pressure</t>
        </is>
      </c>
      <c r="H1258" t="inlineStr">
        <is>
          <t>yes</t>
        </is>
      </c>
      <c r="I1258" t="inlineStr"/>
      <c r="J1258" t="inlineStr"/>
      <c r="K1258" t="inlineStr"/>
      <c r="L1258" t="inlineStr"/>
      <c r="M1258" t="inlineStr"/>
      <c r="N1258" t="inlineStr"/>
    </row>
    <row r="1259">
      <c r="A1259" t="inlineStr">
        <is>
          <t>pl-katowice</t>
        </is>
      </c>
      <c r="B1259" t="inlineStr">
        <is>
          <t>Katowice</t>
        </is>
      </c>
      <c r="C1259" t="inlineStr">
        <is>
          <t>Poland</t>
        </is>
      </c>
      <c r="D1259" t="inlineStr">
        <is>
          <t>Southern/Eastern Europe and Eurasia</t>
        </is>
      </c>
      <c r="E1259" t="inlineStr">
        <is>
          <t>suicide_mental_strain_raw</t>
        </is>
      </c>
      <c r="F1259" t="inlineStr">
        <is>
          <t>Suicide or mental strain raw</t>
        </is>
      </c>
      <c r="G1259" t="inlineStr">
        <is>
          <t>pressure</t>
        </is>
      </c>
      <c r="H1259" t="inlineStr">
        <is>
          <t>yes</t>
        </is>
      </c>
      <c r="I1259" t="inlineStr"/>
      <c r="J1259" t="inlineStr"/>
      <c r="K1259" t="inlineStr"/>
      <c r="L1259" t="inlineStr"/>
      <c r="M1259" t="inlineStr"/>
      <c r="N1259" t="inlineStr"/>
    </row>
    <row r="1260">
      <c r="A1260" t="inlineStr">
        <is>
          <t>pl-katowice</t>
        </is>
      </c>
      <c r="B1260" t="inlineStr">
        <is>
          <t>Katowice</t>
        </is>
      </c>
      <c r="C1260" t="inlineStr">
        <is>
          <t>Poland</t>
        </is>
      </c>
      <c r="D1260" t="inlineStr">
        <is>
          <t>Southern/Eastern Europe and Eurasia</t>
        </is>
      </c>
      <c r="E1260" t="inlineStr">
        <is>
          <t>personal_safety_raw</t>
        </is>
      </c>
      <c r="F1260" t="inlineStr">
        <is>
          <t>Personal safety raw</t>
        </is>
      </c>
      <c r="G1260" t="inlineStr">
        <is>
          <t>viability</t>
        </is>
      </c>
      <c r="H1260" t="inlineStr">
        <is>
          <t>yes</t>
        </is>
      </c>
      <c r="I1260" t="inlineStr"/>
      <c r="J1260" t="inlineStr"/>
      <c r="K1260" t="inlineStr"/>
      <c r="L1260" t="inlineStr"/>
      <c r="M1260" t="inlineStr"/>
      <c r="N1260" t="inlineStr"/>
    </row>
    <row r="1261">
      <c r="A1261" t="inlineStr">
        <is>
          <t>pl-katowice</t>
        </is>
      </c>
      <c r="B1261" t="inlineStr">
        <is>
          <t>Katowice</t>
        </is>
      </c>
      <c r="C1261" t="inlineStr">
        <is>
          <t>Poland</t>
        </is>
      </c>
      <c r="D1261" t="inlineStr">
        <is>
          <t>Southern/Eastern Europe and Eurasia</t>
        </is>
      </c>
      <c r="E1261" t="inlineStr">
        <is>
          <t>transit_access_commute_raw</t>
        </is>
      </c>
      <c r="F1261" t="inlineStr">
        <is>
          <t>Transit access and commute raw</t>
        </is>
      </c>
      <c r="G1261" t="inlineStr">
        <is>
          <t>viability</t>
        </is>
      </c>
      <c r="H1261" t="inlineStr">
        <is>
          <t>yes</t>
        </is>
      </c>
      <c r="I1261" t="inlineStr"/>
      <c r="J1261" t="inlineStr"/>
      <c r="K1261" t="inlineStr"/>
      <c r="L1261" t="inlineStr"/>
      <c r="M1261" t="inlineStr"/>
      <c r="N1261" t="inlineStr"/>
    </row>
    <row r="1262">
      <c r="A1262" t="inlineStr">
        <is>
          <t>pl-katowice</t>
        </is>
      </c>
      <c r="B1262" t="inlineStr">
        <is>
          <t>Katowice</t>
        </is>
      </c>
      <c r="C1262" t="inlineStr">
        <is>
          <t>Poland</t>
        </is>
      </c>
      <c r="D1262" t="inlineStr">
        <is>
          <t>Southern/Eastern Europe and Eurasia</t>
        </is>
      </c>
      <c r="E1262" t="inlineStr">
        <is>
          <t>clean_air_raw</t>
        </is>
      </c>
      <c r="F1262" t="inlineStr">
        <is>
          <t>Clean air raw</t>
        </is>
      </c>
      <c r="G1262" t="inlineStr">
        <is>
          <t>viability</t>
        </is>
      </c>
      <c r="H1262" t="inlineStr">
        <is>
          <t>yes</t>
        </is>
      </c>
      <c r="I1262" t="inlineStr"/>
      <c r="J1262" t="inlineStr"/>
      <c r="K1262" t="inlineStr"/>
      <c r="L1262" t="inlineStr"/>
      <c r="M1262" t="inlineStr"/>
      <c r="N1262" t="inlineStr"/>
    </row>
    <row r="1263">
      <c r="A1263" t="inlineStr">
        <is>
          <t>pl-katowice</t>
        </is>
      </c>
      <c r="B1263" t="inlineStr">
        <is>
          <t>Katowice</t>
        </is>
      </c>
      <c r="C1263" t="inlineStr">
        <is>
          <t>Poland</t>
        </is>
      </c>
      <c r="D1263" t="inlineStr">
        <is>
          <t>Southern/Eastern Europe and Eurasia</t>
        </is>
      </c>
      <c r="E1263" t="inlineStr">
        <is>
          <t>water_sanitation_utility_raw</t>
        </is>
      </c>
      <c r="F1263" t="inlineStr">
        <is>
          <t>Water, sanitation, and utility raw</t>
        </is>
      </c>
      <c r="G1263" t="inlineStr">
        <is>
          <t>viability</t>
        </is>
      </c>
      <c r="H1263" t="inlineStr">
        <is>
          <t>yes</t>
        </is>
      </c>
      <c r="I1263" t="inlineStr"/>
      <c r="J1263" t="inlineStr"/>
      <c r="K1263" t="inlineStr"/>
      <c r="L1263" t="inlineStr"/>
      <c r="M1263" t="inlineStr"/>
      <c r="N1263" t="inlineStr"/>
    </row>
    <row r="1264">
      <c r="A1264" t="inlineStr">
        <is>
          <t>pl-katowice</t>
        </is>
      </c>
      <c r="B1264" t="inlineStr">
        <is>
          <t>Katowice</t>
        </is>
      </c>
      <c r="C1264" t="inlineStr">
        <is>
          <t>Poland</t>
        </is>
      </c>
      <c r="D1264" t="inlineStr">
        <is>
          <t>Southern/Eastern Europe and Eurasia</t>
        </is>
      </c>
      <c r="E1264" t="inlineStr">
        <is>
          <t>digital_infrastructure_raw</t>
        </is>
      </c>
      <c r="F1264" t="inlineStr">
        <is>
          <t>Digital infrastructure raw</t>
        </is>
      </c>
      <c r="G1264" t="inlineStr">
        <is>
          <t>viability</t>
        </is>
      </c>
      <c r="H1264" t="inlineStr">
        <is>
          <t>yes</t>
        </is>
      </c>
      <c r="I1264" t="inlineStr"/>
      <c r="J1264" t="inlineStr"/>
      <c r="K1264" t="inlineStr"/>
      <c r="L1264" t="inlineStr"/>
      <c r="M1264" t="inlineStr"/>
      <c r="N1264" t="inlineStr"/>
    </row>
    <row r="1265">
      <c r="A1265" t="inlineStr">
        <is>
          <t>pl-katowice</t>
        </is>
      </c>
      <c r="B1265" t="inlineStr">
        <is>
          <t>Katowice</t>
        </is>
      </c>
      <c r="C1265" t="inlineStr">
        <is>
          <t>Poland</t>
        </is>
      </c>
      <c r="D1265" t="inlineStr">
        <is>
          <t>Southern/Eastern Europe and Eurasia</t>
        </is>
      </c>
      <c r="E1265" t="inlineStr">
        <is>
          <t>healthcare_quality_raw</t>
        </is>
      </c>
      <c r="F1265" t="inlineStr">
        <is>
          <t>Healthcare quality raw</t>
        </is>
      </c>
      <c r="G1265" t="inlineStr">
        <is>
          <t>capability</t>
        </is>
      </c>
      <c r="H1265" t="inlineStr">
        <is>
          <t>yes</t>
        </is>
      </c>
      <c r="I1265" t="inlineStr"/>
      <c r="J1265" t="inlineStr"/>
      <c r="K1265" t="inlineStr"/>
      <c r="L1265" t="inlineStr"/>
      <c r="M1265" t="inlineStr"/>
      <c r="N1265" t="inlineStr"/>
    </row>
    <row r="1266">
      <c r="A1266" t="inlineStr">
        <is>
          <t>pl-katowice</t>
        </is>
      </c>
      <c r="B1266" t="inlineStr">
        <is>
          <t>Katowice</t>
        </is>
      </c>
      <c r="C1266" t="inlineStr">
        <is>
          <t>Poland</t>
        </is>
      </c>
      <c r="D1266" t="inlineStr">
        <is>
          <t>Southern/Eastern Europe and Eurasia</t>
        </is>
      </c>
      <c r="E1266" t="inlineStr">
        <is>
          <t>education_quality_raw</t>
        </is>
      </c>
      <c r="F1266" t="inlineStr">
        <is>
          <t>Education quality raw</t>
        </is>
      </c>
      <c r="G1266" t="inlineStr">
        <is>
          <t>capability</t>
        </is>
      </c>
      <c r="H1266" t="inlineStr">
        <is>
          <t>yes</t>
        </is>
      </c>
      <c r="I1266" t="inlineStr"/>
      <c r="J1266" t="inlineStr"/>
      <c r="K1266" t="inlineStr"/>
      <c r="L1266" t="inlineStr"/>
      <c r="M1266" t="inlineStr"/>
      <c r="N1266" t="inlineStr"/>
    </row>
    <row r="1267">
      <c r="A1267" t="inlineStr">
        <is>
          <t>pl-katowice</t>
        </is>
      </c>
      <c r="B1267" t="inlineStr">
        <is>
          <t>Katowice</t>
        </is>
      </c>
      <c r="C1267" t="inlineStr">
        <is>
          <t>Poland</t>
        </is>
      </c>
      <c r="D1267" t="inlineStr">
        <is>
          <t>Southern/Eastern Europe and Eurasia</t>
        </is>
      </c>
      <c r="E1267" t="inlineStr">
        <is>
          <t>equal_opportunity_raw</t>
        </is>
      </c>
      <c r="F1267" t="inlineStr">
        <is>
          <t>Equal opportunity raw</t>
        </is>
      </c>
      <c r="G1267" t="inlineStr">
        <is>
          <t>capability</t>
        </is>
      </c>
      <c r="H1267" t="inlineStr">
        <is>
          <t>yes</t>
        </is>
      </c>
      <c r="I1267" t="inlineStr"/>
      <c r="J1267" t="inlineStr"/>
      <c r="K1267" t="inlineStr"/>
      <c r="L1267" t="inlineStr"/>
      <c r="M1267" t="inlineStr"/>
      <c r="N1267" t="inlineStr"/>
    </row>
    <row r="1268">
      <c r="A1268" t="inlineStr">
        <is>
          <t>pl-katowice</t>
        </is>
      </c>
      <c r="B1268" t="inlineStr">
        <is>
          <t>Katowice</t>
        </is>
      </c>
      <c r="C1268" t="inlineStr">
        <is>
          <t>Poland</t>
        </is>
      </c>
      <c r="D1268" t="inlineStr">
        <is>
          <t>Southern/Eastern Europe and Eurasia</t>
        </is>
      </c>
      <c r="E1268" t="inlineStr">
        <is>
          <t>hospitality_belonging_raw</t>
        </is>
      </c>
      <c r="F1268" t="inlineStr">
        <is>
          <t>Hospitality and belonging raw</t>
        </is>
      </c>
      <c r="G1268" t="inlineStr">
        <is>
          <t>community</t>
        </is>
      </c>
      <c r="H1268" t="inlineStr">
        <is>
          <t>yes</t>
        </is>
      </c>
      <c r="I1268" t="inlineStr"/>
      <c r="J1268" t="inlineStr"/>
      <c r="K1268" t="inlineStr"/>
      <c r="L1268" t="inlineStr"/>
      <c r="M1268" t="inlineStr"/>
      <c r="N1268" t="inlineStr"/>
    </row>
    <row r="1269">
      <c r="A1269" t="inlineStr">
        <is>
          <t>pl-katowice</t>
        </is>
      </c>
      <c r="B1269" t="inlineStr">
        <is>
          <t>Katowice</t>
        </is>
      </c>
      <c r="C1269" t="inlineStr">
        <is>
          <t>Poland</t>
        </is>
      </c>
      <c r="D1269" t="inlineStr">
        <is>
          <t>Southern/Eastern Europe and Eurasia</t>
        </is>
      </c>
      <c r="E1269" t="inlineStr">
        <is>
          <t>tolerance_pluralism_raw</t>
        </is>
      </c>
      <c r="F1269" t="inlineStr">
        <is>
          <t>Tolerance and pluralism raw</t>
        </is>
      </c>
      <c r="G1269" t="inlineStr">
        <is>
          <t>community</t>
        </is>
      </c>
      <c r="H1269" t="inlineStr">
        <is>
          <t>yes</t>
        </is>
      </c>
      <c r="I1269" t="inlineStr"/>
      <c r="J1269" t="inlineStr"/>
      <c r="K1269" t="inlineStr"/>
      <c r="L1269" t="inlineStr"/>
      <c r="M1269" t="inlineStr"/>
      <c r="N1269" t="inlineStr"/>
    </row>
    <row r="1270">
      <c r="A1270" t="inlineStr">
        <is>
          <t>pl-katowice</t>
        </is>
      </c>
      <c r="B1270" t="inlineStr">
        <is>
          <t>Katowice</t>
        </is>
      </c>
      <c r="C1270" t="inlineStr">
        <is>
          <t>Poland</t>
        </is>
      </c>
      <c r="D1270" t="inlineStr">
        <is>
          <t>Southern/Eastern Europe and Eurasia</t>
        </is>
      </c>
      <c r="E1270" t="inlineStr">
        <is>
          <t>cultural_public_life_raw</t>
        </is>
      </c>
      <c r="F1270" t="inlineStr">
        <is>
          <t>Cultural public life raw</t>
        </is>
      </c>
      <c r="G1270" t="inlineStr">
        <is>
          <t>community</t>
        </is>
      </c>
      <c r="H1270" t="inlineStr">
        <is>
          <t>yes</t>
        </is>
      </c>
      <c r="I1270" t="inlineStr"/>
      <c r="J1270" t="inlineStr"/>
      <c r="K1270" t="inlineStr"/>
      <c r="L1270" t="inlineStr"/>
      <c r="M1270" t="inlineStr"/>
      <c r="N1270" t="inlineStr"/>
    </row>
    <row r="1271">
      <c r="A1271" t="inlineStr">
        <is>
          <t>pl-katowice</t>
        </is>
      </c>
      <c r="B1271" t="inlineStr">
        <is>
          <t>Katowice</t>
        </is>
      </c>
      <c r="C1271" t="inlineStr">
        <is>
          <t>Poland</t>
        </is>
      </c>
      <c r="D1271" t="inlineStr">
        <is>
          <t>Southern/Eastern Europe and Eurasia</t>
        </is>
      </c>
      <c r="E1271" t="inlineStr">
        <is>
          <t>entrepreneurial_dynamism_raw</t>
        </is>
      </c>
      <c r="F1271" t="inlineStr">
        <is>
          <t>Entrepreneurial dynamism raw</t>
        </is>
      </c>
      <c r="G1271" t="inlineStr">
        <is>
          <t>creative</t>
        </is>
      </c>
      <c r="H1271" t="inlineStr">
        <is>
          <t>yes</t>
        </is>
      </c>
      <c r="I1271" t="inlineStr"/>
      <c r="J1271" t="inlineStr"/>
      <c r="K1271" t="inlineStr"/>
      <c r="L1271" t="inlineStr"/>
      <c r="M1271" t="inlineStr"/>
      <c r="N1271" t="inlineStr"/>
    </row>
    <row r="1272">
      <c r="A1272" t="inlineStr">
        <is>
          <t>pl-katowice</t>
        </is>
      </c>
      <c r="B1272" t="inlineStr">
        <is>
          <t>Katowice</t>
        </is>
      </c>
      <c r="C1272" t="inlineStr">
        <is>
          <t>Poland</t>
        </is>
      </c>
      <c r="D1272" t="inlineStr">
        <is>
          <t>Southern/Eastern Europe and Eurasia</t>
        </is>
      </c>
      <c r="E1272" t="inlineStr">
        <is>
          <t>innovation_research_intensity_raw</t>
        </is>
      </c>
      <c r="F1272" t="inlineStr">
        <is>
          <t>Innovation and research raw</t>
        </is>
      </c>
      <c r="G1272" t="inlineStr">
        <is>
          <t>creative</t>
        </is>
      </c>
      <c r="H1272" t="inlineStr">
        <is>
          <t>yes</t>
        </is>
      </c>
      <c r="I1272" t="inlineStr"/>
      <c r="J1272" t="inlineStr"/>
      <c r="K1272" t="inlineStr"/>
      <c r="L1272" t="inlineStr"/>
      <c r="M1272" t="inlineStr"/>
      <c r="N1272" t="inlineStr"/>
    </row>
    <row r="1273">
      <c r="A1273" t="inlineStr">
        <is>
          <t>pl-katowice</t>
        </is>
      </c>
      <c r="B1273" t="inlineStr">
        <is>
          <t>Katowice</t>
        </is>
      </c>
      <c r="C1273" t="inlineStr">
        <is>
          <t>Poland</t>
        </is>
      </c>
      <c r="D1273" t="inlineStr">
        <is>
          <t>Southern/Eastern Europe and Eurasia</t>
        </is>
      </c>
      <c r="E1273" t="inlineStr">
        <is>
          <t>investment_signal_raw</t>
        </is>
      </c>
      <c r="F1273" t="inlineStr">
        <is>
          <t>Investment signal raw</t>
        </is>
      </c>
      <c r="G1273" t="inlineStr">
        <is>
          <t>creative</t>
        </is>
      </c>
      <c r="H1273" t="inlineStr">
        <is>
          <t>yes</t>
        </is>
      </c>
      <c r="I1273" t="inlineStr"/>
      <c r="J1273" t="inlineStr"/>
      <c r="K1273" t="inlineStr"/>
      <c r="L1273" t="inlineStr"/>
      <c r="M1273" t="inlineStr"/>
      <c r="N1273" t="inlineStr"/>
    </row>
    <row r="1274">
      <c r="A1274" t="inlineStr">
        <is>
          <t>pl-katowice</t>
        </is>
      </c>
      <c r="B1274" t="inlineStr">
        <is>
          <t>Katowice</t>
        </is>
      </c>
      <c r="C1274" t="inlineStr">
        <is>
          <t>Poland</t>
        </is>
      </c>
      <c r="D1274" t="inlineStr">
        <is>
          <t>Southern/Eastern Europe and Eurasia</t>
        </is>
      </c>
      <c r="E1274" t="inlineStr">
        <is>
          <t>administrative_investment_friction_raw</t>
        </is>
      </c>
      <c r="F1274" t="inlineStr">
        <is>
          <t>Administrative investment friction raw</t>
        </is>
      </c>
      <c r="G1274" t="inlineStr">
        <is>
          <t>creative</t>
        </is>
      </c>
      <c r="H1274" t="inlineStr">
        <is>
          <t>yes</t>
        </is>
      </c>
      <c r="I1274" t="inlineStr"/>
      <c r="J1274" t="inlineStr"/>
      <c r="K1274" t="inlineStr"/>
      <c r="L1274" t="inlineStr"/>
      <c r="M1274" t="inlineStr"/>
      <c r="N1274" t="inlineStr"/>
    </row>
    <row r="1275">
      <c r="A1275" t="inlineStr">
        <is>
          <t>pl-katowice</t>
        </is>
      </c>
      <c r="B1275" t="inlineStr">
        <is>
          <t>Katowice</t>
        </is>
      </c>
      <c r="C1275" t="inlineStr">
        <is>
          <t>Poland</t>
        </is>
      </c>
      <c r="D1275" t="inlineStr">
        <is>
          <t>Southern/Eastern Europe and Eurasia</t>
        </is>
      </c>
      <c r="E1275" t="inlineStr">
        <is>
          <t>visitor_flow_context_raw</t>
        </is>
      </c>
      <c r="F1275" t="inlineStr">
        <is>
          <t>Visitor flow context raw</t>
        </is>
      </c>
      <c r="G1275" t="inlineStr">
        <is>
          <t>creative</t>
        </is>
      </c>
      <c r="H1275" t="inlineStr">
        <is>
          <t>no</t>
        </is>
      </c>
      <c r="I1275" t="inlineStr"/>
      <c r="J1275" t="inlineStr"/>
      <c r="K1275" t="inlineStr"/>
      <c r="L1275" t="inlineStr"/>
      <c r="M1275" t="inlineStr"/>
      <c r="N1275" t="inlineStr"/>
    </row>
    <row r="1276">
      <c r="A1276" t="inlineStr">
        <is>
          <t>pl-gdansk</t>
        </is>
      </c>
      <c r="B1276" t="inlineStr">
        <is>
          <t>Gdansk</t>
        </is>
      </c>
      <c r="C1276" t="inlineStr">
        <is>
          <t>Poland</t>
        </is>
      </c>
      <c r="D1276" t="inlineStr">
        <is>
          <t>Southern/Eastern Europe and Eurasia</t>
        </is>
      </c>
      <c r="E1276" t="inlineStr">
        <is>
          <t>gross_income</t>
        </is>
      </c>
      <c r="F1276" t="inlineStr">
        <is>
          <t>Gross income</t>
        </is>
      </c>
      <c r="G1276" t="inlineStr">
        <is>
          <t>pressure</t>
        </is>
      </c>
      <c r="H1276" t="inlineStr">
        <is>
          <t>yes</t>
        </is>
      </c>
      <c r="I1276" t="inlineStr"/>
      <c r="J1276" t="inlineStr"/>
      <c r="K1276" t="inlineStr"/>
      <c r="L1276" t="inlineStr"/>
      <c r="M1276" t="inlineStr"/>
      <c r="N1276" t="inlineStr"/>
    </row>
    <row r="1277">
      <c r="A1277" t="inlineStr">
        <is>
          <t>pl-gdansk</t>
        </is>
      </c>
      <c r="B1277" t="inlineStr">
        <is>
          <t>Gdansk</t>
        </is>
      </c>
      <c r="C1277" t="inlineStr">
        <is>
          <t>Poland</t>
        </is>
      </c>
      <c r="D1277" t="inlineStr">
        <is>
          <t>Southern/Eastern Europe and Eurasia</t>
        </is>
      </c>
      <c r="E1277" t="inlineStr">
        <is>
          <t>rent</t>
        </is>
      </c>
      <c r="F1277" t="inlineStr">
        <is>
          <t>Rent</t>
        </is>
      </c>
      <c r="G1277" t="inlineStr">
        <is>
          <t>pressure</t>
        </is>
      </c>
      <c r="H1277" t="inlineStr">
        <is>
          <t>yes</t>
        </is>
      </c>
      <c r="I1277" t="inlineStr"/>
      <c r="J1277" t="inlineStr"/>
      <c r="K1277" t="inlineStr"/>
      <c r="L1277" t="inlineStr"/>
      <c r="M1277" t="inlineStr"/>
      <c r="N1277" t="inlineStr"/>
    </row>
    <row r="1278">
      <c r="A1278" t="inlineStr">
        <is>
          <t>pl-gdansk</t>
        </is>
      </c>
      <c r="B1278" t="inlineStr">
        <is>
          <t>Gdansk</t>
        </is>
      </c>
      <c r="C1278" t="inlineStr">
        <is>
          <t>Poland</t>
        </is>
      </c>
      <c r="D1278" t="inlineStr">
        <is>
          <t>Southern/Eastern Europe and Eurasia</t>
        </is>
      </c>
      <c r="E1278" t="inlineStr">
        <is>
          <t>utilities</t>
        </is>
      </c>
      <c r="F1278" t="inlineStr">
        <is>
          <t>Utilities</t>
        </is>
      </c>
      <c r="G1278" t="inlineStr">
        <is>
          <t>pressure</t>
        </is>
      </c>
      <c r="H1278" t="inlineStr">
        <is>
          <t>yes</t>
        </is>
      </c>
      <c r="I1278" t="inlineStr"/>
      <c r="J1278" t="inlineStr"/>
      <c r="K1278" t="inlineStr"/>
      <c r="L1278" t="inlineStr"/>
      <c r="M1278" t="inlineStr"/>
      <c r="N1278" t="inlineStr"/>
    </row>
    <row r="1279">
      <c r="A1279" t="inlineStr">
        <is>
          <t>pl-gdansk</t>
        </is>
      </c>
      <c r="B1279" t="inlineStr">
        <is>
          <t>Gdansk</t>
        </is>
      </c>
      <c r="C1279" t="inlineStr">
        <is>
          <t>Poland</t>
        </is>
      </c>
      <c r="D1279" t="inlineStr">
        <is>
          <t>Southern/Eastern Europe and Eurasia</t>
        </is>
      </c>
      <c r="E1279" t="inlineStr">
        <is>
          <t>transit_cost</t>
        </is>
      </c>
      <c r="F1279" t="inlineStr">
        <is>
          <t>Transit cost</t>
        </is>
      </c>
      <c r="G1279" t="inlineStr">
        <is>
          <t>pressure</t>
        </is>
      </c>
      <c r="H1279" t="inlineStr">
        <is>
          <t>yes</t>
        </is>
      </c>
      <c r="I1279" t="inlineStr"/>
      <c r="J1279" t="inlineStr"/>
      <c r="K1279" t="inlineStr"/>
      <c r="L1279" t="inlineStr"/>
      <c r="M1279" t="inlineStr"/>
      <c r="N1279" t="inlineStr"/>
    </row>
    <row r="1280">
      <c r="A1280" t="inlineStr">
        <is>
          <t>pl-gdansk</t>
        </is>
      </c>
      <c r="B1280" t="inlineStr">
        <is>
          <t>Gdansk</t>
        </is>
      </c>
      <c r="C1280" t="inlineStr">
        <is>
          <t>Poland</t>
        </is>
      </c>
      <c r="D1280" t="inlineStr">
        <is>
          <t>Southern/Eastern Europe and Eurasia</t>
        </is>
      </c>
      <c r="E1280" t="inlineStr">
        <is>
          <t>internet_cost</t>
        </is>
      </c>
      <c r="F1280" t="inlineStr">
        <is>
          <t>Internet cost</t>
        </is>
      </c>
      <c r="G1280" t="inlineStr">
        <is>
          <t>pressure</t>
        </is>
      </c>
      <c r="H1280" t="inlineStr">
        <is>
          <t>yes</t>
        </is>
      </c>
      <c r="I1280" t="inlineStr"/>
      <c r="J1280" t="inlineStr"/>
      <c r="K1280" t="inlineStr"/>
      <c r="L1280" t="inlineStr"/>
      <c r="M1280" t="inlineStr"/>
      <c r="N1280" t="inlineStr"/>
    </row>
    <row r="1281">
      <c r="A1281" t="inlineStr">
        <is>
          <t>pl-gdansk</t>
        </is>
      </c>
      <c r="B1281" t="inlineStr">
        <is>
          <t>Gdansk</t>
        </is>
      </c>
      <c r="C1281" t="inlineStr">
        <is>
          <t>Poland</t>
        </is>
      </c>
      <c r="D1281" t="inlineStr">
        <is>
          <t>Southern/Eastern Europe and Eurasia</t>
        </is>
      </c>
      <c r="E1281" t="inlineStr">
        <is>
          <t>food_cost</t>
        </is>
      </c>
      <c r="F1281" t="inlineStr">
        <is>
          <t>Food cost</t>
        </is>
      </c>
      <c r="G1281" t="inlineStr">
        <is>
          <t>pressure</t>
        </is>
      </c>
      <c r="H1281" t="inlineStr">
        <is>
          <t>yes</t>
        </is>
      </c>
      <c r="I1281" t="inlineStr"/>
      <c r="J1281" t="inlineStr"/>
      <c r="K1281" t="inlineStr"/>
      <c r="L1281" t="inlineStr"/>
      <c r="M1281" t="inlineStr"/>
      <c r="N1281" t="inlineStr"/>
    </row>
    <row r="1282">
      <c r="A1282" t="inlineStr">
        <is>
          <t>pl-gdansk</t>
        </is>
      </c>
      <c r="B1282" t="inlineStr">
        <is>
          <t>Gdansk</t>
        </is>
      </c>
      <c r="C1282" t="inlineStr">
        <is>
          <t>Poland</t>
        </is>
      </c>
      <c r="D1282" t="inlineStr">
        <is>
          <t>Southern/Eastern Europe and Eurasia</t>
        </is>
      </c>
      <c r="E1282" t="inlineStr">
        <is>
          <t>housing_burden_raw</t>
        </is>
      </c>
      <c r="F1282" t="inlineStr">
        <is>
          <t>Housing burden raw</t>
        </is>
      </c>
      <c r="G1282" t="inlineStr">
        <is>
          <t>pressure</t>
        </is>
      </c>
      <c r="H1282" t="inlineStr">
        <is>
          <t>yes</t>
        </is>
      </c>
      <c r="I1282" t="inlineStr"/>
      <c r="J1282" t="inlineStr"/>
      <c r="K1282" t="inlineStr"/>
      <c r="L1282" t="inlineStr"/>
      <c r="M1282" t="inlineStr"/>
      <c r="N1282" t="inlineStr"/>
    </row>
    <row r="1283">
      <c r="A1283" t="inlineStr">
        <is>
          <t>pl-gdansk</t>
        </is>
      </c>
      <c r="B1283" t="inlineStr">
        <is>
          <t>Gdansk</t>
        </is>
      </c>
      <c r="C1283" t="inlineStr">
        <is>
          <t>Poland</t>
        </is>
      </c>
      <c r="D1283" t="inlineStr">
        <is>
          <t>Southern/Eastern Europe and Eurasia</t>
        </is>
      </c>
      <c r="E1283" t="inlineStr">
        <is>
          <t>household_debt_burden_raw</t>
        </is>
      </c>
      <c r="F1283" t="inlineStr">
        <is>
          <t>Household debt burden raw</t>
        </is>
      </c>
      <c r="G1283" t="inlineStr">
        <is>
          <t>pressure</t>
        </is>
      </c>
      <c r="H1283" t="inlineStr">
        <is>
          <t>yes</t>
        </is>
      </c>
      <c r="I1283" t="inlineStr"/>
      <c r="J1283" t="inlineStr"/>
      <c r="K1283" t="inlineStr"/>
      <c r="L1283" t="inlineStr"/>
      <c r="M1283" t="inlineStr"/>
      <c r="N1283" t="inlineStr"/>
    </row>
    <row r="1284">
      <c r="A1284" t="inlineStr">
        <is>
          <t>pl-gdansk</t>
        </is>
      </c>
      <c r="B1284" t="inlineStr">
        <is>
          <t>Gdansk</t>
        </is>
      </c>
      <c r="C1284" t="inlineStr">
        <is>
          <t>Poland</t>
        </is>
      </c>
      <c r="D1284" t="inlineStr">
        <is>
          <t>Southern/Eastern Europe and Eurasia</t>
        </is>
      </c>
      <c r="E1284" t="inlineStr">
        <is>
          <t>working_time_pressure_raw</t>
        </is>
      </c>
      <c r="F1284" t="inlineStr">
        <is>
          <t>Working time pressure raw</t>
        </is>
      </c>
      <c r="G1284" t="inlineStr">
        <is>
          <t>pressure</t>
        </is>
      </c>
      <c r="H1284" t="inlineStr">
        <is>
          <t>yes</t>
        </is>
      </c>
      <c r="I1284" t="inlineStr"/>
      <c r="J1284" t="inlineStr"/>
      <c r="K1284" t="inlineStr"/>
      <c r="L1284" t="inlineStr"/>
      <c r="M1284" t="inlineStr"/>
      <c r="N1284" t="inlineStr"/>
    </row>
    <row r="1285">
      <c r="A1285" t="inlineStr">
        <is>
          <t>pl-gdansk</t>
        </is>
      </c>
      <c r="B1285" t="inlineStr">
        <is>
          <t>Gdansk</t>
        </is>
      </c>
      <c r="C1285" t="inlineStr">
        <is>
          <t>Poland</t>
        </is>
      </c>
      <c r="D1285" t="inlineStr">
        <is>
          <t>Southern/Eastern Europe and Eurasia</t>
        </is>
      </c>
      <c r="E1285" t="inlineStr">
        <is>
          <t>suicide_mental_strain_raw</t>
        </is>
      </c>
      <c r="F1285" t="inlineStr">
        <is>
          <t>Suicide or mental strain raw</t>
        </is>
      </c>
      <c r="G1285" t="inlineStr">
        <is>
          <t>pressure</t>
        </is>
      </c>
      <c r="H1285" t="inlineStr">
        <is>
          <t>yes</t>
        </is>
      </c>
      <c r="I1285" t="inlineStr"/>
      <c r="J1285" t="inlineStr"/>
      <c r="K1285" t="inlineStr"/>
      <c r="L1285" t="inlineStr"/>
      <c r="M1285" t="inlineStr"/>
      <c r="N1285" t="inlineStr"/>
    </row>
    <row r="1286">
      <c r="A1286" t="inlineStr">
        <is>
          <t>pl-gdansk</t>
        </is>
      </c>
      <c r="B1286" t="inlineStr">
        <is>
          <t>Gdansk</t>
        </is>
      </c>
      <c r="C1286" t="inlineStr">
        <is>
          <t>Poland</t>
        </is>
      </c>
      <c r="D1286" t="inlineStr">
        <is>
          <t>Southern/Eastern Europe and Eurasia</t>
        </is>
      </c>
      <c r="E1286" t="inlineStr">
        <is>
          <t>personal_safety_raw</t>
        </is>
      </c>
      <c r="F1286" t="inlineStr">
        <is>
          <t>Personal safety raw</t>
        </is>
      </c>
      <c r="G1286" t="inlineStr">
        <is>
          <t>viability</t>
        </is>
      </c>
      <c r="H1286" t="inlineStr">
        <is>
          <t>yes</t>
        </is>
      </c>
      <c r="I1286" t="inlineStr"/>
      <c r="J1286" t="inlineStr"/>
      <c r="K1286" t="inlineStr"/>
      <c r="L1286" t="inlineStr"/>
      <c r="M1286" t="inlineStr"/>
      <c r="N1286" t="inlineStr"/>
    </row>
    <row r="1287">
      <c r="A1287" t="inlineStr">
        <is>
          <t>pl-gdansk</t>
        </is>
      </c>
      <c r="B1287" t="inlineStr">
        <is>
          <t>Gdansk</t>
        </is>
      </c>
      <c r="C1287" t="inlineStr">
        <is>
          <t>Poland</t>
        </is>
      </c>
      <c r="D1287" t="inlineStr">
        <is>
          <t>Southern/Eastern Europe and Eurasia</t>
        </is>
      </c>
      <c r="E1287" t="inlineStr">
        <is>
          <t>transit_access_commute_raw</t>
        </is>
      </c>
      <c r="F1287" t="inlineStr">
        <is>
          <t>Transit access and commute raw</t>
        </is>
      </c>
      <c r="G1287" t="inlineStr">
        <is>
          <t>viability</t>
        </is>
      </c>
      <c r="H1287" t="inlineStr">
        <is>
          <t>yes</t>
        </is>
      </c>
      <c r="I1287" t="inlineStr"/>
      <c r="J1287" t="inlineStr"/>
      <c r="K1287" t="inlineStr"/>
      <c r="L1287" t="inlineStr"/>
      <c r="M1287" t="inlineStr"/>
      <c r="N1287" t="inlineStr"/>
    </row>
    <row r="1288">
      <c r="A1288" t="inlineStr">
        <is>
          <t>pl-gdansk</t>
        </is>
      </c>
      <c r="B1288" t="inlineStr">
        <is>
          <t>Gdansk</t>
        </is>
      </c>
      <c r="C1288" t="inlineStr">
        <is>
          <t>Poland</t>
        </is>
      </c>
      <c r="D1288" t="inlineStr">
        <is>
          <t>Southern/Eastern Europe and Eurasia</t>
        </is>
      </c>
      <c r="E1288" t="inlineStr">
        <is>
          <t>clean_air_raw</t>
        </is>
      </c>
      <c r="F1288" t="inlineStr">
        <is>
          <t>Clean air raw</t>
        </is>
      </c>
      <c r="G1288" t="inlineStr">
        <is>
          <t>viability</t>
        </is>
      </c>
      <c r="H1288" t="inlineStr">
        <is>
          <t>yes</t>
        </is>
      </c>
      <c r="I1288" t="inlineStr"/>
      <c r="J1288" t="inlineStr"/>
      <c r="K1288" t="inlineStr"/>
      <c r="L1288" t="inlineStr"/>
      <c r="M1288" t="inlineStr"/>
      <c r="N1288" t="inlineStr"/>
    </row>
    <row r="1289">
      <c r="A1289" t="inlineStr">
        <is>
          <t>pl-gdansk</t>
        </is>
      </c>
      <c r="B1289" t="inlineStr">
        <is>
          <t>Gdansk</t>
        </is>
      </c>
      <c r="C1289" t="inlineStr">
        <is>
          <t>Poland</t>
        </is>
      </c>
      <c r="D1289" t="inlineStr">
        <is>
          <t>Southern/Eastern Europe and Eurasia</t>
        </is>
      </c>
      <c r="E1289" t="inlineStr">
        <is>
          <t>water_sanitation_utility_raw</t>
        </is>
      </c>
      <c r="F1289" t="inlineStr">
        <is>
          <t>Water, sanitation, and utility raw</t>
        </is>
      </c>
      <c r="G1289" t="inlineStr">
        <is>
          <t>viability</t>
        </is>
      </c>
      <c r="H1289" t="inlineStr">
        <is>
          <t>yes</t>
        </is>
      </c>
      <c r="I1289" t="inlineStr"/>
      <c r="J1289" t="inlineStr"/>
      <c r="K1289" t="inlineStr"/>
      <c r="L1289" t="inlineStr"/>
      <c r="M1289" t="inlineStr"/>
      <c r="N1289" t="inlineStr"/>
    </row>
    <row r="1290">
      <c r="A1290" t="inlineStr">
        <is>
          <t>pl-gdansk</t>
        </is>
      </c>
      <c r="B1290" t="inlineStr">
        <is>
          <t>Gdansk</t>
        </is>
      </c>
      <c r="C1290" t="inlineStr">
        <is>
          <t>Poland</t>
        </is>
      </c>
      <c r="D1290" t="inlineStr">
        <is>
          <t>Southern/Eastern Europe and Eurasia</t>
        </is>
      </c>
      <c r="E1290" t="inlineStr">
        <is>
          <t>digital_infrastructure_raw</t>
        </is>
      </c>
      <c r="F1290" t="inlineStr">
        <is>
          <t>Digital infrastructure raw</t>
        </is>
      </c>
      <c r="G1290" t="inlineStr">
        <is>
          <t>viability</t>
        </is>
      </c>
      <c r="H1290" t="inlineStr">
        <is>
          <t>yes</t>
        </is>
      </c>
      <c r="I1290" t="inlineStr"/>
      <c r="J1290" t="inlineStr"/>
      <c r="K1290" t="inlineStr"/>
      <c r="L1290" t="inlineStr"/>
      <c r="M1290" t="inlineStr"/>
      <c r="N1290" t="inlineStr"/>
    </row>
    <row r="1291">
      <c r="A1291" t="inlineStr">
        <is>
          <t>pl-gdansk</t>
        </is>
      </c>
      <c r="B1291" t="inlineStr">
        <is>
          <t>Gdansk</t>
        </is>
      </c>
      <c r="C1291" t="inlineStr">
        <is>
          <t>Poland</t>
        </is>
      </c>
      <c r="D1291" t="inlineStr">
        <is>
          <t>Southern/Eastern Europe and Eurasia</t>
        </is>
      </c>
      <c r="E1291" t="inlineStr">
        <is>
          <t>healthcare_quality_raw</t>
        </is>
      </c>
      <c r="F1291" t="inlineStr">
        <is>
          <t>Healthcare quality raw</t>
        </is>
      </c>
      <c r="G1291" t="inlineStr">
        <is>
          <t>capability</t>
        </is>
      </c>
      <c r="H1291" t="inlineStr">
        <is>
          <t>yes</t>
        </is>
      </c>
      <c r="I1291" t="inlineStr"/>
      <c r="J1291" t="inlineStr"/>
      <c r="K1291" t="inlineStr"/>
      <c r="L1291" t="inlineStr"/>
      <c r="M1291" t="inlineStr"/>
      <c r="N1291" t="inlineStr"/>
    </row>
    <row r="1292">
      <c r="A1292" t="inlineStr">
        <is>
          <t>pl-gdansk</t>
        </is>
      </c>
      <c r="B1292" t="inlineStr">
        <is>
          <t>Gdansk</t>
        </is>
      </c>
      <c r="C1292" t="inlineStr">
        <is>
          <t>Poland</t>
        </is>
      </c>
      <c r="D1292" t="inlineStr">
        <is>
          <t>Southern/Eastern Europe and Eurasia</t>
        </is>
      </c>
      <c r="E1292" t="inlineStr">
        <is>
          <t>education_quality_raw</t>
        </is>
      </c>
      <c r="F1292" t="inlineStr">
        <is>
          <t>Education quality raw</t>
        </is>
      </c>
      <c r="G1292" t="inlineStr">
        <is>
          <t>capability</t>
        </is>
      </c>
      <c r="H1292" t="inlineStr">
        <is>
          <t>yes</t>
        </is>
      </c>
      <c r="I1292" t="inlineStr"/>
      <c r="J1292" t="inlineStr"/>
      <c r="K1292" t="inlineStr"/>
      <c r="L1292" t="inlineStr"/>
      <c r="M1292" t="inlineStr"/>
      <c r="N1292" t="inlineStr"/>
    </row>
    <row r="1293">
      <c r="A1293" t="inlineStr">
        <is>
          <t>pl-gdansk</t>
        </is>
      </c>
      <c r="B1293" t="inlineStr">
        <is>
          <t>Gdansk</t>
        </is>
      </c>
      <c r="C1293" t="inlineStr">
        <is>
          <t>Poland</t>
        </is>
      </c>
      <c r="D1293" t="inlineStr">
        <is>
          <t>Southern/Eastern Europe and Eurasia</t>
        </is>
      </c>
      <c r="E1293" t="inlineStr">
        <is>
          <t>equal_opportunity_raw</t>
        </is>
      </c>
      <c r="F1293" t="inlineStr">
        <is>
          <t>Equal opportunity raw</t>
        </is>
      </c>
      <c r="G1293" t="inlineStr">
        <is>
          <t>capability</t>
        </is>
      </c>
      <c r="H1293" t="inlineStr">
        <is>
          <t>yes</t>
        </is>
      </c>
      <c r="I1293" t="inlineStr"/>
      <c r="J1293" t="inlineStr"/>
      <c r="K1293" t="inlineStr"/>
      <c r="L1293" t="inlineStr"/>
      <c r="M1293" t="inlineStr"/>
      <c r="N1293" t="inlineStr"/>
    </row>
    <row r="1294">
      <c r="A1294" t="inlineStr">
        <is>
          <t>pl-gdansk</t>
        </is>
      </c>
      <c r="B1294" t="inlineStr">
        <is>
          <t>Gdansk</t>
        </is>
      </c>
      <c r="C1294" t="inlineStr">
        <is>
          <t>Poland</t>
        </is>
      </c>
      <c r="D1294" t="inlineStr">
        <is>
          <t>Southern/Eastern Europe and Eurasia</t>
        </is>
      </c>
      <c r="E1294" t="inlineStr">
        <is>
          <t>hospitality_belonging_raw</t>
        </is>
      </c>
      <c r="F1294" t="inlineStr">
        <is>
          <t>Hospitality and belonging raw</t>
        </is>
      </c>
      <c r="G1294" t="inlineStr">
        <is>
          <t>community</t>
        </is>
      </c>
      <c r="H1294" t="inlineStr">
        <is>
          <t>yes</t>
        </is>
      </c>
      <c r="I1294" t="inlineStr"/>
      <c r="J1294" t="inlineStr"/>
      <c r="K1294" t="inlineStr"/>
      <c r="L1294" t="inlineStr"/>
      <c r="M1294" t="inlineStr"/>
      <c r="N1294" t="inlineStr"/>
    </row>
    <row r="1295">
      <c r="A1295" t="inlineStr">
        <is>
          <t>pl-gdansk</t>
        </is>
      </c>
      <c r="B1295" t="inlineStr">
        <is>
          <t>Gdansk</t>
        </is>
      </c>
      <c r="C1295" t="inlineStr">
        <is>
          <t>Poland</t>
        </is>
      </c>
      <c r="D1295" t="inlineStr">
        <is>
          <t>Southern/Eastern Europe and Eurasia</t>
        </is>
      </c>
      <c r="E1295" t="inlineStr">
        <is>
          <t>tolerance_pluralism_raw</t>
        </is>
      </c>
      <c r="F1295" t="inlineStr">
        <is>
          <t>Tolerance and pluralism raw</t>
        </is>
      </c>
      <c r="G1295" t="inlineStr">
        <is>
          <t>community</t>
        </is>
      </c>
      <c r="H1295" t="inlineStr">
        <is>
          <t>yes</t>
        </is>
      </c>
      <c r="I1295" t="inlineStr"/>
      <c r="J1295" t="inlineStr"/>
      <c r="K1295" t="inlineStr"/>
      <c r="L1295" t="inlineStr"/>
      <c r="M1295" t="inlineStr"/>
      <c r="N1295" t="inlineStr"/>
    </row>
    <row r="1296">
      <c r="A1296" t="inlineStr">
        <is>
          <t>pl-gdansk</t>
        </is>
      </c>
      <c r="B1296" t="inlineStr">
        <is>
          <t>Gdansk</t>
        </is>
      </c>
      <c r="C1296" t="inlineStr">
        <is>
          <t>Poland</t>
        </is>
      </c>
      <c r="D1296" t="inlineStr">
        <is>
          <t>Southern/Eastern Europe and Eurasia</t>
        </is>
      </c>
      <c r="E1296" t="inlineStr">
        <is>
          <t>cultural_public_life_raw</t>
        </is>
      </c>
      <c r="F1296" t="inlineStr">
        <is>
          <t>Cultural public life raw</t>
        </is>
      </c>
      <c r="G1296" t="inlineStr">
        <is>
          <t>community</t>
        </is>
      </c>
      <c r="H1296" t="inlineStr">
        <is>
          <t>yes</t>
        </is>
      </c>
      <c r="I1296" t="inlineStr"/>
      <c r="J1296" t="inlineStr"/>
      <c r="K1296" t="inlineStr"/>
      <c r="L1296" t="inlineStr"/>
      <c r="M1296" t="inlineStr"/>
      <c r="N1296" t="inlineStr"/>
    </row>
    <row r="1297">
      <c r="A1297" t="inlineStr">
        <is>
          <t>pl-gdansk</t>
        </is>
      </c>
      <c r="B1297" t="inlineStr">
        <is>
          <t>Gdansk</t>
        </is>
      </c>
      <c r="C1297" t="inlineStr">
        <is>
          <t>Poland</t>
        </is>
      </c>
      <c r="D1297" t="inlineStr">
        <is>
          <t>Southern/Eastern Europe and Eurasia</t>
        </is>
      </c>
      <c r="E1297" t="inlineStr">
        <is>
          <t>entrepreneurial_dynamism_raw</t>
        </is>
      </c>
      <c r="F1297" t="inlineStr">
        <is>
          <t>Entrepreneurial dynamism raw</t>
        </is>
      </c>
      <c r="G1297" t="inlineStr">
        <is>
          <t>creative</t>
        </is>
      </c>
      <c r="H1297" t="inlineStr">
        <is>
          <t>yes</t>
        </is>
      </c>
      <c r="I1297" t="inlineStr"/>
      <c r="J1297" t="inlineStr"/>
      <c r="K1297" t="inlineStr"/>
      <c r="L1297" t="inlineStr"/>
      <c r="M1297" t="inlineStr"/>
      <c r="N1297" t="inlineStr"/>
    </row>
    <row r="1298">
      <c r="A1298" t="inlineStr">
        <is>
          <t>pl-gdansk</t>
        </is>
      </c>
      <c r="B1298" t="inlineStr">
        <is>
          <t>Gdansk</t>
        </is>
      </c>
      <c r="C1298" t="inlineStr">
        <is>
          <t>Poland</t>
        </is>
      </c>
      <c r="D1298" t="inlineStr">
        <is>
          <t>Southern/Eastern Europe and Eurasia</t>
        </is>
      </c>
      <c r="E1298" t="inlineStr">
        <is>
          <t>innovation_research_intensity_raw</t>
        </is>
      </c>
      <c r="F1298" t="inlineStr">
        <is>
          <t>Innovation and research raw</t>
        </is>
      </c>
      <c r="G1298" t="inlineStr">
        <is>
          <t>creative</t>
        </is>
      </c>
      <c r="H1298" t="inlineStr">
        <is>
          <t>yes</t>
        </is>
      </c>
      <c r="I1298" t="inlineStr"/>
      <c r="J1298" t="inlineStr"/>
      <c r="K1298" t="inlineStr"/>
      <c r="L1298" t="inlineStr"/>
      <c r="M1298" t="inlineStr"/>
      <c r="N1298" t="inlineStr"/>
    </row>
    <row r="1299">
      <c r="A1299" t="inlineStr">
        <is>
          <t>pl-gdansk</t>
        </is>
      </c>
      <c r="B1299" t="inlineStr">
        <is>
          <t>Gdansk</t>
        </is>
      </c>
      <c r="C1299" t="inlineStr">
        <is>
          <t>Poland</t>
        </is>
      </c>
      <c r="D1299" t="inlineStr">
        <is>
          <t>Southern/Eastern Europe and Eurasia</t>
        </is>
      </c>
      <c r="E1299" t="inlineStr">
        <is>
          <t>investment_signal_raw</t>
        </is>
      </c>
      <c r="F1299" t="inlineStr">
        <is>
          <t>Investment signal raw</t>
        </is>
      </c>
      <c r="G1299" t="inlineStr">
        <is>
          <t>creative</t>
        </is>
      </c>
      <c r="H1299" t="inlineStr">
        <is>
          <t>yes</t>
        </is>
      </c>
      <c r="I1299" t="inlineStr"/>
      <c r="J1299" t="inlineStr"/>
      <c r="K1299" t="inlineStr"/>
      <c r="L1299" t="inlineStr"/>
      <c r="M1299" t="inlineStr"/>
      <c r="N1299" t="inlineStr"/>
    </row>
    <row r="1300">
      <c r="A1300" t="inlineStr">
        <is>
          <t>pl-gdansk</t>
        </is>
      </c>
      <c r="B1300" t="inlineStr">
        <is>
          <t>Gdansk</t>
        </is>
      </c>
      <c r="C1300" t="inlineStr">
        <is>
          <t>Poland</t>
        </is>
      </c>
      <c r="D1300" t="inlineStr">
        <is>
          <t>Southern/Eastern Europe and Eurasia</t>
        </is>
      </c>
      <c r="E1300" t="inlineStr">
        <is>
          <t>administrative_investment_friction_raw</t>
        </is>
      </c>
      <c r="F1300" t="inlineStr">
        <is>
          <t>Administrative investment friction raw</t>
        </is>
      </c>
      <c r="G1300" t="inlineStr">
        <is>
          <t>creative</t>
        </is>
      </c>
      <c r="H1300" t="inlineStr">
        <is>
          <t>yes</t>
        </is>
      </c>
      <c r="I1300" t="inlineStr"/>
      <c r="J1300" t="inlineStr"/>
      <c r="K1300" t="inlineStr"/>
      <c r="L1300" t="inlineStr"/>
      <c r="M1300" t="inlineStr"/>
      <c r="N1300" t="inlineStr"/>
    </row>
    <row r="1301">
      <c r="A1301" t="inlineStr">
        <is>
          <t>pl-gdansk</t>
        </is>
      </c>
      <c r="B1301" t="inlineStr">
        <is>
          <t>Gdansk</t>
        </is>
      </c>
      <c r="C1301" t="inlineStr">
        <is>
          <t>Poland</t>
        </is>
      </c>
      <c r="D1301" t="inlineStr">
        <is>
          <t>Southern/Eastern Europe and Eurasia</t>
        </is>
      </c>
      <c r="E1301" t="inlineStr">
        <is>
          <t>visitor_flow_context_raw</t>
        </is>
      </c>
      <c r="F1301" t="inlineStr">
        <is>
          <t>Visitor flow context raw</t>
        </is>
      </c>
      <c r="G1301" t="inlineStr">
        <is>
          <t>creative</t>
        </is>
      </c>
      <c r="H1301" t="inlineStr">
        <is>
          <t>no</t>
        </is>
      </c>
      <c r="I1301" t="inlineStr"/>
      <c r="J1301" t="inlineStr"/>
      <c r="K1301" t="inlineStr"/>
      <c r="L1301" t="inlineStr"/>
      <c r="M1301" t="inlineStr"/>
      <c r="N1301" t="inlineStr"/>
    </row>
    <row r="1302">
      <c r="A1302" t="inlineStr">
        <is>
          <t>pl-torun</t>
        </is>
      </c>
      <c r="B1302" t="inlineStr">
        <is>
          <t>Torun</t>
        </is>
      </c>
      <c r="C1302" t="inlineStr">
        <is>
          <t>Poland</t>
        </is>
      </c>
      <c r="D1302" t="inlineStr">
        <is>
          <t>Southern/Eastern Europe and Eurasia</t>
        </is>
      </c>
      <c r="E1302" t="inlineStr">
        <is>
          <t>gross_income</t>
        </is>
      </c>
      <c r="F1302" t="inlineStr">
        <is>
          <t>Gross income</t>
        </is>
      </c>
      <c r="G1302" t="inlineStr">
        <is>
          <t>pressure</t>
        </is>
      </c>
      <c r="H1302" t="inlineStr">
        <is>
          <t>yes</t>
        </is>
      </c>
      <c r="I1302" t="inlineStr"/>
      <c r="J1302" t="inlineStr"/>
      <c r="K1302" t="inlineStr"/>
      <c r="L1302" t="inlineStr"/>
      <c r="M1302" t="inlineStr"/>
      <c r="N1302" t="inlineStr"/>
    </row>
    <row r="1303">
      <c r="A1303" t="inlineStr">
        <is>
          <t>pl-torun</t>
        </is>
      </c>
      <c r="B1303" t="inlineStr">
        <is>
          <t>Torun</t>
        </is>
      </c>
      <c r="C1303" t="inlineStr">
        <is>
          <t>Poland</t>
        </is>
      </c>
      <c r="D1303" t="inlineStr">
        <is>
          <t>Southern/Eastern Europe and Eurasia</t>
        </is>
      </c>
      <c r="E1303" t="inlineStr">
        <is>
          <t>rent</t>
        </is>
      </c>
      <c r="F1303" t="inlineStr">
        <is>
          <t>Rent</t>
        </is>
      </c>
      <c r="G1303" t="inlineStr">
        <is>
          <t>pressure</t>
        </is>
      </c>
      <c r="H1303" t="inlineStr">
        <is>
          <t>yes</t>
        </is>
      </c>
      <c r="I1303" t="inlineStr"/>
      <c r="J1303" t="inlineStr"/>
      <c r="K1303" t="inlineStr"/>
      <c r="L1303" t="inlineStr"/>
      <c r="M1303" t="inlineStr"/>
      <c r="N1303" t="inlineStr"/>
    </row>
    <row r="1304">
      <c r="A1304" t="inlineStr">
        <is>
          <t>pl-torun</t>
        </is>
      </c>
      <c r="B1304" t="inlineStr">
        <is>
          <t>Torun</t>
        </is>
      </c>
      <c r="C1304" t="inlineStr">
        <is>
          <t>Poland</t>
        </is>
      </c>
      <c r="D1304" t="inlineStr">
        <is>
          <t>Southern/Eastern Europe and Eurasia</t>
        </is>
      </c>
      <c r="E1304" t="inlineStr">
        <is>
          <t>utilities</t>
        </is>
      </c>
      <c r="F1304" t="inlineStr">
        <is>
          <t>Utilities</t>
        </is>
      </c>
      <c r="G1304" t="inlineStr">
        <is>
          <t>pressure</t>
        </is>
      </c>
      <c r="H1304" t="inlineStr">
        <is>
          <t>yes</t>
        </is>
      </c>
      <c r="I1304" t="inlineStr"/>
      <c r="J1304" t="inlineStr"/>
      <c r="K1304" t="inlineStr"/>
      <c r="L1304" t="inlineStr"/>
      <c r="M1304" t="inlineStr"/>
      <c r="N1304" t="inlineStr"/>
    </row>
    <row r="1305">
      <c r="A1305" t="inlineStr">
        <is>
          <t>pl-torun</t>
        </is>
      </c>
      <c r="B1305" t="inlineStr">
        <is>
          <t>Torun</t>
        </is>
      </c>
      <c r="C1305" t="inlineStr">
        <is>
          <t>Poland</t>
        </is>
      </c>
      <c r="D1305" t="inlineStr">
        <is>
          <t>Southern/Eastern Europe and Eurasia</t>
        </is>
      </c>
      <c r="E1305" t="inlineStr">
        <is>
          <t>transit_cost</t>
        </is>
      </c>
      <c r="F1305" t="inlineStr">
        <is>
          <t>Transit cost</t>
        </is>
      </c>
      <c r="G1305" t="inlineStr">
        <is>
          <t>pressure</t>
        </is>
      </c>
      <c r="H1305" t="inlineStr">
        <is>
          <t>yes</t>
        </is>
      </c>
      <c r="I1305" t="inlineStr"/>
      <c r="J1305" t="inlineStr"/>
      <c r="K1305" t="inlineStr"/>
      <c r="L1305" t="inlineStr"/>
      <c r="M1305" t="inlineStr"/>
      <c r="N1305" t="inlineStr"/>
    </row>
    <row r="1306">
      <c r="A1306" t="inlineStr">
        <is>
          <t>pl-torun</t>
        </is>
      </c>
      <c r="B1306" t="inlineStr">
        <is>
          <t>Torun</t>
        </is>
      </c>
      <c r="C1306" t="inlineStr">
        <is>
          <t>Poland</t>
        </is>
      </c>
      <c r="D1306" t="inlineStr">
        <is>
          <t>Southern/Eastern Europe and Eurasia</t>
        </is>
      </c>
      <c r="E1306" t="inlineStr">
        <is>
          <t>internet_cost</t>
        </is>
      </c>
      <c r="F1306" t="inlineStr">
        <is>
          <t>Internet cost</t>
        </is>
      </c>
      <c r="G1306" t="inlineStr">
        <is>
          <t>pressure</t>
        </is>
      </c>
      <c r="H1306" t="inlineStr">
        <is>
          <t>yes</t>
        </is>
      </c>
      <c r="I1306" t="inlineStr"/>
      <c r="J1306" t="inlineStr"/>
      <c r="K1306" t="inlineStr"/>
      <c r="L1306" t="inlineStr"/>
      <c r="M1306" t="inlineStr"/>
      <c r="N1306" t="inlineStr"/>
    </row>
    <row r="1307">
      <c r="A1307" t="inlineStr">
        <is>
          <t>pl-torun</t>
        </is>
      </c>
      <c r="B1307" t="inlineStr">
        <is>
          <t>Torun</t>
        </is>
      </c>
      <c r="C1307" t="inlineStr">
        <is>
          <t>Poland</t>
        </is>
      </c>
      <c r="D1307" t="inlineStr">
        <is>
          <t>Southern/Eastern Europe and Eurasia</t>
        </is>
      </c>
      <c r="E1307" t="inlineStr">
        <is>
          <t>food_cost</t>
        </is>
      </c>
      <c r="F1307" t="inlineStr">
        <is>
          <t>Food cost</t>
        </is>
      </c>
      <c r="G1307" t="inlineStr">
        <is>
          <t>pressure</t>
        </is>
      </c>
      <c r="H1307" t="inlineStr">
        <is>
          <t>yes</t>
        </is>
      </c>
      <c r="I1307" t="inlineStr"/>
      <c r="J1307" t="inlineStr"/>
      <c r="K1307" t="inlineStr"/>
      <c r="L1307" t="inlineStr"/>
      <c r="M1307" t="inlineStr"/>
      <c r="N1307" t="inlineStr"/>
    </row>
    <row r="1308">
      <c r="A1308" t="inlineStr">
        <is>
          <t>pl-torun</t>
        </is>
      </c>
      <c r="B1308" t="inlineStr">
        <is>
          <t>Torun</t>
        </is>
      </c>
      <c r="C1308" t="inlineStr">
        <is>
          <t>Poland</t>
        </is>
      </c>
      <c r="D1308" t="inlineStr">
        <is>
          <t>Southern/Eastern Europe and Eurasia</t>
        </is>
      </c>
      <c r="E1308" t="inlineStr">
        <is>
          <t>housing_burden_raw</t>
        </is>
      </c>
      <c r="F1308" t="inlineStr">
        <is>
          <t>Housing burden raw</t>
        </is>
      </c>
      <c r="G1308" t="inlineStr">
        <is>
          <t>pressure</t>
        </is>
      </c>
      <c r="H1308" t="inlineStr">
        <is>
          <t>yes</t>
        </is>
      </c>
      <c r="I1308" t="inlineStr"/>
      <c r="J1308" t="inlineStr"/>
      <c r="K1308" t="inlineStr"/>
      <c r="L1308" t="inlineStr"/>
      <c r="M1308" t="inlineStr"/>
      <c r="N1308" t="inlineStr"/>
    </row>
    <row r="1309">
      <c r="A1309" t="inlineStr">
        <is>
          <t>pl-torun</t>
        </is>
      </c>
      <c r="B1309" t="inlineStr">
        <is>
          <t>Torun</t>
        </is>
      </c>
      <c r="C1309" t="inlineStr">
        <is>
          <t>Poland</t>
        </is>
      </c>
      <c r="D1309" t="inlineStr">
        <is>
          <t>Southern/Eastern Europe and Eurasia</t>
        </is>
      </c>
      <c r="E1309" t="inlineStr">
        <is>
          <t>household_debt_burden_raw</t>
        </is>
      </c>
      <c r="F1309" t="inlineStr">
        <is>
          <t>Household debt burden raw</t>
        </is>
      </c>
      <c r="G1309" t="inlineStr">
        <is>
          <t>pressure</t>
        </is>
      </c>
      <c r="H1309" t="inlineStr">
        <is>
          <t>yes</t>
        </is>
      </c>
      <c r="I1309" t="inlineStr"/>
      <c r="J1309" t="inlineStr"/>
      <c r="K1309" t="inlineStr"/>
      <c r="L1309" t="inlineStr"/>
      <c r="M1309" t="inlineStr"/>
      <c r="N1309" t="inlineStr"/>
    </row>
    <row r="1310">
      <c r="A1310" t="inlineStr">
        <is>
          <t>pl-torun</t>
        </is>
      </c>
      <c r="B1310" t="inlineStr">
        <is>
          <t>Torun</t>
        </is>
      </c>
      <c r="C1310" t="inlineStr">
        <is>
          <t>Poland</t>
        </is>
      </c>
      <c r="D1310" t="inlineStr">
        <is>
          <t>Southern/Eastern Europe and Eurasia</t>
        </is>
      </c>
      <c r="E1310" t="inlineStr">
        <is>
          <t>working_time_pressure_raw</t>
        </is>
      </c>
      <c r="F1310" t="inlineStr">
        <is>
          <t>Working time pressure raw</t>
        </is>
      </c>
      <c r="G1310" t="inlineStr">
        <is>
          <t>pressure</t>
        </is>
      </c>
      <c r="H1310" t="inlineStr">
        <is>
          <t>yes</t>
        </is>
      </c>
      <c r="I1310" t="inlineStr"/>
      <c r="J1310" t="inlineStr"/>
      <c r="K1310" t="inlineStr"/>
      <c r="L1310" t="inlineStr"/>
      <c r="M1310" t="inlineStr"/>
      <c r="N1310" t="inlineStr"/>
    </row>
    <row r="1311">
      <c r="A1311" t="inlineStr">
        <is>
          <t>pl-torun</t>
        </is>
      </c>
      <c r="B1311" t="inlineStr">
        <is>
          <t>Torun</t>
        </is>
      </c>
      <c r="C1311" t="inlineStr">
        <is>
          <t>Poland</t>
        </is>
      </c>
      <c r="D1311" t="inlineStr">
        <is>
          <t>Southern/Eastern Europe and Eurasia</t>
        </is>
      </c>
      <c r="E1311" t="inlineStr">
        <is>
          <t>suicide_mental_strain_raw</t>
        </is>
      </c>
      <c r="F1311" t="inlineStr">
        <is>
          <t>Suicide or mental strain raw</t>
        </is>
      </c>
      <c r="G1311" t="inlineStr">
        <is>
          <t>pressure</t>
        </is>
      </c>
      <c r="H1311" t="inlineStr">
        <is>
          <t>yes</t>
        </is>
      </c>
      <c r="I1311" t="inlineStr"/>
      <c r="J1311" t="inlineStr"/>
      <c r="K1311" t="inlineStr"/>
      <c r="L1311" t="inlineStr"/>
      <c r="M1311" t="inlineStr"/>
      <c r="N1311" t="inlineStr"/>
    </row>
    <row r="1312">
      <c r="A1312" t="inlineStr">
        <is>
          <t>pl-torun</t>
        </is>
      </c>
      <c r="B1312" t="inlineStr">
        <is>
          <t>Torun</t>
        </is>
      </c>
      <c r="C1312" t="inlineStr">
        <is>
          <t>Poland</t>
        </is>
      </c>
      <c r="D1312" t="inlineStr">
        <is>
          <t>Southern/Eastern Europe and Eurasia</t>
        </is>
      </c>
      <c r="E1312" t="inlineStr">
        <is>
          <t>personal_safety_raw</t>
        </is>
      </c>
      <c r="F1312" t="inlineStr">
        <is>
          <t>Personal safety raw</t>
        </is>
      </c>
      <c r="G1312" t="inlineStr">
        <is>
          <t>viability</t>
        </is>
      </c>
      <c r="H1312" t="inlineStr">
        <is>
          <t>yes</t>
        </is>
      </c>
      <c r="I1312" t="inlineStr"/>
      <c r="J1312" t="inlineStr"/>
      <c r="K1312" t="inlineStr"/>
      <c r="L1312" t="inlineStr"/>
      <c r="M1312" t="inlineStr"/>
      <c r="N1312" t="inlineStr"/>
    </row>
    <row r="1313">
      <c r="A1313" t="inlineStr">
        <is>
          <t>pl-torun</t>
        </is>
      </c>
      <c r="B1313" t="inlineStr">
        <is>
          <t>Torun</t>
        </is>
      </c>
      <c r="C1313" t="inlineStr">
        <is>
          <t>Poland</t>
        </is>
      </c>
      <c r="D1313" t="inlineStr">
        <is>
          <t>Southern/Eastern Europe and Eurasia</t>
        </is>
      </c>
      <c r="E1313" t="inlineStr">
        <is>
          <t>transit_access_commute_raw</t>
        </is>
      </c>
      <c r="F1313" t="inlineStr">
        <is>
          <t>Transit access and commute raw</t>
        </is>
      </c>
      <c r="G1313" t="inlineStr">
        <is>
          <t>viability</t>
        </is>
      </c>
      <c r="H1313" t="inlineStr">
        <is>
          <t>yes</t>
        </is>
      </c>
      <c r="I1313" t="inlineStr"/>
      <c r="J1313" t="inlineStr"/>
      <c r="K1313" t="inlineStr"/>
      <c r="L1313" t="inlineStr"/>
      <c r="M1313" t="inlineStr"/>
      <c r="N1313" t="inlineStr"/>
    </row>
    <row r="1314">
      <c r="A1314" t="inlineStr">
        <is>
          <t>pl-torun</t>
        </is>
      </c>
      <c r="B1314" t="inlineStr">
        <is>
          <t>Torun</t>
        </is>
      </c>
      <c r="C1314" t="inlineStr">
        <is>
          <t>Poland</t>
        </is>
      </c>
      <c r="D1314" t="inlineStr">
        <is>
          <t>Southern/Eastern Europe and Eurasia</t>
        </is>
      </c>
      <c r="E1314" t="inlineStr">
        <is>
          <t>clean_air_raw</t>
        </is>
      </c>
      <c r="F1314" t="inlineStr">
        <is>
          <t>Clean air raw</t>
        </is>
      </c>
      <c r="G1314" t="inlineStr">
        <is>
          <t>viability</t>
        </is>
      </c>
      <c r="H1314" t="inlineStr">
        <is>
          <t>yes</t>
        </is>
      </c>
      <c r="I1314" t="inlineStr"/>
      <c r="J1314" t="inlineStr"/>
      <c r="K1314" t="inlineStr"/>
      <c r="L1314" t="inlineStr"/>
      <c r="M1314" t="inlineStr"/>
      <c r="N1314" t="inlineStr"/>
    </row>
    <row r="1315">
      <c r="A1315" t="inlineStr">
        <is>
          <t>pl-torun</t>
        </is>
      </c>
      <c r="B1315" t="inlineStr">
        <is>
          <t>Torun</t>
        </is>
      </c>
      <c r="C1315" t="inlineStr">
        <is>
          <t>Poland</t>
        </is>
      </c>
      <c r="D1315" t="inlineStr">
        <is>
          <t>Southern/Eastern Europe and Eurasia</t>
        </is>
      </c>
      <c r="E1315" t="inlineStr">
        <is>
          <t>water_sanitation_utility_raw</t>
        </is>
      </c>
      <c r="F1315" t="inlineStr">
        <is>
          <t>Water, sanitation, and utility raw</t>
        </is>
      </c>
      <c r="G1315" t="inlineStr">
        <is>
          <t>viability</t>
        </is>
      </c>
      <c r="H1315" t="inlineStr">
        <is>
          <t>yes</t>
        </is>
      </c>
      <c r="I1315" t="inlineStr"/>
      <c r="J1315" t="inlineStr"/>
      <c r="K1315" t="inlineStr"/>
      <c r="L1315" t="inlineStr"/>
      <c r="M1315" t="inlineStr"/>
      <c r="N1315" t="inlineStr"/>
    </row>
    <row r="1316">
      <c r="A1316" t="inlineStr">
        <is>
          <t>pl-torun</t>
        </is>
      </c>
      <c r="B1316" t="inlineStr">
        <is>
          <t>Torun</t>
        </is>
      </c>
      <c r="C1316" t="inlineStr">
        <is>
          <t>Poland</t>
        </is>
      </c>
      <c r="D1316" t="inlineStr">
        <is>
          <t>Southern/Eastern Europe and Eurasia</t>
        </is>
      </c>
      <c r="E1316" t="inlineStr">
        <is>
          <t>digital_infrastructure_raw</t>
        </is>
      </c>
      <c r="F1316" t="inlineStr">
        <is>
          <t>Digital infrastructure raw</t>
        </is>
      </c>
      <c r="G1316" t="inlineStr">
        <is>
          <t>viability</t>
        </is>
      </c>
      <c r="H1316" t="inlineStr">
        <is>
          <t>yes</t>
        </is>
      </c>
      <c r="I1316" t="inlineStr"/>
      <c r="J1316" t="inlineStr"/>
      <c r="K1316" t="inlineStr"/>
      <c r="L1316" t="inlineStr"/>
      <c r="M1316" t="inlineStr"/>
      <c r="N1316" t="inlineStr"/>
    </row>
    <row r="1317">
      <c r="A1317" t="inlineStr">
        <is>
          <t>pl-torun</t>
        </is>
      </c>
      <c r="B1317" t="inlineStr">
        <is>
          <t>Torun</t>
        </is>
      </c>
      <c r="C1317" t="inlineStr">
        <is>
          <t>Poland</t>
        </is>
      </c>
      <c r="D1317" t="inlineStr">
        <is>
          <t>Southern/Eastern Europe and Eurasia</t>
        </is>
      </c>
      <c r="E1317" t="inlineStr">
        <is>
          <t>healthcare_quality_raw</t>
        </is>
      </c>
      <c r="F1317" t="inlineStr">
        <is>
          <t>Healthcare quality raw</t>
        </is>
      </c>
      <c r="G1317" t="inlineStr">
        <is>
          <t>capability</t>
        </is>
      </c>
      <c r="H1317" t="inlineStr">
        <is>
          <t>yes</t>
        </is>
      </c>
      <c r="I1317" t="inlineStr"/>
      <c r="J1317" t="inlineStr"/>
      <c r="K1317" t="inlineStr"/>
      <c r="L1317" t="inlineStr"/>
      <c r="M1317" t="inlineStr"/>
      <c r="N1317" t="inlineStr"/>
    </row>
    <row r="1318">
      <c r="A1318" t="inlineStr">
        <is>
          <t>pl-torun</t>
        </is>
      </c>
      <c r="B1318" t="inlineStr">
        <is>
          <t>Torun</t>
        </is>
      </c>
      <c r="C1318" t="inlineStr">
        <is>
          <t>Poland</t>
        </is>
      </c>
      <c r="D1318" t="inlineStr">
        <is>
          <t>Southern/Eastern Europe and Eurasia</t>
        </is>
      </c>
      <c r="E1318" t="inlineStr">
        <is>
          <t>education_quality_raw</t>
        </is>
      </c>
      <c r="F1318" t="inlineStr">
        <is>
          <t>Education quality raw</t>
        </is>
      </c>
      <c r="G1318" t="inlineStr">
        <is>
          <t>capability</t>
        </is>
      </c>
      <c r="H1318" t="inlineStr">
        <is>
          <t>yes</t>
        </is>
      </c>
      <c r="I1318" t="inlineStr"/>
      <c r="J1318" t="inlineStr"/>
      <c r="K1318" t="inlineStr"/>
      <c r="L1318" t="inlineStr"/>
      <c r="M1318" t="inlineStr"/>
      <c r="N1318" t="inlineStr"/>
    </row>
    <row r="1319">
      <c r="A1319" t="inlineStr">
        <is>
          <t>pl-torun</t>
        </is>
      </c>
      <c r="B1319" t="inlineStr">
        <is>
          <t>Torun</t>
        </is>
      </c>
      <c r="C1319" t="inlineStr">
        <is>
          <t>Poland</t>
        </is>
      </c>
      <c r="D1319" t="inlineStr">
        <is>
          <t>Southern/Eastern Europe and Eurasia</t>
        </is>
      </c>
      <c r="E1319" t="inlineStr">
        <is>
          <t>equal_opportunity_raw</t>
        </is>
      </c>
      <c r="F1319" t="inlineStr">
        <is>
          <t>Equal opportunity raw</t>
        </is>
      </c>
      <c r="G1319" t="inlineStr">
        <is>
          <t>capability</t>
        </is>
      </c>
      <c r="H1319" t="inlineStr">
        <is>
          <t>yes</t>
        </is>
      </c>
      <c r="I1319" t="inlineStr"/>
      <c r="J1319" t="inlineStr"/>
      <c r="K1319" t="inlineStr"/>
      <c r="L1319" t="inlineStr"/>
      <c r="M1319" t="inlineStr"/>
      <c r="N1319" t="inlineStr"/>
    </row>
    <row r="1320">
      <c r="A1320" t="inlineStr">
        <is>
          <t>pl-torun</t>
        </is>
      </c>
      <c r="B1320" t="inlineStr">
        <is>
          <t>Torun</t>
        </is>
      </c>
      <c r="C1320" t="inlineStr">
        <is>
          <t>Poland</t>
        </is>
      </c>
      <c r="D1320" t="inlineStr">
        <is>
          <t>Southern/Eastern Europe and Eurasia</t>
        </is>
      </c>
      <c r="E1320" t="inlineStr">
        <is>
          <t>hospitality_belonging_raw</t>
        </is>
      </c>
      <c r="F1320" t="inlineStr">
        <is>
          <t>Hospitality and belonging raw</t>
        </is>
      </c>
      <c r="G1320" t="inlineStr">
        <is>
          <t>community</t>
        </is>
      </c>
      <c r="H1320" t="inlineStr">
        <is>
          <t>yes</t>
        </is>
      </c>
      <c r="I1320" t="inlineStr"/>
      <c r="J1320" t="inlineStr"/>
      <c r="K1320" t="inlineStr"/>
      <c r="L1320" t="inlineStr"/>
      <c r="M1320" t="inlineStr"/>
      <c r="N1320" t="inlineStr"/>
    </row>
    <row r="1321">
      <c r="A1321" t="inlineStr">
        <is>
          <t>pl-torun</t>
        </is>
      </c>
      <c r="B1321" t="inlineStr">
        <is>
          <t>Torun</t>
        </is>
      </c>
      <c r="C1321" t="inlineStr">
        <is>
          <t>Poland</t>
        </is>
      </c>
      <c r="D1321" t="inlineStr">
        <is>
          <t>Southern/Eastern Europe and Eurasia</t>
        </is>
      </c>
      <c r="E1321" t="inlineStr">
        <is>
          <t>tolerance_pluralism_raw</t>
        </is>
      </c>
      <c r="F1321" t="inlineStr">
        <is>
          <t>Tolerance and pluralism raw</t>
        </is>
      </c>
      <c r="G1321" t="inlineStr">
        <is>
          <t>community</t>
        </is>
      </c>
      <c r="H1321" t="inlineStr">
        <is>
          <t>yes</t>
        </is>
      </c>
      <c r="I1321" t="inlineStr"/>
      <c r="J1321" t="inlineStr"/>
      <c r="K1321" t="inlineStr"/>
      <c r="L1321" t="inlineStr"/>
      <c r="M1321" t="inlineStr"/>
      <c r="N1321" t="inlineStr"/>
    </row>
    <row r="1322">
      <c r="A1322" t="inlineStr">
        <is>
          <t>pl-torun</t>
        </is>
      </c>
      <c r="B1322" t="inlineStr">
        <is>
          <t>Torun</t>
        </is>
      </c>
      <c r="C1322" t="inlineStr">
        <is>
          <t>Poland</t>
        </is>
      </c>
      <c r="D1322" t="inlineStr">
        <is>
          <t>Southern/Eastern Europe and Eurasia</t>
        </is>
      </c>
      <c r="E1322" t="inlineStr">
        <is>
          <t>cultural_public_life_raw</t>
        </is>
      </c>
      <c r="F1322" t="inlineStr">
        <is>
          <t>Cultural public life raw</t>
        </is>
      </c>
      <c r="G1322" t="inlineStr">
        <is>
          <t>community</t>
        </is>
      </c>
      <c r="H1322" t="inlineStr">
        <is>
          <t>yes</t>
        </is>
      </c>
      <c r="I1322" t="inlineStr"/>
      <c r="J1322" t="inlineStr"/>
      <c r="K1322" t="inlineStr"/>
      <c r="L1322" t="inlineStr"/>
      <c r="M1322" t="inlineStr"/>
      <c r="N1322" t="inlineStr"/>
    </row>
    <row r="1323">
      <c r="A1323" t="inlineStr">
        <is>
          <t>pl-torun</t>
        </is>
      </c>
      <c r="B1323" t="inlineStr">
        <is>
          <t>Torun</t>
        </is>
      </c>
      <c r="C1323" t="inlineStr">
        <is>
          <t>Poland</t>
        </is>
      </c>
      <c r="D1323" t="inlineStr">
        <is>
          <t>Southern/Eastern Europe and Eurasia</t>
        </is>
      </c>
      <c r="E1323" t="inlineStr">
        <is>
          <t>entrepreneurial_dynamism_raw</t>
        </is>
      </c>
      <c r="F1323" t="inlineStr">
        <is>
          <t>Entrepreneurial dynamism raw</t>
        </is>
      </c>
      <c r="G1323" t="inlineStr">
        <is>
          <t>creative</t>
        </is>
      </c>
      <c r="H1323" t="inlineStr">
        <is>
          <t>yes</t>
        </is>
      </c>
      <c r="I1323" t="inlineStr"/>
      <c r="J1323" t="inlineStr"/>
      <c r="K1323" t="inlineStr"/>
      <c r="L1323" t="inlineStr"/>
      <c r="M1323" t="inlineStr"/>
      <c r="N1323" t="inlineStr"/>
    </row>
    <row r="1324">
      <c r="A1324" t="inlineStr">
        <is>
          <t>pl-torun</t>
        </is>
      </c>
      <c r="B1324" t="inlineStr">
        <is>
          <t>Torun</t>
        </is>
      </c>
      <c r="C1324" t="inlineStr">
        <is>
          <t>Poland</t>
        </is>
      </c>
      <c r="D1324" t="inlineStr">
        <is>
          <t>Southern/Eastern Europe and Eurasia</t>
        </is>
      </c>
      <c r="E1324" t="inlineStr">
        <is>
          <t>innovation_research_intensity_raw</t>
        </is>
      </c>
      <c r="F1324" t="inlineStr">
        <is>
          <t>Innovation and research raw</t>
        </is>
      </c>
      <c r="G1324" t="inlineStr">
        <is>
          <t>creative</t>
        </is>
      </c>
      <c r="H1324" t="inlineStr">
        <is>
          <t>yes</t>
        </is>
      </c>
      <c r="I1324" t="inlineStr"/>
      <c r="J1324" t="inlineStr"/>
      <c r="K1324" t="inlineStr"/>
      <c r="L1324" t="inlineStr"/>
      <c r="M1324" t="inlineStr"/>
      <c r="N1324" t="inlineStr"/>
    </row>
    <row r="1325">
      <c r="A1325" t="inlineStr">
        <is>
          <t>pl-torun</t>
        </is>
      </c>
      <c r="B1325" t="inlineStr">
        <is>
          <t>Torun</t>
        </is>
      </c>
      <c r="C1325" t="inlineStr">
        <is>
          <t>Poland</t>
        </is>
      </c>
      <c r="D1325" t="inlineStr">
        <is>
          <t>Southern/Eastern Europe and Eurasia</t>
        </is>
      </c>
      <c r="E1325" t="inlineStr">
        <is>
          <t>investment_signal_raw</t>
        </is>
      </c>
      <c r="F1325" t="inlineStr">
        <is>
          <t>Investment signal raw</t>
        </is>
      </c>
      <c r="G1325" t="inlineStr">
        <is>
          <t>creative</t>
        </is>
      </c>
      <c r="H1325" t="inlineStr">
        <is>
          <t>yes</t>
        </is>
      </c>
      <c r="I1325" t="inlineStr"/>
      <c r="J1325" t="inlineStr"/>
      <c r="K1325" t="inlineStr"/>
      <c r="L1325" t="inlineStr"/>
      <c r="M1325" t="inlineStr"/>
      <c r="N1325" t="inlineStr"/>
    </row>
    <row r="1326">
      <c r="A1326" t="inlineStr">
        <is>
          <t>pl-torun</t>
        </is>
      </c>
      <c r="B1326" t="inlineStr">
        <is>
          <t>Torun</t>
        </is>
      </c>
      <c r="C1326" t="inlineStr">
        <is>
          <t>Poland</t>
        </is>
      </c>
      <c r="D1326" t="inlineStr">
        <is>
          <t>Southern/Eastern Europe and Eurasia</t>
        </is>
      </c>
      <c r="E1326" t="inlineStr">
        <is>
          <t>administrative_investment_friction_raw</t>
        </is>
      </c>
      <c r="F1326" t="inlineStr">
        <is>
          <t>Administrative investment friction raw</t>
        </is>
      </c>
      <c r="G1326" t="inlineStr">
        <is>
          <t>creative</t>
        </is>
      </c>
      <c r="H1326" t="inlineStr">
        <is>
          <t>yes</t>
        </is>
      </c>
      <c r="I1326" t="inlineStr"/>
      <c r="J1326" t="inlineStr"/>
      <c r="K1326" t="inlineStr"/>
      <c r="L1326" t="inlineStr"/>
      <c r="M1326" t="inlineStr"/>
      <c r="N1326" t="inlineStr"/>
    </row>
    <row r="1327">
      <c r="A1327" t="inlineStr">
        <is>
          <t>pl-torun</t>
        </is>
      </c>
      <c r="B1327" t="inlineStr">
        <is>
          <t>Torun</t>
        </is>
      </c>
      <c r="C1327" t="inlineStr">
        <is>
          <t>Poland</t>
        </is>
      </c>
      <c r="D1327" t="inlineStr">
        <is>
          <t>Southern/Eastern Europe and Eurasia</t>
        </is>
      </c>
      <c r="E1327" t="inlineStr">
        <is>
          <t>visitor_flow_context_raw</t>
        </is>
      </c>
      <c r="F1327" t="inlineStr">
        <is>
          <t>Visitor flow context raw</t>
        </is>
      </c>
      <c r="G1327" t="inlineStr">
        <is>
          <t>creative</t>
        </is>
      </c>
      <c r="H1327" t="inlineStr">
        <is>
          <t>no</t>
        </is>
      </c>
      <c r="I1327" t="inlineStr"/>
      <c r="J1327" t="inlineStr"/>
      <c r="K1327" t="inlineStr"/>
      <c r="L1327" t="inlineStr"/>
      <c r="M1327" t="inlineStr"/>
      <c r="N1327" t="inlineStr"/>
    </row>
    <row r="1328">
      <c r="A1328" t="inlineStr">
        <is>
          <t>sk-bratislava</t>
        </is>
      </c>
      <c r="B1328" t="inlineStr">
        <is>
          <t>Bratislava</t>
        </is>
      </c>
      <c r="C1328" t="inlineStr">
        <is>
          <t>Slovakia</t>
        </is>
      </c>
      <c r="D1328" t="inlineStr">
        <is>
          <t>Southern/Eastern Europe and Eurasia</t>
        </is>
      </c>
      <c r="E1328" t="inlineStr">
        <is>
          <t>gross_income</t>
        </is>
      </c>
      <c r="F1328" t="inlineStr">
        <is>
          <t>Gross income</t>
        </is>
      </c>
      <c r="G1328" t="inlineStr">
        <is>
          <t>pressure</t>
        </is>
      </c>
      <c r="H1328" t="inlineStr">
        <is>
          <t>yes</t>
        </is>
      </c>
      <c r="I1328" t="inlineStr"/>
      <c r="J1328" t="inlineStr"/>
      <c r="K1328" t="inlineStr"/>
      <c r="L1328" t="inlineStr"/>
      <c r="M1328" t="inlineStr"/>
      <c r="N1328" t="inlineStr"/>
    </row>
    <row r="1329">
      <c r="A1329" t="inlineStr">
        <is>
          <t>sk-bratislava</t>
        </is>
      </c>
      <c r="B1329" t="inlineStr">
        <is>
          <t>Bratislava</t>
        </is>
      </c>
      <c r="C1329" t="inlineStr">
        <is>
          <t>Slovakia</t>
        </is>
      </c>
      <c r="D1329" t="inlineStr">
        <is>
          <t>Southern/Eastern Europe and Eurasia</t>
        </is>
      </c>
      <c r="E1329" t="inlineStr">
        <is>
          <t>rent</t>
        </is>
      </c>
      <c r="F1329" t="inlineStr">
        <is>
          <t>Rent</t>
        </is>
      </c>
      <c r="G1329" t="inlineStr">
        <is>
          <t>pressure</t>
        </is>
      </c>
      <c r="H1329" t="inlineStr">
        <is>
          <t>yes</t>
        </is>
      </c>
      <c r="I1329" t="inlineStr"/>
      <c r="J1329" t="inlineStr"/>
      <c r="K1329" t="inlineStr"/>
      <c r="L1329" t="inlineStr"/>
      <c r="M1329" t="inlineStr"/>
      <c r="N1329" t="inlineStr"/>
    </row>
    <row r="1330">
      <c r="A1330" t="inlineStr">
        <is>
          <t>sk-bratislava</t>
        </is>
      </c>
      <c r="B1330" t="inlineStr">
        <is>
          <t>Bratislava</t>
        </is>
      </c>
      <c r="C1330" t="inlineStr">
        <is>
          <t>Slovakia</t>
        </is>
      </c>
      <c r="D1330" t="inlineStr">
        <is>
          <t>Southern/Eastern Europe and Eurasia</t>
        </is>
      </c>
      <c r="E1330" t="inlineStr">
        <is>
          <t>utilities</t>
        </is>
      </c>
      <c r="F1330" t="inlineStr">
        <is>
          <t>Utilities</t>
        </is>
      </c>
      <c r="G1330" t="inlineStr">
        <is>
          <t>pressure</t>
        </is>
      </c>
      <c r="H1330" t="inlineStr">
        <is>
          <t>yes</t>
        </is>
      </c>
      <c r="I1330" t="inlineStr"/>
      <c r="J1330" t="inlineStr"/>
      <c r="K1330" t="inlineStr"/>
      <c r="L1330" t="inlineStr"/>
      <c r="M1330" t="inlineStr"/>
      <c r="N1330" t="inlineStr"/>
    </row>
    <row r="1331">
      <c r="A1331" t="inlineStr">
        <is>
          <t>sk-bratislava</t>
        </is>
      </c>
      <c r="B1331" t="inlineStr">
        <is>
          <t>Bratislava</t>
        </is>
      </c>
      <c r="C1331" t="inlineStr">
        <is>
          <t>Slovakia</t>
        </is>
      </c>
      <c r="D1331" t="inlineStr">
        <is>
          <t>Southern/Eastern Europe and Eurasia</t>
        </is>
      </c>
      <c r="E1331" t="inlineStr">
        <is>
          <t>transit_cost</t>
        </is>
      </c>
      <c r="F1331" t="inlineStr">
        <is>
          <t>Transit cost</t>
        </is>
      </c>
      <c r="G1331" t="inlineStr">
        <is>
          <t>pressure</t>
        </is>
      </c>
      <c r="H1331" t="inlineStr">
        <is>
          <t>yes</t>
        </is>
      </c>
      <c r="I1331" t="inlineStr"/>
      <c r="J1331" t="inlineStr"/>
      <c r="K1331" t="inlineStr"/>
      <c r="L1331" t="inlineStr"/>
      <c r="M1331" t="inlineStr"/>
      <c r="N1331" t="inlineStr"/>
    </row>
    <row r="1332">
      <c r="A1332" t="inlineStr">
        <is>
          <t>sk-bratislava</t>
        </is>
      </c>
      <c r="B1332" t="inlineStr">
        <is>
          <t>Bratislava</t>
        </is>
      </c>
      <c r="C1332" t="inlineStr">
        <is>
          <t>Slovakia</t>
        </is>
      </c>
      <c r="D1332" t="inlineStr">
        <is>
          <t>Southern/Eastern Europe and Eurasia</t>
        </is>
      </c>
      <c r="E1332" t="inlineStr">
        <is>
          <t>internet_cost</t>
        </is>
      </c>
      <c r="F1332" t="inlineStr">
        <is>
          <t>Internet cost</t>
        </is>
      </c>
      <c r="G1332" t="inlineStr">
        <is>
          <t>pressure</t>
        </is>
      </c>
      <c r="H1332" t="inlineStr">
        <is>
          <t>yes</t>
        </is>
      </c>
      <c r="I1332" t="inlineStr"/>
      <c r="J1332" t="inlineStr"/>
      <c r="K1332" t="inlineStr"/>
      <c r="L1332" t="inlineStr"/>
      <c r="M1332" t="inlineStr"/>
      <c r="N1332" t="inlineStr"/>
    </row>
    <row r="1333">
      <c r="A1333" t="inlineStr">
        <is>
          <t>sk-bratislava</t>
        </is>
      </c>
      <c r="B1333" t="inlineStr">
        <is>
          <t>Bratislava</t>
        </is>
      </c>
      <c r="C1333" t="inlineStr">
        <is>
          <t>Slovakia</t>
        </is>
      </c>
      <c r="D1333" t="inlineStr">
        <is>
          <t>Southern/Eastern Europe and Eurasia</t>
        </is>
      </c>
      <c r="E1333" t="inlineStr">
        <is>
          <t>food_cost</t>
        </is>
      </c>
      <c r="F1333" t="inlineStr">
        <is>
          <t>Food cost</t>
        </is>
      </c>
      <c r="G1333" t="inlineStr">
        <is>
          <t>pressure</t>
        </is>
      </c>
      <c r="H1333" t="inlineStr">
        <is>
          <t>yes</t>
        </is>
      </c>
      <c r="I1333" t="inlineStr"/>
      <c r="J1333" t="inlineStr"/>
      <c r="K1333" t="inlineStr"/>
      <c r="L1333" t="inlineStr"/>
      <c r="M1333" t="inlineStr"/>
      <c r="N1333" t="inlineStr"/>
    </row>
    <row r="1334">
      <c r="A1334" t="inlineStr">
        <is>
          <t>sk-bratislava</t>
        </is>
      </c>
      <c r="B1334" t="inlineStr">
        <is>
          <t>Bratislava</t>
        </is>
      </c>
      <c r="C1334" t="inlineStr">
        <is>
          <t>Slovakia</t>
        </is>
      </c>
      <c r="D1334" t="inlineStr">
        <is>
          <t>Southern/Eastern Europe and Eurasia</t>
        </is>
      </c>
      <c r="E1334" t="inlineStr">
        <is>
          <t>housing_burden_raw</t>
        </is>
      </c>
      <c r="F1334" t="inlineStr">
        <is>
          <t>Housing burden raw</t>
        </is>
      </c>
      <c r="G1334" t="inlineStr">
        <is>
          <t>pressure</t>
        </is>
      </c>
      <c r="H1334" t="inlineStr">
        <is>
          <t>yes</t>
        </is>
      </c>
      <c r="I1334" t="inlineStr"/>
      <c r="J1334" t="inlineStr"/>
      <c r="K1334" t="inlineStr"/>
      <c r="L1334" t="inlineStr"/>
      <c r="M1334" t="inlineStr"/>
      <c r="N1334" t="inlineStr"/>
    </row>
    <row r="1335">
      <c r="A1335" t="inlineStr">
        <is>
          <t>sk-bratislava</t>
        </is>
      </c>
      <c r="B1335" t="inlineStr">
        <is>
          <t>Bratislava</t>
        </is>
      </c>
      <c r="C1335" t="inlineStr">
        <is>
          <t>Slovakia</t>
        </is>
      </c>
      <c r="D1335" t="inlineStr">
        <is>
          <t>Southern/Eastern Europe and Eurasia</t>
        </is>
      </c>
      <c r="E1335" t="inlineStr">
        <is>
          <t>household_debt_burden_raw</t>
        </is>
      </c>
      <c r="F1335" t="inlineStr">
        <is>
          <t>Household debt burden raw</t>
        </is>
      </c>
      <c r="G1335" t="inlineStr">
        <is>
          <t>pressure</t>
        </is>
      </c>
      <c r="H1335" t="inlineStr">
        <is>
          <t>yes</t>
        </is>
      </c>
      <c r="I1335" t="inlineStr"/>
      <c r="J1335" t="inlineStr"/>
      <c r="K1335" t="inlineStr"/>
      <c r="L1335" t="inlineStr"/>
      <c r="M1335" t="inlineStr"/>
      <c r="N1335" t="inlineStr"/>
    </row>
    <row r="1336">
      <c r="A1336" t="inlineStr">
        <is>
          <t>sk-bratislava</t>
        </is>
      </c>
      <c r="B1336" t="inlineStr">
        <is>
          <t>Bratislava</t>
        </is>
      </c>
      <c r="C1336" t="inlineStr">
        <is>
          <t>Slovakia</t>
        </is>
      </c>
      <c r="D1336" t="inlineStr">
        <is>
          <t>Southern/Eastern Europe and Eurasia</t>
        </is>
      </c>
      <c r="E1336" t="inlineStr">
        <is>
          <t>working_time_pressure_raw</t>
        </is>
      </c>
      <c r="F1336" t="inlineStr">
        <is>
          <t>Working time pressure raw</t>
        </is>
      </c>
      <c r="G1336" t="inlineStr">
        <is>
          <t>pressure</t>
        </is>
      </c>
      <c r="H1336" t="inlineStr">
        <is>
          <t>yes</t>
        </is>
      </c>
      <c r="I1336" t="inlineStr"/>
      <c r="J1336" t="inlineStr"/>
      <c r="K1336" t="inlineStr"/>
      <c r="L1336" t="inlineStr"/>
      <c r="M1336" t="inlineStr"/>
      <c r="N1336" t="inlineStr"/>
    </row>
    <row r="1337">
      <c r="A1337" t="inlineStr">
        <is>
          <t>sk-bratislava</t>
        </is>
      </c>
      <c r="B1337" t="inlineStr">
        <is>
          <t>Bratislava</t>
        </is>
      </c>
      <c r="C1337" t="inlineStr">
        <is>
          <t>Slovakia</t>
        </is>
      </c>
      <c r="D1337" t="inlineStr">
        <is>
          <t>Southern/Eastern Europe and Eurasia</t>
        </is>
      </c>
      <c r="E1337" t="inlineStr">
        <is>
          <t>suicide_mental_strain_raw</t>
        </is>
      </c>
      <c r="F1337" t="inlineStr">
        <is>
          <t>Suicide or mental strain raw</t>
        </is>
      </c>
      <c r="G1337" t="inlineStr">
        <is>
          <t>pressure</t>
        </is>
      </c>
      <c r="H1337" t="inlineStr">
        <is>
          <t>yes</t>
        </is>
      </c>
      <c r="I1337" t="inlineStr"/>
      <c r="J1337" t="inlineStr"/>
      <c r="K1337" t="inlineStr"/>
      <c r="L1337" t="inlineStr"/>
      <c r="M1337" t="inlineStr"/>
      <c r="N1337" t="inlineStr"/>
    </row>
    <row r="1338">
      <c r="A1338" t="inlineStr">
        <is>
          <t>sk-bratislava</t>
        </is>
      </c>
      <c r="B1338" t="inlineStr">
        <is>
          <t>Bratislava</t>
        </is>
      </c>
      <c r="C1338" t="inlineStr">
        <is>
          <t>Slovakia</t>
        </is>
      </c>
      <c r="D1338" t="inlineStr">
        <is>
          <t>Southern/Eastern Europe and Eurasia</t>
        </is>
      </c>
      <c r="E1338" t="inlineStr">
        <is>
          <t>personal_safety_raw</t>
        </is>
      </c>
      <c r="F1338" t="inlineStr">
        <is>
          <t>Personal safety raw</t>
        </is>
      </c>
      <c r="G1338" t="inlineStr">
        <is>
          <t>viability</t>
        </is>
      </c>
      <c r="H1338" t="inlineStr">
        <is>
          <t>yes</t>
        </is>
      </c>
      <c r="I1338" t="inlineStr"/>
      <c r="J1338" t="inlineStr"/>
      <c r="K1338" t="inlineStr"/>
      <c r="L1338" t="inlineStr"/>
      <c r="M1338" t="inlineStr"/>
      <c r="N1338" t="inlineStr"/>
    </row>
    <row r="1339">
      <c r="A1339" t="inlineStr">
        <is>
          <t>sk-bratislava</t>
        </is>
      </c>
      <c r="B1339" t="inlineStr">
        <is>
          <t>Bratislava</t>
        </is>
      </c>
      <c r="C1339" t="inlineStr">
        <is>
          <t>Slovakia</t>
        </is>
      </c>
      <c r="D1339" t="inlineStr">
        <is>
          <t>Southern/Eastern Europe and Eurasia</t>
        </is>
      </c>
      <c r="E1339" t="inlineStr">
        <is>
          <t>transit_access_commute_raw</t>
        </is>
      </c>
      <c r="F1339" t="inlineStr">
        <is>
          <t>Transit access and commute raw</t>
        </is>
      </c>
      <c r="G1339" t="inlineStr">
        <is>
          <t>viability</t>
        </is>
      </c>
      <c r="H1339" t="inlineStr">
        <is>
          <t>yes</t>
        </is>
      </c>
      <c r="I1339" t="inlineStr"/>
      <c r="J1339" t="inlineStr"/>
      <c r="K1339" t="inlineStr"/>
      <c r="L1339" t="inlineStr"/>
      <c r="M1339" t="inlineStr"/>
      <c r="N1339" t="inlineStr"/>
    </row>
    <row r="1340">
      <c r="A1340" t="inlineStr">
        <is>
          <t>sk-bratislava</t>
        </is>
      </c>
      <c r="B1340" t="inlineStr">
        <is>
          <t>Bratislava</t>
        </is>
      </c>
      <c r="C1340" t="inlineStr">
        <is>
          <t>Slovakia</t>
        </is>
      </c>
      <c r="D1340" t="inlineStr">
        <is>
          <t>Southern/Eastern Europe and Eurasia</t>
        </is>
      </c>
      <c r="E1340" t="inlineStr">
        <is>
          <t>clean_air_raw</t>
        </is>
      </c>
      <c r="F1340" t="inlineStr">
        <is>
          <t>Clean air raw</t>
        </is>
      </c>
      <c r="G1340" t="inlineStr">
        <is>
          <t>viability</t>
        </is>
      </c>
      <c r="H1340" t="inlineStr">
        <is>
          <t>yes</t>
        </is>
      </c>
      <c r="I1340" t="inlineStr"/>
      <c r="J1340" t="inlineStr"/>
      <c r="K1340" t="inlineStr"/>
      <c r="L1340" t="inlineStr"/>
      <c r="M1340" t="inlineStr"/>
      <c r="N1340" t="inlineStr"/>
    </row>
    <row r="1341">
      <c r="A1341" t="inlineStr">
        <is>
          <t>sk-bratislava</t>
        </is>
      </c>
      <c r="B1341" t="inlineStr">
        <is>
          <t>Bratislava</t>
        </is>
      </c>
      <c r="C1341" t="inlineStr">
        <is>
          <t>Slovakia</t>
        </is>
      </c>
      <c r="D1341" t="inlineStr">
        <is>
          <t>Southern/Eastern Europe and Eurasia</t>
        </is>
      </c>
      <c r="E1341" t="inlineStr">
        <is>
          <t>water_sanitation_utility_raw</t>
        </is>
      </c>
      <c r="F1341" t="inlineStr">
        <is>
          <t>Water, sanitation, and utility raw</t>
        </is>
      </c>
      <c r="G1341" t="inlineStr">
        <is>
          <t>viability</t>
        </is>
      </c>
      <c r="H1341" t="inlineStr">
        <is>
          <t>yes</t>
        </is>
      </c>
      <c r="I1341" t="inlineStr"/>
      <c r="J1341" t="inlineStr"/>
      <c r="K1341" t="inlineStr"/>
      <c r="L1341" t="inlineStr"/>
      <c r="M1341" t="inlineStr"/>
      <c r="N1341" t="inlineStr"/>
    </row>
    <row r="1342">
      <c r="A1342" t="inlineStr">
        <is>
          <t>sk-bratislava</t>
        </is>
      </c>
      <c r="B1342" t="inlineStr">
        <is>
          <t>Bratislava</t>
        </is>
      </c>
      <c r="C1342" t="inlineStr">
        <is>
          <t>Slovakia</t>
        </is>
      </c>
      <c r="D1342" t="inlineStr">
        <is>
          <t>Southern/Eastern Europe and Eurasia</t>
        </is>
      </c>
      <c r="E1342" t="inlineStr">
        <is>
          <t>digital_infrastructure_raw</t>
        </is>
      </c>
      <c r="F1342" t="inlineStr">
        <is>
          <t>Digital infrastructure raw</t>
        </is>
      </c>
      <c r="G1342" t="inlineStr">
        <is>
          <t>viability</t>
        </is>
      </c>
      <c r="H1342" t="inlineStr">
        <is>
          <t>yes</t>
        </is>
      </c>
      <c r="I1342" t="inlineStr"/>
      <c r="J1342" t="inlineStr"/>
      <c r="K1342" t="inlineStr"/>
      <c r="L1342" t="inlineStr"/>
      <c r="M1342" t="inlineStr"/>
      <c r="N1342" t="inlineStr"/>
    </row>
    <row r="1343">
      <c r="A1343" t="inlineStr">
        <is>
          <t>sk-bratislava</t>
        </is>
      </c>
      <c r="B1343" t="inlineStr">
        <is>
          <t>Bratislava</t>
        </is>
      </c>
      <c r="C1343" t="inlineStr">
        <is>
          <t>Slovakia</t>
        </is>
      </c>
      <c r="D1343" t="inlineStr">
        <is>
          <t>Southern/Eastern Europe and Eurasia</t>
        </is>
      </c>
      <c r="E1343" t="inlineStr">
        <is>
          <t>healthcare_quality_raw</t>
        </is>
      </c>
      <c r="F1343" t="inlineStr">
        <is>
          <t>Healthcare quality raw</t>
        </is>
      </c>
      <c r="G1343" t="inlineStr">
        <is>
          <t>capability</t>
        </is>
      </c>
      <c r="H1343" t="inlineStr">
        <is>
          <t>yes</t>
        </is>
      </c>
      <c r="I1343" t="inlineStr"/>
      <c r="J1343" t="inlineStr"/>
      <c r="K1343" t="inlineStr"/>
      <c r="L1343" t="inlineStr"/>
      <c r="M1343" t="inlineStr"/>
      <c r="N1343" t="inlineStr"/>
    </row>
    <row r="1344">
      <c r="A1344" t="inlineStr">
        <is>
          <t>sk-bratislava</t>
        </is>
      </c>
      <c r="B1344" t="inlineStr">
        <is>
          <t>Bratislava</t>
        </is>
      </c>
      <c r="C1344" t="inlineStr">
        <is>
          <t>Slovakia</t>
        </is>
      </c>
      <c r="D1344" t="inlineStr">
        <is>
          <t>Southern/Eastern Europe and Eurasia</t>
        </is>
      </c>
      <c r="E1344" t="inlineStr">
        <is>
          <t>education_quality_raw</t>
        </is>
      </c>
      <c r="F1344" t="inlineStr">
        <is>
          <t>Education quality raw</t>
        </is>
      </c>
      <c r="G1344" t="inlineStr">
        <is>
          <t>capability</t>
        </is>
      </c>
      <c r="H1344" t="inlineStr">
        <is>
          <t>yes</t>
        </is>
      </c>
      <c r="I1344" t="inlineStr"/>
      <c r="J1344" t="inlineStr"/>
      <c r="K1344" t="inlineStr"/>
      <c r="L1344" t="inlineStr"/>
      <c r="M1344" t="inlineStr"/>
      <c r="N1344" t="inlineStr"/>
    </row>
    <row r="1345">
      <c r="A1345" t="inlineStr">
        <is>
          <t>sk-bratislava</t>
        </is>
      </c>
      <c r="B1345" t="inlineStr">
        <is>
          <t>Bratislava</t>
        </is>
      </c>
      <c r="C1345" t="inlineStr">
        <is>
          <t>Slovakia</t>
        </is>
      </c>
      <c r="D1345" t="inlineStr">
        <is>
          <t>Southern/Eastern Europe and Eurasia</t>
        </is>
      </c>
      <c r="E1345" t="inlineStr">
        <is>
          <t>equal_opportunity_raw</t>
        </is>
      </c>
      <c r="F1345" t="inlineStr">
        <is>
          <t>Equal opportunity raw</t>
        </is>
      </c>
      <c r="G1345" t="inlineStr">
        <is>
          <t>capability</t>
        </is>
      </c>
      <c r="H1345" t="inlineStr">
        <is>
          <t>yes</t>
        </is>
      </c>
      <c r="I1345" t="inlineStr"/>
      <c r="J1345" t="inlineStr"/>
      <c r="K1345" t="inlineStr"/>
      <c r="L1345" t="inlineStr"/>
      <c r="M1345" t="inlineStr"/>
      <c r="N1345" t="inlineStr"/>
    </row>
    <row r="1346">
      <c r="A1346" t="inlineStr">
        <is>
          <t>sk-bratislava</t>
        </is>
      </c>
      <c r="B1346" t="inlineStr">
        <is>
          <t>Bratislava</t>
        </is>
      </c>
      <c r="C1346" t="inlineStr">
        <is>
          <t>Slovakia</t>
        </is>
      </c>
      <c r="D1346" t="inlineStr">
        <is>
          <t>Southern/Eastern Europe and Eurasia</t>
        </is>
      </c>
      <c r="E1346" t="inlineStr">
        <is>
          <t>hospitality_belonging_raw</t>
        </is>
      </c>
      <c r="F1346" t="inlineStr">
        <is>
          <t>Hospitality and belonging raw</t>
        </is>
      </c>
      <c r="G1346" t="inlineStr">
        <is>
          <t>community</t>
        </is>
      </c>
      <c r="H1346" t="inlineStr">
        <is>
          <t>yes</t>
        </is>
      </c>
      <c r="I1346" t="inlineStr"/>
      <c r="J1346" t="inlineStr"/>
      <c r="K1346" t="inlineStr"/>
      <c r="L1346" t="inlineStr"/>
      <c r="M1346" t="inlineStr"/>
      <c r="N1346" t="inlineStr"/>
    </row>
    <row r="1347">
      <c r="A1347" t="inlineStr">
        <is>
          <t>sk-bratislava</t>
        </is>
      </c>
      <c r="B1347" t="inlineStr">
        <is>
          <t>Bratislava</t>
        </is>
      </c>
      <c r="C1347" t="inlineStr">
        <is>
          <t>Slovakia</t>
        </is>
      </c>
      <c r="D1347" t="inlineStr">
        <is>
          <t>Southern/Eastern Europe and Eurasia</t>
        </is>
      </c>
      <c r="E1347" t="inlineStr">
        <is>
          <t>tolerance_pluralism_raw</t>
        </is>
      </c>
      <c r="F1347" t="inlineStr">
        <is>
          <t>Tolerance and pluralism raw</t>
        </is>
      </c>
      <c r="G1347" t="inlineStr">
        <is>
          <t>community</t>
        </is>
      </c>
      <c r="H1347" t="inlineStr">
        <is>
          <t>yes</t>
        </is>
      </c>
      <c r="I1347" t="inlineStr"/>
      <c r="J1347" t="inlineStr"/>
      <c r="K1347" t="inlineStr"/>
      <c r="L1347" t="inlineStr"/>
      <c r="M1347" t="inlineStr"/>
      <c r="N1347" t="inlineStr"/>
    </row>
    <row r="1348">
      <c r="A1348" t="inlineStr">
        <is>
          <t>sk-bratislava</t>
        </is>
      </c>
      <c r="B1348" t="inlineStr">
        <is>
          <t>Bratislava</t>
        </is>
      </c>
      <c r="C1348" t="inlineStr">
        <is>
          <t>Slovakia</t>
        </is>
      </c>
      <c r="D1348" t="inlineStr">
        <is>
          <t>Southern/Eastern Europe and Eurasia</t>
        </is>
      </c>
      <c r="E1348" t="inlineStr">
        <is>
          <t>cultural_public_life_raw</t>
        </is>
      </c>
      <c r="F1348" t="inlineStr">
        <is>
          <t>Cultural public life raw</t>
        </is>
      </c>
      <c r="G1348" t="inlineStr">
        <is>
          <t>community</t>
        </is>
      </c>
      <c r="H1348" t="inlineStr">
        <is>
          <t>yes</t>
        </is>
      </c>
      <c r="I1348" t="inlineStr"/>
      <c r="J1348" t="inlineStr"/>
      <c r="K1348" t="inlineStr"/>
      <c r="L1348" t="inlineStr"/>
      <c r="M1348" t="inlineStr"/>
      <c r="N1348" t="inlineStr"/>
    </row>
    <row r="1349">
      <c r="A1349" t="inlineStr">
        <is>
          <t>sk-bratislava</t>
        </is>
      </c>
      <c r="B1349" t="inlineStr">
        <is>
          <t>Bratislava</t>
        </is>
      </c>
      <c r="C1349" t="inlineStr">
        <is>
          <t>Slovakia</t>
        </is>
      </c>
      <c r="D1349" t="inlineStr">
        <is>
          <t>Southern/Eastern Europe and Eurasia</t>
        </is>
      </c>
      <c r="E1349" t="inlineStr">
        <is>
          <t>entrepreneurial_dynamism_raw</t>
        </is>
      </c>
      <c r="F1349" t="inlineStr">
        <is>
          <t>Entrepreneurial dynamism raw</t>
        </is>
      </c>
      <c r="G1349" t="inlineStr">
        <is>
          <t>creative</t>
        </is>
      </c>
      <c r="H1349" t="inlineStr">
        <is>
          <t>yes</t>
        </is>
      </c>
      <c r="I1349" t="inlineStr"/>
      <c r="J1349" t="inlineStr"/>
      <c r="K1349" t="inlineStr"/>
      <c r="L1349" t="inlineStr"/>
      <c r="M1349" t="inlineStr"/>
      <c r="N1349" t="inlineStr"/>
    </row>
    <row r="1350">
      <c r="A1350" t="inlineStr">
        <is>
          <t>sk-bratislava</t>
        </is>
      </c>
      <c r="B1350" t="inlineStr">
        <is>
          <t>Bratislava</t>
        </is>
      </c>
      <c r="C1350" t="inlineStr">
        <is>
          <t>Slovakia</t>
        </is>
      </c>
      <c r="D1350" t="inlineStr">
        <is>
          <t>Southern/Eastern Europe and Eurasia</t>
        </is>
      </c>
      <c r="E1350" t="inlineStr">
        <is>
          <t>innovation_research_intensity_raw</t>
        </is>
      </c>
      <c r="F1350" t="inlineStr">
        <is>
          <t>Innovation and research raw</t>
        </is>
      </c>
      <c r="G1350" t="inlineStr">
        <is>
          <t>creative</t>
        </is>
      </c>
      <c r="H1350" t="inlineStr">
        <is>
          <t>yes</t>
        </is>
      </c>
      <c r="I1350" t="inlineStr"/>
      <c r="J1350" t="inlineStr"/>
      <c r="K1350" t="inlineStr"/>
      <c r="L1350" t="inlineStr"/>
      <c r="M1350" t="inlineStr"/>
      <c r="N1350" t="inlineStr"/>
    </row>
    <row r="1351">
      <c r="A1351" t="inlineStr">
        <is>
          <t>sk-bratislava</t>
        </is>
      </c>
      <c r="B1351" t="inlineStr">
        <is>
          <t>Bratislava</t>
        </is>
      </c>
      <c r="C1351" t="inlineStr">
        <is>
          <t>Slovakia</t>
        </is>
      </c>
      <c r="D1351" t="inlineStr">
        <is>
          <t>Southern/Eastern Europe and Eurasia</t>
        </is>
      </c>
      <c r="E1351" t="inlineStr">
        <is>
          <t>investment_signal_raw</t>
        </is>
      </c>
      <c r="F1351" t="inlineStr">
        <is>
          <t>Investment signal raw</t>
        </is>
      </c>
      <c r="G1351" t="inlineStr">
        <is>
          <t>creative</t>
        </is>
      </c>
      <c r="H1351" t="inlineStr">
        <is>
          <t>yes</t>
        </is>
      </c>
      <c r="I1351" t="inlineStr"/>
      <c r="J1351" t="inlineStr"/>
      <c r="K1351" t="inlineStr"/>
      <c r="L1351" t="inlineStr"/>
      <c r="M1351" t="inlineStr"/>
      <c r="N1351" t="inlineStr"/>
    </row>
    <row r="1352">
      <c r="A1352" t="inlineStr">
        <is>
          <t>sk-bratislava</t>
        </is>
      </c>
      <c r="B1352" t="inlineStr">
        <is>
          <t>Bratislava</t>
        </is>
      </c>
      <c r="C1352" t="inlineStr">
        <is>
          <t>Slovakia</t>
        </is>
      </c>
      <c r="D1352" t="inlineStr">
        <is>
          <t>Southern/Eastern Europe and Eurasia</t>
        </is>
      </c>
      <c r="E1352" t="inlineStr">
        <is>
          <t>administrative_investment_friction_raw</t>
        </is>
      </c>
      <c r="F1352" t="inlineStr">
        <is>
          <t>Administrative investment friction raw</t>
        </is>
      </c>
      <c r="G1352" t="inlineStr">
        <is>
          <t>creative</t>
        </is>
      </c>
      <c r="H1352" t="inlineStr">
        <is>
          <t>yes</t>
        </is>
      </c>
      <c r="I1352" t="inlineStr"/>
      <c r="J1352" t="inlineStr"/>
      <c r="K1352" t="inlineStr"/>
      <c r="L1352" t="inlineStr"/>
      <c r="M1352" t="inlineStr"/>
      <c r="N1352" t="inlineStr"/>
    </row>
    <row r="1353">
      <c r="A1353" t="inlineStr">
        <is>
          <t>sk-bratislava</t>
        </is>
      </c>
      <c r="B1353" t="inlineStr">
        <is>
          <t>Bratislava</t>
        </is>
      </c>
      <c r="C1353" t="inlineStr">
        <is>
          <t>Slovakia</t>
        </is>
      </c>
      <c r="D1353" t="inlineStr">
        <is>
          <t>Southern/Eastern Europe and Eurasia</t>
        </is>
      </c>
      <c r="E1353" t="inlineStr">
        <is>
          <t>visitor_flow_context_raw</t>
        </is>
      </c>
      <c r="F1353" t="inlineStr">
        <is>
          <t>Visitor flow context raw</t>
        </is>
      </c>
      <c r="G1353" t="inlineStr">
        <is>
          <t>creative</t>
        </is>
      </c>
      <c r="H1353" t="inlineStr">
        <is>
          <t>no</t>
        </is>
      </c>
      <c r="I1353" t="inlineStr"/>
      <c r="J1353" t="inlineStr"/>
      <c r="K1353" t="inlineStr"/>
      <c r="L1353" t="inlineStr"/>
      <c r="M1353" t="inlineStr"/>
      <c r="N1353" t="inlineStr"/>
    </row>
    <row r="1354">
      <c r="A1354" t="inlineStr">
        <is>
          <t>us-chicago</t>
        </is>
      </c>
      <c r="B1354" t="inlineStr">
        <is>
          <t>Chicago</t>
        </is>
      </c>
      <c r="C1354" t="inlineStr">
        <is>
          <t>United States</t>
        </is>
      </c>
      <c r="D1354" t="inlineStr">
        <is>
          <t>North America</t>
        </is>
      </c>
      <c r="E1354" t="inlineStr">
        <is>
          <t>gross_income</t>
        </is>
      </c>
      <c r="F1354" t="inlineStr">
        <is>
          <t>Gross income</t>
        </is>
      </c>
      <c r="G1354" t="inlineStr">
        <is>
          <t>pressure</t>
        </is>
      </c>
      <c r="H1354" t="inlineStr">
        <is>
          <t>yes</t>
        </is>
      </c>
      <c r="I1354" t="inlineStr"/>
      <c r="J1354" t="inlineStr"/>
      <c r="K1354" t="inlineStr"/>
      <c r="L1354" t="inlineStr"/>
      <c r="M1354" t="inlineStr"/>
      <c r="N1354" t="inlineStr"/>
    </row>
    <row r="1355">
      <c r="A1355" t="inlineStr">
        <is>
          <t>us-chicago</t>
        </is>
      </c>
      <c r="B1355" t="inlineStr">
        <is>
          <t>Chicago</t>
        </is>
      </c>
      <c r="C1355" t="inlineStr">
        <is>
          <t>United States</t>
        </is>
      </c>
      <c r="D1355" t="inlineStr">
        <is>
          <t>North America</t>
        </is>
      </c>
      <c r="E1355" t="inlineStr">
        <is>
          <t>rent</t>
        </is>
      </c>
      <c r="F1355" t="inlineStr">
        <is>
          <t>Rent</t>
        </is>
      </c>
      <c r="G1355" t="inlineStr">
        <is>
          <t>pressure</t>
        </is>
      </c>
      <c r="H1355" t="inlineStr">
        <is>
          <t>yes</t>
        </is>
      </c>
      <c r="I1355" t="inlineStr"/>
      <c r="J1355" t="inlineStr"/>
      <c r="K1355" t="inlineStr"/>
      <c r="L1355" t="inlineStr"/>
      <c r="M1355" t="inlineStr"/>
      <c r="N1355" t="inlineStr"/>
    </row>
    <row r="1356">
      <c r="A1356" t="inlineStr">
        <is>
          <t>us-chicago</t>
        </is>
      </c>
      <c r="B1356" t="inlineStr">
        <is>
          <t>Chicago</t>
        </is>
      </c>
      <c r="C1356" t="inlineStr">
        <is>
          <t>United States</t>
        </is>
      </c>
      <c r="D1356" t="inlineStr">
        <is>
          <t>North America</t>
        </is>
      </c>
      <c r="E1356" t="inlineStr">
        <is>
          <t>utilities</t>
        </is>
      </c>
      <c r="F1356" t="inlineStr">
        <is>
          <t>Utilities</t>
        </is>
      </c>
      <c r="G1356" t="inlineStr">
        <is>
          <t>pressure</t>
        </is>
      </c>
      <c r="H1356" t="inlineStr">
        <is>
          <t>yes</t>
        </is>
      </c>
      <c r="I1356" t="inlineStr"/>
      <c r="J1356" t="inlineStr"/>
      <c r="K1356" t="inlineStr"/>
      <c r="L1356" t="inlineStr"/>
      <c r="M1356" t="inlineStr"/>
      <c r="N1356" t="inlineStr"/>
    </row>
    <row r="1357">
      <c r="A1357" t="inlineStr">
        <is>
          <t>us-chicago</t>
        </is>
      </c>
      <c r="B1357" t="inlineStr">
        <is>
          <t>Chicago</t>
        </is>
      </c>
      <c r="C1357" t="inlineStr">
        <is>
          <t>United States</t>
        </is>
      </c>
      <c r="D1357" t="inlineStr">
        <is>
          <t>North America</t>
        </is>
      </c>
      <c r="E1357" t="inlineStr">
        <is>
          <t>transit_cost</t>
        </is>
      </c>
      <c r="F1357" t="inlineStr">
        <is>
          <t>Transit cost</t>
        </is>
      </c>
      <c r="G1357" t="inlineStr">
        <is>
          <t>pressure</t>
        </is>
      </c>
      <c r="H1357" t="inlineStr">
        <is>
          <t>yes</t>
        </is>
      </c>
      <c r="I1357" t="inlineStr"/>
      <c r="J1357" t="inlineStr"/>
      <c r="K1357" t="inlineStr"/>
      <c r="L1357" t="inlineStr"/>
      <c r="M1357" t="inlineStr"/>
      <c r="N1357" t="inlineStr"/>
    </row>
    <row r="1358">
      <c r="A1358" t="inlineStr">
        <is>
          <t>us-chicago</t>
        </is>
      </c>
      <c r="B1358" t="inlineStr">
        <is>
          <t>Chicago</t>
        </is>
      </c>
      <c r="C1358" t="inlineStr">
        <is>
          <t>United States</t>
        </is>
      </c>
      <c r="D1358" t="inlineStr">
        <is>
          <t>North America</t>
        </is>
      </c>
      <c r="E1358" t="inlineStr">
        <is>
          <t>internet_cost</t>
        </is>
      </c>
      <c r="F1358" t="inlineStr">
        <is>
          <t>Internet cost</t>
        </is>
      </c>
      <c r="G1358" t="inlineStr">
        <is>
          <t>pressure</t>
        </is>
      </c>
      <c r="H1358" t="inlineStr">
        <is>
          <t>yes</t>
        </is>
      </c>
      <c r="I1358" t="inlineStr"/>
      <c r="J1358" t="inlineStr"/>
      <c r="K1358" t="inlineStr"/>
      <c r="L1358" t="inlineStr"/>
      <c r="M1358" t="inlineStr"/>
      <c r="N1358" t="inlineStr"/>
    </row>
    <row r="1359">
      <c r="A1359" t="inlineStr">
        <is>
          <t>us-chicago</t>
        </is>
      </c>
      <c r="B1359" t="inlineStr">
        <is>
          <t>Chicago</t>
        </is>
      </c>
      <c r="C1359" t="inlineStr">
        <is>
          <t>United States</t>
        </is>
      </c>
      <c r="D1359" t="inlineStr">
        <is>
          <t>North America</t>
        </is>
      </c>
      <c r="E1359" t="inlineStr">
        <is>
          <t>food_cost</t>
        </is>
      </c>
      <c r="F1359" t="inlineStr">
        <is>
          <t>Food cost</t>
        </is>
      </c>
      <c r="G1359" t="inlineStr">
        <is>
          <t>pressure</t>
        </is>
      </c>
      <c r="H1359" t="inlineStr">
        <is>
          <t>yes</t>
        </is>
      </c>
      <c r="I1359" t="inlineStr"/>
      <c r="J1359" t="inlineStr"/>
      <c r="K1359" t="inlineStr"/>
      <c r="L1359" t="inlineStr"/>
      <c r="M1359" t="inlineStr"/>
      <c r="N1359" t="inlineStr"/>
    </row>
    <row r="1360">
      <c r="A1360" t="inlineStr">
        <is>
          <t>us-chicago</t>
        </is>
      </c>
      <c r="B1360" t="inlineStr">
        <is>
          <t>Chicago</t>
        </is>
      </c>
      <c r="C1360" t="inlineStr">
        <is>
          <t>United States</t>
        </is>
      </c>
      <c r="D1360" t="inlineStr">
        <is>
          <t>North America</t>
        </is>
      </c>
      <c r="E1360" t="inlineStr">
        <is>
          <t>housing_burden_raw</t>
        </is>
      </c>
      <c r="F1360" t="inlineStr">
        <is>
          <t>Housing burden raw</t>
        </is>
      </c>
      <c r="G1360" t="inlineStr">
        <is>
          <t>pressure</t>
        </is>
      </c>
      <c r="H1360" t="inlineStr">
        <is>
          <t>yes</t>
        </is>
      </c>
      <c r="I1360" t="inlineStr"/>
      <c r="J1360" t="inlineStr"/>
      <c r="K1360" t="inlineStr"/>
      <c r="L1360" t="inlineStr"/>
      <c r="M1360" t="inlineStr"/>
      <c r="N1360" t="inlineStr"/>
    </row>
    <row r="1361">
      <c r="A1361" t="inlineStr">
        <is>
          <t>us-chicago</t>
        </is>
      </c>
      <c r="B1361" t="inlineStr">
        <is>
          <t>Chicago</t>
        </is>
      </c>
      <c r="C1361" t="inlineStr">
        <is>
          <t>United States</t>
        </is>
      </c>
      <c r="D1361" t="inlineStr">
        <is>
          <t>North America</t>
        </is>
      </c>
      <c r="E1361" t="inlineStr">
        <is>
          <t>household_debt_burden_raw</t>
        </is>
      </c>
      <c r="F1361" t="inlineStr">
        <is>
          <t>Household debt burden raw</t>
        </is>
      </c>
      <c r="G1361" t="inlineStr">
        <is>
          <t>pressure</t>
        </is>
      </c>
      <c r="H1361" t="inlineStr">
        <is>
          <t>yes</t>
        </is>
      </c>
      <c r="I1361" t="inlineStr"/>
      <c r="J1361" t="inlineStr"/>
      <c r="K1361" t="inlineStr"/>
      <c r="L1361" t="inlineStr"/>
      <c r="M1361" t="inlineStr"/>
      <c r="N1361" t="inlineStr"/>
    </row>
    <row r="1362">
      <c r="A1362" t="inlineStr">
        <is>
          <t>us-chicago</t>
        </is>
      </c>
      <c r="B1362" t="inlineStr">
        <is>
          <t>Chicago</t>
        </is>
      </c>
      <c r="C1362" t="inlineStr">
        <is>
          <t>United States</t>
        </is>
      </c>
      <c r="D1362" t="inlineStr">
        <is>
          <t>North America</t>
        </is>
      </c>
      <c r="E1362" t="inlineStr">
        <is>
          <t>working_time_pressure_raw</t>
        </is>
      </c>
      <c r="F1362" t="inlineStr">
        <is>
          <t>Working time pressure raw</t>
        </is>
      </c>
      <c r="G1362" t="inlineStr">
        <is>
          <t>pressure</t>
        </is>
      </c>
      <c r="H1362" t="inlineStr">
        <is>
          <t>yes</t>
        </is>
      </c>
      <c r="I1362" t="inlineStr"/>
      <c r="J1362" t="inlineStr"/>
      <c r="K1362" t="inlineStr"/>
      <c r="L1362" t="inlineStr"/>
      <c r="M1362" t="inlineStr"/>
      <c r="N1362" t="inlineStr"/>
    </row>
    <row r="1363">
      <c r="A1363" t="inlineStr">
        <is>
          <t>us-chicago</t>
        </is>
      </c>
      <c r="B1363" t="inlineStr">
        <is>
          <t>Chicago</t>
        </is>
      </c>
      <c r="C1363" t="inlineStr">
        <is>
          <t>United States</t>
        </is>
      </c>
      <c r="D1363" t="inlineStr">
        <is>
          <t>North America</t>
        </is>
      </c>
      <c r="E1363" t="inlineStr">
        <is>
          <t>suicide_mental_strain_raw</t>
        </is>
      </c>
      <c r="F1363" t="inlineStr">
        <is>
          <t>Suicide or mental strain raw</t>
        </is>
      </c>
      <c r="G1363" t="inlineStr">
        <is>
          <t>pressure</t>
        </is>
      </c>
      <c r="H1363" t="inlineStr">
        <is>
          <t>yes</t>
        </is>
      </c>
      <c r="I1363" t="inlineStr"/>
      <c r="J1363" t="inlineStr"/>
      <c r="K1363" t="inlineStr"/>
      <c r="L1363" t="inlineStr"/>
      <c r="M1363" t="inlineStr"/>
      <c r="N1363" t="inlineStr"/>
    </row>
    <row r="1364">
      <c r="A1364" t="inlineStr">
        <is>
          <t>us-chicago</t>
        </is>
      </c>
      <c r="B1364" t="inlineStr">
        <is>
          <t>Chicago</t>
        </is>
      </c>
      <c r="C1364" t="inlineStr">
        <is>
          <t>United States</t>
        </is>
      </c>
      <c r="D1364" t="inlineStr">
        <is>
          <t>North America</t>
        </is>
      </c>
      <c r="E1364" t="inlineStr">
        <is>
          <t>personal_safety_raw</t>
        </is>
      </c>
      <c r="F1364" t="inlineStr">
        <is>
          <t>Personal safety raw</t>
        </is>
      </c>
      <c r="G1364" t="inlineStr">
        <is>
          <t>viability</t>
        </is>
      </c>
      <c r="H1364" t="inlineStr">
        <is>
          <t>yes</t>
        </is>
      </c>
      <c r="I1364" t="inlineStr"/>
      <c r="J1364" t="inlineStr"/>
      <c r="K1364" t="inlineStr"/>
      <c r="L1364" t="inlineStr"/>
      <c r="M1364" t="inlineStr"/>
      <c r="N1364" t="inlineStr"/>
    </row>
    <row r="1365">
      <c r="A1365" t="inlineStr">
        <is>
          <t>us-chicago</t>
        </is>
      </c>
      <c r="B1365" t="inlineStr">
        <is>
          <t>Chicago</t>
        </is>
      </c>
      <c r="C1365" t="inlineStr">
        <is>
          <t>United States</t>
        </is>
      </c>
      <c r="D1365" t="inlineStr">
        <is>
          <t>North America</t>
        </is>
      </c>
      <c r="E1365" t="inlineStr">
        <is>
          <t>transit_access_commute_raw</t>
        </is>
      </c>
      <c r="F1365" t="inlineStr">
        <is>
          <t>Transit access and commute raw</t>
        </is>
      </c>
      <c r="G1365" t="inlineStr">
        <is>
          <t>viability</t>
        </is>
      </c>
      <c r="H1365" t="inlineStr">
        <is>
          <t>yes</t>
        </is>
      </c>
      <c r="I1365" t="inlineStr"/>
      <c r="J1365" t="inlineStr"/>
      <c r="K1365" t="inlineStr"/>
      <c r="L1365" t="inlineStr"/>
      <c r="M1365" t="inlineStr"/>
      <c r="N1365" t="inlineStr"/>
    </row>
    <row r="1366">
      <c r="A1366" t="inlineStr">
        <is>
          <t>us-chicago</t>
        </is>
      </c>
      <c r="B1366" t="inlineStr">
        <is>
          <t>Chicago</t>
        </is>
      </c>
      <c r="C1366" t="inlineStr">
        <is>
          <t>United States</t>
        </is>
      </c>
      <c r="D1366" t="inlineStr">
        <is>
          <t>North America</t>
        </is>
      </c>
      <c r="E1366" t="inlineStr">
        <is>
          <t>clean_air_raw</t>
        </is>
      </c>
      <c r="F1366" t="inlineStr">
        <is>
          <t>Clean air raw</t>
        </is>
      </c>
      <c r="G1366" t="inlineStr">
        <is>
          <t>viability</t>
        </is>
      </c>
      <c r="H1366" t="inlineStr">
        <is>
          <t>yes</t>
        </is>
      </c>
      <c r="I1366" t="inlineStr"/>
      <c r="J1366" t="inlineStr"/>
      <c r="K1366" t="inlineStr"/>
      <c r="L1366" t="inlineStr"/>
      <c r="M1366" t="inlineStr"/>
      <c r="N1366" t="inlineStr"/>
    </row>
    <row r="1367">
      <c r="A1367" t="inlineStr">
        <is>
          <t>us-chicago</t>
        </is>
      </c>
      <c r="B1367" t="inlineStr">
        <is>
          <t>Chicago</t>
        </is>
      </c>
      <c r="C1367" t="inlineStr">
        <is>
          <t>United States</t>
        </is>
      </c>
      <c r="D1367" t="inlineStr">
        <is>
          <t>North America</t>
        </is>
      </c>
      <c r="E1367" t="inlineStr">
        <is>
          <t>water_sanitation_utility_raw</t>
        </is>
      </c>
      <c r="F1367" t="inlineStr">
        <is>
          <t>Water, sanitation, and utility raw</t>
        </is>
      </c>
      <c r="G1367" t="inlineStr">
        <is>
          <t>viability</t>
        </is>
      </c>
      <c r="H1367" t="inlineStr">
        <is>
          <t>yes</t>
        </is>
      </c>
      <c r="I1367" t="inlineStr"/>
      <c r="J1367" t="inlineStr"/>
      <c r="K1367" t="inlineStr"/>
      <c r="L1367" t="inlineStr"/>
      <c r="M1367" t="inlineStr"/>
      <c r="N1367" t="inlineStr"/>
    </row>
    <row r="1368">
      <c r="A1368" t="inlineStr">
        <is>
          <t>us-chicago</t>
        </is>
      </c>
      <c r="B1368" t="inlineStr">
        <is>
          <t>Chicago</t>
        </is>
      </c>
      <c r="C1368" t="inlineStr">
        <is>
          <t>United States</t>
        </is>
      </c>
      <c r="D1368" t="inlineStr">
        <is>
          <t>North America</t>
        </is>
      </c>
      <c r="E1368" t="inlineStr">
        <is>
          <t>digital_infrastructure_raw</t>
        </is>
      </c>
      <c r="F1368" t="inlineStr">
        <is>
          <t>Digital infrastructure raw</t>
        </is>
      </c>
      <c r="G1368" t="inlineStr">
        <is>
          <t>viability</t>
        </is>
      </c>
      <c r="H1368" t="inlineStr">
        <is>
          <t>yes</t>
        </is>
      </c>
      <c r="I1368" t="inlineStr"/>
      <c r="J1368" t="inlineStr"/>
      <c r="K1368" t="inlineStr"/>
      <c r="L1368" t="inlineStr"/>
      <c r="M1368" t="inlineStr"/>
      <c r="N1368" t="inlineStr"/>
    </row>
    <row r="1369">
      <c r="A1369" t="inlineStr">
        <is>
          <t>us-chicago</t>
        </is>
      </c>
      <c r="B1369" t="inlineStr">
        <is>
          <t>Chicago</t>
        </is>
      </c>
      <c r="C1369" t="inlineStr">
        <is>
          <t>United States</t>
        </is>
      </c>
      <c r="D1369" t="inlineStr">
        <is>
          <t>North America</t>
        </is>
      </c>
      <c r="E1369" t="inlineStr">
        <is>
          <t>healthcare_quality_raw</t>
        </is>
      </c>
      <c r="F1369" t="inlineStr">
        <is>
          <t>Healthcare quality raw</t>
        </is>
      </c>
      <c r="G1369" t="inlineStr">
        <is>
          <t>capability</t>
        </is>
      </c>
      <c r="H1369" t="inlineStr">
        <is>
          <t>yes</t>
        </is>
      </c>
      <c r="I1369" t="inlineStr"/>
      <c r="J1369" t="inlineStr"/>
      <c r="K1369" t="inlineStr"/>
      <c r="L1369" t="inlineStr"/>
      <c r="M1369" t="inlineStr"/>
      <c r="N1369" t="inlineStr"/>
    </row>
    <row r="1370">
      <c r="A1370" t="inlineStr">
        <is>
          <t>us-chicago</t>
        </is>
      </c>
      <c r="B1370" t="inlineStr">
        <is>
          <t>Chicago</t>
        </is>
      </c>
      <c r="C1370" t="inlineStr">
        <is>
          <t>United States</t>
        </is>
      </c>
      <c r="D1370" t="inlineStr">
        <is>
          <t>North America</t>
        </is>
      </c>
      <c r="E1370" t="inlineStr">
        <is>
          <t>education_quality_raw</t>
        </is>
      </c>
      <c r="F1370" t="inlineStr">
        <is>
          <t>Education quality raw</t>
        </is>
      </c>
      <c r="G1370" t="inlineStr">
        <is>
          <t>capability</t>
        </is>
      </c>
      <c r="H1370" t="inlineStr">
        <is>
          <t>yes</t>
        </is>
      </c>
      <c r="I1370" t="inlineStr"/>
      <c r="J1370" t="inlineStr"/>
      <c r="K1370" t="inlineStr"/>
      <c r="L1370" t="inlineStr"/>
      <c r="M1370" t="inlineStr"/>
      <c r="N1370" t="inlineStr"/>
    </row>
    <row r="1371">
      <c r="A1371" t="inlineStr">
        <is>
          <t>us-chicago</t>
        </is>
      </c>
      <c r="B1371" t="inlineStr">
        <is>
          <t>Chicago</t>
        </is>
      </c>
      <c r="C1371" t="inlineStr">
        <is>
          <t>United States</t>
        </is>
      </c>
      <c r="D1371" t="inlineStr">
        <is>
          <t>North America</t>
        </is>
      </c>
      <c r="E1371" t="inlineStr">
        <is>
          <t>equal_opportunity_raw</t>
        </is>
      </c>
      <c r="F1371" t="inlineStr">
        <is>
          <t>Equal opportunity raw</t>
        </is>
      </c>
      <c r="G1371" t="inlineStr">
        <is>
          <t>capability</t>
        </is>
      </c>
      <c r="H1371" t="inlineStr">
        <is>
          <t>yes</t>
        </is>
      </c>
      <c r="I1371" t="inlineStr"/>
      <c r="J1371" t="inlineStr"/>
      <c r="K1371" t="inlineStr"/>
      <c r="L1371" t="inlineStr"/>
      <c r="M1371" t="inlineStr"/>
      <c r="N1371" t="inlineStr"/>
    </row>
    <row r="1372">
      <c r="A1372" t="inlineStr">
        <is>
          <t>us-chicago</t>
        </is>
      </c>
      <c r="B1372" t="inlineStr">
        <is>
          <t>Chicago</t>
        </is>
      </c>
      <c r="C1372" t="inlineStr">
        <is>
          <t>United States</t>
        </is>
      </c>
      <c r="D1372" t="inlineStr">
        <is>
          <t>North America</t>
        </is>
      </c>
      <c r="E1372" t="inlineStr">
        <is>
          <t>hospitality_belonging_raw</t>
        </is>
      </c>
      <c r="F1372" t="inlineStr">
        <is>
          <t>Hospitality and belonging raw</t>
        </is>
      </c>
      <c r="G1372" t="inlineStr">
        <is>
          <t>community</t>
        </is>
      </c>
      <c r="H1372" t="inlineStr">
        <is>
          <t>yes</t>
        </is>
      </c>
      <c r="I1372" t="inlineStr"/>
      <c r="J1372" t="inlineStr"/>
      <c r="K1372" t="inlineStr"/>
      <c r="L1372" t="inlineStr"/>
      <c r="M1372" t="inlineStr"/>
      <c r="N1372" t="inlineStr"/>
    </row>
    <row r="1373">
      <c r="A1373" t="inlineStr">
        <is>
          <t>us-chicago</t>
        </is>
      </c>
      <c r="B1373" t="inlineStr">
        <is>
          <t>Chicago</t>
        </is>
      </c>
      <c r="C1373" t="inlineStr">
        <is>
          <t>United States</t>
        </is>
      </c>
      <c r="D1373" t="inlineStr">
        <is>
          <t>North America</t>
        </is>
      </c>
      <c r="E1373" t="inlineStr">
        <is>
          <t>tolerance_pluralism_raw</t>
        </is>
      </c>
      <c r="F1373" t="inlineStr">
        <is>
          <t>Tolerance and pluralism raw</t>
        </is>
      </c>
      <c r="G1373" t="inlineStr">
        <is>
          <t>community</t>
        </is>
      </c>
      <c r="H1373" t="inlineStr">
        <is>
          <t>yes</t>
        </is>
      </c>
      <c r="I1373" t="inlineStr"/>
      <c r="J1373" t="inlineStr"/>
      <c r="K1373" t="inlineStr"/>
      <c r="L1373" t="inlineStr"/>
      <c r="M1373" t="inlineStr"/>
      <c r="N1373" t="inlineStr"/>
    </row>
    <row r="1374">
      <c r="A1374" t="inlineStr">
        <is>
          <t>us-chicago</t>
        </is>
      </c>
      <c r="B1374" t="inlineStr">
        <is>
          <t>Chicago</t>
        </is>
      </c>
      <c r="C1374" t="inlineStr">
        <is>
          <t>United States</t>
        </is>
      </c>
      <c r="D1374" t="inlineStr">
        <is>
          <t>North America</t>
        </is>
      </c>
      <c r="E1374" t="inlineStr">
        <is>
          <t>cultural_public_life_raw</t>
        </is>
      </c>
      <c r="F1374" t="inlineStr">
        <is>
          <t>Cultural public life raw</t>
        </is>
      </c>
      <c r="G1374" t="inlineStr">
        <is>
          <t>community</t>
        </is>
      </c>
      <c r="H1374" t="inlineStr">
        <is>
          <t>yes</t>
        </is>
      </c>
      <c r="I1374" t="inlineStr"/>
      <c r="J1374" t="inlineStr"/>
      <c r="K1374" t="inlineStr"/>
      <c r="L1374" t="inlineStr"/>
      <c r="M1374" t="inlineStr"/>
      <c r="N1374" t="inlineStr"/>
    </row>
    <row r="1375">
      <c r="A1375" t="inlineStr">
        <is>
          <t>us-chicago</t>
        </is>
      </c>
      <c r="B1375" t="inlineStr">
        <is>
          <t>Chicago</t>
        </is>
      </c>
      <c r="C1375" t="inlineStr">
        <is>
          <t>United States</t>
        </is>
      </c>
      <c r="D1375" t="inlineStr">
        <is>
          <t>North America</t>
        </is>
      </c>
      <c r="E1375" t="inlineStr">
        <is>
          <t>entrepreneurial_dynamism_raw</t>
        </is>
      </c>
      <c r="F1375" t="inlineStr">
        <is>
          <t>Entrepreneurial dynamism raw</t>
        </is>
      </c>
      <c r="G1375" t="inlineStr">
        <is>
          <t>creative</t>
        </is>
      </c>
      <c r="H1375" t="inlineStr">
        <is>
          <t>yes</t>
        </is>
      </c>
      <c r="I1375" t="inlineStr"/>
      <c r="J1375" t="inlineStr"/>
      <c r="K1375" t="inlineStr"/>
      <c r="L1375" t="inlineStr"/>
      <c r="M1375" t="inlineStr"/>
      <c r="N1375" t="inlineStr"/>
    </row>
    <row r="1376">
      <c r="A1376" t="inlineStr">
        <is>
          <t>us-chicago</t>
        </is>
      </c>
      <c r="B1376" t="inlineStr">
        <is>
          <t>Chicago</t>
        </is>
      </c>
      <c r="C1376" t="inlineStr">
        <is>
          <t>United States</t>
        </is>
      </c>
      <c r="D1376" t="inlineStr">
        <is>
          <t>North America</t>
        </is>
      </c>
      <c r="E1376" t="inlineStr">
        <is>
          <t>innovation_research_intensity_raw</t>
        </is>
      </c>
      <c r="F1376" t="inlineStr">
        <is>
          <t>Innovation and research raw</t>
        </is>
      </c>
      <c r="G1376" t="inlineStr">
        <is>
          <t>creative</t>
        </is>
      </c>
      <c r="H1376" t="inlineStr">
        <is>
          <t>yes</t>
        </is>
      </c>
      <c r="I1376" t="inlineStr"/>
      <c r="J1376" t="inlineStr"/>
      <c r="K1376" t="inlineStr"/>
      <c r="L1376" t="inlineStr"/>
      <c r="M1376" t="inlineStr"/>
      <c r="N1376" t="inlineStr"/>
    </row>
    <row r="1377">
      <c r="A1377" t="inlineStr">
        <is>
          <t>us-chicago</t>
        </is>
      </c>
      <c r="B1377" t="inlineStr">
        <is>
          <t>Chicago</t>
        </is>
      </c>
      <c r="C1377" t="inlineStr">
        <is>
          <t>United States</t>
        </is>
      </c>
      <c r="D1377" t="inlineStr">
        <is>
          <t>North America</t>
        </is>
      </c>
      <c r="E1377" t="inlineStr">
        <is>
          <t>investment_signal_raw</t>
        </is>
      </c>
      <c r="F1377" t="inlineStr">
        <is>
          <t>Investment signal raw</t>
        </is>
      </c>
      <c r="G1377" t="inlineStr">
        <is>
          <t>creative</t>
        </is>
      </c>
      <c r="H1377" t="inlineStr">
        <is>
          <t>yes</t>
        </is>
      </c>
      <c r="I1377" t="inlineStr"/>
      <c r="J1377" t="inlineStr"/>
      <c r="K1377" t="inlineStr"/>
      <c r="L1377" t="inlineStr"/>
      <c r="M1377" t="inlineStr"/>
      <c r="N1377" t="inlineStr"/>
    </row>
    <row r="1378">
      <c r="A1378" t="inlineStr">
        <is>
          <t>us-chicago</t>
        </is>
      </c>
      <c r="B1378" t="inlineStr">
        <is>
          <t>Chicago</t>
        </is>
      </c>
      <c r="C1378" t="inlineStr">
        <is>
          <t>United States</t>
        </is>
      </c>
      <c r="D1378" t="inlineStr">
        <is>
          <t>North America</t>
        </is>
      </c>
      <c r="E1378" t="inlineStr">
        <is>
          <t>administrative_investment_friction_raw</t>
        </is>
      </c>
      <c r="F1378" t="inlineStr">
        <is>
          <t>Administrative investment friction raw</t>
        </is>
      </c>
      <c r="G1378" t="inlineStr">
        <is>
          <t>creative</t>
        </is>
      </c>
      <c r="H1378" t="inlineStr">
        <is>
          <t>yes</t>
        </is>
      </c>
      <c r="I1378" t="inlineStr"/>
      <c r="J1378" t="inlineStr"/>
      <c r="K1378" t="inlineStr"/>
      <c r="L1378" t="inlineStr"/>
      <c r="M1378" t="inlineStr"/>
      <c r="N1378" t="inlineStr"/>
    </row>
    <row r="1379">
      <c r="A1379" t="inlineStr">
        <is>
          <t>us-chicago</t>
        </is>
      </c>
      <c r="B1379" t="inlineStr">
        <is>
          <t>Chicago</t>
        </is>
      </c>
      <c r="C1379" t="inlineStr">
        <is>
          <t>United States</t>
        </is>
      </c>
      <c r="D1379" t="inlineStr">
        <is>
          <t>North America</t>
        </is>
      </c>
      <c r="E1379" t="inlineStr">
        <is>
          <t>visitor_flow_context_raw</t>
        </is>
      </c>
      <c r="F1379" t="inlineStr">
        <is>
          <t>Visitor flow context raw</t>
        </is>
      </c>
      <c r="G1379" t="inlineStr">
        <is>
          <t>creative</t>
        </is>
      </c>
      <c r="H1379" t="inlineStr">
        <is>
          <t>no</t>
        </is>
      </c>
      <c r="I1379" t="inlineStr"/>
      <c r="J1379" t="inlineStr"/>
      <c r="K1379" t="inlineStr"/>
      <c r="L1379" t="inlineStr"/>
      <c r="M1379" t="inlineStr"/>
      <c r="N1379" t="inlineStr"/>
    </row>
    <row r="1380">
      <c r="A1380" t="inlineStr">
        <is>
          <t>mx-mexico-city</t>
        </is>
      </c>
      <c r="B1380" t="inlineStr">
        <is>
          <t>Mexico City</t>
        </is>
      </c>
      <c r="C1380" t="inlineStr">
        <is>
          <t>Mexico</t>
        </is>
      </c>
      <c r="D1380" t="inlineStr">
        <is>
          <t>North America</t>
        </is>
      </c>
      <c r="E1380" t="inlineStr">
        <is>
          <t>gross_income</t>
        </is>
      </c>
      <c r="F1380" t="inlineStr">
        <is>
          <t>Gross income</t>
        </is>
      </c>
      <c r="G1380" t="inlineStr">
        <is>
          <t>pressure</t>
        </is>
      </c>
      <c r="H1380" t="inlineStr">
        <is>
          <t>yes</t>
        </is>
      </c>
      <c r="I1380" t="inlineStr"/>
      <c r="J1380" t="inlineStr"/>
      <c r="K1380" t="inlineStr"/>
      <c r="L1380" t="inlineStr"/>
      <c r="M1380" t="inlineStr"/>
      <c r="N1380" t="inlineStr"/>
    </row>
    <row r="1381">
      <c r="A1381" t="inlineStr">
        <is>
          <t>mx-mexico-city</t>
        </is>
      </c>
      <c r="B1381" t="inlineStr">
        <is>
          <t>Mexico City</t>
        </is>
      </c>
      <c r="C1381" t="inlineStr">
        <is>
          <t>Mexico</t>
        </is>
      </c>
      <c r="D1381" t="inlineStr">
        <is>
          <t>North America</t>
        </is>
      </c>
      <c r="E1381" t="inlineStr">
        <is>
          <t>rent</t>
        </is>
      </c>
      <c r="F1381" t="inlineStr">
        <is>
          <t>Rent</t>
        </is>
      </c>
      <c r="G1381" t="inlineStr">
        <is>
          <t>pressure</t>
        </is>
      </c>
      <c r="H1381" t="inlineStr">
        <is>
          <t>yes</t>
        </is>
      </c>
      <c r="I1381" t="inlineStr"/>
      <c r="J1381" t="inlineStr"/>
      <c r="K1381" t="inlineStr"/>
      <c r="L1381" t="inlineStr"/>
      <c r="M1381" t="inlineStr"/>
      <c r="N1381" t="inlineStr"/>
    </row>
    <row r="1382">
      <c r="A1382" t="inlineStr">
        <is>
          <t>mx-mexico-city</t>
        </is>
      </c>
      <c r="B1382" t="inlineStr">
        <is>
          <t>Mexico City</t>
        </is>
      </c>
      <c r="C1382" t="inlineStr">
        <is>
          <t>Mexico</t>
        </is>
      </c>
      <c r="D1382" t="inlineStr">
        <is>
          <t>North America</t>
        </is>
      </c>
      <c r="E1382" t="inlineStr">
        <is>
          <t>utilities</t>
        </is>
      </c>
      <c r="F1382" t="inlineStr">
        <is>
          <t>Utilities</t>
        </is>
      </c>
      <c r="G1382" t="inlineStr">
        <is>
          <t>pressure</t>
        </is>
      </c>
      <c r="H1382" t="inlineStr">
        <is>
          <t>yes</t>
        </is>
      </c>
      <c r="I1382" t="inlineStr"/>
      <c r="J1382" t="inlineStr"/>
      <c r="K1382" t="inlineStr"/>
      <c r="L1382" t="inlineStr"/>
      <c r="M1382" t="inlineStr"/>
      <c r="N1382" t="inlineStr"/>
    </row>
    <row r="1383">
      <c r="A1383" t="inlineStr">
        <is>
          <t>mx-mexico-city</t>
        </is>
      </c>
      <c r="B1383" t="inlineStr">
        <is>
          <t>Mexico City</t>
        </is>
      </c>
      <c r="C1383" t="inlineStr">
        <is>
          <t>Mexico</t>
        </is>
      </c>
      <c r="D1383" t="inlineStr">
        <is>
          <t>North America</t>
        </is>
      </c>
      <c r="E1383" t="inlineStr">
        <is>
          <t>transit_cost</t>
        </is>
      </c>
      <c r="F1383" t="inlineStr">
        <is>
          <t>Transit cost</t>
        </is>
      </c>
      <c r="G1383" t="inlineStr">
        <is>
          <t>pressure</t>
        </is>
      </c>
      <c r="H1383" t="inlineStr">
        <is>
          <t>yes</t>
        </is>
      </c>
      <c r="I1383" t="inlineStr"/>
      <c r="J1383" t="inlineStr"/>
      <c r="K1383" t="inlineStr"/>
      <c r="L1383" t="inlineStr"/>
      <c r="M1383" t="inlineStr"/>
      <c r="N1383" t="inlineStr"/>
    </row>
    <row r="1384">
      <c r="A1384" t="inlineStr">
        <is>
          <t>mx-mexico-city</t>
        </is>
      </c>
      <c r="B1384" t="inlineStr">
        <is>
          <t>Mexico City</t>
        </is>
      </c>
      <c r="C1384" t="inlineStr">
        <is>
          <t>Mexico</t>
        </is>
      </c>
      <c r="D1384" t="inlineStr">
        <is>
          <t>North America</t>
        </is>
      </c>
      <c r="E1384" t="inlineStr">
        <is>
          <t>internet_cost</t>
        </is>
      </c>
      <c r="F1384" t="inlineStr">
        <is>
          <t>Internet cost</t>
        </is>
      </c>
      <c r="G1384" t="inlineStr">
        <is>
          <t>pressure</t>
        </is>
      </c>
      <c r="H1384" t="inlineStr">
        <is>
          <t>yes</t>
        </is>
      </c>
      <c r="I1384" t="inlineStr"/>
      <c r="J1384" t="inlineStr"/>
      <c r="K1384" t="inlineStr"/>
      <c r="L1384" t="inlineStr"/>
      <c r="M1384" t="inlineStr"/>
      <c r="N1384" t="inlineStr"/>
    </row>
    <row r="1385">
      <c r="A1385" t="inlineStr">
        <is>
          <t>mx-mexico-city</t>
        </is>
      </c>
      <c r="B1385" t="inlineStr">
        <is>
          <t>Mexico City</t>
        </is>
      </c>
      <c r="C1385" t="inlineStr">
        <is>
          <t>Mexico</t>
        </is>
      </c>
      <c r="D1385" t="inlineStr">
        <is>
          <t>North America</t>
        </is>
      </c>
      <c r="E1385" t="inlineStr">
        <is>
          <t>food_cost</t>
        </is>
      </c>
      <c r="F1385" t="inlineStr">
        <is>
          <t>Food cost</t>
        </is>
      </c>
      <c r="G1385" t="inlineStr">
        <is>
          <t>pressure</t>
        </is>
      </c>
      <c r="H1385" t="inlineStr">
        <is>
          <t>yes</t>
        </is>
      </c>
      <c r="I1385" t="inlineStr"/>
      <c r="J1385" t="inlineStr"/>
      <c r="K1385" t="inlineStr"/>
      <c r="L1385" t="inlineStr"/>
      <c r="M1385" t="inlineStr"/>
      <c r="N1385" t="inlineStr"/>
    </row>
    <row r="1386">
      <c r="A1386" t="inlineStr">
        <is>
          <t>mx-mexico-city</t>
        </is>
      </c>
      <c r="B1386" t="inlineStr">
        <is>
          <t>Mexico City</t>
        </is>
      </c>
      <c r="C1386" t="inlineStr">
        <is>
          <t>Mexico</t>
        </is>
      </c>
      <c r="D1386" t="inlineStr">
        <is>
          <t>North America</t>
        </is>
      </c>
      <c r="E1386" t="inlineStr">
        <is>
          <t>housing_burden_raw</t>
        </is>
      </c>
      <c r="F1386" t="inlineStr">
        <is>
          <t>Housing burden raw</t>
        </is>
      </c>
      <c r="G1386" t="inlineStr">
        <is>
          <t>pressure</t>
        </is>
      </c>
      <c r="H1386" t="inlineStr">
        <is>
          <t>yes</t>
        </is>
      </c>
      <c r="I1386" t="inlineStr"/>
      <c r="J1386" t="inlineStr"/>
      <c r="K1386" t="inlineStr"/>
      <c r="L1386" t="inlineStr"/>
      <c r="M1386" t="inlineStr"/>
      <c r="N1386" t="inlineStr"/>
    </row>
    <row r="1387">
      <c r="A1387" t="inlineStr">
        <is>
          <t>mx-mexico-city</t>
        </is>
      </c>
      <c r="B1387" t="inlineStr">
        <is>
          <t>Mexico City</t>
        </is>
      </c>
      <c r="C1387" t="inlineStr">
        <is>
          <t>Mexico</t>
        </is>
      </c>
      <c r="D1387" t="inlineStr">
        <is>
          <t>North America</t>
        </is>
      </c>
      <c r="E1387" t="inlineStr">
        <is>
          <t>household_debt_burden_raw</t>
        </is>
      </c>
      <c r="F1387" t="inlineStr">
        <is>
          <t>Household debt burden raw</t>
        </is>
      </c>
      <c r="G1387" t="inlineStr">
        <is>
          <t>pressure</t>
        </is>
      </c>
      <c r="H1387" t="inlineStr">
        <is>
          <t>yes</t>
        </is>
      </c>
      <c r="I1387" t="inlineStr"/>
      <c r="J1387" t="inlineStr"/>
      <c r="K1387" t="inlineStr"/>
      <c r="L1387" t="inlineStr"/>
      <c r="M1387" t="inlineStr"/>
      <c r="N1387" t="inlineStr"/>
    </row>
    <row r="1388">
      <c r="A1388" t="inlineStr">
        <is>
          <t>mx-mexico-city</t>
        </is>
      </c>
      <c r="B1388" t="inlineStr">
        <is>
          <t>Mexico City</t>
        </is>
      </c>
      <c r="C1388" t="inlineStr">
        <is>
          <t>Mexico</t>
        </is>
      </c>
      <c r="D1388" t="inlineStr">
        <is>
          <t>North America</t>
        </is>
      </c>
      <c r="E1388" t="inlineStr">
        <is>
          <t>working_time_pressure_raw</t>
        </is>
      </c>
      <c r="F1388" t="inlineStr">
        <is>
          <t>Working time pressure raw</t>
        </is>
      </c>
      <c r="G1388" t="inlineStr">
        <is>
          <t>pressure</t>
        </is>
      </c>
      <c r="H1388" t="inlineStr">
        <is>
          <t>yes</t>
        </is>
      </c>
      <c r="I1388" t="inlineStr"/>
      <c r="J1388" t="inlineStr"/>
      <c r="K1388" t="inlineStr"/>
      <c r="L1388" t="inlineStr"/>
      <c r="M1388" t="inlineStr"/>
      <c r="N1388" t="inlineStr"/>
    </row>
    <row r="1389">
      <c r="A1389" t="inlineStr">
        <is>
          <t>mx-mexico-city</t>
        </is>
      </c>
      <c r="B1389" t="inlineStr">
        <is>
          <t>Mexico City</t>
        </is>
      </c>
      <c r="C1389" t="inlineStr">
        <is>
          <t>Mexico</t>
        </is>
      </c>
      <c r="D1389" t="inlineStr">
        <is>
          <t>North America</t>
        </is>
      </c>
      <c r="E1389" t="inlineStr">
        <is>
          <t>suicide_mental_strain_raw</t>
        </is>
      </c>
      <c r="F1389" t="inlineStr">
        <is>
          <t>Suicide or mental strain raw</t>
        </is>
      </c>
      <c r="G1389" t="inlineStr">
        <is>
          <t>pressure</t>
        </is>
      </c>
      <c r="H1389" t="inlineStr">
        <is>
          <t>yes</t>
        </is>
      </c>
      <c r="I1389" t="inlineStr"/>
      <c r="J1389" t="inlineStr"/>
      <c r="K1389" t="inlineStr"/>
      <c r="L1389" t="inlineStr"/>
      <c r="M1389" t="inlineStr"/>
      <c r="N1389" t="inlineStr"/>
    </row>
    <row r="1390">
      <c r="A1390" t="inlineStr">
        <is>
          <t>mx-mexico-city</t>
        </is>
      </c>
      <c r="B1390" t="inlineStr">
        <is>
          <t>Mexico City</t>
        </is>
      </c>
      <c r="C1390" t="inlineStr">
        <is>
          <t>Mexico</t>
        </is>
      </c>
      <c r="D1390" t="inlineStr">
        <is>
          <t>North America</t>
        </is>
      </c>
      <c r="E1390" t="inlineStr">
        <is>
          <t>personal_safety_raw</t>
        </is>
      </c>
      <c r="F1390" t="inlineStr">
        <is>
          <t>Personal safety raw</t>
        </is>
      </c>
      <c r="G1390" t="inlineStr">
        <is>
          <t>viability</t>
        </is>
      </c>
      <c r="H1390" t="inlineStr">
        <is>
          <t>yes</t>
        </is>
      </c>
      <c r="I1390" t="inlineStr"/>
      <c r="J1390" t="inlineStr"/>
      <c r="K1390" t="inlineStr"/>
      <c r="L1390" t="inlineStr"/>
      <c r="M1390" t="inlineStr"/>
      <c r="N1390" t="inlineStr"/>
    </row>
    <row r="1391">
      <c r="A1391" t="inlineStr">
        <is>
          <t>mx-mexico-city</t>
        </is>
      </c>
      <c r="B1391" t="inlineStr">
        <is>
          <t>Mexico City</t>
        </is>
      </c>
      <c r="C1391" t="inlineStr">
        <is>
          <t>Mexico</t>
        </is>
      </c>
      <c r="D1391" t="inlineStr">
        <is>
          <t>North America</t>
        </is>
      </c>
      <c r="E1391" t="inlineStr">
        <is>
          <t>transit_access_commute_raw</t>
        </is>
      </c>
      <c r="F1391" t="inlineStr">
        <is>
          <t>Transit access and commute raw</t>
        </is>
      </c>
      <c r="G1391" t="inlineStr">
        <is>
          <t>viability</t>
        </is>
      </c>
      <c r="H1391" t="inlineStr">
        <is>
          <t>yes</t>
        </is>
      </c>
      <c r="I1391" t="inlineStr"/>
      <c r="J1391" t="inlineStr"/>
      <c r="K1391" t="inlineStr"/>
      <c r="L1391" t="inlineStr"/>
      <c r="M1391" t="inlineStr"/>
      <c r="N1391" t="inlineStr"/>
    </row>
    <row r="1392">
      <c r="A1392" t="inlineStr">
        <is>
          <t>mx-mexico-city</t>
        </is>
      </c>
      <c r="B1392" t="inlineStr">
        <is>
          <t>Mexico City</t>
        </is>
      </c>
      <c r="C1392" t="inlineStr">
        <is>
          <t>Mexico</t>
        </is>
      </c>
      <c r="D1392" t="inlineStr">
        <is>
          <t>North America</t>
        </is>
      </c>
      <c r="E1392" t="inlineStr">
        <is>
          <t>clean_air_raw</t>
        </is>
      </c>
      <c r="F1392" t="inlineStr">
        <is>
          <t>Clean air raw</t>
        </is>
      </c>
      <c r="G1392" t="inlineStr">
        <is>
          <t>viability</t>
        </is>
      </c>
      <c r="H1392" t="inlineStr">
        <is>
          <t>yes</t>
        </is>
      </c>
      <c r="I1392" t="inlineStr"/>
      <c r="J1392" t="inlineStr"/>
      <c r="K1392" t="inlineStr"/>
      <c r="L1392" t="inlineStr"/>
      <c r="M1392" t="inlineStr"/>
      <c r="N1392" t="inlineStr"/>
    </row>
    <row r="1393">
      <c r="A1393" t="inlineStr">
        <is>
          <t>mx-mexico-city</t>
        </is>
      </c>
      <c r="B1393" t="inlineStr">
        <is>
          <t>Mexico City</t>
        </is>
      </c>
      <c r="C1393" t="inlineStr">
        <is>
          <t>Mexico</t>
        </is>
      </c>
      <c r="D1393" t="inlineStr">
        <is>
          <t>North America</t>
        </is>
      </c>
      <c r="E1393" t="inlineStr">
        <is>
          <t>water_sanitation_utility_raw</t>
        </is>
      </c>
      <c r="F1393" t="inlineStr">
        <is>
          <t>Water, sanitation, and utility raw</t>
        </is>
      </c>
      <c r="G1393" t="inlineStr">
        <is>
          <t>viability</t>
        </is>
      </c>
      <c r="H1393" t="inlineStr">
        <is>
          <t>yes</t>
        </is>
      </c>
      <c r="I1393" t="inlineStr"/>
      <c r="J1393" t="inlineStr"/>
      <c r="K1393" t="inlineStr"/>
      <c r="L1393" t="inlineStr"/>
      <c r="M1393" t="inlineStr"/>
      <c r="N1393" t="inlineStr"/>
    </row>
    <row r="1394">
      <c r="A1394" t="inlineStr">
        <is>
          <t>mx-mexico-city</t>
        </is>
      </c>
      <c r="B1394" t="inlineStr">
        <is>
          <t>Mexico City</t>
        </is>
      </c>
      <c r="C1394" t="inlineStr">
        <is>
          <t>Mexico</t>
        </is>
      </c>
      <c r="D1394" t="inlineStr">
        <is>
          <t>North America</t>
        </is>
      </c>
      <c r="E1394" t="inlineStr">
        <is>
          <t>digital_infrastructure_raw</t>
        </is>
      </c>
      <c r="F1394" t="inlineStr">
        <is>
          <t>Digital infrastructure raw</t>
        </is>
      </c>
      <c r="G1394" t="inlineStr">
        <is>
          <t>viability</t>
        </is>
      </c>
      <c r="H1394" t="inlineStr">
        <is>
          <t>yes</t>
        </is>
      </c>
      <c r="I1394" t="inlineStr"/>
      <c r="J1394" t="inlineStr"/>
      <c r="K1394" t="inlineStr"/>
      <c r="L1394" t="inlineStr"/>
      <c r="M1394" t="inlineStr"/>
      <c r="N1394" t="inlineStr"/>
    </row>
    <row r="1395">
      <c r="A1395" t="inlineStr">
        <is>
          <t>mx-mexico-city</t>
        </is>
      </c>
      <c r="B1395" t="inlineStr">
        <is>
          <t>Mexico City</t>
        </is>
      </c>
      <c r="C1395" t="inlineStr">
        <is>
          <t>Mexico</t>
        </is>
      </c>
      <c r="D1395" t="inlineStr">
        <is>
          <t>North America</t>
        </is>
      </c>
      <c r="E1395" t="inlineStr">
        <is>
          <t>healthcare_quality_raw</t>
        </is>
      </c>
      <c r="F1395" t="inlineStr">
        <is>
          <t>Healthcare quality raw</t>
        </is>
      </c>
      <c r="G1395" t="inlineStr">
        <is>
          <t>capability</t>
        </is>
      </c>
      <c r="H1395" t="inlineStr">
        <is>
          <t>yes</t>
        </is>
      </c>
      <c r="I1395" t="inlineStr"/>
      <c r="J1395" t="inlineStr"/>
      <c r="K1395" t="inlineStr"/>
      <c r="L1395" t="inlineStr"/>
      <c r="M1395" t="inlineStr"/>
      <c r="N1395" t="inlineStr"/>
    </row>
    <row r="1396">
      <c r="A1396" t="inlineStr">
        <is>
          <t>mx-mexico-city</t>
        </is>
      </c>
      <c r="B1396" t="inlineStr">
        <is>
          <t>Mexico City</t>
        </is>
      </c>
      <c r="C1396" t="inlineStr">
        <is>
          <t>Mexico</t>
        </is>
      </c>
      <c r="D1396" t="inlineStr">
        <is>
          <t>North America</t>
        </is>
      </c>
      <c r="E1396" t="inlineStr">
        <is>
          <t>education_quality_raw</t>
        </is>
      </c>
      <c r="F1396" t="inlineStr">
        <is>
          <t>Education quality raw</t>
        </is>
      </c>
      <c r="G1396" t="inlineStr">
        <is>
          <t>capability</t>
        </is>
      </c>
      <c r="H1396" t="inlineStr">
        <is>
          <t>yes</t>
        </is>
      </c>
      <c r="I1396" t="inlineStr"/>
      <c r="J1396" t="inlineStr"/>
      <c r="K1396" t="inlineStr"/>
      <c r="L1396" t="inlineStr"/>
      <c r="M1396" t="inlineStr"/>
      <c r="N1396" t="inlineStr"/>
    </row>
    <row r="1397">
      <c r="A1397" t="inlineStr">
        <is>
          <t>mx-mexico-city</t>
        </is>
      </c>
      <c r="B1397" t="inlineStr">
        <is>
          <t>Mexico City</t>
        </is>
      </c>
      <c r="C1397" t="inlineStr">
        <is>
          <t>Mexico</t>
        </is>
      </c>
      <c r="D1397" t="inlineStr">
        <is>
          <t>North America</t>
        </is>
      </c>
      <c r="E1397" t="inlineStr">
        <is>
          <t>equal_opportunity_raw</t>
        </is>
      </c>
      <c r="F1397" t="inlineStr">
        <is>
          <t>Equal opportunity raw</t>
        </is>
      </c>
      <c r="G1397" t="inlineStr">
        <is>
          <t>capability</t>
        </is>
      </c>
      <c r="H1397" t="inlineStr">
        <is>
          <t>yes</t>
        </is>
      </c>
      <c r="I1397" t="inlineStr"/>
      <c r="J1397" t="inlineStr"/>
      <c r="K1397" t="inlineStr"/>
      <c r="L1397" t="inlineStr"/>
      <c r="M1397" t="inlineStr"/>
      <c r="N1397" t="inlineStr"/>
    </row>
    <row r="1398">
      <c r="A1398" t="inlineStr">
        <is>
          <t>mx-mexico-city</t>
        </is>
      </c>
      <c r="B1398" t="inlineStr">
        <is>
          <t>Mexico City</t>
        </is>
      </c>
      <c r="C1398" t="inlineStr">
        <is>
          <t>Mexico</t>
        </is>
      </c>
      <c r="D1398" t="inlineStr">
        <is>
          <t>North America</t>
        </is>
      </c>
      <c r="E1398" t="inlineStr">
        <is>
          <t>hospitality_belonging_raw</t>
        </is>
      </c>
      <c r="F1398" t="inlineStr">
        <is>
          <t>Hospitality and belonging raw</t>
        </is>
      </c>
      <c r="G1398" t="inlineStr">
        <is>
          <t>community</t>
        </is>
      </c>
      <c r="H1398" t="inlineStr">
        <is>
          <t>yes</t>
        </is>
      </c>
      <c r="I1398" t="inlineStr"/>
      <c r="J1398" t="inlineStr"/>
      <c r="K1398" t="inlineStr"/>
      <c r="L1398" t="inlineStr"/>
      <c r="M1398" t="inlineStr"/>
      <c r="N1398" t="inlineStr"/>
    </row>
    <row r="1399">
      <c r="A1399" t="inlineStr">
        <is>
          <t>mx-mexico-city</t>
        </is>
      </c>
      <c r="B1399" t="inlineStr">
        <is>
          <t>Mexico City</t>
        </is>
      </c>
      <c r="C1399" t="inlineStr">
        <is>
          <t>Mexico</t>
        </is>
      </c>
      <c r="D1399" t="inlineStr">
        <is>
          <t>North America</t>
        </is>
      </c>
      <c r="E1399" t="inlineStr">
        <is>
          <t>tolerance_pluralism_raw</t>
        </is>
      </c>
      <c r="F1399" t="inlineStr">
        <is>
          <t>Tolerance and pluralism raw</t>
        </is>
      </c>
      <c r="G1399" t="inlineStr">
        <is>
          <t>community</t>
        </is>
      </c>
      <c r="H1399" t="inlineStr">
        <is>
          <t>yes</t>
        </is>
      </c>
      <c r="I1399" t="inlineStr"/>
      <c r="J1399" t="inlineStr"/>
      <c r="K1399" t="inlineStr"/>
      <c r="L1399" t="inlineStr"/>
      <c r="M1399" t="inlineStr"/>
      <c r="N1399" t="inlineStr"/>
    </row>
    <row r="1400">
      <c r="A1400" t="inlineStr">
        <is>
          <t>mx-mexico-city</t>
        </is>
      </c>
      <c r="B1400" t="inlineStr">
        <is>
          <t>Mexico City</t>
        </is>
      </c>
      <c r="C1400" t="inlineStr">
        <is>
          <t>Mexico</t>
        </is>
      </c>
      <c r="D1400" t="inlineStr">
        <is>
          <t>North America</t>
        </is>
      </c>
      <c r="E1400" t="inlineStr">
        <is>
          <t>cultural_public_life_raw</t>
        </is>
      </c>
      <c r="F1400" t="inlineStr">
        <is>
          <t>Cultural public life raw</t>
        </is>
      </c>
      <c r="G1400" t="inlineStr">
        <is>
          <t>community</t>
        </is>
      </c>
      <c r="H1400" t="inlineStr">
        <is>
          <t>yes</t>
        </is>
      </c>
      <c r="I1400" t="inlineStr"/>
      <c r="J1400" t="inlineStr"/>
      <c r="K1400" t="inlineStr"/>
      <c r="L1400" t="inlineStr"/>
      <c r="M1400" t="inlineStr"/>
      <c r="N1400" t="inlineStr"/>
    </row>
    <row r="1401">
      <c r="A1401" t="inlineStr">
        <is>
          <t>mx-mexico-city</t>
        </is>
      </c>
      <c r="B1401" t="inlineStr">
        <is>
          <t>Mexico City</t>
        </is>
      </c>
      <c r="C1401" t="inlineStr">
        <is>
          <t>Mexico</t>
        </is>
      </c>
      <c r="D1401" t="inlineStr">
        <is>
          <t>North America</t>
        </is>
      </c>
      <c r="E1401" t="inlineStr">
        <is>
          <t>entrepreneurial_dynamism_raw</t>
        </is>
      </c>
      <c r="F1401" t="inlineStr">
        <is>
          <t>Entrepreneurial dynamism raw</t>
        </is>
      </c>
      <c r="G1401" t="inlineStr">
        <is>
          <t>creative</t>
        </is>
      </c>
      <c r="H1401" t="inlineStr">
        <is>
          <t>yes</t>
        </is>
      </c>
      <c r="I1401" t="inlineStr"/>
      <c r="J1401" t="inlineStr"/>
      <c r="K1401" t="inlineStr"/>
      <c r="L1401" t="inlineStr"/>
      <c r="M1401" t="inlineStr"/>
      <c r="N1401" t="inlineStr"/>
    </row>
    <row r="1402">
      <c r="A1402" t="inlineStr">
        <is>
          <t>mx-mexico-city</t>
        </is>
      </c>
      <c r="B1402" t="inlineStr">
        <is>
          <t>Mexico City</t>
        </is>
      </c>
      <c r="C1402" t="inlineStr">
        <is>
          <t>Mexico</t>
        </is>
      </c>
      <c r="D1402" t="inlineStr">
        <is>
          <t>North America</t>
        </is>
      </c>
      <c r="E1402" t="inlineStr">
        <is>
          <t>innovation_research_intensity_raw</t>
        </is>
      </c>
      <c r="F1402" t="inlineStr">
        <is>
          <t>Innovation and research raw</t>
        </is>
      </c>
      <c r="G1402" t="inlineStr">
        <is>
          <t>creative</t>
        </is>
      </c>
      <c r="H1402" t="inlineStr">
        <is>
          <t>yes</t>
        </is>
      </c>
      <c r="I1402" t="inlineStr"/>
      <c r="J1402" t="inlineStr"/>
      <c r="K1402" t="inlineStr"/>
      <c r="L1402" t="inlineStr"/>
      <c r="M1402" t="inlineStr"/>
      <c r="N1402" t="inlineStr"/>
    </row>
    <row r="1403">
      <c r="A1403" t="inlineStr">
        <is>
          <t>mx-mexico-city</t>
        </is>
      </c>
      <c r="B1403" t="inlineStr">
        <is>
          <t>Mexico City</t>
        </is>
      </c>
      <c r="C1403" t="inlineStr">
        <is>
          <t>Mexico</t>
        </is>
      </c>
      <c r="D1403" t="inlineStr">
        <is>
          <t>North America</t>
        </is>
      </c>
      <c r="E1403" t="inlineStr">
        <is>
          <t>investment_signal_raw</t>
        </is>
      </c>
      <c r="F1403" t="inlineStr">
        <is>
          <t>Investment signal raw</t>
        </is>
      </c>
      <c r="G1403" t="inlineStr">
        <is>
          <t>creative</t>
        </is>
      </c>
      <c r="H1403" t="inlineStr">
        <is>
          <t>yes</t>
        </is>
      </c>
      <c r="I1403" t="inlineStr"/>
      <c r="J1403" t="inlineStr"/>
      <c r="K1403" t="inlineStr"/>
      <c r="L1403" t="inlineStr"/>
      <c r="M1403" t="inlineStr"/>
      <c r="N1403" t="inlineStr"/>
    </row>
    <row r="1404">
      <c r="A1404" t="inlineStr">
        <is>
          <t>mx-mexico-city</t>
        </is>
      </c>
      <c r="B1404" t="inlineStr">
        <is>
          <t>Mexico City</t>
        </is>
      </c>
      <c r="C1404" t="inlineStr">
        <is>
          <t>Mexico</t>
        </is>
      </c>
      <c r="D1404" t="inlineStr">
        <is>
          <t>North America</t>
        </is>
      </c>
      <c r="E1404" t="inlineStr">
        <is>
          <t>administrative_investment_friction_raw</t>
        </is>
      </c>
      <c r="F1404" t="inlineStr">
        <is>
          <t>Administrative investment friction raw</t>
        </is>
      </c>
      <c r="G1404" t="inlineStr">
        <is>
          <t>creative</t>
        </is>
      </c>
      <c r="H1404" t="inlineStr">
        <is>
          <t>yes</t>
        </is>
      </c>
      <c r="I1404" t="inlineStr"/>
      <c r="J1404" t="inlineStr"/>
      <c r="K1404" t="inlineStr"/>
      <c r="L1404" t="inlineStr"/>
      <c r="M1404" t="inlineStr"/>
      <c r="N1404" t="inlineStr"/>
    </row>
    <row r="1405">
      <c r="A1405" t="inlineStr">
        <is>
          <t>mx-mexico-city</t>
        </is>
      </c>
      <c r="B1405" t="inlineStr">
        <is>
          <t>Mexico City</t>
        </is>
      </c>
      <c r="C1405" t="inlineStr">
        <is>
          <t>Mexico</t>
        </is>
      </c>
      <c r="D1405" t="inlineStr">
        <is>
          <t>North America</t>
        </is>
      </c>
      <c r="E1405" t="inlineStr">
        <is>
          <t>visitor_flow_context_raw</t>
        </is>
      </c>
      <c r="F1405" t="inlineStr">
        <is>
          <t>Visitor flow context raw</t>
        </is>
      </c>
      <c r="G1405" t="inlineStr">
        <is>
          <t>creative</t>
        </is>
      </c>
      <c r="H1405" t="inlineStr">
        <is>
          <t>no</t>
        </is>
      </c>
      <c r="I1405" t="inlineStr"/>
      <c r="J1405" t="inlineStr"/>
      <c r="K1405" t="inlineStr"/>
      <c r="L1405" t="inlineStr"/>
      <c r="M1405" t="inlineStr"/>
      <c r="N1405" t="inlineStr"/>
    </row>
    <row r="1406">
      <c r="A1406" t="inlineStr">
        <is>
          <t>ca-toronto</t>
        </is>
      </c>
      <c r="B1406" t="inlineStr">
        <is>
          <t>Toronto</t>
        </is>
      </c>
      <c r="C1406" t="inlineStr">
        <is>
          <t>Canada</t>
        </is>
      </c>
      <c r="D1406" t="inlineStr">
        <is>
          <t>North America</t>
        </is>
      </c>
      <c r="E1406" t="inlineStr">
        <is>
          <t>gross_income</t>
        </is>
      </c>
      <c r="F1406" t="inlineStr">
        <is>
          <t>Gross income</t>
        </is>
      </c>
      <c r="G1406" t="inlineStr">
        <is>
          <t>pressure</t>
        </is>
      </c>
      <c r="H1406" t="inlineStr">
        <is>
          <t>yes</t>
        </is>
      </c>
      <c r="I1406" t="inlineStr"/>
      <c r="J1406" t="inlineStr"/>
      <c r="K1406" t="inlineStr"/>
      <c r="L1406" t="inlineStr"/>
      <c r="M1406" t="inlineStr"/>
      <c r="N1406" t="inlineStr"/>
    </row>
    <row r="1407">
      <c r="A1407" t="inlineStr">
        <is>
          <t>ca-toronto</t>
        </is>
      </c>
      <c r="B1407" t="inlineStr">
        <is>
          <t>Toronto</t>
        </is>
      </c>
      <c r="C1407" t="inlineStr">
        <is>
          <t>Canada</t>
        </is>
      </c>
      <c r="D1407" t="inlineStr">
        <is>
          <t>North America</t>
        </is>
      </c>
      <c r="E1407" t="inlineStr">
        <is>
          <t>rent</t>
        </is>
      </c>
      <c r="F1407" t="inlineStr">
        <is>
          <t>Rent</t>
        </is>
      </c>
      <c r="G1407" t="inlineStr">
        <is>
          <t>pressure</t>
        </is>
      </c>
      <c r="H1407" t="inlineStr">
        <is>
          <t>yes</t>
        </is>
      </c>
      <c r="I1407" t="inlineStr"/>
      <c r="J1407" t="inlineStr"/>
      <c r="K1407" t="inlineStr"/>
      <c r="L1407" t="inlineStr"/>
      <c r="M1407" t="inlineStr"/>
      <c r="N1407" t="inlineStr"/>
    </row>
    <row r="1408">
      <c r="A1408" t="inlineStr">
        <is>
          <t>ca-toronto</t>
        </is>
      </c>
      <c r="B1408" t="inlineStr">
        <is>
          <t>Toronto</t>
        </is>
      </c>
      <c r="C1408" t="inlineStr">
        <is>
          <t>Canada</t>
        </is>
      </c>
      <c r="D1408" t="inlineStr">
        <is>
          <t>North America</t>
        </is>
      </c>
      <c r="E1408" t="inlineStr">
        <is>
          <t>utilities</t>
        </is>
      </c>
      <c r="F1408" t="inlineStr">
        <is>
          <t>Utilities</t>
        </is>
      </c>
      <c r="G1408" t="inlineStr">
        <is>
          <t>pressure</t>
        </is>
      </c>
      <c r="H1408" t="inlineStr">
        <is>
          <t>yes</t>
        </is>
      </c>
      <c r="I1408" t="inlineStr"/>
      <c r="J1408" t="inlineStr"/>
      <c r="K1408" t="inlineStr"/>
      <c r="L1408" t="inlineStr"/>
      <c r="M1408" t="inlineStr"/>
      <c r="N1408" t="inlineStr"/>
    </row>
    <row r="1409">
      <c r="A1409" t="inlineStr">
        <is>
          <t>ca-toronto</t>
        </is>
      </c>
      <c r="B1409" t="inlineStr">
        <is>
          <t>Toronto</t>
        </is>
      </c>
      <c r="C1409" t="inlineStr">
        <is>
          <t>Canada</t>
        </is>
      </c>
      <c r="D1409" t="inlineStr">
        <is>
          <t>North America</t>
        </is>
      </c>
      <c r="E1409" t="inlineStr">
        <is>
          <t>transit_cost</t>
        </is>
      </c>
      <c r="F1409" t="inlineStr">
        <is>
          <t>Transit cost</t>
        </is>
      </c>
      <c r="G1409" t="inlineStr">
        <is>
          <t>pressure</t>
        </is>
      </c>
      <c r="H1409" t="inlineStr">
        <is>
          <t>yes</t>
        </is>
      </c>
      <c r="I1409" t="inlineStr"/>
      <c r="J1409" t="inlineStr"/>
      <c r="K1409" t="inlineStr"/>
      <c r="L1409" t="inlineStr"/>
      <c r="M1409" t="inlineStr"/>
      <c r="N1409" t="inlineStr"/>
    </row>
    <row r="1410">
      <c r="A1410" t="inlineStr">
        <is>
          <t>ca-toronto</t>
        </is>
      </c>
      <c r="B1410" t="inlineStr">
        <is>
          <t>Toronto</t>
        </is>
      </c>
      <c r="C1410" t="inlineStr">
        <is>
          <t>Canada</t>
        </is>
      </c>
      <c r="D1410" t="inlineStr">
        <is>
          <t>North America</t>
        </is>
      </c>
      <c r="E1410" t="inlineStr">
        <is>
          <t>internet_cost</t>
        </is>
      </c>
      <c r="F1410" t="inlineStr">
        <is>
          <t>Internet cost</t>
        </is>
      </c>
      <c r="G1410" t="inlineStr">
        <is>
          <t>pressure</t>
        </is>
      </c>
      <c r="H1410" t="inlineStr">
        <is>
          <t>yes</t>
        </is>
      </c>
      <c r="I1410" t="inlineStr"/>
      <c r="J1410" t="inlineStr"/>
      <c r="K1410" t="inlineStr"/>
      <c r="L1410" t="inlineStr"/>
      <c r="M1410" t="inlineStr"/>
      <c r="N1410" t="inlineStr"/>
    </row>
    <row r="1411">
      <c r="A1411" t="inlineStr">
        <is>
          <t>ca-toronto</t>
        </is>
      </c>
      <c r="B1411" t="inlineStr">
        <is>
          <t>Toronto</t>
        </is>
      </c>
      <c r="C1411" t="inlineStr">
        <is>
          <t>Canada</t>
        </is>
      </c>
      <c r="D1411" t="inlineStr">
        <is>
          <t>North America</t>
        </is>
      </c>
      <c r="E1411" t="inlineStr">
        <is>
          <t>food_cost</t>
        </is>
      </c>
      <c r="F1411" t="inlineStr">
        <is>
          <t>Food cost</t>
        </is>
      </c>
      <c r="G1411" t="inlineStr">
        <is>
          <t>pressure</t>
        </is>
      </c>
      <c r="H1411" t="inlineStr">
        <is>
          <t>yes</t>
        </is>
      </c>
      <c r="I1411" t="inlineStr"/>
      <c r="J1411" t="inlineStr"/>
      <c r="K1411" t="inlineStr"/>
      <c r="L1411" t="inlineStr"/>
      <c r="M1411" t="inlineStr"/>
      <c r="N1411" t="inlineStr"/>
    </row>
    <row r="1412">
      <c r="A1412" t="inlineStr">
        <is>
          <t>ca-toronto</t>
        </is>
      </c>
      <c r="B1412" t="inlineStr">
        <is>
          <t>Toronto</t>
        </is>
      </c>
      <c r="C1412" t="inlineStr">
        <is>
          <t>Canada</t>
        </is>
      </c>
      <c r="D1412" t="inlineStr">
        <is>
          <t>North America</t>
        </is>
      </c>
      <c r="E1412" t="inlineStr">
        <is>
          <t>housing_burden_raw</t>
        </is>
      </c>
      <c r="F1412" t="inlineStr">
        <is>
          <t>Housing burden raw</t>
        </is>
      </c>
      <c r="G1412" t="inlineStr">
        <is>
          <t>pressure</t>
        </is>
      </c>
      <c r="H1412" t="inlineStr">
        <is>
          <t>yes</t>
        </is>
      </c>
      <c r="I1412" t="inlineStr"/>
      <c r="J1412" t="inlineStr"/>
      <c r="K1412" t="inlineStr"/>
      <c r="L1412" t="inlineStr"/>
      <c r="M1412" t="inlineStr"/>
      <c r="N1412" t="inlineStr"/>
    </row>
    <row r="1413">
      <c r="A1413" t="inlineStr">
        <is>
          <t>ca-toronto</t>
        </is>
      </c>
      <c r="B1413" t="inlineStr">
        <is>
          <t>Toronto</t>
        </is>
      </c>
      <c r="C1413" t="inlineStr">
        <is>
          <t>Canada</t>
        </is>
      </c>
      <c r="D1413" t="inlineStr">
        <is>
          <t>North America</t>
        </is>
      </c>
      <c r="E1413" t="inlineStr">
        <is>
          <t>household_debt_burden_raw</t>
        </is>
      </c>
      <c r="F1413" t="inlineStr">
        <is>
          <t>Household debt burden raw</t>
        </is>
      </c>
      <c r="G1413" t="inlineStr">
        <is>
          <t>pressure</t>
        </is>
      </c>
      <c r="H1413" t="inlineStr">
        <is>
          <t>yes</t>
        </is>
      </c>
      <c r="I1413" t="inlineStr"/>
      <c r="J1413" t="inlineStr"/>
      <c r="K1413" t="inlineStr"/>
      <c r="L1413" t="inlineStr"/>
      <c r="M1413" t="inlineStr"/>
      <c r="N1413" t="inlineStr"/>
    </row>
    <row r="1414">
      <c r="A1414" t="inlineStr">
        <is>
          <t>ca-toronto</t>
        </is>
      </c>
      <c r="B1414" t="inlineStr">
        <is>
          <t>Toronto</t>
        </is>
      </c>
      <c r="C1414" t="inlineStr">
        <is>
          <t>Canada</t>
        </is>
      </c>
      <c r="D1414" t="inlineStr">
        <is>
          <t>North America</t>
        </is>
      </c>
      <c r="E1414" t="inlineStr">
        <is>
          <t>working_time_pressure_raw</t>
        </is>
      </c>
      <c r="F1414" t="inlineStr">
        <is>
          <t>Working time pressure raw</t>
        </is>
      </c>
      <c r="G1414" t="inlineStr">
        <is>
          <t>pressure</t>
        </is>
      </c>
      <c r="H1414" t="inlineStr">
        <is>
          <t>yes</t>
        </is>
      </c>
      <c r="I1414" t="inlineStr"/>
      <c r="J1414" t="inlineStr"/>
      <c r="K1414" t="inlineStr"/>
      <c r="L1414" t="inlineStr"/>
      <c r="M1414" t="inlineStr"/>
      <c r="N1414" t="inlineStr"/>
    </row>
    <row r="1415">
      <c r="A1415" t="inlineStr">
        <is>
          <t>ca-toronto</t>
        </is>
      </c>
      <c r="B1415" t="inlineStr">
        <is>
          <t>Toronto</t>
        </is>
      </c>
      <c r="C1415" t="inlineStr">
        <is>
          <t>Canada</t>
        </is>
      </c>
      <c r="D1415" t="inlineStr">
        <is>
          <t>North America</t>
        </is>
      </c>
      <c r="E1415" t="inlineStr">
        <is>
          <t>suicide_mental_strain_raw</t>
        </is>
      </c>
      <c r="F1415" t="inlineStr">
        <is>
          <t>Suicide or mental strain raw</t>
        </is>
      </c>
      <c r="G1415" t="inlineStr">
        <is>
          <t>pressure</t>
        </is>
      </c>
      <c r="H1415" t="inlineStr">
        <is>
          <t>yes</t>
        </is>
      </c>
      <c r="I1415" t="inlineStr"/>
      <c r="J1415" t="inlineStr"/>
      <c r="K1415" t="inlineStr"/>
      <c r="L1415" t="inlineStr"/>
      <c r="M1415" t="inlineStr"/>
      <c r="N1415" t="inlineStr"/>
    </row>
    <row r="1416">
      <c r="A1416" t="inlineStr">
        <is>
          <t>ca-toronto</t>
        </is>
      </c>
      <c r="B1416" t="inlineStr">
        <is>
          <t>Toronto</t>
        </is>
      </c>
      <c r="C1416" t="inlineStr">
        <is>
          <t>Canada</t>
        </is>
      </c>
      <c r="D1416" t="inlineStr">
        <is>
          <t>North America</t>
        </is>
      </c>
      <c r="E1416" t="inlineStr">
        <is>
          <t>personal_safety_raw</t>
        </is>
      </c>
      <c r="F1416" t="inlineStr">
        <is>
          <t>Personal safety raw</t>
        </is>
      </c>
      <c r="G1416" t="inlineStr">
        <is>
          <t>viability</t>
        </is>
      </c>
      <c r="H1416" t="inlineStr">
        <is>
          <t>yes</t>
        </is>
      </c>
      <c r="I1416" t="inlineStr"/>
      <c r="J1416" t="inlineStr"/>
      <c r="K1416" t="inlineStr"/>
      <c r="L1416" t="inlineStr"/>
      <c r="M1416" t="inlineStr"/>
      <c r="N1416" t="inlineStr"/>
    </row>
    <row r="1417">
      <c r="A1417" t="inlineStr">
        <is>
          <t>ca-toronto</t>
        </is>
      </c>
      <c r="B1417" t="inlineStr">
        <is>
          <t>Toronto</t>
        </is>
      </c>
      <c r="C1417" t="inlineStr">
        <is>
          <t>Canada</t>
        </is>
      </c>
      <c r="D1417" t="inlineStr">
        <is>
          <t>North America</t>
        </is>
      </c>
      <c r="E1417" t="inlineStr">
        <is>
          <t>transit_access_commute_raw</t>
        </is>
      </c>
      <c r="F1417" t="inlineStr">
        <is>
          <t>Transit access and commute raw</t>
        </is>
      </c>
      <c r="G1417" t="inlineStr">
        <is>
          <t>viability</t>
        </is>
      </c>
      <c r="H1417" t="inlineStr">
        <is>
          <t>yes</t>
        </is>
      </c>
      <c r="I1417" t="inlineStr"/>
      <c r="J1417" t="inlineStr"/>
      <c r="K1417" t="inlineStr"/>
      <c r="L1417" t="inlineStr"/>
      <c r="M1417" t="inlineStr"/>
      <c r="N1417" t="inlineStr"/>
    </row>
    <row r="1418">
      <c r="A1418" t="inlineStr">
        <is>
          <t>ca-toronto</t>
        </is>
      </c>
      <c r="B1418" t="inlineStr">
        <is>
          <t>Toronto</t>
        </is>
      </c>
      <c r="C1418" t="inlineStr">
        <is>
          <t>Canada</t>
        </is>
      </c>
      <c r="D1418" t="inlineStr">
        <is>
          <t>North America</t>
        </is>
      </c>
      <c r="E1418" t="inlineStr">
        <is>
          <t>clean_air_raw</t>
        </is>
      </c>
      <c r="F1418" t="inlineStr">
        <is>
          <t>Clean air raw</t>
        </is>
      </c>
      <c r="G1418" t="inlineStr">
        <is>
          <t>viability</t>
        </is>
      </c>
      <c r="H1418" t="inlineStr">
        <is>
          <t>yes</t>
        </is>
      </c>
      <c r="I1418" t="inlineStr"/>
      <c r="J1418" t="inlineStr"/>
      <c r="K1418" t="inlineStr"/>
      <c r="L1418" t="inlineStr"/>
      <c r="M1418" t="inlineStr"/>
      <c r="N1418" t="inlineStr"/>
    </row>
    <row r="1419">
      <c r="A1419" t="inlineStr">
        <is>
          <t>ca-toronto</t>
        </is>
      </c>
      <c r="B1419" t="inlineStr">
        <is>
          <t>Toronto</t>
        </is>
      </c>
      <c r="C1419" t="inlineStr">
        <is>
          <t>Canada</t>
        </is>
      </c>
      <c r="D1419" t="inlineStr">
        <is>
          <t>North America</t>
        </is>
      </c>
      <c r="E1419" t="inlineStr">
        <is>
          <t>water_sanitation_utility_raw</t>
        </is>
      </c>
      <c r="F1419" t="inlineStr">
        <is>
          <t>Water, sanitation, and utility raw</t>
        </is>
      </c>
      <c r="G1419" t="inlineStr">
        <is>
          <t>viability</t>
        </is>
      </c>
      <c r="H1419" t="inlineStr">
        <is>
          <t>yes</t>
        </is>
      </c>
      <c r="I1419" t="inlineStr"/>
      <c r="J1419" t="inlineStr"/>
      <c r="K1419" t="inlineStr"/>
      <c r="L1419" t="inlineStr"/>
      <c r="M1419" t="inlineStr"/>
      <c r="N1419" t="inlineStr"/>
    </row>
    <row r="1420">
      <c r="A1420" t="inlineStr">
        <is>
          <t>ca-toronto</t>
        </is>
      </c>
      <c r="B1420" t="inlineStr">
        <is>
          <t>Toronto</t>
        </is>
      </c>
      <c r="C1420" t="inlineStr">
        <is>
          <t>Canada</t>
        </is>
      </c>
      <c r="D1420" t="inlineStr">
        <is>
          <t>North America</t>
        </is>
      </c>
      <c r="E1420" t="inlineStr">
        <is>
          <t>digital_infrastructure_raw</t>
        </is>
      </c>
      <c r="F1420" t="inlineStr">
        <is>
          <t>Digital infrastructure raw</t>
        </is>
      </c>
      <c r="G1420" t="inlineStr">
        <is>
          <t>viability</t>
        </is>
      </c>
      <c r="H1420" t="inlineStr">
        <is>
          <t>yes</t>
        </is>
      </c>
      <c r="I1420" t="inlineStr"/>
      <c r="J1420" t="inlineStr"/>
      <c r="K1420" t="inlineStr"/>
      <c r="L1420" t="inlineStr"/>
      <c r="M1420" t="inlineStr"/>
      <c r="N1420" t="inlineStr"/>
    </row>
    <row r="1421">
      <c r="A1421" t="inlineStr">
        <is>
          <t>ca-toronto</t>
        </is>
      </c>
      <c r="B1421" t="inlineStr">
        <is>
          <t>Toronto</t>
        </is>
      </c>
      <c r="C1421" t="inlineStr">
        <is>
          <t>Canada</t>
        </is>
      </c>
      <c r="D1421" t="inlineStr">
        <is>
          <t>North America</t>
        </is>
      </c>
      <c r="E1421" t="inlineStr">
        <is>
          <t>healthcare_quality_raw</t>
        </is>
      </c>
      <c r="F1421" t="inlineStr">
        <is>
          <t>Healthcare quality raw</t>
        </is>
      </c>
      <c r="G1421" t="inlineStr">
        <is>
          <t>capability</t>
        </is>
      </c>
      <c r="H1421" t="inlineStr">
        <is>
          <t>yes</t>
        </is>
      </c>
      <c r="I1421" t="inlineStr"/>
      <c r="J1421" t="inlineStr"/>
      <c r="K1421" t="inlineStr"/>
      <c r="L1421" t="inlineStr"/>
      <c r="M1421" t="inlineStr"/>
      <c r="N1421" t="inlineStr"/>
    </row>
    <row r="1422">
      <c r="A1422" t="inlineStr">
        <is>
          <t>ca-toronto</t>
        </is>
      </c>
      <c r="B1422" t="inlineStr">
        <is>
          <t>Toronto</t>
        </is>
      </c>
      <c r="C1422" t="inlineStr">
        <is>
          <t>Canada</t>
        </is>
      </c>
      <c r="D1422" t="inlineStr">
        <is>
          <t>North America</t>
        </is>
      </c>
      <c r="E1422" t="inlineStr">
        <is>
          <t>education_quality_raw</t>
        </is>
      </c>
      <c r="F1422" t="inlineStr">
        <is>
          <t>Education quality raw</t>
        </is>
      </c>
      <c r="G1422" t="inlineStr">
        <is>
          <t>capability</t>
        </is>
      </c>
      <c r="H1422" t="inlineStr">
        <is>
          <t>yes</t>
        </is>
      </c>
      <c r="I1422" t="inlineStr"/>
      <c r="J1422" t="inlineStr"/>
      <c r="K1422" t="inlineStr"/>
      <c r="L1422" t="inlineStr"/>
      <c r="M1422" t="inlineStr"/>
      <c r="N1422" t="inlineStr"/>
    </row>
    <row r="1423">
      <c r="A1423" t="inlineStr">
        <is>
          <t>ca-toronto</t>
        </is>
      </c>
      <c r="B1423" t="inlineStr">
        <is>
          <t>Toronto</t>
        </is>
      </c>
      <c r="C1423" t="inlineStr">
        <is>
          <t>Canada</t>
        </is>
      </c>
      <c r="D1423" t="inlineStr">
        <is>
          <t>North America</t>
        </is>
      </c>
      <c r="E1423" t="inlineStr">
        <is>
          <t>equal_opportunity_raw</t>
        </is>
      </c>
      <c r="F1423" t="inlineStr">
        <is>
          <t>Equal opportunity raw</t>
        </is>
      </c>
      <c r="G1423" t="inlineStr">
        <is>
          <t>capability</t>
        </is>
      </c>
      <c r="H1423" t="inlineStr">
        <is>
          <t>yes</t>
        </is>
      </c>
      <c r="I1423" t="inlineStr"/>
      <c r="J1423" t="inlineStr"/>
      <c r="K1423" t="inlineStr"/>
      <c r="L1423" t="inlineStr"/>
      <c r="M1423" t="inlineStr"/>
      <c r="N1423" t="inlineStr"/>
    </row>
    <row r="1424">
      <c r="A1424" t="inlineStr">
        <is>
          <t>ca-toronto</t>
        </is>
      </c>
      <c r="B1424" t="inlineStr">
        <is>
          <t>Toronto</t>
        </is>
      </c>
      <c r="C1424" t="inlineStr">
        <is>
          <t>Canada</t>
        </is>
      </c>
      <c r="D1424" t="inlineStr">
        <is>
          <t>North America</t>
        </is>
      </c>
      <c r="E1424" t="inlineStr">
        <is>
          <t>hospitality_belonging_raw</t>
        </is>
      </c>
      <c r="F1424" t="inlineStr">
        <is>
          <t>Hospitality and belonging raw</t>
        </is>
      </c>
      <c r="G1424" t="inlineStr">
        <is>
          <t>community</t>
        </is>
      </c>
      <c r="H1424" t="inlineStr">
        <is>
          <t>yes</t>
        </is>
      </c>
      <c r="I1424" t="inlineStr"/>
      <c r="J1424" t="inlineStr"/>
      <c r="K1424" t="inlineStr"/>
      <c r="L1424" t="inlineStr"/>
      <c r="M1424" t="inlineStr"/>
      <c r="N1424" t="inlineStr"/>
    </row>
    <row r="1425">
      <c r="A1425" t="inlineStr">
        <is>
          <t>ca-toronto</t>
        </is>
      </c>
      <c r="B1425" t="inlineStr">
        <is>
          <t>Toronto</t>
        </is>
      </c>
      <c r="C1425" t="inlineStr">
        <is>
          <t>Canada</t>
        </is>
      </c>
      <c r="D1425" t="inlineStr">
        <is>
          <t>North America</t>
        </is>
      </c>
      <c r="E1425" t="inlineStr">
        <is>
          <t>tolerance_pluralism_raw</t>
        </is>
      </c>
      <c r="F1425" t="inlineStr">
        <is>
          <t>Tolerance and pluralism raw</t>
        </is>
      </c>
      <c r="G1425" t="inlineStr">
        <is>
          <t>community</t>
        </is>
      </c>
      <c r="H1425" t="inlineStr">
        <is>
          <t>yes</t>
        </is>
      </c>
      <c r="I1425" t="inlineStr"/>
      <c r="J1425" t="inlineStr"/>
      <c r="K1425" t="inlineStr"/>
      <c r="L1425" t="inlineStr"/>
      <c r="M1425" t="inlineStr"/>
      <c r="N1425" t="inlineStr"/>
    </row>
    <row r="1426">
      <c r="A1426" t="inlineStr">
        <is>
          <t>ca-toronto</t>
        </is>
      </c>
      <c r="B1426" t="inlineStr">
        <is>
          <t>Toronto</t>
        </is>
      </c>
      <c r="C1426" t="inlineStr">
        <is>
          <t>Canada</t>
        </is>
      </c>
      <c r="D1426" t="inlineStr">
        <is>
          <t>North America</t>
        </is>
      </c>
      <c r="E1426" t="inlineStr">
        <is>
          <t>cultural_public_life_raw</t>
        </is>
      </c>
      <c r="F1426" t="inlineStr">
        <is>
          <t>Cultural public life raw</t>
        </is>
      </c>
      <c r="G1426" t="inlineStr">
        <is>
          <t>community</t>
        </is>
      </c>
      <c r="H1426" t="inlineStr">
        <is>
          <t>yes</t>
        </is>
      </c>
      <c r="I1426" t="inlineStr"/>
      <c r="J1426" t="inlineStr"/>
      <c r="K1426" t="inlineStr"/>
      <c r="L1426" t="inlineStr"/>
      <c r="M1426" t="inlineStr"/>
      <c r="N1426" t="inlineStr"/>
    </row>
    <row r="1427">
      <c r="A1427" t="inlineStr">
        <is>
          <t>ca-toronto</t>
        </is>
      </c>
      <c r="B1427" t="inlineStr">
        <is>
          <t>Toronto</t>
        </is>
      </c>
      <c r="C1427" t="inlineStr">
        <is>
          <t>Canada</t>
        </is>
      </c>
      <c r="D1427" t="inlineStr">
        <is>
          <t>North America</t>
        </is>
      </c>
      <c r="E1427" t="inlineStr">
        <is>
          <t>entrepreneurial_dynamism_raw</t>
        </is>
      </c>
      <c r="F1427" t="inlineStr">
        <is>
          <t>Entrepreneurial dynamism raw</t>
        </is>
      </c>
      <c r="G1427" t="inlineStr">
        <is>
          <t>creative</t>
        </is>
      </c>
      <c r="H1427" t="inlineStr">
        <is>
          <t>yes</t>
        </is>
      </c>
      <c r="I1427" t="inlineStr"/>
      <c r="J1427" t="inlineStr"/>
      <c r="K1427" t="inlineStr"/>
      <c r="L1427" t="inlineStr"/>
      <c r="M1427" t="inlineStr"/>
      <c r="N1427" t="inlineStr"/>
    </row>
    <row r="1428">
      <c r="A1428" t="inlineStr">
        <is>
          <t>ca-toronto</t>
        </is>
      </c>
      <c r="B1428" t="inlineStr">
        <is>
          <t>Toronto</t>
        </is>
      </c>
      <c r="C1428" t="inlineStr">
        <is>
          <t>Canada</t>
        </is>
      </c>
      <c r="D1428" t="inlineStr">
        <is>
          <t>North America</t>
        </is>
      </c>
      <c r="E1428" t="inlineStr">
        <is>
          <t>innovation_research_intensity_raw</t>
        </is>
      </c>
      <c r="F1428" t="inlineStr">
        <is>
          <t>Innovation and research raw</t>
        </is>
      </c>
      <c r="G1428" t="inlineStr">
        <is>
          <t>creative</t>
        </is>
      </c>
      <c r="H1428" t="inlineStr">
        <is>
          <t>yes</t>
        </is>
      </c>
      <c r="I1428" t="inlineStr"/>
      <c r="J1428" t="inlineStr"/>
      <c r="K1428" t="inlineStr"/>
      <c r="L1428" t="inlineStr"/>
      <c r="M1428" t="inlineStr"/>
      <c r="N1428" t="inlineStr"/>
    </row>
    <row r="1429">
      <c r="A1429" t="inlineStr">
        <is>
          <t>ca-toronto</t>
        </is>
      </c>
      <c r="B1429" t="inlineStr">
        <is>
          <t>Toronto</t>
        </is>
      </c>
      <c r="C1429" t="inlineStr">
        <is>
          <t>Canada</t>
        </is>
      </c>
      <c r="D1429" t="inlineStr">
        <is>
          <t>North America</t>
        </is>
      </c>
      <c r="E1429" t="inlineStr">
        <is>
          <t>investment_signal_raw</t>
        </is>
      </c>
      <c r="F1429" t="inlineStr">
        <is>
          <t>Investment signal raw</t>
        </is>
      </c>
      <c r="G1429" t="inlineStr">
        <is>
          <t>creative</t>
        </is>
      </c>
      <c r="H1429" t="inlineStr">
        <is>
          <t>yes</t>
        </is>
      </c>
      <c r="I1429" t="inlineStr"/>
      <c r="J1429" t="inlineStr"/>
      <c r="K1429" t="inlineStr"/>
      <c r="L1429" t="inlineStr"/>
      <c r="M1429" t="inlineStr"/>
      <c r="N1429" t="inlineStr"/>
    </row>
    <row r="1430">
      <c r="A1430" t="inlineStr">
        <is>
          <t>ca-toronto</t>
        </is>
      </c>
      <c r="B1430" t="inlineStr">
        <is>
          <t>Toronto</t>
        </is>
      </c>
      <c r="C1430" t="inlineStr">
        <is>
          <t>Canada</t>
        </is>
      </c>
      <c r="D1430" t="inlineStr">
        <is>
          <t>North America</t>
        </is>
      </c>
      <c r="E1430" t="inlineStr">
        <is>
          <t>administrative_investment_friction_raw</t>
        </is>
      </c>
      <c r="F1430" t="inlineStr">
        <is>
          <t>Administrative investment friction raw</t>
        </is>
      </c>
      <c r="G1430" t="inlineStr">
        <is>
          <t>creative</t>
        </is>
      </c>
      <c r="H1430" t="inlineStr">
        <is>
          <t>yes</t>
        </is>
      </c>
      <c r="I1430" t="inlineStr"/>
      <c r="J1430" t="inlineStr"/>
      <c r="K1430" t="inlineStr"/>
      <c r="L1430" t="inlineStr"/>
      <c r="M1430" t="inlineStr"/>
      <c r="N1430" t="inlineStr"/>
    </row>
    <row r="1431">
      <c r="A1431" t="inlineStr">
        <is>
          <t>ca-toronto</t>
        </is>
      </c>
      <c r="B1431" t="inlineStr">
        <is>
          <t>Toronto</t>
        </is>
      </c>
      <c r="C1431" t="inlineStr">
        <is>
          <t>Canada</t>
        </is>
      </c>
      <c r="D1431" t="inlineStr">
        <is>
          <t>North America</t>
        </is>
      </c>
      <c r="E1431" t="inlineStr">
        <is>
          <t>visitor_flow_context_raw</t>
        </is>
      </c>
      <c r="F1431" t="inlineStr">
        <is>
          <t>Visitor flow context raw</t>
        </is>
      </c>
      <c r="G1431" t="inlineStr">
        <is>
          <t>creative</t>
        </is>
      </c>
      <c r="H1431" t="inlineStr">
        <is>
          <t>no</t>
        </is>
      </c>
      <c r="I1431" t="inlineStr"/>
      <c r="J1431" t="inlineStr"/>
      <c r="K1431" t="inlineStr"/>
      <c r="L1431" t="inlineStr"/>
      <c r="M1431" t="inlineStr"/>
      <c r="N1431" t="inlineStr"/>
    </row>
    <row r="1432">
      <c r="A1432" t="inlineStr">
        <is>
          <t>pa-panama-city</t>
        </is>
      </c>
      <c r="B1432" t="inlineStr">
        <is>
          <t>Panama City</t>
        </is>
      </c>
      <c r="C1432" t="inlineStr">
        <is>
          <t>Panama</t>
        </is>
      </c>
      <c r="D1432" t="inlineStr">
        <is>
          <t>North America</t>
        </is>
      </c>
      <c r="E1432" t="inlineStr">
        <is>
          <t>gross_income</t>
        </is>
      </c>
      <c r="F1432" t="inlineStr">
        <is>
          <t>Gross income</t>
        </is>
      </c>
      <c r="G1432" t="inlineStr">
        <is>
          <t>pressure</t>
        </is>
      </c>
      <c r="H1432" t="inlineStr">
        <is>
          <t>yes</t>
        </is>
      </c>
      <c r="I1432" t="inlineStr"/>
      <c r="J1432" t="inlineStr"/>
      <c r="K1432" t="inlineStr"/>
      <c r="L1432" t="inlineStr"/>
      <c r="M1432" t="inlineStr"/>
      <c r="N1432" t="inlineStr"/>
    </row>
    <row r="1433">
      <c r="A1433" t="inlineStr">
        <is>
          <t>pa-panama-city</t>
        </is>
      </c>
      <c r="B1433" t="inlineStr">
        <is>
          <t>Panama City</t>
        </is>
      </c>
      <c r="C1433" t="inlineStr">
        <is>
          <t>Panama</t>
        </is>
      </c>
      <c r="D1433" t="inlineStr">
        <is>
          <t>North America</t>
        </is>
      </c>
      <c r="E1433" t="inlineStr">
        <is>
          <t>rent</t>
        </is>
      </c>
      <c r="F1433" t="inlineStr">
        <is>
          <t>Rent</t>
        </is>
      </c>
      <c r="G1433" t="inlineStr">
        <is>
          <t>pressure</t>
        </is>
      </c>
      <c r="H1433" t="inlineStr">
        <is>
          <t>yes</t>
        </is>
      </c>
      <c r="I1433" t="inlineStr"/>
      <c r="J1433" t="inlineStr"/>
      <c r="K1433" t="inlineStr"/>
      <c r="L1433" t="inlineStr"/>
      <c r="M1433" t="inlineStr"/>
      <c r="N1433" t="inlineStr"/>
    </row>
    <row r="1434">
      <c r="A1434" t="inlineStr">
        <is>
          <t>pa-panama-city</t>
        </is>
      </c>
      <c r="B1434" t="inlineStr">
        <is>
          <t>Panama City</t>
        </is>
      </c>
      <c r="C1434" t="inlineStr">
        <is>
          <t>Panama</t>
        </is>
      </c>
      <c r="D1434" t="inlineStr">
        <is>
          <t>North America</t>
        </is>
      </c>
      <c r="E1434" t="inlineStr">
        <is>
          <t>utilities</t>
        </is>
      </c>
      <c r="F1434" t="inlineStr">
        <is>
          <t>Utilities</t>
        </is>
      </c>
      <c r="G1434" t="inlineStr">
        <is>
          <t>pressure</t>
        </is>
      </c>
      <c r="H1434" t="inlineStr">
        <is>
          <t>yes</t>
        </is>
      </c>
      <c r="I1434" t="inlineStr"/>
      <c r="J1434" t="inlineStr"/>
      <c r="K1434" t="inlineStr"/>
      <c r="L1434" t="inlineStr"/>
      <c r="M1434" t="inlineStr"/>
      <c r="N1434" t="inlineStr"/>
    </row>
    <row r="1435">
      <c r="A1435" t="inlineStr">
        <is>
          <t>pa-panama-city</t>
        </is>
      </c>
      <c r="B1435" t="inlineStr">
        <is>
          <t>Panama City</t>
        </is>
      </c>
      <c r="C1435" t="inlineStr">
        <is>
          <t>Panama</t>
        </is>
      </c>
      <c r="D1435" t="inlineStr">
        <is>
          <t>North America</t>
        </is>
      </c>
      <c r="E1435" t="inlineStr">
        <is>
          <t>transit_cost</t>
        </is>
      </c>
      <c r="F1435" t="inlineStr">
        <is>
          <t>Transit cost</t>
        </is>
      </c>
      <c r="G1435" t="inlineStr">
        <is>
          <t>pressure</t>
        </is>
      </c>
      <c r="H1435" t="inlineStr">
        <is>
          <t>yes</t>
        </is>
      </c>
      <c r="I1435" t="inlineStr"/>
      <c r="J1435" t="inlineStr"/>
      <c r="K1435" t="inlineStr"/>
      <c r="L1435" t="inlineStr"/>
      <c r="M1435" t="inlineStr"/>
      <c r="N1435" t="inlineStr"/>
    </row>
    <row r="1436">
      <c r="A1436" t="inlineStr">
        <is>
          <t>pa-panama-city</t>
        </is>
      </c>
      <c r="B1436" t="inlineStr">
        <is>
          <t>Panama City</t>
        </is>
      </c>
      <c r="C1436" t="inlineStr">
        <is>
          <t>Panama</t>
        </is>
      </c>
      <c r="D1436" t="inlineStr">
        <is>
          <t>North America</t>
        </is>
      </c>
      <c r="E1436" t="inlineStr">
        <is>
          <t>internet_cost</t>
        </is>
      </c>
      <c r="F1436" t="inlineStr">
        <is>
          <t>Internet cost</t>
        </is>
      </c>
      <c r="G1436" t="inlineStr">
        <is>
          <t>pressure</t>
        </is>
      </c>
      <c r="H1436" t="inlineStr">
        <is>
          <t>yes</t>
        </is>
      </c>
      <c r="I1436" t="inlineStr"/>
      <c r="J1436" t="inlineStr"/>
      <c r="K1436" t="inlineStr"/>
      <c r="L1436" t="inlineStr"/>
      <c r="M1436" t="inlineStr"/>
      <c r="N1436" t="inlineStr"/>
    </row>
    <row r="1437">
      <c r="A1437" t="inlineStr">
        <is>
          <t>pa-panama-city</t>
        </is>
      </c>
      <c r="B1437" t="inlineStr">
        <is>
          <t>Panama City</t>
        </is>
      </c>
      <c r="C1437" t="inlineStr">
        <is>
          <t>Panama</t>
        </is>
      </c>
      <c r="D1437" t="inlineStr">
        <is>
          <t>North America</t>
        </is>
      </c>
      <c r="E1437" t="inlineStr">
        <is>
          <t>food_cost</t>
        </is>
      </c>
      <c r="F1437" t="inlineStr">
        <is>
          <t>Food cost</t>
        </is>
      </c>
      <c r="G1437" t="inlineStr">
        <is>
          <t>pressure</t>
        </is>
      </c>
      <c r="H1437" t="inlineStr">
        <is>
          <t>yes</t>
        </is>
      </c>
      <c r="I1437" t="inlineStr"/>
      <c r="J1437" t="inlineStr"/>
      <c r="K1437" t="inlineStr"/>
      <c r="L1437" t="inlineStr"/>
      <c r="M1437" t="inlineStr"/>
      <c r="N1437" t="inlineStr"/>
    </row>
    <row r="1438">
      <c r="A1438" t="inlineStr">
        <is>
          <t>pa-panama-city</t>
        </is>
      </c>
      <c r="B1438" t="inlineStr">
        <is>
          <t>Panama City</t>
        </is>
      </c>
      <c r="C1438" t="inlineStr">
        <is>
          <t>Panama</t>
        </is>
      </c>
      <c r="D1438" t="inlineStr">
        <is>
          <t>North America</t>
        </is>
      </c>
      <c r="E1438" t="inlineStr">
        <is>
          <t>housing_burden_raw</t>
        </is>
      </c>
      <c r="F1438" t="inlineStr">
        <is>
          <t>Housing burden raw</t>
        </is>
      </c>
      <c r="G1438" t="inlineStr">
        <is>
          <t>pressure</t>
        </is>
      </c>
      <c r="H1438" t="inlineStr">
        <is>
          <t>yes</t>
        </is>
      </c>
      <c r="I1438" t="inlineStr"/>
      <c r="J1438" t="inlineStr"/>
      <c r="K1438" t="inlineStr"/>
      <c r="L1438" t="inlineStr"/>
      <c r="M1438" t="inlineStr"/>
      <c r="N1438" t="inlineStr"/>
    </row>
    <row r="1439">
      <c r="A1439" t="inlineStr">
        <is>
          <t>pa-panama-city</t>
        </is>
      </c>
      <c r="B1439" t="inlineStr">
        <is>
          <t>Panama City</t>
        </is>
      </c>
      <c r="C1439" t="inlineStr">
        <is>
          <t>Panama</t>
        </is>
      </c>
      <c r="D1439" t="inlineStr">
        <is>
          <t>North America</t>
        </is>
      </c>
      <c r="E1439" t="inlineStr">
        <is>
          <t>household_debt_burden_raw</t>
        </is>
      </c>
      <c r="F1439" t="inlineStr">
        <is>
          <t>Household debt burden raw</t>
        </is>
      </c>
      <c r="G1439" t="inlineStr">
        <is>
          <t>pressure</t>
        </is>
      </c>
      <c r="H1439" t="inlineStr">
        <is>
          <t>yes</t>
        </is>
      </c>
      <c r="I1439" t="inlineStr"/>
      <c r="J1439" t="inlineStr"/>
      <c r="K1439" t="inlineStr"/>
      <c r="L1439" t="inlineStr"/>
      <c r="M1439" t="inlineStr"/>
      <c r="N1439" t="inlineStr"/>
    </row>
    <row r="1440">
      <c r="A1440" t="inlineStr">
        <is>
          <t>pa-panama-city</t>
        </is>
      </c>
      <c r="B1440" t="inlineStr">
        <is>
          <t>Panama City</t>
        </is>
      </c>
      <c r="C1440" t="inlineStr">
        <is>
          <t>Panama</t>
        </is>
      </c>
      <c r="D1440" t="inlineStr">
        <is>
          <t>North America</t>
        </is>
      </c>
      <c r="E1440" t="inlineStr">
        <is>
          <t>working_time_pressure_raw</t>
        </is>
      </c>
      <c r="F1440" t="inlineStr">
        <is>
          <t>Working time pressure raw</t>
        </is>
      </c>
      <c r="G1440" t="inlineStr">
        <is>
          <t>pressure</t>
        </is>
      </c>
      <c r="H1440" t="inlineStr">
        <is>
          <t>yes</t>
        </is>
      </c>
      <c r="I1440" t="inlineStr"/>
      <c r="J1440" t="inlineStr"/>
      <c r="K1440" t="inlineStr"/>
      <c r="L1440" t="inlineStr"/>
      <c r="M1440" t="inlineStr"/>
      <c r="N1440" t="inlineStr"/>
    </row>
    <row r="1441">
      <c r="A1441" t="inlineStr">
        <is>
          <t>pa-panama-city</t>
        </is>
      </c>
      <c r="B1441" t="inlineStr">
        <is>
          <t>Panama City</t>
        </is>
      </c>
      <c r="C1441" t="inlineStr">
        <is>
          <t>Panama</t>
        </is>
      </c>
      <c r="D1441" t="inlineStr">
        <is>
          <t>North America</t>
        </is>
      </c>
      <c r="E1441" t="inlineStr">
        <is>
          <t>suicide_mental_strain_raw</t>
        </is>
      </c>
      <c r="F1441" t="inlineStr">
        <is>
          <t>Suicide or mental strain raw</t>
        </is>
      </c>
      <c r="G1441" t="inlineStr">
        <is>
          <t>pressure</t>
        </is>
      </c>
      <c r="H1441" t="inlineStr">
        <is>
          <t>yes</t>
        </is>
      </c>
      <c r="I1441" t="inlineStr"/>
      <c r="J1441" t="inlineStr"/>
      <c r="K1441" t="inlineStr"/>
      <c r="L1441" t="inlineStr"/>
      <c r="M1441" t="inlineStr"/>
      <c r="N1441" t="inlineStr"/>
    </row>
    <row r="1442">
      <c r="A1442" t="inlineStr">
        <is>
          <t>pa-panama-city</t>
        </is>
      </c>
      <c r="B1442" t="inlineStr">
        <is>
          <t>Panama City</t>
        </is>
      </c>
      <c r="C1442" t="inlineStr">
        <is>
          <t>Panama</t>
        </is>
      </c>
      <c r="D1442" t="inlineStr">
        <is>
          <t>North America</t>
        </is>
      </c>
      <c r="E1442" t="inlineStr">
        <is>
          <t>personal_safety_raw</t>
        </is>
      </c>
      <c r="F1442" t="inlineStr">
        <is>
          <t>Personal safety raw</t>
        </is>
      </c>
      <c r="G1442" t="inlineStr">
        <is>
          <t>viability</t>
        </is>
      </c>
      <c r="H1442" t="inlineStr">
        <is>
          <t>yes</t>
        </is>
      </c>
      <c r="I1442" t="inlineStr"/>
      <c r="J1442" t="inlineStr"/>
      <c r="K1442" t="inlineStr"/>
      <c r="L1442" t="inlineStr"/>
      <c r="M1442" t="inlineStr"/>
      <c r="N1442" t="inlineStr"/>
    </row>
    <row r="1443">
      <c r="A1443" t="inlineStr">
        <is>
          <t>pa-panama-city</t>
        </is>
      </c>
      <c r="B1443" t="inlineStr">
        <is>
          <t>Panama City</t>
        </is>
      </c>
      <c r="C1443" t="inlineStr">
        <is>
          <t>Panama</t>
        </is>
      </c>
      <c r="D1443" t="inlineStr">
        <is>
          <t>North America</t>
        </is>
      </c>
      <c r="E1443" t="inlineStr">
        <is>
          <t>transit_access_commute_raw</t>
        </is>
      </c>
      <c r="F1443" t="inlineStr">
        <is>
          <t>Transit access and commute raw</t>
        </is>
      </c>
      <c r="G1443" t="inlineStr">
        <is>
          <t>viability</t>
        </is>
      </c>
      <c r="H1443" t="inlineStr">
        <is>
          <t>yes</t>
        </is>
      </c>
      <c r="I1443" t="inlineStr"/>
      <c r="J1443" t="inlineStr"/>
      <c r="K1443" t="inlineStr"/>
      <c r="L1443" t="inlineStr"/>
      <c r="M1443" t="inlineStr"/>
      <c r="N1443" t="inlineStr"/>
    </row>
    <row r="1444">
      <c r="A1444" t="inlineStr">
        <is>
          <t>pa-panama-city</t>
        </is>
      </c>
      <c r="B1444" t="inlineStr">
        <is>
          <t>Panama City</t>
        </is>
      </c>
      <c r="C1444" t="inlineStr">
        <is>
          <t>Panama</t>
        </is>
      </c>
      <c r="D1444" t="inlineStr">
        <is>
          <t>North America</t>
        </is>
      </c>
      <c r="E1444" t="inlineStr">
        <is>
          <t>clean_air_raw</t>
        </is>
      </c>
      <c r="F1444" t="inlineStr">
        <is>
          <t>Clean air raw</t>
        </is>
      </c>
      <c r="G1444" t="inlineStr">
        <is>
          <t>viability</t>
        </is>
      </c>
      <c r="H1444" t="inlineStr">
        <is>
          <t>yes</t>
        </is>
      </c>
      <c r="I1444" t="inlineStr"/>
      <c r="J1444" t="inlineStr"/>
      <c r="K1444" t="inlineStr"/>
      <c r="L1444" t="inlineStr"/>
      <c r="M1444" t="inlineStr"/>
      <c r="N1444" t="inlineStr"/>
    </row>
    <row r="1445">
      <c r="A1445" t="inlineStr">
        <is>
          <t>pa-panama-city</t>
        </is>
      </c>
      <c r="B1445" t="inlineStr">
        <is>
          <t>Panama City</t>
        </is>
      </c>
      <c r="C1445" t="inlineStr">
        <is>
          <t>Panama</t>
        </is>
      </c>
      <c r="D1445" t="inlineStr">
        <is>
          <t>North America</t>
        </is>
      </c>
      <c r="E1445" t="inlineStr">
        <is>
          <t>water_sanitation_utility_raw</t>
        </is>
      </c>
      <c r="F1445" t="inlineStr">
        <is>
          <t>Water, sanitation, and utility raw</t>
        </is>
      </c>
      <c r="G1445" t="inlineStr">
        <is>
          <t>viability</t>
        </is>
      </c>
      <c r="H1445" t="inlineStr">
        <is>
          <t>yes</t>
        </is>
      </c>
      <c r="I1445" t="inlineStr"/>
      <c r="J1445" t="inlineStr"/>
      <c r="K1445" t="inlineStr"/>
      <c r="L1445" t="inlineStr"/>
      <c r="M1445" t="inlineStr"/>
      <c r="N1445" t="inlineStr"/>
    </row>
    <row r="1446">
      <c r="A1446" t="inlineStr">
        <is>
          <t>pa-panama-city</t>
        </is>
      </c>
      <c r="B1446" t="inlineStr">
        <is>
          <t>Panama City</t>
        </is>
      </c>
      <c r="C1446" t="inlineStr">
        <is>
          <t>Panama</t>
        </is>
      </c>
      <c r="D1446" t="inlineStr">
        <is>
          <t>North America</t>
        </is>
      </c>
      <c r="E1446" t="inlineStr">
        <is>
          <t>digital_infrastructure_raw</t>
        </is>
      </c>
      <c r="F1446" t="inlineStr">
        <is>
          <t>Digital infrastructure raw</t>
        </is>
      </c>
      <c r="G1446" t="inlineStr">
        <is>
          <t>viability</t>
        </is>
      </c>
      <c r="H1446" t="inlineStr">
        <is>
          <t>yes</t>
        </is>
      </c>
      <c r="I1446" t="inlineStr"/>
      <c r="J1446" t="inlineStr"/>
      <c r="K1446" t="inlineStr"/>
      <c r="L1446" t="inlineStr"/>
      <c r="M1446" t="inlineStr"/>
      <c r="N1446" t="inlineStr"/>
    </row>
    <row r="1447">
      <c r="A1447" t="inlineStr">
        <is>
          <t>pa-panama-city</t>
        </is>
      </c>
      <c r="B1447" t="inlineStr">
        <is>
          <t>Panama City</t>
        </is>
      </c>
      <c r="C1447" t="inlineStr">
        <is>
          <t>Panama</t>
        </is>
      </c>
      <c r="D1447" t="inlineStr">
        <is>
          <t>North America</t>
        </is>
      </c>
      <c r="E1447" t="inlineStr">
        <is>
          <t>healthcare_quality_raw</t>
        </is>
      </c>
      <c r="F1447" t="inlineStr">
        <is>
          <t>Healthcare quality raw</t>
        </is>
      </c>
      <c r="G1447" t="inlineStr">
        <is>
          <t>capability</t>
        </is>
      </c>
      <c r="H1447" t="inlineStr">
        <is>
          <t>yes</t>
        </is>
      </c>
      <c r="I1447" t="inlineStr"/>
      <c r="J1447" t="inlineStr"/>
      <c r="K1447" t="inlineStr"/>
      <c r="L1447" t="inlineStr"/>
      <c r="M1447" t="inlineStr"/>
      <c r="N1447" t="inlineStr"/>
    </row>
    <row r="1448">
      <c r="A1448" t="inlineStr">
        <is>
          <t>pa-panama-city</t>
        </is>
      </c>
      <c r="B1448" t="inlineStr">
        <is>
          <t>Panama City</t>
        </is>
      </c>
      <c r="C1448" t="inlineStr">
        <is>
          <t>Panama</t>
        </is>
      </c>
      <c r="D1448" t="inlineStr">
        <is>
          <t>North America</t>
        </is>
      </c>
      <c r="E1448" t="inlineStr">
        <is>
          <t>education_quality_raw</t>
        </is>
      </c>
      <c r="F1448" t="inlineStr">
        <is>
          <t>Education quality raw</t>
        </is>
      </c>
      <c r="G1448" t="inlineStr">
        <is>
          <t>capability</t>
        </is>
      </c>
      <c r="H1448" t="inlineStr">
        <is>
          <t>yes</t>
        </is>
      </c>
      <c r="I1448" t="inlineStr"/>
      <c r="J1448" t="inlineStr"/>
      <c r="K1448" t="inlineStr"/>
      <c r="L1448" t="inlineStr"/>
      <c r="M1448" t="inlineStr"/>
      <c r="N1448" t="inlineStr"/>
    </row>
    <row r="1449">
      <c r="A1449" t="inlineStr">
        <is>
          <t>pa-panama-city</t>
        </is>
      </c>
      <c r="B1449" t="inlineStr">
        <is>
          <t>Panama City</t>
        </is>
      </c>
      <c r="C1449" t="inlineStr">
        <is>
          <t>Panama</t>
        </is>
      </c>
      <c r="D1449" t="inlineStr">
        <is>
          <t>North America</t>
        </is>
      </c>
      <c r="E1449" t="inlineStr">
        <is>
          <t>equal_opportunity_raw</t>
        </is>
      </c>
      <c r="F1449" t="inlineStr">
        <is>
          <t>Equal opportunity raw</t>
        </is>
      </c>
      <c r="G1449" t="inlineStr">
        <is>
          <t>capability</t>
        </is>
      </c>
      <c r="H1449" t="inlineStr">
        <is>
          <t>yes</t>
        </is>
      </c>
      <c r="I1449" t="inlineStr"/>
      <c r="J1449" t="inlineStr"/>
      <c r="K1449" t="inlineStr"/>
      <c r="L1449" t="inlineStr"/>
      <c r="M1449" t="inlineStr"/>
      <c r="N1449" t="inlineStr"/>
    </row>
    <row r="1450">
      <c r="A1450" t="inlineStr">
        <is>
          <t>pa-panama-city</t>
        </is>
      </c>
      <c r="B1450" t="inlineStr">
        <is>
          <t>Panama City</t>
        </is>
      </c>
      <c r="C1450" t="inlineStr">
        <is>
          <t>Panama</t>
        </is>
      </c>
      <c r="D1450" t="inlineStr">
        <is>
          <t>North America</t>
        </is>
      </c>
      <c r="E1450" t="inlineStr">
        <is>
          <t>hospitality_belonging_raw</t>
        </is>
      </c>
      <c r="F1450" t="inlineStr">
        <is>
          <t>Hospitality and belonging raw</t>
        </is>
      </c>
      <c r="G1450" t="inlineStr">
        <is>
          <t>community</t>
        </is>
      </c>
      <c r="H1450" t="inlineStr">
        <is>
          <t>yes</t>
        </is>
      </c>
      <c r="I1450" t="inlineStr"/>
      <c r="J1450" t="inlineStr"/>
      <c r="K1450" t="inlineStr"/>
      <c r="L1450" t="inlineStr"/>
      <c r="M1450" t="inlineStr"/>
      <c r="N1450" t="inlineStr"/>
    </row>
    <row r="1451">
      <c r="A1451" t="inlineStr">
        <is>
          <t>pa-panama-city</t>
        </is>
      </c>
      <c r="B1451" t="inlineStr">
        <is>
          <t>Panama City</t>
        </is>
      </c>
      <c r="C1451" t="inlineStr">
        <is>
          <t>Panama</t>
        </is>
      </c>
      <c r="D1451" t="inlineStr">
        <is>
          <t>North America</t>
        </is>
      </c>
      <c r="E1451" t="inlineStr">
        <is>
          <t>tolerance_pluralism_raw</t>
        </is>
      </c>
      <c r="F1451" t="inlineStr">
        <is>
          <t>Tolerance and pluralism raw</t>
        </is>
      </c>
      <c r="G1451" t="inlineStr">
        <is>
          <t>community</t>
        </is>
      </c>
      <c r="H1451" t="inlineStr">
        <is>
          <t>yes</t>
        </is>
      </c>
      <c r="I1451" t="inlineStr"/>
      <c r="J1451" t="inlineStr"/>
      <c r="K1451" t="inlineStr"/>
      <c r="L1451" t="inlineStr"/>
      <c r="M1451" t="inlineStr"/>
      <c r="N1451" t="inlineStr"/>
    </row>
    <row r="1452">
      <c r="A1452" t="inlineStr">
        <is>
          <t>pa-panama-city</t>
        </is>
      </c>
      <c r="B1452" t="inlineStr">
        <is>
          <t>Panama City</t>
        </is>
      </c>
      <c r="C1452" t="inlineStr">
        <is>
          <t>Panama</t>
        </is>
      </c>
      <c r="D1452" t="inlineStr">
        <is>
          <t>North America</t>
        </is>
      </c>
      <c r="E1452" t="inlineStr">
        <is>
          <t>cultural_public_life_raw</t>
        </is>
      </c>
      <c r="F1452" t="inlineStr">
        <is>
          <t>Cultural public life raw</t>
        </is>
      </c>
      <c r="G1452" t="inlineStr">
        <is>
          <t>community</t>
        </is>
      </c>
      <c r="H1452" t="inlineStr">
        <is>
          <t>yes</t>
        </is>
      </c>
      <c r="I1452" t="inlineStr"/>
      <c r="J1452" t="inlineStr"/>
      <c r="K1452" t="inlineStr"/>
      <c r="L1452" t="inlineStr"/>
      <c r="M1452" t="inlineStr"/>
      <c r="N1452" t="inlineStr"/>
    </row>
    <row r="1453">
      <c r="A1453" t="inlineStr">
        <is>
          <t>pa-panama-city</t>
        </is>
      </c>
      <c r="B1453" t="inlineStr">
        <is>
          <t>Panama City</t>
        </is>
      </c>
      <c r="C1453" t="inlineStr">
        <is>
          <t>Panama</t>
        </is>
      </c>
      <c r="D1453" t="inlineStr">
        <is>
          <t>North America</t>
        </is>
      </c>
      <c r="E1453" t="inlineStr">
        <is>
          <t>entrepreneurial_dynamism_raw</t>
        </is>
      </c>
      <c r="F1453" t="inlineStr">
        <is>
          <t>Entrepreneurial dynamism raw</t>
        </is>
      </c>
      <c r="G1453" t="inlineStr">
        <is>
          <t>creative</t>
        </is>
      </c>
      <c r="H1453" t="inlineStr">
        <is>
          <t>yes</t>
        </is>
      </c>
      <c r="I1453" t="inlineStr"/>
      <c r="J1453" t="inlineStr"/>
      <c r="K1453" t="inlineStr"/>
      <c r="L1453" t="inlineStr"/>
      <c r="M1453" t="inlineStr"/>
      <c r="N1453" t="inlineStr"/>
    </row>
    <row r="1454">
      <c r="A1454" t="inlineStr">
        <is>
          <t>pa-panama-city</t>
        </is>
      </c>
      <c r="B1454" t="inlineStr">
        <is>
          <t>Panama City</t>
        </is>
      </c>
      <c r="C1454" t="inlineStr">
        <is>
          <t>Panama</t>
        </is>
      </c>
      <c r="D1454" t="inlineStr">
        <is>
          <t>North America</t>
        </is>
      </c>
      <c r="E1454" t="inlineStr">
        <is>
          <t>innovation_research_intensity_raw</t>
        </is>
      </c>
      <c r="F1454" t="inlineStr">
        <is>
          <t>Innovation and research raw</t>
        </is>
      </c>
      <c r="G1454" t="inlineStr">
        <is>
          <t>creative</t>
        </is>
      </c>
      <c r="H1454" t="inlineStr">
        <is>
          <t>yes</t>
        </is>
      </c>
      <c r="I1454" t="inlineStr"/>
      <c r="J1454" t="inlineStr"/>
      <c r="K1454" t="inlineStr"/>
      <c r="L1454" t="inlineStr"/>
      <c r="M1454" t="inlineStr"/>
      <c r="N1454" t="inlineStr"/>
    </row>
    <row r="1455">
      <c r="A1455" t="inlineStr">
        <is>
          <t>pa-panama-city</t>
        </is>
      </c>
      <c r="B1455" t="inlineStr">
        <is>
          <t>Panama City</t>
        </is>
      </c>
      <c r="C1455" t="inlineStr">
        <is>
          <t>Panama</t>
        </is>
      </c>
      <c r="D1455" t="inlineStr">
        <is>
          <t>North America</t>
        </is>
      </c>
      <c r="E1455" t="inlineStr">
        <is>
          <t>investment_signal_raw</t>
        </is>
      </c>
      <c r="F1455" t="inlineStr">
        <is>
          <t>Investment signal raw</t>
        </is>
      </c>
      <c r="G1455" t="inlineStr">
        <is>
          <t>creative</t>
        </is>
      </c>
      <c r="H1455" t="inlineStr">
        <is>
          <t>yes</t>
        </is>
      </c>
      <c r="I1455" t="inlineStr"/>
      <c r="J1455" t="inlineStr"/>
      <c r="K1455" t="inlineStr"/>
      <c r="L1455" t="inlineStr"/>
      <c r="M1455" t="inlineStr"/>
      <c r="N1455" t="inlineStr"/>
    </row>
    <row r="1456">
      <c r="A1456" t="inlineStr">
        <is>
          <t>pa-panama-city</t>
        </is>
      </c>
      <c r="B1456" t="inlineStr">
        <is>
          <t>Panama City</t>
        </is>
      </c>
      <c r="C1456" t="inlineStr">
        <is>
          <t>Panama</t>
        </is>
      </c>
      <c r="D1456" t="inlineStr">
        <is>
          <t>North America</t>
        </is>
      </c>
      <c r="E1456" t="inlineStr">
        <is>
          <t>administrative_investment_friction_raw</t>
        </is>
      </c>
      <c r="F1456" t="inlineStr">
        <is>
          <t>Administrative investment friction raw</t>
        </is>
      </c>
      <c r="G1456" t="inlineStr">
        <is>
          <t>creative</t>
        </is>
      </c>
      <c r="H1456" t="inlineStr">
        <is>
          <t>yes</t>
        </is>
      </c>
      <c r="I1456" t="inlineStr"/>
      <c r="J1456" t="inlineStr"/>
      <c r="K1456" t="inlineStr"/>
      <c r="L1456" t="inlineStr"/>
      <c r="M1456" t="inlineStr"/>
      <c r="N1456" t="inlineStr"/>
    </row>
    <row r="1457">
      <c r="A1457" t="inlineStr">
        <is>
          <t>pa-panama-city</t>
        </is>
      </c>
      <c r="B1457" t="inlineStr">
        <is>
          <t>Panama City</t>
        </is>
      </c>
      <c r="C1457" t="inlineStr">
        <is>
          <t>Panama</t>
        </is>
      </c>
      <c r="D1457" t="inlineStr">
        <is>
          <t>North America</t>
        </is>
      </c>
      <c r="E1457" t="inlineStr">
        <is>
          <t>visitor_flow_context_raw</t>
        </is>
      </c>
      <c r="F1457" t="inlineStr">
        <is>
          <t>Visitor flow context raw</t>
        </is>
      </c>
      <c r="G1457" t="inlineStr">
        <is>
          <t>creative</t>
        </is>
      </c>
      <c r="H1457" t="inlineStr">
        <is>
          <t>no</t>
        </is>
      </c>
      <c r="I1457" t="inlineStr"/>
      <c r="J1457" t="inlineStr"/>
      <c r="K1457" t="inlineStr"/>
      <c r="L1457" t="inlineStr"/>
      <c r="M1457" t="inlineStr"/>
      <c r="N1457" t="inlineStr"/>
    </row>
    <row r="1458">
      <c r="A1458" t="inlineStr">
        <is>
          <t>cr-san-jose</t>
        </is>
      </c>
      <c r="B1458" t="inlineStr">
        <is>
          <t>San Jose</t>
        </is>
      </c>
      <c r="C1458" t="inlineStr">
        <is>
          <t>Costa Rica</t>
        </is>
      </c>
      <c r="D1458" t="inlineStr">
        <is>
          <t>North America</t>
        </is>
      </c>
      <c r="E1458" t="inlineStr">
        <is>
          <t>gross_income</t>
        </is>
      </c>
      <c r="F1458" t="inlineStr">
        <is>
          <t>Gross income</t>
        </is>
      </c>
      <c r="G1458" t="inlineStr">
        <is>
          <t>pressure</t>
        </is>
      </c>
      <c r="H1458" t="inlineStr">
        <is>
          <t>yes</t>
        </is>
      </c>
      <c r="I1458" t="inlineStr"/>
      <c r="J1458" t="inlineStr"/>
      <c r="K1458" t="inlineStr"/>
      <c r="L1458" t="inlineStr"/>
      <c r="M1458" t="inlineStr"/>
      <c r="N1458" t="inlineStr"/>
    </row>
    <row r="1459">
      <c r="A1459" t="inlineStr">
        <is>
          <t>cr-san-jose</t>
        </is>
      </c>
      <c r="B1459" t="inlineStr">
        <is>
          <t>San Jose</t>
        </is>
      </c>
      <c r="C1459" t="inlineStr">
        <is>
          <t>Costa Rica</t>
        </is>
      </c>
      <c r="D1459" t="inlineStr">
        <is>
          <t>North America</t>
        </is>
      </c>
      <c r="E1459" t="inlineStr">
        <is>
          <t>rent</t>
        </is>
      </c>
      <c r="F1459" t="inlineStr">
        <is>
          <t>Rent</t>
        </is>
      </c>
      <c r="G1459" t="inlineStr">
        <is>
          <t>pressure</t>
        </is>
      </c>
      <c r="H1459" t="inlineStr">
        <is>
          <t>yes</t>
        </is>
      </c>
      <c r="I1459" t="inlineStr"/>
      <c r="J1459" t="inlineStr"/>
      <c r="K1459" t="inlineStr"/>
      <c r="L1459" t="inlineStr"/>
      <c r="M1459" t="inlineStr"/>
      <c r="N1459" t="inlineStr"/>
    </row>
    <row r="1460">
      <c r="A1460" t="inlineStr">
        <is>
          <t>cr-san-jose</t>
        </is>
      </c>
      <c r="B1460" t="inlineStr">
        <is>
          <t>San Jose</t>
        </is>
      </c>
      <c r="C1460" t="inlineStr">
        <is>
          <t>Costa Rica</t>
        </is>
      </c>
      <c r="D1460" t="inlineStr">
        <is>
          <t>North America</t>
        </is>
      </c>
      <c r="E1460" t="inlineStr">
        <is>
          <t>utilities</t>
        </is>
      </c>
      <c r="F1460" t="inlineStr">
        <is>
          <t>Utilities</t>
        </is>
      </c>
      <c r="G1460" t="inlineStr">
        <is>
          <t>pressure</t>
        </is>
      </c>
      <c r="H1460" t="inlineStr">
        <is>
          <t>yes</t>
        </is>
      </c>
      <c r="I1460" t="inlineStr"/>
      <c r="J1460" t="inlineStr"/>
      <c r="K1460" t="inlineStr"/>
      <c r="L1460" t="inlineStr"/>
      <c r="M1460" t="inlineStr"/>
      <c r="N1460" t="inlineStr"/>
    </row>
    <row r="1461">
      <c r="A1461" t="inlineStr">
        <is>
          <t>cr-san-jose</t>
        </is>
      </c>
      <c r="B1461" t="inlineStr">
        <is>
          <t>San Jose</t>
        </is>
      </c>
      <c r="C1461" t="inlineStr">
        <is>
          <t>Costa Rica</t>
        </is>
      </c>
      <c r="D1461" t="inlineStr">
        <is>
          <t>North America</t>
        </is>
      </c>
      <c r="E1461" t="inlineStr">
        <is>
          <t>transit_cost</t>
        </is>
      </c>
      <c r="F1461" t="inlineStr">
        <is>
          <t>Transit cost</t>
        </is>
      </c>
      <c r="G1461" t="inlineStr">
        <is>
          <t>pressure</t>
        </is>
      </c>
      <c r="H1461" t="inlineStr">
        <is>
          <t>yes</t>
        </is>
      </c>
      <c r="I1461" t="inlineStr"/>
      <c r="J1461" t="inlineStr"/>
      <c r="K1461" t="inlineStr"/>
      <c r="L1461" t="inlineStr"/>
      <c r="M1461" t="inlineStr"/>
      <c r="N1461" t="inlineStr"/>
    </row>
    <row r="1462">
      <c r="A1462" t="inlineStr">
        <is>
          <t>cr-san-jose</t>
        </is>
      </c>
      <c r="B1462" t="inlineStr">
        <is>
          <t>San Jose</t>
        </is>
      </c>
      <c r="C1462" t="inlineStr">
        <is>
          <t>Costa Rica</t>
        </is>
      </c>
      <c r="D1462" t="inlineStr">
        <is>
          <t>North America</t>
        </is>
      </c>
      <c r="E1462" t="inlineStr">
        <is>
          <t>internet_cost</t>
        </is>
      </c>
      <c r="F1462" t="inlineStr">
        <is>
          <t>Internet cost</t>
        </is>
      </c>
      <c r="G1462" t="inlineStr">
        <is>
          <t>pressure</t>
        </is>
      </c>
      <c r="H1462" t="inlineStr">
        <is>
          <t>yes</t>
        </is>
      </c>
      <c r="I1462" t="inlineStr"/>
      <c r="J1462" t="inlineStr"/>
      <c r="K1462" t="inlineStr"/>
      <c r="L1462" t="inlineStr"/>
      <c r="M1462" t="inlineStr"/>
      <c r="N1462" t="inlineStr"/>
    </row>
    <row r="1463">
      <c r="A1463" t="inlineStr">
        <is>
          <t>cr-san-jose</t>
        </is>
      </c>
      <c r="B1463" t="inlineStr">
        <is>
          <t>San Jose</t>
        </is>
      </c>
      <c r="C1463" t="inlineStr">
        <is>
          <t>Costa Rica</t>
        </is>
      </c>
      <c r="D1463" t="inlineStr">
        <is>
          <t>North America</t>
        </is>
      </c>
      <c r="E1463" t="inlineStr">
        <is>
          <t>food_cost</t>
        </is>
      </c>
      <c r="F1463" t="inlineStr">
        <is>
          <t>Food cost</t>
        </is>
      </c>
      <c r="G1463" t="inlineStr">
        <is>
          <t>pressure</t>
        </is>
      </c>
      <c r="H1463" t="inlineStr">
        <is>
          <t>yes</t>
        </is>
      </c>
      <c r="I1463" t="inlineStr"/>
      <c r="J1463" t="inlineStr"/>
      <c r="K1463" t="inlineStr"/>
      <c r="L1463" t="inlineStr"/>
      <c r="M1463" t="inlineStr"/>
      <c r="N1463" t="inlineStr"/>
    </row>
    <row r="1464">
      <c r="A1464" t="inlineStr">
        <is>
          <t>cr-san-jose</t>
        </is>
      </c>
      <c r="B1464" t="inlineStr">
        <is>
          <t>San Jose</t>
        </is>
      </c>
      <c r="C1464" t="inlineStr">
        <is>
          <t>Costa Rica</t>
        </is>
      </c>
      <c r="D1464" t="inlineStr">
        <is>
          <t>North America</t>
        </is>
      </c>
      <c r="E1464" t="inlineStr">
        <is>
          <t>housing_burden_raw</t>
        </is>
      </c>
      <c r="F1464" t="inlineStr">
        <is>
          <t>Housing burden raw</t>
        </is>
      </c>
      <c r="G1464" t="inlineStr">
        <is>
          <t>pressure</t>
        </is>
      </c>
      <c r="H1464" t="inlineStr">
        <is>
          <t>yes</t>
        </is>
      </c>
      <c r="I1464" t="inlineStr"/>
      <c r="J1464" t="inlineStr"/>
      <c r="K1464" t="inlineStr"/>
      <c r="L1464" t="inlineStr"/>
      <c r="M1464" t="inlineStr"/>
      <c r="N1464" t="inlineStr"/>
    </row>
    <row r="1465">
      <c r="A1465" t="inlineStr">
        <is>
          <t>cr-san-jose</t>
        </is>
      </c>
      <c r="B1465" t="inlineStr">
        <is>
          <t>San Jose</t>
        </is>
      </c>
      <c r="C1465" t="inlineStr">
        <is>
          <t>Costa Rica</t>
        </is>
      </c>
      <c r="D1465" t="inlineStr">
        <is>
          <t>North America</t>
        </is>
      </c>
      <c r="E1465" t="inlineStr">
        <is>
          <t>household_debt_burden_raw</t>
        </is>
      </c>
      <c r="F1465" t="inlineStr">
        <is>
          <t>Household debt burden raw</t>
        </is>
      </c>
      <c r="G1465" t="inlineStr">
        <is>
          <t>pressure</t>
        </is>
      </c>
      <c r="H1465" t="inlineStr">
        <is>
          <t>yes</t>
        </is>
      </c>
      <c r="I1465" t="inlineStr"/>
      <c r="J1465" t="inlineStr"/>
      <c r="K1465" t="inlineStr"/>
      <c r="L1465" t="inlineStr"/>
      <c r="M1465" t="inlineStr"/>
      <c r="N1465" t="inlineStr"/>
    </row>
    <row r="1466">
      <c r="A1466" t="inlineStr">
        <is>
          <t>cr-san-jose</t>
        </is>
      </c>
      <c r="B1466" t="inlineStr">
        <is>
          <t>San Jose</t>
        </is>
      </c>
      <c r="C1466" t="inlineStr">
        <is>
          <t>Costa Rica</t>
        </is>
      </c>
      <c r="D1466" t="inlineStr">
        <is>
          <t>North America</t>
        </is>
      </c>
      <c r="E1466" t="inlineStr">
        <is>
          <t>working_time_pressure_raw</t>
        </is>
      </c>
      <c r="F1466" t="inlineStr">
        <is>
          <t>Working time pressure raw</t>
        </is>
      </c>
      <c r="G1466" t="inlineStr">
        <is>
          <t>pressure</t>
        </is>
      </c>
      <c r="H1466" t="inlineStr">
        <is>
          <t>yes</t>
        </is>
      </c>
      <c r="I1466" t="inlineStr"/>
      <c r="J1466" t="inlineStr"/>
      <c r="K1466" t="inlineStr"/>
      <c r="L1466" t="inlineStr"/>
      <c r="M1466" t="inlineStr"/>
      <c r="N1466" t="inlineStr"/>
    </row>
    <row r="1467">
      <c r="A1467" t="inlineStr">
        <is>
          <t>cr-san-jose</t>
        </is>
      </c>
      <c r="B1467" t="inlineStr">
        <is>
          <t>San Jose</t>
        </is>
      </c>
      <c r="C1467" t="inlineStr">
        <is>
          <t>Costa Rica</t>
        </is>
      </c>
      <c r="D1467" t="inlineStr">
        <is>
          <t>North America</t>
        </is>
      </c>
      <c r="E1467" t="inlineStr">
        <is>
          <t>suicide_mental_strain_raw</t>
        </is>
      </c>
      <c r="F1467" t="inlineStr">
        <is>
          <t>Suicide or mental strain raw</t>
        </is>
      </c>
      <c r="G1467" t="inlineStr">
        <is>
          <t>pressure</t>
        </is>
      </c>
      <c r="H1467" t="inlineStr">
        <is>
          <t>yes</t>
        </is>
      </c>
      <c r="I1467" t="inlineStr"/>
      <c r="J1467" t="inlineStr"/>
      <c r="K1467" t="inlineStr"/>
      <c r="L1467" t="inlineStr"/>
      <c r="M1467" t="inlineStr"/>
      <c r="N1467" t="inlineStr"/>
    </row>
    <row r="1468">
      <c r="A1468" t="inlineStr">
        <is>
          <t>cr-san-jose</t>
        </is>
      </c>
      <c r="B1468" t="inlineStr">
        <is>
          <t>San Jose</t>
        </is>
      </c>
      <c r="C1468" t="inlineStr">
        <is>
          <t>Costa Rica</t>
        </is>
      </c>
      <c r="D1468" t="inlineStr">
        <is>
          <t>North America</t>
        </is>
      </c>
      <c r="E1468" t="inlineStr">
        <is>
          <t>personal_safety_raw</t>
        </is>
      </c>
      <c r="F1468" t="inlineStr">
        <is>
          <t>Personal safety raw</t>
        </is>
      </c>
      <c r="G1468" t="inlineStr">
        <is>
          <t>viability</t>
        </is>
      </c>
      <c r="H1468" t="inlineStr">
        <is>
          <t>yes</t>
        </is>
      </c>
      <c r="I1468" t="inlineStr"/>
      <c r="J1468" t="inlineStr"/>
      <c r="K1468" t="inlineStr"/>
      <c r="L1468" t="inlineStr"/>
      <c r="M1468" t="inlineStr"/>
      <c r="N1468" t="inlineStr"/>
    </row>
    <row r="1469">
      <c r="A1469" t="inlineStr">
        <is>
          <t>cr-san-jose</t>
        </is>
      </c>
      <c r="B1469" t="inlineStr">
        <is>
          <t>San Jose</t>
        </is>
      </c>
      <c r="C1469" t="inlineStr">
        <is>
          <t>Costa Rica</t>
        </is>
      </c>
      <c r="D1469" t="inlineStr">
        <is>
          <t>North America</t>
        </is>
      </c>
      <c r="E1469" t="inlineStr">
        <is>
          <t>transit_access_commute_raw</t>
        </is>
      </c>
      <c r="F1469" t="inlineStr">
        <is>
          <t>Transit access and commute raw</t>
        </is>
      </c>
      <c r="G1469" t="inlineStr">
        <is>
          <t>viability</t>
        </is>
      </c>
      <c r="H1469" t="inlineStr">
        <is>
          <t>yes</t>
        </is>
      </c>
      <c r="I1469" t="inlineStr"/>
      <c r="J1469" t="inlineStr"/>
      <c r="K1469" t="inlineStr"/>
      <c r="L1469" t="inlineStr"/>
      <c r="M1469" t="inlineStr"/>
      <c r="N1469" t="inlineStr"/>
    </row>
    <row r="1470">
      <c r="A1470" t="inlineStr">
        <is>
          <t>cr-san-jose</t>
        </is>
      </c>
      <c r="B1470" t="inlineStr">
        <is>
          <t>San Jose</t>
        </is>
      </c>
      <c r="C1470" t="inlineStr">
        <is>
          <t>Costa Rica</t>
        </is>
      </c>
      <c r="D1470" t="inlineStr">
        <is>
          <t>North America</t>
        </is>
      </c>
      <c r="E1470" t="inlineStr">
        <is>
          <t>clean_air_raw</t>
        </is>
      </c>
      <c r="F1470" t="inlineStr">
        <is>
          <t>Clean air raw</t>
        </is>
      </c>
      <c r="G1470" t="inlineStr">
        <is>
          <t>viability</t>
        </is>
      </c>
      <c r="H1470" t="inlineStr">
        <is>
          <t>yes</t>
        </is>
      </c>
      <c r="I1470" t="inlineStr"/>
      <c r="J1470" t="inlineStr"/>
      <c r="K1470" t="inlineStr"/>
      <c r="L1470" t="inlineStr"/>
      <c r="M1470" t="inlineStr"/>
      <c r="N1470" t="inlineStr"/>
    </row>
    <row r="1471">
      <c r="A1471" t="inlineStr">
        <is>
          <t>cr-san-jose</t>
        </is>
      </c>
      <c r="B1471" t="inlineStr">
        <is>
          <t>San Jose</t>
        </is>
      </c>
      <c r="C1471" t="inlineStr">
        <is>
          <t>Costa Rica</t>
        </is>
      </c>
      <c r="D1471" t="inlineStr">
        <is>
          <t>North America</t>
        </is>
      </c>
      <c r="E1471" t="inlineStr">
        <is>
          <t>water_sanitation_utility_raw</t>
        </is>
      </c>
      <c r="F1471" t="inlineStr">
        <is>
          <t>Water, sanitation, and utility raw</t>
        </is>
      </c>
      <c r="G1471" t="inlineStr">
        <is>
          <t>viability</t>
        </is>
      </c>
      <c r="H1471" t="inlineStr">
        <is>
          <t>yes</t>
        </is>
      </c>
      <c r="I1471" t="inlineStr"/>
      <c r="J1471" t="inlineStr"/>
      <c r="K1471" t="inlineStr"/>
      <c r="L1471" t="inlineStr"/>
      <c r="M1471" t="inlineStr"/>
      <c r="N1471" t="inlineStr"/>
    </row>
    <row r="1472">
      <c r="A1472" t="inlineStr">
        <is>
          <t>cr-san-jose</t>
        </is>
      </c>
      <c r="B1472" t="inlineStr">
        <is>
          <t>San Jose</t>
        </is>
      </c>
      <c r="C1472" t="inlineStr">
        <is>
          <t>Costa Rica</t>
        </is>
      </c>
      <c r="D1472" t="inlineStr">
        <is>
          <t>North America</t>
        </is>
      </c>
      <c r="E1472" t="inlineStr">
        <is>
          <t>digital_infrastructure_raw</t>
        </is>
      </c>
      <c r="F1472" t="inlineStr">
        <is>
          <t>Digital infrastructure raw</t>
        </is>
      </c>
      <c r="G1472" t="inlineStr">
        <is>
          <t>viability</t>
        </is>
      </c>
      <c r="H1472" t="inlineStr">
        <is>
          <t>yes</t>
        </is>
      </c>
      <c r="I1472" t="inlineStr"/>
      <c r="J1472" t="inlineStr"/>
      <c r="K1472" t="inlineStr"/>
      <c r="L1472" t="inlineStr"/>
      <c r="M1472" t="inlineStr"/>
      <c r="N1472" t="inlineStr"/>
    </row>
    <row r="1473">
      <c r="A1473" t="inlineStr">
        <is>
          <t>cr-san-jose</t>
        </is>
      </c>
      <c r="B1473" t="inlineStr">
        <is>
          <t>San Jose</t>
        </is>
      </c>
      <c r="C1473" t="inlineStr">
        <is>
          <t>Costa Rica</t>
        </is>
      </c>
      <c r="D1473" t="inlineStr">
        <is>
          <t>North America</t>
        </is>
      </c>
      <c r="E1473" t="inlineStr">
        <is>
          <t>healthcare_quality_raw</t>
        </is>
      </c>
      <c r="F1473" t="inlineStr">
        <is>
          <t>Healthcare quality raw</t>
        </is>
      </c>
      <c r="G1473" t="inlineStr">
        <is>
          <t>capability</t>
        </is>
      </c>
      <c r="H1473" t="inlineStr">
        <is>
          <t>yes</t>
        </is>
      </c>
      <c r="I1473" t="inlineStr"/>
      <c r="J1473" t="inlineStr"/>
      <c r="K1473" t="inlineStr"/>
      <c r="L1473" t="inlineStr"/>
      <c r="M1473" t="inlineStr"/>
      <c r="N1473" t="inlineStr"/>
    </row>
    <row r="1474">
      <c r="A1474" t="inlineStr">
        <is>
          <t>cr-san-jose</t>
        </is>
      </c>
      <c r="B1474" t="inlineStr">
        <is>
          <t>San Jose</t>
        </is>
      </c>
      <c r="C1474" t="inlineStr">
        <is>
          <t>Costa Rica</t>
        </is>
      </c>
      <c r="D1474" t="inlineStr">
        <is>
          <t>North America</t>
        </is>
      </c>
      <c r="E1474" t="inlineStr">
        <is>
          <t>education_quality_raw</t>
        </is>
      </c>
      <c r="F1474" t="inlineStr">
        <is>
          <t>Education quality raw</t>
        </is>
      </c>
      <c r="G1474" t="inlineStr">
        <is>
          <t>capability</t>
        </is>
      </c>
      <c r="H1474" t="inlineStr">
        <is>
          <t>yes</t>
        </is>
      </c>
      <c r="I1474" t="inlineStr"/>
      <c r="J1474" t="inlineStr"/>
      <c r="K1474" t="inlineStr"/>
      <c r="L1474" t="inlineStr"/>
      <c r="M1474" t="inlineStr"/>
      <c r="N1474" t="inlineStr"/>
    </row>
    <row r="1475">
      <c r="A1475" t="inlineStr">
        <is>
          <t>cr-san-jose</t>
        </is>
      </c>
      <c r="B1475" t="inlineStr">
        <is>
          <t>San Jose</t>
        </is>
      </c>
      <c r="C1475" t="inlineStr">
        <is>
          <t>Costa Rica</t>
        </is>
      </c>
      <c r="D1475" t="inlineStr">
        <is>
          <t>North America</t>
        </is>
      </c>
      <c r="E1475" t="inlineStr">
        <is>
          <t>equal_opportunity_raw</t>
        </is>
      </c>
      <c r="F1475" t="inlineStr">
        <is>
          <t>Equal opportunity raw</t>
        </is>
      </c>
      <c r="G1475" t="inlineStr">
        <is>
          <t>capability</t>
        </is>
      </c>
      <c r="H1475" t="inlineStr">
        <is>
          <t>yes</t>
        </is>
      </c>
      <c r="I1475" t="inlineStr"/>
      <c r="J1475" t="inlineStr"/>
      <c r="K1475" t="inlineStr"/>
      <c r="L1475" t="inlineStr"/>
      <c r="M1475" t="inlineStr"/>
      <c r="N1475" t="inlineStr"/>
    </row>
    <row r="1476">
      <c r="A1476" t="inlineStr">
        <is>
          <t>cr-san-jose</t>
        </is>
      </c>
      <c r="B1476" t="inlineStr">
        <is>
          <t>San Jose</t>
        </is>
      </c>
      <c r="C1476" t="inlineStr">
        <is>
          <t>Costa Rica</t>
        </is>
      </c>
      <c r="D1476" t="inlineStr">
        <is>
          <t>North America</t>
        </is>
      </c>
      <c r="E1476" t="inlineStr">
        <is>
          <t>hospitality_belonging_raw</t>
        </is>
      </c>
      <c r="F1476" t="inlineStr">
        <is>
          <t>Hospitality and belonging raw</t>
        </is>
      </c>
      <c r="G1476" t="inlineStr">
        <is>
          <t>community</t>
        </is>
      </c>
      <c r="H1476" t="inlineStr">
        <is>
          <t>yes</t>
        </is>
      </c>
      <c r="I1476" t="inlineStr"/>
      <c r="J1476" t="inlineStr"/>
      <c r="K1476" t="inlineStr"/>
      <c r="L1476" t="inlineStr"/>
      <c r="M1476" t="inlineStr"/>
      <c r="N1476" t="inlineStr"/>
    </row>
    <row r="1477">
      <c r="A1477" t="inlineStr">
        <is>
          <t>cr-san-jose</t>
        </is>
      </c>
      <c r="B1477" t="inlineStr">
        <is>
          <t>San Jose</t>
        </is>
      </c>
      <c r="C1477" t="inlineStr">
        <is>
          <t>Costa Rica</t>
        </is>
      </c>
      <c r="D1477" t="inlineStr">
        <is>
          <t>North America</t>
        </is>
      </c>
      <c r="E1477" t="inlineStr">
        <is>
          <t>tolerance_pluralism_raw</t>
        </is>
      </c>
      <c r="F1477" t="inlineStr">
        <is>
          <t>Tolerance and pluralism raw</t>
        </is>
      </c>
      <c r="G1477" t="inlineStr">
        <is>
          <t>community</t>
        </is>
      </c>
      <c r="H1477" t="inlineStr">
        <is>
          <t>yes</t>
        </is>
      </c>
      <c r="I1477" t="inlineStr"/>
      <c r="J1477" t="inlineStr"/>
      <c r="K1477" t="inlineStr"/>
      <c r="L1477" t="inlineStr"/>
      <c r="M1477" t="inlineStr"/>
      <c r="N1477" t="inlineStr"/>
    </row>
    <row r="1478">
      <c r="A1478" t="inlineStr">
        <is>
          <t>cr-san-jose</t>
        </is>
      </c>
      <c r="B1478" t="inlineStr">
        <is>
          <t>San Jose</t>
        </is>
      </c>
      <c r="C1478" t="inlineStr">
        <is>
          <t>Costa Rica</t>
        </is>
      </c>
      <c r="D1478" t="inlineStr">
        <is>
          <t>North America</t>
        </is>
      </c>
      <c r="E1478" t="inlineStr">
        <is>
          <t>cultural_public_life_raw</t>
        </is>
      </c>
      <c r="F1478" t="inlineStr">
        <is>
          <t>Cultural public life raw</t>
        </is>
      </c>
      <c r="G1478" t="inlineStr">
        <is>
          <t>community</t>
        </is>
      </c>
      <c r="H1478" t="inlineStr">
        <is>
          <t>yes</t>
        </is>
      </c>
      <c r="I1478" t="inlineStr"/>
      <c r="J1478" t="inlineStr"/>
      <c r="K1478" t="inlineStr"/>
      <c r="L1478" t="inlineStr"/>
      <c r="M1478" t="inlineStr"/>
      <c r="N1478" t="inlineStr"/>
    </row>
    <row r="1479">
      <c r="A1479" t="inlineStr">
        <is>
          <t>cr-san-jose</t>
        </is>
      </c>
      <c r="B1479" t="inlineStr">
        <is>
          <t>San Jose</t>
        </is>
      </c>
      <c r="C1479" t="inlineStr">
        <is>
          <t>Costa Rica</t>
        </is>
      </c>
      <c r="D1479" t="inlineStr">
        <is>
          <t>North America</t>
        </is>
      </c>
      <c r="E1479" t="inlineStr">
        <is>
          <t>entrepreneurial_dynamism_raw</t>
        </is>
      </c>
      <c r="F1479" t="inlineStr">
        <is>
          <t>Entrepreneurial dynamism raw</t>
        </is>
      </c>
      <c r="G1479" t="inlineStr">
        <is>
          <t>creative</t>
        </is>
      </c>
      <c r="H1479" t="inlineStr">
        <is>
          <t>yes</t>
        </is>
      </c>
      <c r="I1479" t="inlineStr"/>
      <c r="J1479" t="inlineStr"/>
      <c r="K1479" t="inlineStr"/>
      <c r="L1479" t="inlineStr"/>
      <c r="M1479" t="inlineStr"/>
      <c r="N1479" t="inlineStr"/>
    </row>
    <row r="1480">
      <c r="A1480" t="inlineStr">
        <is>
          <t>cr-san-jose</t>
        </is>
      </c>
      <c r="B1480" t="inlineStr">
        <is>
          <t>San Jose</t>
        </is>
      </c>
      <c r="C1480" t="inlineStr">
        <is>
          <t>Costa Rica</t>
        </is>
      </c>
      <c r="D1480" t="inlineStr">
        <is>
          <t>North America</t>
        </is>
      </c>
      <c r="E1480" t="inlineStr">
        <is>
          <t>innovation_research_intensity_raw</t>
        </is>
      </c>
      <c r="F1480" t="inlineStr">
        <is>
          <t>Innovation and research raw</t>
        </is>
      </c>
      <c r="G1480" t="inlineStr">
        <is>
          <t>creative</t>
        </is>
      </c>
      <c r="H1480" t="inlineStr">
        <is>
          <t>yes</t>
        </is>
      </c>
      <c r="I1480" t="inlineStr"/>
      <c r="J1480" t="inlineStr"/>
      <c r="K1480" t="inlineStr"/>
      <c r="L1480" t="inlineStr"/>
      <c r="M1480" t="inlineStr"/>
      <c r="N1480" t="inlineStr"/>
    </row>
    <row r="1481">
      <c r="A1481" t="inlineStr">
        <is>
          <t>cr-san-jose</t>
        </is>
      </c>
      <c r="B1481" t="inlineStr">
        <is>
          <t>San Jose</t>
        </is>
      </c>
      <c r="C1481" t="inlineStr">
        <is>
          <t>Costa Rica</t>
        </is>
      </c>
      <c r="D1481" t="inlineStr">
        <is>
          <t>North America</t>
        </is>
      </c>
      <c r="E1481" t="inlineStr">
        <is>
          <t>investment_signal_raw</t>
        </is>
      </c>
      <c r="F1481" t="inlineStr">
        <is>
          <t>Investment signal raw</t>
        </is>
      </c>
      <c r="G1481" t="inlineStr">
        <is>
          <t>creative</t>
        </is>
      </c>
      <c r="H1481" t="inlineStr">
        <is>
          <t>yes</t>
        </is>
      </c>
      <c r="I1481" t="inlineStr"/>
      <c r="J1481" t="inlineStr"/>
      <c r="K1481" t="inlineStr"/>
      <c r="L1481" t="inlineStr"/>
      <c r="M1481" t="inlineStr"/>
      <c r="N1481" t="inlineStr"/>
    </row>
    <row r="1482">
      <c r="A1482" t="inlineStr">
        <is>
          <t>cr-san-jose</t>
        </is>
      </c>
      <c r="B1482" t="inlineStr">
        <is>
          <t>San Jose</t>
        </is>
      </c>
      <c r="C1482" t="inlineStr">
        <is>
          <t>Costa Rica</t>
        </is>
      </c>
      <c r="D1482" t="inlineStr">
        <is>
          <t>North America</t>
        </is>
      </c>
      <c r="E1482" t="inlineStr">
        <is>
          <t>administrative_investment_friction_raw</t>
        </is>
      </c>
      <c r="F1482" t="inlineStr">
        <is>
          <t>Administrative investment friction raw</t>
        </is>
      </c>
      <c r="G1482" t="inlineStr">
        <is>
          <t>creative</t>
        </is>
      </c>
      <c r="H1482" t="inlineStr">
        <is>
          <t>yes</t>
        </is>
      </c>
      <c r="I1482" t="inlineStr"/>
      <c r="J1482" t="inlineStr"/>
      <c r="K1482" t="inlineStr"/>
      <c r="L1482" t="inlineStr"/>
      <c r="M1482" t="inlineStr"/>
      <c r="N1482" t="inlineStr"/>
    </row>
    <row r="1483">
      <c r="A1483" t="inlineStr">
        <is>
          <t>cr-san-jose</t>
        </is>
      </c>
      <c r="B1483" t="inlineStr">
        <is>
          <t>San Jose</t>
        </is>
      </c>
      <c r="C1483" t="inlineStr">
        <is>
          <t>Costa Rica</t>
        </is>
      </c>
      <c r="D1483" t="inlineStr">
        <is>
          <t>North America</t>
        </is>
      </c>
      <c r="E1483" t="inlineStr">
        <is>
          <t>visitor_flow_context_raw</t>
        </is>
      </c>
      <c r="F1483" t="inlineStr">
        <is>
          <t>Visitor flow context raw</t>
        </is>
      </c>
      <c r="G1483" t="inlineStr">
        <is>
          <t>creative</t>
        </is>
      </c>
      <c r="H1483" t="inlineStr">
        <is>
          <t>no</t>
        </is>
      </c>
      <c r="I1483" t="inlineStr"/>
      <c r="J1483" t="inlineStr"/>
      <c r="K1483" t="inlineStr"/>
      <c r="L1483" t="inlineStr"/>
      <c r="M1483" t="inlineStr"/>
      <c r="N1483" t="inlineStr"/>
    </row>
    <row r="1484">
      <c r="A1484" t="inlineStr">
        <is>
          <t>us-pittsburgh</t>
        </is>
      </c>
      <c r="B1484" t="inlineStr">
        <is>
          <t>Pittsburgh</t>
        </is>
      </c>
      <c r="C1484" t="inlineStr">
        <is>
          <t>United States</t>
        </is>
      </c>
      <c r="D1484" t="inlineStr">
        <is>
          <t>North America</t>
        </is>
      </c>
      <c r="E1484" t="inlineStr">
        <is>
          <t>gross_income</t>
        </is>
      </c>
      <c r="F1484" t="inlineStr">
        <is>
          <t>Gross income</t>
        </is>
      </c>
      <c r="G1484" t="inlineStr">
        <is>
          <t>pressure</t>
        </is>
      </c>
      <c r="H1484" t="inlineStr">
        <is>
          <t>yes</t>
        </is>
      </c>
      <c r="I1484" t="inlineStr"/>
      <c r="J1484" t="inlineStr"/>
      <c r="K1484" t="inlineStr"/>
      <c r="L1484" t="inlineStr"/>
      <c r="M1484" t="inlineStr"/>
      <c r="N1484" t="inlineStr"/>
    </row>
    <row r="1485">
      <c r="A1485" t="inlineStr">
        <is>
          <t>us-pittsburgh</t>
        </is>
      </c>
      <c r="B1485" t="inlineStr">
        <is>
          <t>Pittsburgh</t>
        </is>
      </c>
      <c r="C1485" t="inlineStr">
        <is>
          <t>United States</t>
        </is>
      </c>
      <c r="D1485" t="inlineStr">
        <is>
          <t>North America</t>
        </is>
      </c>
      <c r="E1485" t="inlineStr">
        <is>
          <t>rent</t>
        </is>
      </c>
      <c r="F1485" t="inlineStr">
        <is>
          <t>Rent</t>
        </is>
      </c>
      <c r="G1485" t="inlineStr">
        <is>
          <t>pressure</t>
        </is>
      </c>
      <c r="H1485" t="inlineStr">
        <is>
          <t>yes</t>
        </is>
      </c>
      <c r="I1485" t="inlineStr"/>
      <c r="J1485" t="inlineStr"/>
      <c r="K1485" t="inlineStr"/>
      <c r="L1485" t="inlineStr"/>
      <c r="M1485" t="inlineStr"/>
      <c r="N1485" t="inlineStr"/>
    </row>
    <row r="1486">
      <c r="A1486" t="inlineStr">
        <is>
          <t>us-pittsburgh</t>
        </is>
      </c>
      <c r="B1486" t="inlineStr">
        <is>
          <t>Pittsburgh</t>
        </is>
      </c>
      <c r="C1486" t="inlineStr">
        <is>
          <t>United States</t>
        </is>
      </c>
      <c r="D1486" t="inlineStr">
        <is>
          <t>North America</t>
        </is>
      </c>
      <c r="E1486" t="inlineStr">
        <is>
          <t>utilities</t>
        </is>
      </c>
      <c r="F1486" t="inlineStr">
        <is>
          <t>Utilities</t>
        </is>
      </c>
      <c r="G1486" t="inlineStr">
        <is>
          <t>pressure</t>
        </is>
      </c>
      <c r="H1486" t="inlineStr">
        <is>
          <t>yes</t>
        </is>
      </c>
      <c r="I1486" t="inlineStr"/>
      <c r="J1486" t="inlineStr"/>
      <c r="K1486" t="inlineStr"/>
      <c r="L1486" t="inlineStr"/>
      <c r="M1486" t="inlineStr"/>
      <c r="N1486" t="inlineStr"/>
    </row>
    <row r="1487">
      <c r="A1487" t="inlineStr">
        <is>
          <t>us-pittsburgh</t>
        </is>
      </c>
      <c r="B1487" t="inlineStr">
        <is>
          <t>Pittsburgh</t>
        </is>
      </c>
      <c r="C1487" t="inlineStr">
        <is>
          <t>United States</t>
        </is>
      </c>
      <c r="D1487" t="inlineStr">
        <is>
          <t>North America</t>
        </is>
      </c>
      <c r="E1487" t="inlineStr">
        <is>
          <t>transit_cost</t>
        </is>
      </c>
      <c r="F1487" t="inlineStr">
        <is>
          <t>Transit cost</t>
        </is>
      </c>
      <c r="G1487" t="inlineStr">
        <is>
          <t>pressure</t>
        </is>
      </c>
      <c r="H1487" t="inlineStr">
        <is>
          <t>yes</t>
        </is>
      </c>
      <c r="I1487" t="inlineStr"/>
      <c r="J1487" t="inlineStr"/>
      <c r="K1487" t="inlineStr"/>
      <c r="L1487" t="inlineStr"/>
      <c r="M1487" t="inlineStr"/>
      <c r="N1487" t="inlineStr"/>
    </row>
    <row r="1488">
      <c r="A1488" t="inlineStr">
        <is>
          <t>us-pittsburgh</t>
        </is>
      </c>
      <c r="B1488" t="inlineStr">
        <is>
          <t>Pittsburgh</t>
        </is>
      </c>
      <c r="C1488" t="inlineStr">
        <is>
          <t>United States</t>
        </is>
      </c>
      <c r="D1488" t="inlineStr">
        <is>
          <t>North America</t>
        </is>
      </c>
      <c r="E1488" t="inlineStr">
        <is>
          <t>internet_cost</t>
        </is>
      </c>
      <c r="F1488" t="inlineStr">
        <is>
          <t>Internet cost</t>
        </is>
      </c>
      <c r="G1488" t="inlineStr">
        <is>
          <t>pressure</t>
        </is>
      </c>
      <c r="H1488" t="inlineStr">
        <is>
          <t>yes</t>
        </is>
      </c>
      <c r="I1488" t="inlineStr"/>
      <c r="J1488" t="inlineStr"/>
      <c r="K1488" t="inlineStr"/>
      <c r="L1488" t="inlineStr"/>
      <c r="M1488" t="inlineStr"/>
      <c r="N1488" t="inlineStr"/>
    </row>
    <row r="1489">
      <c r="A1489" t="inlineStr">
        <is>
          <t>us-pittsburgh</t>
        </is>
      </c>
      <c r="B1489" t="inlineStr">
        <is>
          <t>Pittsburgh</t>
        </is>
      </c>
      <c r="C1489" t="inlineStr">
        <is>
          <t>United States</t>
        </is>
      </c>
      <c r="D1489" t="inlineStr">
        <is>
          <t>North America</t>
        </is>
      </c>
      <c r="E1489" t="inlineStr">
        <is>
          <t>food_cost</t>
        </is>
      </c>
      <c r="F1489" t="inlineStr">
        <is>
          <t>Food cost</t>
        </is>
      </c>
      <c r="G1489" t="inlineStr">
        <is>
          <t>pressure</t>
        </is>
      </c>
      <c r="H1489" t="inlineStr">
        <is>
          <t>yes</t>
        </is>
      </c>
      <c r="I1489" t="inlineStr"/>
      <c r="J1489" t="inlineStr"/>
      <c r="K1489" t="inlineStr"/>
      <c r="L1489" t="inlineStr"/>
      <c r="M1489" t="inlineStr"/>
      <c r="N1489" t="inlineStr"/>
    </row>
    <row r="1490">
      <c r="A1490" t="inlineStr">
        <is>
          <t>us-pittsburgh</t>
        </is>
      </c>
      <c r="B1490" t="inlineStr">
        <is>
          <t>Pittsburgh</t>
        </is>
      </c>
      <c r="C1490" t="inlineStr">
        <is>
          <t>United States</t>
        </is>
      </c>
      <c r="D1490" t="inlineStr">
        <is>
          <t>North America</t>
        </is>
      </c>
      <c r="E1490" t="inlineStr">
        <is>
          <t>housing_burden_raw</t>
        </is>
      </c>
      <c r="F1490" t="inlineStr">
        <is>
          <t>Housing burden raw</t>
        </is>
      </c>
      <c r="G1490" t="inlineStr">
        <is>
          <t>pressure</t>
        </is>
      </c>
      <c r="H1490" t="inlineStr">
        <is>
          <t>yes</t>
        </is>
      </c>
      <c r="I1490" t="inlineStr"/>
      <c r="J1490" t="inlineStr"/>
      <c r="K1490" t="inlineStr"/>
      <c r="L1490" t="inlineStr"/>
      <c r="M1490" t="inlineStr"/>
      <c r="N1490" t="inlineStr"/>
    </row>
    <row r="1491">
      <c r="A1491" t="inlineStr">
        <is>
          <t>us-pittsburgh</t>
        </is>
      </c>
      <c r="B1491" t="inlineStr">
        <is>
          <t>Pittsburgh</t>
        </is>
      </c>
      <c r="C1491" t="inlineStr">
        <is>
          <t>United States</t>
        </is>
      </c>
      <c r="D1491" t="inlineStr">
        <is>
          <t>North America</t>
        </is>
      </c>
      <c r="E1491" t="inlineStr">
        <is>
          <t>household_debt_burden_raw</t>
        </is>
      </c>
      <c r="F1491" t="inlineStr">
        <is>
          <t>Household debt burden raw</t>
        </is>
      </c>
      <c r="G1491" t="inlineStr">
        <is>
          <t>pressure</t>
        </is>
      </c>
      <c r="H1491" t="inlineStr">
        <is>
          <t>yes</t>
        </is>
      </c>
      <c r="I1491" t="inlineStr"/>
      <c r="J1491" t="inlineStr"/>
      <c r="K1491" t="inlineStr"/>
      <c r="L1491" t="inlineStr"/>
      <c r="M1491" t="inlineStr"/>
      <c r="N1491" t="inlineStr"/>
    </row>
    <row r="1492">
      <c r="A1492" t="inlineStr">
        <is>
          <t>us-pittsburgh</t>
        </is>
      </c>
      <c r="B1492" t="inlineStr">
        <is>
          <t>Pittsburgh</t>
        </is>
      </c>
      <c r="C1492" t="inlineStr">
        <is>
          <t>United States</t>
        </is>
      </c>
      <c r="D1492" t="inlineStr">
        <is>
          <t>North America</t>
        </is>
      </c>
      <c r="E1492" t="inlineStr">
        <is>
          <t>working_time_pressure_raw</t>
        </is>
      </c>
      <c r="F1492" t="inlineStr">
        <is>
          <t>Working time pressure raw</t>
        </is>
      </c>
      <c r="G1492" t="inlineStr">
        <is>
          <t>pressure</t>
        </is>
      </c>
      <c r="H1492" t="inlineStr">
        <is>
          <t>yes</t>
        </is>
      </c>
      <c r="I1492" t="inlineStr"/>
      <c r="J1492" t="inlineStr"/>
      <c r="K1492" t="inlineStr"/>
      <c r="L1492" t="inlineStr"/>
      <c r="M1492" t="inlineStr"/>
      <c r="N1492" t="inlineStr"/>
    </row>
    <row r="1493">
      <c r="A1493" t="inlineStr">
        <is>
          <t>us-pittsburgh</t>
        </is>
      </c>
      <c r="B1493" t="inlineStr">
        <is>
          <t>Pittsburgh</t>
        </is>
      </c>
      <c r="C1493" t="inlineStr">
        <is>
          <t>United States</t>
        </is>
      </c>
      <c r="D1493" t="inlineStr">
        <is>
          <t>North America</t>
        </is>
      </c>
      <c r="E1493" t="inlineStr">
        <is>
          <t>suicide_mental_strain_raw</t>
        </is>
      </c>
      <c r="F1493" t="inlineStr">
        <is>
          <t>Suicide or mental strain raw</t>
        </is>
      </c>
      <c r="G1493" t="inlineStr">
        <is>
          <t>pressure</t>
        </is>
      </c>
      <c r="H1493" t="inlineStr">
        <is>
          <t>yes</t>
        </is>
      </c>
      <c r="I1493" t="inlineStr"/>
      <c r="J1493" t="inlineStr"/>
      <c r="K1493" t="inlineStr"/>
      <c r="L1493" t="inlineStr"/>
      <c r="M1493" t="inlineStr"/>
      <c r="N1493" t="inlineStr"/>
    </row>
    <row r="1494">
      <c r="A1494" t="inlineStr">
        <is>
          <t>us-pittsburgh</t>
        </is>
      </c>
      <c r="B1494" t="inlineStr">
        <is>
          <t>Pittsburgh</t>
        </is>
      </c>
      <c r="C1494" t="inlineStr">
        <is>
          <t>United States</t>
        </is>
      </c>
      <c r="D1494" t="inlineStr">
        <is>
          <t>North America</t>
        </is>
      </c>
      <c r="E1494" t="inlineStr">
        <is>
          <t>personal_safety_raw</t>
        </is>
      </c>
      <c r="F1494" t="inlineStr">
        <is>
          <t>Personal safety raw</t>
        </is>
      </c>
      <c r="G1494" t="inlineStr">
        <is>
          <t>viability</t>
        </is>
      </c>
      <c r="H1494" t="inlineStr">
        <is>
          <t>yes</t>
        </is>
      </c>
      <c r="I1494" t="inlineStr"/>
      <c r="J1494" t="inlineStr"/>
      <c r="K1494" t="inlineStr"/>
      <c r="L1494" t="inlineStr"/>
      <c r="M1494" t="inlineStr"/>
      <c r="N1494" t="inlineStr"/>
    </row>
    <row r="1495">
      <c r="A1495" t="inlineStr">
        <is>
          <t>us-pittsburgh</t>
        </is>
      </c>
      <c r="B1495" t="inlineStr">
        <is>
          <t>Pittsburgh</t>
        </is>
      </c>
      <c r="C1495" t="inlineStr">
        <is>
          <t>United States</t>
        </is>
      </c>
      <c r="D1495" t="inlineStr">
        <is>
          <t>North America</t>
        </is>
      </c>
      <c r="E1495" t="inlineStr">
        <is>
          <t>transit_access_commute_raw</t>
        </is>
      </c>
      <c r="F1495" t="inlineStr">
        <is>
          <t>Transit access and commute raw</t>
        </is>
      </c>
      <c r="G1495" t="inlineStr">
        <is>
          <t>viability</t>
        </is>
      </c>
      <c r="H1495" t="inlineStr">
        <is>
          <t>yes</t>
        </is>
      </c>
      <c r="I1495" t="inlineStr"/>
      <c r="J1495" t="inlineStr"/>
      <c r="K1495" t="inlineStr"/>
      <c r="L1495" t="inlineStr"/>
      <c r="M1495" t="inlineStr"/>
      <c r="N1495" t="inlineStr"/>
    </row>
    <row r="1496">
      <c r="A1496" t="inlineStr">
        <is>
          <t>us-pittsburgh</t>
        </is>
      </c>
      <c r="B1496" t="inlineStr">
        <is>
          <t>Pittsburgh</t>
        </is>
      </c>
      <c r="C1496" t="inlineStr">
        <is>
          <t>United States</t>
        </is>
      </c>
      <c r="D1496" t="inlineStr">
        <is>
          <t>North America</t>
        </is>
      </c>
      <c r="E1496" t="inlineStr">
        <is>
          <t>clean_air_raw</t>
        </is>
      </c>
      <c r="F1496" t="inlineStr">
        <is>
          <t>Clean air raw</t>
        </is>
      </c>
      <c r="G1496" t="inlineStr">
        <is>
          <t>viability</t>
        </is>
      </c>
      <c r="H1496" t="inlineStr">
        <is>
          <t>yes</t>
        </is>
      </c>
      <c r="I1496" t="inlineStr"/>
      <c r="J1496" t="inlineStr"/>
      <c r="K1496" t="inlineStr"/>
      <c r="L1496" t="inlineStr"/>
      <c r="M1496" t="inlineStr"/>
      <c r="N1496" t="inlineStr"/>
    </row>
    <row r="1497">
      <c r="A1497" t="inlineStr">
        <is>
          <t>us-pittsburgh</t>
        </is>
      </c>
      <c r="B1497" t="inlineStr">
        <is>
          <t>Pittsburgh</t>
        </is>
      </c>
      <c r="C1497" t="inlineStr">
        <is>
          <t>United States</t>
        </is>
      </c>
      <c r="D1497" t="inlineStr">
        <is>
          <t>North America</t>
        </is>
      </c>
      <c r="E1497" t="inlineStr">
        <is>
          <t>water_sanitation_utility_raw</t>
        </is>
      </c>
      <c r="F1497" t="inlineStr">
        <is>
          <t>Water, sanitation, and utility raw</t>
        </is>
      </c>
      <c r="G1497" t="inlineStr">
        <is>
          <t>viability</t>
        </is>
      </c>
      <c r="H1497" t="inlineStr">
        <is>
          <t>yes</t>
        </is>
      </c>
      <c r="I1497" t="inlineStr"/>
      <c r="J1497" t="inlineStr"/>
      <c r="K1497" t="inlineStr"/>
      <c r="L1497" t="inlineStr"/>
      <c r="M1497" t="inlineStr"/>
      <c r="N1497" t="inlineStr"/>
    </row>
    <row r="1498">
      <c r="A1498" t="inlineStr">
        <is>
          <t>us-pittsburgh</t>
        </is>
      </c>
      <c r="B1498" t="inlineStr">
        <is>
          <t>Pittsburgh</t>
        </is>
      </c>
      <c r="C1498" t="inlineStr">
        <is>
          <t>United States</t>
        </is>
      </c>
      <c r="D1498" t="inlineStr">
        <is>
          <t>North America</t>
        </is>
      </c>
      <c r="E1498" t="inlineStr">
        <is>
          <t>digital_infrastructure_raw</t>
        </is>
      </c>
      <c r="F1498" t="inlineStr">
        <is>
          <t>Digital infrastructure raw</t>
        </is>
      </c>
      <c r="G1498" t="inlineStr">
        <is>
          <t>viability</t>
        </is>
      </c>
      <c r="H1498" t="inlineStr">
        <is>
          <t>yes</t>
        </is>
      </c>
      <c r="I1498" t="inlineStr"/>
      <c r="J1498" t="inlineStr"/>
      <c r="K1498" t="inlineStr"/>
      <c r="L1498" t="inlineStr"/>
      <c r="M1498" t="inlineStr"/>
      <c r="N1498" t="inlineStr"/>
    </row>
    <row r="1499">
      <c r="A1499" t="inlineStr">
        <is>
          <t>us-pittsburgh</t>
        </is>
      </c>
      <c r="B1499" t="inlineStr">
        <is>
          <t>Pittsburgh</t>
        </is>
      </c>
      <c r="C1499" t="inlineStr">
        <is>
          <t>United States</t>
        </is>
      </c>
      <c r="D1499" t="inlineStr">
        <is>
          <t>North America</t>
        </is>
      </c>
      <c r="E1499" t="inlineStr">
        <is>
          <t>healthcare_quality_raw</t>
        </is>
      </c>
      <c r="F1499" t="inlineStr">
        <is>
          <t>Healthcare quality raw</t>
        </is>
      </c>
      <c r="G1499" t="inlineStr">
        <is>
          <t>capability</t>
        </is>
      </c>
      <c r="H1499" t="inlineStr">
        <is>
          <t>yes</t>
        </is>
      </c>
      <c r="I1499" t="inlineStr"/>
      <c r="J1499" t="inlineStr"/>
      <c r="K1499" t="inlineStr"/>
      <c r="L1499" t="inlineStr"/>
      <c r="M1499" t="inlineStr"/>
      <c r="N1499" t="inlineStr"/>
    </row>
    <row r="1500">
      <c r="A1500" t="inlineStr">
        <is>
          <t>us-pittsburgh</t>
        </is>
      </c>
      <c r="B1500" t="inlineStr">
        <is>
          <t>Pittsburgh</t>
        </is>
      </c>
      <c r="C1500" t="inlineStr">
        <is>
          <t>United States</t>
        </is>
      </c>
      <c r="D1500" t="inlineStr">
        <is>
          <t>North America</t>
        </is>
      </c>
      <c r="E1500" t="inlineStr">
        <is>
          <t>education_quality_raw</t>
        </is>
      </c>
      <c r="F1500" t="inlineStr">
        <is>
          <t>Education quality raw</t>
        </is>
      </c>
      <c r="G1500" t="inlineStr">
        <is>
          <t>capability</t>
        </is>
      </c>
      <c r="H1500" t="inlineStr">
        <is>
          <t>yes</t>
        </is>
      </c>
      <c r="I1500" t="inlineStr"/>
      <c r="J1500" t="inlineStr"/>
      <c r="K1500" t="inlineStr"/>
      <c r="L1500" t="inlineStr"/>
      <c r="M1500" t="inlineStr"/>
      <c r="N1500" t="inlineStr"/>
    </row>
    <row r="1501">
      <c r="A1501" t="inlineStr">
        <is>
          <t>us-pittsburgh</t>
        </is>
      </c>
      <c r="B1501" t="inlineStr">
        <is>
          <t>Pittsburgh</t>
        </is>
      </c>
      <c r="C1501" t="inlineStr">
        <is>
          <t>United States</t>
        </is>
      </c>
      <c r="D1501" t="inlineStr">
        <is>
          <t>North America</t>
        </is>
      </c>
      <c r="E1501" t="inlineStr">
        <is>
          <t>equal_opportunity_raw</t>
        </is>
      </c>
      <c r="F1501" t="inlineStr">
        <is>
          <t>Equal opportunity raw</t>
        </is>
      </c>
      <c r="G1501" t="inlineStr">
        <is>
          <t>capability</t>
        </is>
      </c>
      <c r="H1501" t="inlineStr">
        <is>
          <t>yes</t>
        </is>
      </c>
      <c r="I1501" t="inlineStr"/>
      <c r="J1501" t="inlineStr"/>
      <c r="K1501" t="inlineStr"/>
      <c r="L1501" t="inlineStr"/>
      <c r="M1501" t="inlineStr"/>
      <c r="N1501" t="inlineStr"/>
    </row>
    <row r="1502">
      <c r="A1502" t="inlineStr">
        <is>
          <t>us-pittsburgh</t>
        </is>
      </c>
      <c r="B1502" t="inlineStr">
        <is>
          <t>Pittsburgh</t>
        </is>
      </c>
      <c r="C1502" t="inlineStr">
        <is>
          <t>United States</t>
        </is>
      </c>
      <c r="D1502" t="inlineStr">
        <is>
          <t>North America</t>
        </is>
      </c>
      <c r="E1502" t="inlineStr">
        <is>
          <t>hospitality_belonging_raw</t>
        </is>
      </c>
      <c r="F1502" t="inlineStr">
        <is>
          <t>Hospitality and belonging raw</t>
        </is>
      </c>
      <c r="G1502" t="inlineStr">
        <is>
          <t>community</t>
        </is>
      </c>
      <c r="H1502" t="inlineStr">
        <is>
          <t>yes</t>
        </is>
      </c>
      <c r="I1502" t="inlineStr"/>
      <c r="J1502" t="inlineStr"/>
      <c r="K1502" t="inlineStr"/>
      <c r="L1502" t="inlineStr"/>
      <c r="M1502" t="inlineStr"/>
      <c r="N1502" t="inlineStr"/>
    </row>
    <row r="1503">
      <c r="A1503" t="inlineStr">
        <is>
          <t>us-pittsburgh</t>
        </is>
      </c>
      <c r="B1503" t="inlineStr">
        <is>
          <t>Pittsburgh</t>
        </is>
      </c>
      <c r="C1503" t="inlineStr">
        <is>
          <t>United States</t>
        </is>
      </c>
      <c r="D1503" t="inlineStr">
        <is>
          <t>North America</t>
        </is>
      </c>
      <c r="E1503" t="inlineStr">
        <is>
          <t>tolerance_pluralism_raw</t>
        </is>
      </c>
      <c r="F1503" t="inlineStr">
        <is>
          <t>Tolerance and pluralism raw</t>
        </is>
      </c>
      <c r="G1503" t="inlineStr">
        <is>
          <t>community</t>
        </is>
      </c>
      <c r="H1503" t="inlineStr">
        <is>
          <t>yes</t>
        </is>
      </c>
      <c r="I1503" t="inlineStr"/>
      <c r="J1503" t="inlineStr"/>
      <c r="K1503" t="inlineStr"/>
      <c r="L1503" t="inlineStr"/>
      <c r="M1503" t="inlineStr"/>
      <c r="N1503" t="inlineStr"/>
    </row>
    <row r="1504">
      <c r="A1504" t="inlineStr">
        <is>
          <t>us-pittsburgh</t>
        </is>
      </c>
      <c r="B1504" t="inlineStr">
        <is>
          <t>Pittsburgh</t>
        </is>
      </c>
      <c r="C1504" t="inlineStr">
        <is>
          <t>United States</t>
        </is>
      </c>
      <c r="D1504" t="inlineStr">
        <is>
          <t>North America</t>
        </is>
      </c>
      <c r="E1504" t="inlineStr">
        <is>
          <t>cultural_public_life_raw</t>
        </is>
      </c>
      <c r="F1504" t="inlineStr">
        <is>
          <t>Cultural public life raw</t>
        </is>
      </c>
      <c r="G1504" t="inlineStr">
        <is>
          <t>community</t>
        </is>
      </c>
      <c r="H1504" t="inlineStr">
        <is>
          <t>yes</t>
        </is>
      </c>
      <c r="I1504" t="inlineStr"/>
      <c r="J1504" t="inlineStr"/>
      <c r="K1504" t="inlineStr"/>
      <c r="L1504" t="inlineStr"/>
      <c r="M1504" t="inlineStr"/>
      <c r="N1504" t="inlineStr"/>
    </row>
    <row r="1505">
      <c r="A1505" t="inlineStr">
        <is>
          <t>us-pittsburgh</t>
        </is>
      </c>
      <c r="B1505" t="inlineStr">
        <is>
          <t>Pittsburgh</t>
        </is>
      </c>
      <c r="C1505" t="inlineStr">
        <is>
          <t>United States</t>
        </is>
      </c>
      <c r="D1505" t="inlineStr">
        <is>
          <t>North America</t>
        </is>
      </c>
      <c r="E1505" t="inlineStr">
        <is>
          <t>entrepreneurial_dynamism_raw</t>
        </is>
      </c>
      <c r="F1505" t="inlineStr">
        <is>
          <t>Entrepreneurial dynamism raw</t>
        </is>
      </c>
      <c r="G1505" t="inlineStr">
        <is>
          <t>creative</t>
        </is>
      </c>
      <c r="H1505" t="inlineStr">
        <is>
          <t>yes</t>
        </is>
      </c>
      <c r="I1505" t="inlineStr"/>
      <c r="J1505" t="inlineStr"/>
      <c r="K1505" t="inlineStr"/>
      <c r="L1505" t="inlineStr"/>
      <c r="M1505" t="inlineStr"/>
      <c r="N1505" t="inlineStr"/>
    </row>
    <row r="1506">
      <c r="A1506" t="inlineStr">
        <is>
          <t>us-pittsburgh</t>
        </is>
      </c>
      <c r="B1506" t="inlineStr">
        <is>
          <t>Pittsburgh</t>
        </is>
      </c>
      <c r="C1506" t="inlineStr">
        <is>
          <t>United States</t>
        </is>
      </c>
      <c r="D1506" t="inlineStr">
        <is>
          <t>North America</t>
        </is>
      </c>
      <c r="E1506" t="inlineStr">
        <is>
          <t>innovation_research_intensity_raw</t>
        </is>
      </c>
      <c r="F1506" t="inlineStr">
        <is>
          <t>Innovation and research raw</t>
        </is>
      </c>
      <c r="G1506" t="inlineStr">
        <is>
          <t>creative</t>
        </is>
      </c>
      <c r="H1506" t="inlineStr">
        <is>
          <t>yes</t>
        </is>
      </c>
      <c r="I1506" t="inlineStr"/>
      <c r="J1506" t="inlineStr"/>
      <c r="K1506" t="inlineStr"/>
      <c r="L1506" t="inlineStr"/>
      <c r="M1506" t="inlineStr"/>
      <c r="N1506" t="inlineStr"/>
    </row>
    <row r="1507">
      <c r="A1507" t="inlineStr">
        <is>
          <t>us-pittsburgh</t>
        </is>
      </c>
      <c r="B1507" t="inlineStr">
        <is>
          <t>Pittsburgh</t>
        </is>
      </c>
      <c r="C1507" t="inlineStr">
        <is>
          <t>United States</t>
        </is>
      </c>
      <c r="D1507" t="inlineStr">
        <is>
          <t>North America</t>
        </is>
      </c>
      <c r="E1507" t="inlineStr">
        <is>
          <t>investment_signal_raw</t>
        </is>
      </c>
      <c r="F1507" t="inlineStr">
        <is>
          <t>Investment signal raw</t>
        </is>
      </c>
      <c r="G1507" t="inlineStr">
        <is>
          <t>creative</t>
        </is>
      </c>
      <c r="H1507" t="inlineStr">
        <is>
          <t>yes</t>
        </is>
      </c>
      <c r="I1507" t="inlineStr"/>
      <c r="J1507" t="inlineStr"/>
      <c r="K1507" t="inlineStr"/>
      <c r="L1507" t="inlineStr"/>
      <c r="M1507" t="inlineStr"/>
      <c r="N1507" t="inlineStr"/>
    </row>
    <row r="1508">
      <c r="A1508" t="inlineStr">
        <is>
          <t>us-pittsburgh</t>
        </is>
      </c>
      <c r="B1508" t="inlineStr">
        <is>
          <t>Pittsburgh</t>
        </is>
      </c>
      <c r="C1508" t="inlineStr">
        <is>
          <t>United States</t>
        </is>
      </c>
      <c r="D1508" t="inlineStr">
        <is>
          <t>North America</t>
        </is>
      </c>
      <c r="E1508" t="inlineStr">
        <is>
          <t>administrative_investment_friction_raw</t>
        </is>
      </c>
      <c r="F1508" t="inlineStr">
        <is>
          <t>Administrative investment friction raw</t>
        </is>
      </c>
      <c r="G1508" t="inlineStr">
        <is>
          <t>creative</t>
        </is>
      </c>
      <c r="H1508" t="inlineStr">
        <is>
          <t>yes</t>
        </is>
      </c>
      <c r="I1508" t="inlineStr"/>
      <c r="J1508" t="inlineStr"/>
      <c r="K1508" t="inlineStr"/>
      <c r="L1508" t="inlineStr"/>
      <c r="M1508" t="inlineStr"/>
      <c r="N1508" t="inlineStr"/>
    </row>
    <row r="1509">
      <c r="A1509" t="inlineStr">
        <is>
          <t>us-pittsburgh</t>
        </is>
      </c>
      <c r="B1509" t="inlineStr">
        <is>
          <t>Pittsburgh</t>
        </is>
      </c>
      <c r="C1509" t="inlineStr">
        <is>
          <t>United States</t>
        </is>
      </c>
      <c r="D1509" t="inlineStr">
        <is>
          <t>North America</t>
        </is>
      </c>
      <c r="E1509" t="inlineStr">
        <is>
          <t>visitor_flow_context_raw</t>
        </is>
      </c>
      <c r="F1509" t="inlineStr">
        <is>
          <t>Visitor flow context raw</t>
        </is>
      </c>
      <c r="G1509" t="inlineStr">
        <is>
          <t>creative</t>
        </is>
      </c>
      <c r="H1509" t="inlineStr">
        <is>
          <t>no</t>
        </is>
      </c>
      <c r="I1509" t="inlineStr"/>
      <c r="J1509" t="inlineStr"/>
      <c r="K1509" t="inlineStr"/>
      <c r="L1509" t="inlineStr"/>
      <c r="M1509" t="inlineStr"/>
      <c r="N1509" t="inlineStr"/>
    </row>
    <row r="1510">
      <c r="A1510" t="inlineStr">
        <is>
          <t>ca-montreal</t>
        </is>
      </c>
      <c r="B1510" t="inlineStr">
        <is>
          <t>Montreal</t>
        </is>
      </c>
      <c r="C1510" t="inlineStr">
        <is>
          <t>Canada</t>
        </is>
      </c>
      <c r="D1510" t="inlineStr">
        <is>
          <t>North America</t>
        </is>
      </c>
      <c r="E1510" t="inlineStr">
        <is>
          <t>gross_income</t>
        </is>
      </c>
      <c r="F1510" t="inlineStr">
        <is>
          <t>Gross income</t>
        </is>
      </c>
      <c r="G1510" t="inlineStr">
        <is>
          <t>pressure</t>
        </is>
      </c>
      <c r="H1510" t="inlineStr">
        <is>
          <t>yes</t>
        </is>
      </c>
      <c r="I1510" t="inlineStr"/>
      <c r="J1510" t="inlineStr"/>
      <c r="K1510" t="inlineStr"/>
      <c r="L1510" t="inlineStr"/>
      <c r="M1510" t="inlineStr"/>
      <c r="N1510" t="inlineStr"/>
    </row>
    <row r="1511">
      <c r="A1511" t="inlineStr">
        <is>
          <t>ca-montreal</t>
        </is>
      </c>
      <c r="B1511" t="inlineStr">
        <is>
          <t>Montreal</t>
        </is>
      </c>
      <c r="C1511" t="inlineStr">
        <is>
          <t>Canada</t>
        </is>
      </c>
      <c r="D1511" t="inlineStr">
        <is>
          <t>North America</t>
        </is>
      </c>
      <c r="E1511" t="inlineStr">
        <is>
          <t>rent</t>
        </is>
      </c>
      <c r="F1511" t="inlineStr">
        <is>
          <t>Rent</t>
        </is>
      </c>
      <c r="G1511" t="inlineStr">
        <is>
          <t>pressure</t>
        </is>
      </c>
      <c r="H1511" t="inlineStr">
        <is>
          <t>yes</t>
        </is>
      </c>
      <c r="I1511" t="inlineStr"/>
      <c r="J1511" t="inlineStr"/>
      <c r="K1511" t="inlineStr"/>
      <c r="L1511" t="inlineStr"/>
      <c r="M1511" t="inlineStr"/>
      <c r="N1511" t="inlineStr"/>
    </row>
    <row r="1512">
      <c r="A1512" t="inlineStr">
        <is>
          <t>ca-montreal</t>
        </is>
      </c>
      <c r="B1512" t="inlineStr">
        <is>
          <t>Montreal</t>
        </is>
      </c>
      <c r="C1512" t="inlineStr">
        <is>
          <t>Canada</t>
        </is>
      </c>
      <c r="D1512" t="inlineStr">
        <is>
          <t>North America</t>
        </is>
      </c>
      <c r="E1512" t="inlineStr">
        <is>
          <t>utilities</t>
        </is>
      </c>
      <c r="F1512" t="inlineStr">
        <is>
          <t>Utilities</t>
        </is>
      </c>
      <c r="G1512" t="inlineStr">
        <is>
          <t>pressure</t>
        </is>
      </c>
      <c r="H1512" t="inlineStr">
        <is>
          <t>yes</t>
        </is>
      </c>
      <c r="I1512" t="inlineStr"/>
      <c r="J1512" t="inlineStr"/>
      <c r="K1512" t="inlineStr"/>
      <c r="L1512" t="inlineStr"/>
      <c r="M1512" t="inlineStr"/>
      <c r="N1512" t="inlineStr"/>
    </row>
    <row r="1513">
      <c r="A1513" t="inlineStr">
        <is>
          <t>ca-montreal</t>
        </is>
      </c>
      <c r="B1513" t="inlineStr">
        <is>
          <t>Montreal</t>
        </is>
      </c>
      <c r="C1513" t="inlineStr">
        <is>
          <t>Canada</t>
        </is>
      </c>
      <c r="D1513" t="inlineStr">
        <is>
          <t>North America</t>
        </is>
      </c>
      <c r="E1513" t="inlineStr">
        <is>
          <t>transit_cost</t>
        </is>
      </c>
      <c r="F1513" t="inlineStr">
        <is>
          <t>Transit cost</t>
        </is>
      </c>
      <c r="G1513" t="inlineStr">
        <is>
          <t>pressure</t>
        </is>
      </c>
      <c r="H1513" t="inlineStr">
        <is>
          <t>yes</t>
        </is>
      </c>
      <c r="I1513" t="inlineStr"/>
      <c r="J1513" t="inlineStr"/>
      <c r="K1513" t="inlineStr"/>
      <c r="L1513" t="inlineStr"/>
      <c r="M1513" t="inlineStr"/>
      <c r="N1513" t="inlineStr"/>
    </row>
    <row r="1514">
      <c r="A1514" t="inlineStr">
        <is>
          <t>ca-montreal</t>
        </is>
      </c>
      <c r="B1514" t="inlineStr">
        <is>
          <t>Montreal</t>
        </is>
      </c>
      <c r="C1514" t="inlineStr">
        <is>
          <t>Canada</t>
        </is>
      </c>
      <c r="D1514" t="inlineStr">
        <is>
          <t>North America</t>
        </is>
      </c>
      <c r="E1514" t="inlineStr">
        <is>
          <t>internet_cost</t>
        </is>
      </c>
      <c r="F1514" t="inlineStr">
        <is>
          <t>Internet cost</t>
        </is>
      </c>
      <c r="G1514" t="inlineStr">
        <is>
          <t>pressure</t>
        </is>
      </c>
      <c r="H1514" t="inlineStr">
        <is>
          <t>yes</t>
        </is>
      </c>
      <c r="I1514" t="inlineStr"/>
      <c r="J1514" t="inlineStr"/>
      <c r="K1514" t="inlineStr"/>
      <c r="L1514" t="inlineStr"/>
      <c r="M1514" t="inlineStr"/>
      <c r="N1514" t="inlineStr"/>
    </row>
    <row r="1515">
      <c r="A1515" t="inlineStr">
        <is>
          <t>ca-montreal</t>
        </is>
      </c>
      <c r="B1515" t="inlineStr">
        <is>
          <t>Montreal</t>
        </is>
      </c>
      <c r="C1515" t="inlineStr">
        <is>
          <t>Canada</t>
        </is>
      </c>
      <c r="D1515" t="inlineStr">
        <is>
          <t>North America</t>
        </is>
      </c>
      <c r="E1515" t="inlineStr">
        <is>
          <t>food_cost</t>
        </is>
      </c>
      <c r="F1515" t="inlineStr">
        <is>
          <t>Food cost</t>
        </is>
      </c>
      <c r="G1515" t="inlineStr">
        <is>
          <t>pressure</t>
        </is>
      </c>
      <c r="H1515" t="inlineStr">
        <is>
          <t>yes</t>
        </is>
      </c>
      <c r="I1515" t="inlineStr"/>
      <c r="J1515" t="inlineStr"/>
      <c r="K1515" t="inlineStr"/>
      <c r="L1515" t="inlineStr"/>
      <c r="M1515" t="inlineStr"/>
      <c r="N1515" t="inlineStr"/>
    </row>
    <row r="1516">
      <c r="A1516" t="inlineStr">
        <is>
          <t>ca-montreal</t>
        </is>
      </c>
      <c r="B1516" t="inlineStr">
        <is>
          <t>Montreal</t>
        </is>
      </c>
      <c r="C1516" t="inlineStr">
        <is>
          <t>Canada</t>
        </is>
      </c>
      <c r="D1516" t="inlineStr">
        <is>
          <t>North America</t>
        </is>
      </c>
      <c r="E1516" t="inlineStr">
        <is>
          <t>housing_burden_raw</t>
        </is>
      </c>
      <c r="F1516" t="inlineStr">
        <is>
          <t>Housing burden raw</t>
        </is>
      </c>
      <c r="G1516" t="inlineStr">
        <is>
          <t>pressure</t>
        </is>
      </c>
      <c r="H1516" t="inlineStr">
        <is>
          <t>yes</t>
        </is>
      </c>
      <c r="I1516" t="inlineStr"/>
      <c r="J1516" t="inlineStr"/>
      <c r="K1516" t="inlineStr"/>
      <c r="L1516" t="inlineStr"/>
      <c r="M1516" t="inlineStr"/>
      <c r="N1516" t="inlineStr"/>
    </row>
    <row r="1517">
      <c r="A1517" t="inlineStr">
        <is>
          <t>ca-montreal</t>
        </is>
      </c>
      <c r="B1517" t="inlineStr">
        <is>
          <t>Montreal</t>
        </is>
      </c>
      <c r="C1517" t="inlineStr">
        <is>
          <t>Canada</t>
        </is>
      </c>
      <c r="D1517" t="inlineStr">
        <is>
          <t>North America</t>
        </is>
      </c>
      <c r="E1517" t="inlineStr">
        <is>
          <t>household_debt_burden_raw</t>
        </is>
      </c>
      <c r="F1517" t="inlineStr">
        <is>
          <t>Household debt burden raw</t>
        </is>
      </c>
      <c r="G1517" t="inlineStr">
        <is>
          <t>pressure</t>
        </is>
      </c>
      <c r="H1517" t="inlineStr">
        <is>
          <t>yes</t>
        </is>
      </c>
      <c r="I1517" t="inlineStr"/>
      <c r="J1517" t="inlineStr"/>
      <c r="K1517" t="inlineStr"/>
      <c r="L1517" t="inlineStr"/>
      <c r="M1517" t="inlineStr"/>
      <c r="N1517" t="inlineStr"/>
    </row>
    <row r="1518">
      <c r="A1518" t="inlineStr">
        <is>
          <t>ca-montreal</t>
        </is>
      </c>
      <c r="B1518" t="inlineStr">
        <is>
          <t>Montreal</t>
        </is>
      </c>
      <c r="C1518" t="inlineStr">
        <is>
          <t>Canada</t>
        </is>
      </c>
      <c r="D1518" t="inlineStr">
        <is>
          <t>North America</t>
        </is>
      </c>
      <c r="E1518" t="inlineStr">
        <is>
          <t>working_time_pressure_raw</t>
        </is>
      </c>
      <c r="F1518" t="inlineStr">
        <is>
          <t>Working time pressure raw</t>
        </is>
      </c>
      <c r="G1518" t="inlineStr">
        <is>
          <t>pressure</t>
        </is>
      </c>
      <c r="H1518" t="inlineStr">
        <is>
          <t>yes</t>
        </is>
      </c>
      <c r="I1518" t="inlineStr"/>
      <c r="J1518" t="inlineStr"/>
      <c r="K1518" t="inlineStr"/>
      <c r="L1518" t="inlineStr"/>
      <c r="M1518" t="inlineStr"/>
      <c r="N1518" t="inlineStr"/>
    </row>
    <row r="1519">
      <c r="A1519" t="inlineStr">
        <is>
          <t>ca-montreal</t>
        </is>
      </c>
      <c r="B1519" t="inlineStr">
        <is>
          <t>Montreal</t>
        </is>
      </c>
      <c r="C1519" t="inlineStr">
        <is>
          <t>Canada</t>
        </is>
      </c>
      <c r="D1519" t="inlineStr">
        <is>
          <t>North America</t>
        </is>
      </c>
      <c r="E1519" t="inlineStr">
        <is>
          <t>suicide_mental_strain_raw</t>
        </is>
      </c>
      <c r="F1519" t="inlineStr">
        <is>
          <t>Suicide or mental strain raw</t>
        </is>
      </c>
      <c r="G1519" t="inlineStr">
        <is>
          <t>pressure</t>
        </is>
      </c>
      <c r="H1519" t="inlineStr">
        <is>
          <t>yes</t>
        </is>
      </c>
      <c r="I1519" t="inlineStr"/>
      <c r="J1519" t="inlineStr"/>
      <c r="K1519" t="inlineStr"/>
      <c r="L1519" t="inlineStr"/>
      <c r="M1519" t="inlineStr"/>
      <c r="N1519" t="inlineStr"/>
    </row>
    <row r="1520">
      <c r="A1520" t="inlineStr">
        <is>
          <t>ca-montreal</t>
        </is>
      </c>
      <c r="B1520" t="inlineStr">
        <is>
          <t>Montreal</t>
        </is>
      </c>
      <c r="C1520" t="inlineStr">
        <is>
          <t>Canada</t>
        </is>
      </c>
      <c r="D1520" t="inlineStr">
        <is>
          <t>North America</t>
        </is>
      </c>
      <c r="E1520" t="inlineStr">
        <is>
          <t>personal_safety_raw</t>
        </is>
      </c>
      <c r="F1520" t="inlineStr">
        <is>
          <t>Personal safety raw</t>
        </is>
      </c>
      <c r="G1520" t="inlineStr">
        <is>
          <t>viability</t>
        </is>
      </c>
      <c r="H1520" t="inlineStr">
        <is>
          <t>yes</t>
        </is>
      </c>
      <c r="I1520" t="inlineStr"/>
      <c r="J1520" t="inlineStr"/>
      <c r="K1520" t="inlineStr"/>
      <c r="L1520" t="inlineStr"/>
      <c r="M1520" t="inlineStr"/>
      <c r="N1520" t="inlineStr"/>
    </row>
    <row r="1521">
      <c r="A1521" t="inlineStr">
        <is>
          <t>ca-montreal</t>
        </is>
      </c>
      <c r="B1521" t="inlineStr">
        <is>
          <t>Montreal</t>
        </is>
      </c>
      <c r="C1521" t="inlineStr">
        <is>
          <t>Canada</t>
        </is>
      </c>
      <c r="D1521" t="inlineStr">
        <is>
          <t>North America</t>
        </is>
      </c>
      <c r="E1521" t="inlineStr">
        <is>
          <t>transit_access_commute_raw</t>
        </is>
      </c>
      <c r="F1521" t="inlineStr">
        <is>
          <t>Transit access and commute raw</t>
        </is>
      </c>
      <c r="G1521" t="inlineStr">
        <is>
          <t>viability</t>
        </is>
      </c>
      <c r="H1521" t="inlineStr">
        <is>
          <t>yes</t>
        </is>
      </c>
      <c r="I1521" t="inlineStr"/>
      <c r="J1521" t="inlineStr"/>
      <c r="K1521" t="inlineStr"/>
      <c r="L1521" t="inlineStr"/>
      <c r="M1521" t="inlineStr"/>
      <c r="N1521" t="inlineStr"/>
    </row>
    <row r="1522">
      <c r="A1522" t="inlineStr">
        <is>
          <t>ca-montreal</t>
        </is>
      </c>
      <c r="B1522" t="inlineStr">
        <is>
          <t>Montreal</t>
        </is>
      </c>
      <c r="C1522" t="inlineStr">
        <is>
          <t>Canada</t>
        </is>
      </c>
      <c r="D1522" t="inlineStr">
        <is>
          <t>North America</t>
        </is>
      </c>
      <c r="E1522" t="inlineStr">
        <is>
          <t>clean_air_raw</t>
        </is>
      </c>
      <c r="F1522" t="inlineStr">
        <is>
          <t>Clean air raw</t>
        </is>
      </c>
      <c r="G1522" t="inlineStr">
        <is>
          <t>viability</t>
        </is>
      </c>
      <c r="H1522" t="inlineStr">
        <is>
          <t>yes</t>
        </is>
      </c>
      <c r="I1522" t="inlineStr"/>
      <c r="J1522" t="inlineStr"/>
      <c r="K1522" t="inlineStr"/>
      <c r="L1522" t="inlineStr"/>
      <c r="M1522" t="inlineStr"/>
      <c r="N1522" t="inlineStr"/>
    </row>
    <row r="1523">
      <c r="A1523" t="inlineStr">
        <is>
          <t>ca-montreal</t>
        </is>
      </c>
      <c r="B1523" t="inlineStr">
        <is>
          <t>Montreal</t>
        </is>
      </c>
      <c r="C1523" t="inlineStr">
        <is>
          <t>Canada</t>
        </is>
      </c>
      <c r="D1523" t="inlineStr">
        <is>
          <t>North America</t>
        </is>
      </c>
      <c r="E1523" t="inlineStr">
        <is>
          <t>water_sanitation_utility_raw</t>
        </is>
      </c>
      <c r="F1523" t="inlineStr">
        <is>
          <t>Water, sanitation, and utility raw</t>
        </is>
      </c>
      <c r="G1523" t="inlineStr">
        <is>
          <t>viability</t>
        </is>
      </c>
      <c r="H1523" t="inlineStr">
        <is>
          <t>yes</t>
        </is>
      </c>
      <c r="I1523" t="inlineStr"/>
      <c r="J1523" t="inlineStr"/>
      <c r="K1523" t="inlineStr"/>
      <c r="L1523" t="inlineStr"/>
      <c r="M1523" t="inlineStr"/>
      <c r="N1523" t="inlineStr"/>
    </row>
    <row r="1524">
      <c r="A1524" t="inlineStr">
        <is>
          <t>ca-montreal</t>
        </is>
      </c>
      <c r="B1524" t="inlineStr">
        <is>
          <t>Montreal</t>
        </is>
      </c>
      <c r="C1524" t="inlineStr">
        <is>
          <t>Canada</t>
        </is>
      </c>
      <c r="D1524" t="inlineStr">
        <is>
          <t>North America</t>
        </is>
      </c>
      <c r="E1524" t="inlineStr">
        <is>
          <t>digital_infrastructure_raw</t>
        </is>
      </c>
      <c r="F1524" t="inlineStr">
        <is>
          <t>Digital infrastructure raw</t>
        </is>
      </c>
      <c r="G1524" t="inlineStr">
        <is>
          <t>viability</t>
        </is>
      </c>
      <c r="H1524" t="inlineStr">
        <is>
          <t>yes</t>
        </is>
      </c>
      <c r="I1524" t="inlineStr"/>
      <c r="J1524" t="inlineStr"/>
      <c r="K1524" t="inlineStr"/>
      <c r="L1524" t="inlineStr"/>
      <c r="M1524" t="inlineStr"/>
      <c r="N1524" t="inlineStr"/>
    </row>
    <row r="1525">
      <c r="A1525" t="inlineStr">
        <is>
          <t>ca-montreal</t>
        </is>
      </c>
      <c r="B1525" t="inlineStr">
        <is>
          <t>Montreal</t>
        </is>
      </c>
      <c r="C1525" t="inlineStr">
        <is>
          <t>Canada</t>
        </is>
      </c>
      <c r="D1525" t="inlineStr">
        <is>
          <t>North America</t>
        </is>
      </c>
      <c r="E1525" t="inlineStr">
        <is>
          <t>healthcare_quality_raw</t>
        </is>
      </c>
      <c r="F1525" t="inlineStr">
        <is>
          <t>Healthcare quality raw</t>
        </is>
      </c>
      <c r="G1525" t="inlineStr">
        <is>
          <t>capability</t>
        </is>
      </c>
      <c r="H1525" t="inlineStr">
        <is>
          <t>yes</t>
        </is>
      </c>
      <c r="I1525" t="inlineStr"/>
      <c r="J1525" t="inlineStr"/>
      <c r="K1525" t="inlineStr"/>
      <c r="L1525" t="inlineStr"/>
      <c r="M1525" t="inlineStr"/>
      <c r="N1525" t="inlineStr"/>
    </row>
    <row r="1526">
      <c r="A1526" t="inlineStr">
        <is>
          <t>ca-montreal</t>
        </is>
      </c>
      <c r="B1526" t="inlineStr">
        <is>
          <t>Montreal</t>
        </is>
      </c>
      <c r="C1526" t="inlineStr">
        <is>
          <t>Canada</t>
        </is>
      </c>
      <c r="D1526" t="inlineStr">
        <is>
          <t>North America</t>
        </is>
      </c>
      <c r="E1526" t="inlineStr">
        <is>
          <t>education_quality_raw</t>
        </is>
      </c>
      <c r="F1526" t="inlineStr">
        <is>
          <t>Education quality raw</t>
        </is>
      </c>
      <c r="G1526" t="inlineStr">
        <is>
          <t>capability</t>
        </is>
      </c>
      <c r="H1526" t="inlineStr">
        <is>
          <t>yes</t>
        </is>
      </c>
      <c r="I1526" t="inlineStr"/>
      <c r="J1526" t="inlineStr"/>
      <c r="K1526" t="inlineStr"/>
      <c r="L1526" t="inlineStr"/>
      <c r="M1526" t="inlineStr"/>
      <c r="N1526" t="inlineStr"/>
    </row>
    <row r="1527">
      <c r="A1527" t="inlineStr">
        <is>
          <t>ca-montreal</t>
        </is>
      </c>
      <c r="B1527" t="inlineStr">
        <is>
          <t>Montreal</t>
        </is>
      </c>
      <c r="C1527" t="inlineStr">
        <is>
          <t>Canada</t>
        </is>
      </c>
      <c r="D1527" t="inlineStr">
        <is>
          <t>North America</t>
        </is>
      </c>
      <c r="E1527" t="inlineStr">
        <is>
          <t>equal_opportunity_raw</t>
        </is>
      </c>
      <c r="F1527" t="inlineStr">
        <is>
          <t>Equal opportunity raw</t>
        </is>
      </c>
      <c r="G1527" t="inlineStr">
        <is>
          <t>capability</t>
        </is>
      </c>
      <c r="H1527" t="inlineStr">
        <is>
          <t>yes</t>
        </is>
      </c>
      <c r="I1527" t="inlineStr"/>
      <c r="J1527" t="inlineStr"/>
      <c r="K1527" t="inlineStr"/>
      <c r="L1527" t="inlineStr"/>
      <c r="M1527" t="inlineStr"/>
      <c r="N1527" t="inlineStr"/>
    </row>
    <row r="1528">
      <c r="A1528" t="inlineStr">
        <is>
          <t>ca-montreal</t>
        </is>
      </c>
      <c r="B1528" t="inlineStr">
        <is>
          <t>Montreal</t>
        </is>
      </c>
      <c r="C1528" t="inlineStr">
        <is>
          <t>Canada</t>
        </is>
      </c>
      <c r="D1528" t="inlineStr">
        <is>
          <t>North America</t>
        </is>
      </c>
      <c r="E1528" t="inlineStr">
        <is>
          <t>hospitality_belonging_raw</t>
        </is>
      </c>
      <c r="F1528" t="inlineStr">
        <is>
          <t>Hospitality and belonging raw</t>
        </is>
      </c>
      <c r="G1528" t="inlineStr">
        <is>
          <t>community</t>
        </is>
      </c>
      <c r="H1528" t="inlineStr">
        <is>
          <t>yes</t>
        </is>
      </c>
      <c r="I1528" t="inlineStr"/>
      <c r="J1528" t="inlineStr"/>
      <c r="K1528" t="inlineStr"/>
      <c r="L1528" t="inlineStr"/>
      <c r="M1528" t="inlineStr"/>
      <c r="N1528" t="inlineStr"/>
    </row>
    <row r="1529">
      <c r="A1529" t="inlineStr">
        <is>
          <t>ca-montreal</t>
        </is>
      </c>
      <c r="B1529" t="inlineStr">
        <is>
          <t>Montreal</t>
        </is>
      </c>
      <c r="C1529" t="inlineStr">
        <is>
          <t>Canada</t>
        </is>
      </c>
      <c r="D1529" t="inlineStr">
        <is>
          <t>North America</t>
        </is>
      </c>
      <c r="E1529" t="inlineStr">
        <is>
          <t>tolerance_pluralism_raw</t>
        </is>
      </c>
      <c r="F1529" t="inlineStr">
        <is>
          <t>Tolerance and pluralism raw</t>
        </is>
      </c>
      <c r="G1529" t="inlineStr">
        <is>
          <t>community</t>
        </is>
      </c>
      <c r="H1529" t="inlineStr">
        <is>
          <t>yes</t>
        </is>
      </c>
      <c r="I1529" t="inlineStr"/>
      <c r="J1529" t="inlineStr"/>
      <c r="K1529" t="inlineStr"/>
      <c r="L1529" t="inlineStr"/>
      <c r="M1529" t="inlineStr"/>
      <c r="N1529" t="inlineStr"/>
    </row>
    <row r="1530">
      <c r="A1530" t="inlineStr">
        <is>
          <t>ca-montreal</t>
        </is>
      </c>
      <c r="B1530" t="inlineStr">
        <is>
          <t>Montreal</t>
        </is>
      </c>
      <c r="C1530" t="inlineStr">
        <is>
          <t>Canada</t>
        </is>
      </c>
      <c r="D1530" t="inlineStr">
        <is>
          <t>North America</t>
        </is>
      </c>
      <c r="E1530" t="inlineStr">
        <is>
          <t>cultural_public_life_raw</t>
        </is>
      </c>
      <c r="F1530" t="inlineStr">
        <is>
          <t>Cultural public life raw</t>
        </is>
      </c>
      <c r="G1530" t="inlineStr">
        <is>
          <t>community</t>
        </is>
      </c>
      <c r="H1530" t="inlineStr">
        <is>
          <t>yes</t>
        </is>
      </c>
      <c r="I1530" t="inlineStr"/>
      <c r="J1530" t="inlineStr"/>
      <c r="K1530" t="inlineStr"/>
      <c r="L1530" t="inlineStr"/>
      <c r="M1530" t="inlineStr"/>
      <c r="N1530" t="inlineStr"/>
    </row>
    <row r="1531">
      <c r="A1531" t="inlineStr">
        <is>
          <t>ca-montreal</t>
        </is>
      </c>
      <c r="B1531" t="inlineStr">
        <is>
          <t>Montreal</t>
        </is>
      </c>
      <c r="C1531" t="inlineStr">
        <is>
          <t>Canada</t>
        </is>
      </c>
      <c r="D1531" t="inlineStr">
        <is>
          <t>North America</t>
        </is>
      </c>
      <c r="E1531" t="inlineStr">
        <is>
          <t>entrepreneurial_dynamism_raw</t>
        </is>
      </c>
      <c r="F1531" t="inlineStr">
        <is>
          <t>Entrepreneurial dynamism raw</t>
        </is>
      </c>
      <c r="G1531" t="inlineStr">
        <is>
          <t>creative</t>
        </is>
      </c>
      <c r="H1531" t="inlineStr">
        <is>
          <t>yes</t>
        </is>
      </c>
      <c r="I1531" t="inlineStr"/>
      <c r="J1531" t="inlineStr"/>
      <c r="K1531" t="inlineStr"/>
      <c r="L1531" t="inlineStr"/>
      <c r="M1531" t="inlineStr"/>
      <c r="N1531" t="inlineStr"/>
    </row>
    <row r="1532">
      <c r="A1532" t="inlineStr">
        <is>
          <t>ca-montreal</t>
        </is>
      </c>
      <c r="B1532" t="inlineStr">
        <is>
          <t>Montreal</t>
        </is>
      </c>
      <c r="C1532" t="inlineStr">
        <is>
          <t>Canada</t>
        </is>
      </c>
      <c r="D1532" t="inlineStr">
        <is>
          <t>North America</t>
        </is>
      </c>
      <c r="E1532" t="inlineStr">
        <is>
          <t>innovation_research_intensity_raw</t>
        </is>
      </c>
      <c r="F1532" t="inlineStr">
        <is>
          <t>Innovation and research raw</t>
        </is>
      </c>
      <c r="G1532" t="inlineStr">
        <is>
          <t>creative</t>
        </is>
      </c>
      <c r="H1532" t="inlineStr">
        <is>
          <t>yes</t>
        </is>
      </c>
      <c r="I1532" t="inlineStr"/>
      <c r="J1532" t="inlineStr"/>
      <c r="K1532" t="inlineStr"/>
      <c r="L1532" t="inlineStr"/>
      <c r="M1532" t="inlineStr"/>
      <c r="N1532" t="inlineStr"/>
    </row>
    <row r="1533">
      <c r="A1533" t="inlineStr">
        <is>
          <t>ca-montreal</t>
        </is>
      </c>
      <c r="B1533" t="inlineStr">
        <is>
          <t>Montreal</t>
        </is>
      </c>
      <c r="C1533" t="inlineStr">
        <is>
          <t>Canada</t>
        </is>
      </c>
      <c r="D1533" t="inlineStr">
        <is>
          <t>North America</t>
        </is>
      </c>
      <c r="E1533" t="inlineStr">
        <is>
          <t>investment_signal_raw</t>
        </is>
      </c>
      <c r="F1533" t="inlineStr">
        <is>
          <t>Investment signal raw</t>
        </is>
      </c>
      <c r="G1533" t="inlineStr">
        <is>
          <t>creative</t>
        </is>
      </c>
      <c r="H1533" t="inlineStr">
        <is>
          <t>yes</t>
        </is>
      </c>
      <c r="I1533" t="inlineStr"/>
      <c r="J1533" t="inlineStr"/>
      <c r="K1533" t="inlineStr"/>
      <c r="L1533" t="inlineStr"/>
      <c r="M1533" t="inlineStr"/>
      <c r="N1533" t="inlineStr"/>
    </row>
    <row r="1534">
      <c r="A1534" t="inlineStr">
        <is>
          <t>ca-montreal</t>
        </is>
      </c>
      <c r="B1534" t="inlineStr">
        <is>
          <t>Montreal</t>
        </is>
      </c>
      <c r="C1534" t="inlineStr">
        <is>
          <t>Canada</t>
        </is>
      </c>
      <c r="D1534" t="inlineStr">
        <is>
          <t>North America</t>
        </is>
      </c>
      <c r="E1534" t="inlineStr">
        <is>
          <t>administrative_investment_friction_raw</t>
        </is>
      </c>
      <c r="F1534" t="inlineStr">
        <is>
          <t>Administrative investment friction raw</t>
        </is>
      </c>
      <c r="G1534" t="inlineStr">
        <is>
          <t>creative</t>
        </is>
      </c>
      <c r="H1534" t="inlineStr">
        <is>
          <t>yes</t>
        </is>
      </c>
      <c r="I1534" t="inlineStr"/>
      <c r="J1534" t="inlineStr"/>
      <c r="K1534" t="inlineStr"/>
      <c r="L1534" t="inlineStr"/>
      <c r="M1534" t="inlineStr"/>
      <c r="N1534" t="inlineStr"/>
    </row>
    <row r="1535">
      <c r="A1535" t="inlineStr">
        <is>
          <t>ca-montreal</t>
        </is>
      </c>
      <c r="B1535" t="inlineStr">
        <is>
          <t>Montreal</t>
        </is>
      </c>
      <c r="C1535" t="inlineStr">
        <is>
          <t>Canada</t>
        </is>
      </c>
      <c r="D1535" t="inlineStr">
        <is>
          <t>North America</t>
        </is>
      </c>
      <c r="E1535" t="inlineStr">
        <is>
          <t>visitor_flow_context_raw</t>
        </is>
      </c>
      <c r="F1535" t="inlineStr">
        <is>
          <t>Visitor flow context raw</t>
        </is>
      </c>
      <c r="G1535" t="inlineStr">
        <is>
          <t>creative</t>
        </is>
      </c>
      <c r="H1535" t="inlineStr">
        <is>
          <t>no</t>
        </is>
      </c>
      <c r="I1535" t="inlineStr"/>
      <c r="J1535" t="inlineStr"/>
      <c r="K1535" t="inlineStr"/>
      <c r="L1535" t="inlineStr"/>
      <c r="M1535" t="inlineStr"/>
      <c r="N1535" t="inlineStr"/>
    </row>
    <row r="1536">
      <c r="A1536" t="inlineStr">
        <is>
          <t>mx-guadalajara</t>
        </is>
      </c>
      <c r="B1536" t="inlineStr">
        <is>
          <t>Guadalajara</t>
        </is>
      </c>
      <c r="C1536" t="inlineStr">
        <is>
          <t>Mexico</t>
        </is>
      </c>
      <c r="D1536" t="inlineStr">
        <is>
          <t>North America</t>
        </is>
      </c>
      <c r="E1536" t="inlineStr">
        <is>
          <t>gross_income</t>
        </is>
      </c>
      <c r="F1536" t="inlineStr">
        <is>
          <t>Gross income</t>
        </is>
      </c>
      <c r="G1536" t="inlineStr">
        <is>
          <t>pressure</t>
        </is>
      </c>
      <c r="H1536" t="inlineStr">
        <is>
          <t>yes</t>
        </is>
      </c>
      <c r="I1536" t="inlineStr"/>
      <c r="J1536" t="inlineStr"/>
      <c r="K1536" t="inlineStr"/>
      <c r="L1536" t="inlineStr"/>
      <c r="M1536" t="inlineStr"/>
      <c r="N1536" t="inlineStr"/>
    </row>
    <row r="1537">
      <c r="A1537" t="inlineStr">
        <is>
          <t>mx-guadalajara</t>
        </is>
      </c>
      <c r="B1537" t="inlineStr">
        <is>
          <t>Guadalajara</t>
        </is>
      </c>
      <c r="C1537" t="inlineStr">
        <is>
          <t>Mexico</t>
        </is>
      </c>
      <c r="D1537" t="inlineStr">
        <is>
          <t>North America</t>
        </is>
      </c>
      <c r="E1537" t="inlineStr">
        <is>
          <t>rent</t>
        </is>
      </c>
      <c r="F1537" t="inlineStr">
        <is>
          <t>Rent</t>
        </is>
      </c>
      <c r="G1537" t="inlineStr">
        <is>
          <t>pressure</t>
        </is>
      </c>
      <c r="H1537" t="inlineStr">
        <is>
          <t>yes</t>
        </is>
      </c>
      <c r="I1537" t="inlineStr"/>
      <c r="J1537" t="inlineStr"/>
      <c r="K1537" t="inlineStr"/>
      <c r="L1537" t="inlineStr"/>
      <c r="M1537" t="inlineStr"/>
      <c r="N1537" t="inlineStr"/>
    </row>
    <row r="1538">
      <c r="A1538" t="inlineStr">
        <is>
          <t>mx-guadalajara</t>
        </is>
      </c>
      <c r="B1538" t="inlineStr">
        <is>
          <t>Guadalajara</t>
        </is>
      </c>
      <c r="C1538" t="inlineStr">
        <is>
          <t>Mexico</t>
        </is>
      </c>
      <c r="D1538" t="inlineStr">
        <is>
          <t>North America</t>
        </is>
      </c>
      <c r="E1538" t="inlineStr">
        <is>
          <t>utilities</t>
        </is>
      </c>
      <c r="F1538" t="inlineStr">
        <is>
          <t>Utilities</t>
        </is>
      </c>
      <c r="G1538" t="inlineStr">
        <is>
          <t>pressure</t>
        </is>
      </c>
      <c r="H1538" t="inlineStr">
        <is>
          <t>yes</t>
        </is>
      </c>
      <c r="I1538" t="inlineStr"/>
      <c r="J1538" t="inlineStr"/>
      <c r="K1538" t="inlineStr"/>
      <c r="L1538" t="inlineStr"/>
      <c r="M1538" t="inlineStr"/>
      <c r="N1538" t="inlineStr"/>
    </row>
    <row r="1539">
      <c r="A1539" t="inlineStr">
        <is>
          <t>mx-guadalajara</t>
        </is>
      </c>
      <c r="B1539" t="inlineStr">
        <is>
          <t>Guadalajara</t>
        </is>
      </c>
      <c r="C1539" t="inlineStr">
        <is>
          <t>Mexico</t>
        </is>
      </c>
      <c r="D1539" t="inlineStr">
        <is>
          <t>North America</t>
        </is>
      </c>
      <c r="E1539" t="inlineStr">
        <is>
          <t>transit_cost</t>
        </is>
      </c>
      <c r="F1539" t="inlineStr">
        <is>
          <t>Transit cost</t>
        </is>
      </c>
      <c r="G1539" t="inlineStr">
        <is>
          <t>pressure</t>
        </is>
      </c>
      <c r="H1539" t="inlineStr">
        <is>
          <t>yes</t>
        </is>
      </c>
      <c r="I1539" t="inlineStr"/>
      <c r="J1539" t="inlineStr"/>
      <c r="K1539" t="inlineStr"/>
      <c r="L1539" t="inlineStr"/>
      <c r="M1539" t="inlineStr"/>
      <c r="N1539" t="inlineStr"/>
    </row>
    <row r="1540">
      <c r="A1540" t="inlineStr">
        <is>
          <t>mx-guadalajara</t>
        </is>
      </c>
      <c r="B1540" t="inlineStr">
        <is>
          <t>Guadalajara</t>
        </is>
      </c>
      <c r="C1540" t="inlineStr">
        <is>
          <t>Mexico</t>
        </is>
      </c>
      <c r="D1540" t="inlineStr">
        <is>
          <t>North America</t>
        </is>
      </c>
      <c r="E1540" t="inlineStr">
        <is>
          <t>internet_cost</t>
        </is>
      </c>
      <c r="F1540" t="inlineStr">
        <is>
          <t>Internet cost</t>
        </is>
      </c>
      <c r="G1540" t="inlineStr">
        <is>
          <t>pressure</t>
        </is>
      </c>
      <c r="H1540" t="inlineStr">
        <is>
          <t>yes</t>
        </is>
      </c>
      <c r="I1540" t="inlineStr"/>
      <c r="J1540" t="inlineStr"/>
      <c r="K1540" t="inlineStr"/>
      <c r="L1540" t="inlineStr"/>
      <c r="M1540" t="inlineStr"/>
      <c r="N1540" t="inlineStr"/>
    </row>
    <row r="1541">
      <c r="A1541" t="inlineStr">
        <is>
          <t>mx-guadalajara</t>
        </is>
      </c>
      <c r="B1541" t="inlineStr">
        <is>
          <t>Guadalajara</t>
        </is>
      </c>
      <c r="C1541" t="inlineStr">
        <is>
          <t>Mexico</t>
        </is>
      </c>
      <c r="D1541" t="inlineStr">
        <is>
          <t>North America</t>
        </is>
      </c>
      <c r="E1541" t="inlineStr">
        <is>
          <t>food_cost</t>
        </is>
      </c>
      <c r="F1541" t="inlineStr">
        <is>
          <t>Food cost</t>
        </is>
      </c>
      <c r="G1541" t="inlineStr">
        <is>
          <t>pressure</t>
        </is>
      </c>
      <c r="H1541" t="inlineStr">
        <is>
          <t>yes</t>
        </is>
      </c>
      <c r="I1541" t="inlineStr"/>
      <c r="J1541" t="inlineStr"/>
      <c r="K1541" t="inlineStr"/>
      <c r="L1541" t="inlineStr"/>
      <c r="M1541" t="inlineStr"/>
      <c r="N1541" t="inlineStr"/>
    </row>
    <row r="1542">
      <c r="A1542" t="inlineStr">
        <is>
          <t>mx-guadalajara</t>
        </is>
      </c>
      <c r="B1542" t="inlineStr">
        <is>
          <t>Guadalajara</t>
        </is>
      </c>
      <c r="C1542" t="inlineStr">
        <is>
          <t>Mexico</t>
        </is>
      </c>
      <c r="D1542" t="inlineStr">
        <is>
          <t>North America</t>
        </is>
      </c>
      <c r="E1542" t="inlineStr">
        <is>
          <t>housing_burden_raw</t>
        </is>
      </c>
      <c r="F1542" t="inlineStr">
        <is>
          <t>Housing burden raw</t>
        </is>
      </c>
      <c r="G1542" t="inlineStr">
        <is>
          <t>pressure</t>
        </is>
      </c>
      <c r="H1542" t="inlineStr">
        <is>
          <t>yes</t>
        </is>
      </c>
      <c r="I1542" t="inlineStr"/>
      <c r="J1542" t="inlineStr"/>
      <c r="K1542" t="inlineStr"/>
      <c r="L1542" t="inlineStr"/>
      <c r="M1542" t="inlineStr"/>
      <c r="N1542" t="inlineStr"/>
    </row>
    <row r="1543">
      <c r="A1543" t="inlineStr">
        <is>
          <t>mx-guadalajara</t>
        </is>
      </c>
      <c r="B1543" t="inlineStr">
        <is>
          <t>Guadalajara</t>
        </is>
      </c>
      <c r="C1543" t="inlineStr">
        <is>
          <t>Mexico</t>
        </is>
      </c>
      <c r="D1543" t="inlineStr">
        <is>
          <t>North America</t>
        </is>
      </c>
      <c r="E1543" t="inlineStr">
        <is>
          <t>household_debt_burden_raw</t>
        </is>
      </c>
      <c r="F1543" t="inlineStr">
        <is>
          <t>Household debt burden raw</t>
        </is>
      </c>
      <c r="G1543" t="inlineStr">
        <is>
          <t>pressure</t>
        </is>
      </c>
      <c r="H1543" t="inlineStr">
        <is>
          <t>yes</t>
        </is>
      </c>
      <c r="I1543" t="inlineStr"/>
      <c r="J1543" t="inlineStr"/>
      <c r="K1543" t="inlineStr"/>
      <c r="L1543" t="inlineStr"/>
      <c r="M1543" t="inlineStr"/>
      <c r="N1543" t="inlineStr"/>
    </row>
    <row r="1544">
      <c r="A1544" t="inlineStr">
        <is>
          <t>mx-guadalajara</t>
        </is>
      </c>
      <c r="B1544" t="inlineStr">
        <is>
          <t>Guadalajara</t>
        </is>
      </c>
      <c r="C1544" t="inlineStr">
        <is>
          <t>Mexico</t>
        </is>
      </c>
      <c r="D1544" t="inlineStr">
        <is>
          <t>North America</t>
        </is>
      </c>
      <c r="E1544" t="inlineStr">
        <is>
          <t>working_time_pressure_raw</t>
        </is>
      </c>
      <c r="F1544" t="inlineStr">
        <is>
          <t>Working time pressure raw</t>
        </is>
      </c>
      <c r="G1544" t="inlineStr">
        <is>
          <t>pressure</t>
        </is>
      </c>
      <c r="H1544" t="inlineStr">
        <is>
          <t>yes</t>
        </is>
      </c>
      <c r="I1544" t="inlineStr"/>
      <c r="J1544" t="inlineStr"/>
      <c r="K1544" t="inlineStr"/>
      <c r="L1544" t="inlineStr"/>
      <c r="M1544" t="inlineStr"/>
      <c r="N1544" t="inlineStr"/>
    </row>
    <row r="1545">
      <c r="A1545" t="inlineStr">
        <is>
          <t>mx-guadalajara</t>
        </is>
      </c>
      <c r="B1545" t="inlineStr">
        <is>
          <t>Guadalajara</t>
        </is>
      </c>
      <c r="C1545" t="inlineStr">
        <is>
          <t>Mexico</t>
        </is>
      </c>
      <c r="D1545" t="inlineStr">
        <is>
          <t>North America</t>
        </is>
      </c>
      <c r="E1545" t="inlineStr">
        <is>
          <t>suicide_mental_strain_raw</t>
        </is>
      </c>
      <c r="F1545" t="inlineStr">
        <is>
          <t>Suicide or mental strain raw</t>
        </is>
      </c>
      <c r="G1545" t="inlineStr">
        <is>
          <t>pressure</t>
        </is>
      </c>
      <c r="H1545" t="inlineStr">
        <is>
          <t>yes</t>
        </is>
      </c>
      <c r="I1545" t="inlineStr"/>
      <c r="J1545" t="inlineStr"/>
      <c r="K1545" t="inlineStr"/>
      <c r="L1545" t="inlineStr"/>
      <c r="M1545" t="inlineStr"/>
      <c r="N1545" t="inlineStr"/>
    </row>
    <row r="1546">
      <c r="A1546" t="inlineStr">
        <is>
          <t>mx-guadalajara</t>
        </is>
      </c>
      <c r="B1546" t="inlineStr">
        <is>
          <t>Guadalajara</t>
        </is>
      </c>
      <c r="C1546" t="inlineStr">
        <is>
          <t>Mexico</t>
        </is>
      </c>
      <c r="D1546" t="inlineStr">
        <is>
          <t>North America</t>
        </is>
      </c>
      <c r="E1546" t="inlineStr">
        <is>
          <t>personal_safety_raw</t>
        </is>
      </c>
      <c r="F1546" t="inlineStr">
        <is>
          <t>Personal safety raw</t>
        </is>
      </c>
      <c r="G1546" t="inlineStr">
        <is>
          <t>viability</t>
        </is>
      </c>
      <c r="H1546" t="inlineStr">
        <is>
          <t>yes</t>
        </is>
      </c>
      <c r="I1546" t="inlineStr"/>
      <c r="J1546" t="inlineStr"/>
      <c r="K1546" t="inlineStr"/>
      <c r="L1546" t="inlineStr"/>
      <c r="M1546" t="inlineStr"/>
      <c r="N1546" t="inlineStr"/>
    </row>
    <row r="1547">
      <c r="A1547" t="inlineStr">
        <is>
          <t>mx-guadalajara</t>
        </is>
      </c>
      <c r="B1547" t="inlineStr">
        <is>
          <t>Guadalajara</t>
        </is>
      </c>
      <c r="C1547" t="inlineStr">
        <is>
          <t>Mexico</t>
        </is>
      </c>
      <c r="D1547" t="inlineStr">
        <is>
          <t>North America</t>
        </is>
      </c>
      <c r="E1547" t="inlineStr">
        <is>
          <t>transit_access_commute_raw</t>
        </is>
      </c>
      <c r="F1547" t="inlineStr">
        <is>
          <t>Transit access and commute raw</t>
        </is>
      </c>
      <c r="G1547" t="inlineStr">
        <is>
          <t>viability</t>
        </is>
      </c>
      <c r="H1547" t="inlineStr">
        <is>
          <t>yes</t>
        </is>
      </c>
      <c r="I1547" t="inlineStr"/>
      <c r="J1547" t="inlineStr"/>
      <c r="K1547" t="inlineStr"/>
      <c r="L1547" t="inlineStr"/>
      <c r="M1547" t="inlineStr"/>
      <c r="N1547" t="inlineStr"/>
    </row>
    <row r="1548">
      <c r="A1548" t="inlineStr">
        <is>
          <t>mx-guadalajara</t>
        </is>
      </c>
      <c r="B1548" t="inlineStr">
        <is>
          <t>Guadalajara</t>
        </is>
      </c>
      <c r="C1548" t="inlineStr">
        <is>
          <t>Mexico</t>
        </is>
      </c>
      <c r="D1548" t="inlineStr">
        <is>
          <t>North America</t>
        </is>
      </c>
      <c r="E1548" t="inlineStr">
        <is>
          <t>clean_air_raw</t>
        </is>
      </c>
      <c r="F1548" t="inlineStr">
        <is>
          <t>Clean air raw</t>
        </is>
      </c>
      <c r="G1548" t="inlineStr">
        <is>
          <t>viability</t>
        </is>
      </c>
      <c r="H1548" t="inlineStr">
        <is>
          <t>yes</t>
        </is>
      </c>
      <c r="I1548" t="inlineStr"/>
      <c r="J1548" t="inlineStr"/>
      <c r="K1548" t="inlineStr"/>
      <c r="L1548" t="inlineStr"/>
      <c r="M1548" t="inlineStr"/>
      <c r="N1548" t="inlineStr"/>
    </row>
    <row r="1549">
      <c r="A1549" t="inlineStr">
        <is>
          <t>mx-guadalajara</t>
        </is>
      </c>
      <c r="B1549" t="inlineStr">
        <is>
          <t>Guadalajara</t>
        </is>
      </c>
      <c r="C1549" t="inlineStr">
        <is>
          <t>Mexico</t>
        </is>
      </c>
      <c r="D1549" t="inlineStr">
        <is>
          <t>North America</t>
        </is>
      </c>
      <c r="E1549" t="inlineStr">
        <is>
          <t>water_sanitation_utility_raw</t>
        </is>
      </c>
      <c r="F1549" t="inlineStr">
        <is>
          <t>Water, sanitation, and utility raw</t>
        </is>
      </c>
      <c r="G1549" t="inlineStr">
        <is>
          <t>viability</t>
        </is>
      </c>
      <c r="H1549" t="inlineStr">
        <is>
          <t>yes</t>
        </is>
      </c>
      <c r="I1549" t="inlineStr"/>
      <c r="J1549" t="inlineStr"/>
      <c r="K1549" t="inlineStr"/>
      <c r="L1549" t="inlineStr"/>
      <c r="M1549" t="inlineStr"/>
      <c r="N1549" t="inlineStr"/>
    </row>
    <row r="1550">
      <c r="A1550" t="inlineStr">
        <is>
          <t>mx-guadalajara</t>
        </is>
      </c>
      <c r="B1550" t="inlineStr">
        <is>
          <t>Guadalajara</t>
        </is>
      </c>
      <c r="C1550" t="inlineStr">
        <is>
          <t>Mexico</t>
        </is>
      </c>
      <c r="D1550" t="inlineStr">
        <is>
          <t>North America</t>
        </is>
      </c>
      <c r="E1550" t="inlineStr">
        <is>
          <t>digital_infrastructure_raw</t>
        </is>
      </c>
      <c r="F1550" t="inlineStr">
        <is>
          <t>Digital infrastructure raw</t>
        </is>
      </c>
      <c r="G1550" t="inlineStr">
        <is>
          <t>viability</t>
        </is>
      </c>
      <c r="H1550" t="inlineStr">
        <is>
          <t>yes</t>
        </is>
      </c>
      <c r="I1550" t="inlineStr"/>
      <c r="J1550" t="inlineStr"/>
      <c r="K1550" t="inlineStr"/>
      <c r="L1550" t="inlineStr"/>
      <c r="M1550" t="inlineStr"/>
      <c r="N1550" t="inlineStr"/>
    </row>
    <row r="1551">
      <c r="A1551" t="inlineStr">
        <is>
          <t>mx-guadalajara</t>
        </is>
      </c>
      <c r="B1551" t="inlineStr">
        <is>
          <t>Guadalajara</t>
        </is>
      </c>
      <c r="C1551" t="inlineStr">
        <is>
          <t>Mexico</t>
        </is>
      </c>
      <c r="D1551" t="inlineStr">
        <is>
          <t>North America</t>
        </is>
      </c>
      <c r="E1551" t="inlineStr">
        <is>
          <t>healthcare_quality_raw</t>
        </is>
      </c>
      <c r="F1551" t="inlineStr">
        <is>
          <t>Healthcare quality raw</t>
        </is>
      </c>
      <c r="G1551" t="inlineStr">
        <is>
          <t>capability</t>
        </is>
      </c>
      <c r="H1551" t="inlineStr">
        <is>
          <t>yes</t>
        </is>
      </c>
      <c r="I1551" t="inlineStr"/>
      <c r="J1551" t="inlineStr"/>
      <c r="K1551" t="inlineStr"/>
      <c r="L1551" t="inlineStr"/>
      <c r="M1551" t="inlineStr"/>
      <c r="N1551" t="inlineStr"/>
    </row>
    <row r="1552">
      <c r="A1552" t="inlineStr">
        <is>
          <t>mx-guadalajara</t>
        </is>
      </c>
      <c r="B1552" t="inlineStr">
        <is>
          <t>Guadalajara</t>
        </is>
      </c>
      <c r="C1552" t="inlineStr">
        <is>
          <t>Mexico</t>
        </is>
      </c>
      <c r="D1552" t="inlineStr">
        <is>
          <t>North America</t>
        </is>
      </c>
      <c r="E1552" t="inlineStr">
        <is>
          <t>education_quality_raw</t>
        </is>
      </c>
      <c r="F1552" t="inlineStr">
        <is>
          <t>Education quality raw</t>
        </is>
      </c>
      <c r="G1552" t="inlineStr">
        <is>
          <t>capability</t>
        </is>
      </c>
      <c r="H1552" t="inlineStr">
        <is>
          <t>yes</t>
        </is>
      </c>
      <c r="I1552" t="inlineStr"/>
      <c r="J1552" t="inlineStr"/>
      <c r="K1552" t="inlineStr"/>
      <c r="L1552" t="inlineStr"/>
      <c r="M1552" t="inlineStr"/>
      <c r="N1552" t="inlineStr"/>
    </row>
    <row r="1553">
      <c r="A1553" t="inlineStr">
        <is>
          <t>mx-guadalajara</t>
        </is>
      </c>
      <c r="B1553" t="inlineStr">
        <is>
          <t>Guadalajara</t>
        </is>
      </c>
      <c r="C1553" t="inlineStr">
        <is>
          <t>Mexico</t>
        </is>
      </c>
      <c r="D1553" t="inlineStr">
        <is>
          <t>North America</t>
        </is>
      </c>
      <c r="E1553" t="inlineStr">
        <is>
          <t>equal_opportunity_raw</t>
        </is>
      </c>
      <c r="F1553" t="inlineStr">
        <is>
          <t>Equal opportunity raw</t>
        </is>
      </c>
      <c r="G1553" t="inlineStr">
        <is>
          <t>capability</t>
        </is>
      </c>
      <c r="H1553" t="inlineStr">
        <is>
          <t>yes</t>
        </is>
      </c>
      <c r="I1553" t="inlineStr"/>
      <c r="J1553" t="inlineStr"/>
      <c r="K1553" t="inlineStr"/>
      <c r="L1553" t="inlineStr"/>
      <c r="M1553" t="inlineStr"/>
      <c r="N1553" t="inlineStr"/>
    </row>
    <row r="1554">
      <c r="A1554" t="inlineStr">
        <is>
          <t>mx-guadalajara</t>
        </is>
      </c>
      <c r="B1554" t="inlineStr">
        <is>
          <t>Guadalajara</t>
        </is>
      </c>
      <c r="C1554" t="inlineStr">
        <is>
          <t>Mexico</t>
        </is>
      </c>
      <c r="D1554" t="inlineStr">
        <is>
          <t>North America</t>
        </is>
      </c>
      <c r="E1554" t="inlineStr">
        <is>
          <t>hospitality_belonging_raw</t>
        </is>
      </c>
      <c r="F1554" t="inlineStr">
        <is>
          <t>Hospitality and belonging raw</t>
        </is>
      </c>
      <c r="G1554" t="inlineStr">
        <is>
          <t>community</t>
        </is>
      </c>
      <c r="H1554" t="inlineStr">
        <is>
          <t>yes</t>
        </is>
      </c>
      <c r="I1554" t="inlineStr"/>
      <c r="J1554" t="inlineStr"/>
      <c r="K1554" t="inlineStr"/>
      <c r="L1554" t="inlineStr"/>
      <c r="M1554" t="inlineStr"/>
      <c r="N1554" t="inlineStr"/>
    </row>
    <row r="1555">
      <c r="A1555" t="inlineStr">
        <is>
          <t>mx-guadalajara</t>
        </is>
      </c>
      <c r="B1555" t="inlineStr">
        <is>
          <t>Guadalajara</t>
        </is>
      </c>
      <c r="C1555" t="inlineStr">
        <is>
          <t>Mexico</t>
        </is>
      </c>
      <c r="D1555" t="inlineStr">
        <is>
          <t>North America</t>
        </is>
      </c>
      <c r="E1555" t="inlineStr">
        <is>
          <t>tolerance_pluralism_raw</t>
        </is>
      </c>
      <c r="F1555" t="inlineStr">
        <is>
          <t>Tolerance and pluralism raw</t>
        </is>
      </c>
      <c r="G1555" t="inlineStr">
        <is>
          <t>community</t>
        </is>
      </c>
      <c r="H1555" t="inlineStr">
        <is>
          <t>yes</t>
        </is>
      </c>
      <c r="I1555" t="inlineStr"/>
      <c r="J1555" t="inlineStr"/>
      <c r="K1555" t="inlineStr"/>
      <c r="L1555" t="inlineStr"/>
      <c r="M1555" t="inlineStr"/>
      <c r="N1555" t="inlineStr"/>
    </row>
    <row r="1556">
      <c r="A1556" t="inlineStr">
        <is>
          <t>mx-guadalajara</t>
        </is>
      </c>
      <c r="B1556" t="inlineStr">
        <is>
          <t>Guadalajara</t>
        </is>
      </c>
      <c r="C1556" t="inlineStr">
        <is>
          <t>Mexico</t>
        </is>
      </c>
      <c r="D1556" t="inlineStr">
        <is>
          <t>North America</t>
        </is>
      </c>
      <c r="E1556" t="inlineStr">
        <is>
          <t>cultural_public_life_raw</t>
        </is>
      </c>
      <c r="F1556" t="inlineStr">
        <is>
          <t>Cultural public life raw</t>
        </is>
      </c>
      <c r="G1556" t="inlineStr">
        <is>
          <t>community</t>
        </is>
      </c>
      <c r="H1556" t="inlineStr">
        <is>
          <t>yes</t>
        </is>
      </c>
      <c r="I1556" t="inlineStr"/>
      <c r="J1556" t="inlineStr"/>
      <c r="K1556" t="inlineStr"/>
      <c r="L1556" t="inlineStr"/>
      <c r="M1556" t="inlineStr"/>
      <c r="N1556" t="inlineStr"/>
    </row>
    <row r="1557">
      <c r="A1557" t="inlineStr">
        <is>
          <t>mx-guadalajara</t>
        </is>
      </c>
      <c r="B1557" t="inlineStr">
        <is>
          <t>Guadalajara</t>
        </is>
      </c>
      <c r="C1557" t="inlineStr">
        <is>
          <t>Mexico</t>
        </is>
      </c>
      <c r="D1557" t="inlineStr">
        <is>
          <t>North America</t>
        </is>
      </c>
      <c r="E1557" t="inlineStr">
        <is>
          <t>entrepreneurial_dynamism_raw</t>
        </is>
      </c>
      <c r="F1557" t="inlineStr">
        <is>
          <t>Entrepreneurial dynamism raw</t>
        </is>
      </c>
      <c r="G1557" t="inlineStr">
        <is>
          <t>creative</t>
        </is>
      </c>
      <c r="H1557" t="inlineStr">
        <is>
          <t>yes</t>
        </is>
      </c>
      <c r="I1557" t="inlineStr"/>
      <c r="J1557" t="inlineStr"/>
      <c r="K1557" t="inlineStr"/>
      <c r="L1557" t="inlineStr"/>
      <c r="M1557" t="inlineStr"/>
      <c r="N1557" t="inlineStr"/>
    </row>
    <row r="1558">
      <c r="A1558" t="inlineStr">
        <is>
          <t>mx-guadalajara</t>
        </is>
      </c>
      <c r="B1558" t="inlineStr">
        <is>
          <t>Guadalajara</t>
        </is>
      </c>
      <c r="C1558" t="inlineStr">
        <is>
          <t>Mexico</t>
        </is>
      </c>
      <c r="D1558" t="inlineStr">
        <is>
          <t>North America</t>
        </is>
      </c>
      <c r="E1558" t="inlineStr">
        <is>
          <t>innovation_research_intensity_raw</t>
        </is>
      </c>
      <c r="F1558" t="inlineStr">
        <is>
          <t>Innovation and research raw</t>
        </is>
      </c>
      <c r="G1558" t="inlineStr">
        <is>
          <t>creative</t>
        </is>
      </c>
      <c r="H1558" t="inlineStr">
        <is>
          <t>yes</t>
        </is>
      </c>
      <c r="I1558" t="inlineStr"/>
      <c r="J1558" t="inlineStr"/>
      <c r="K1558" t="inlineStr"/>
      <c r="L1558" t="inlineStr"/>
      <c r="M1558" t="inlineStr"/>
      <c r="N1558" t="inlineStr"/>
    </row>
    <row r="1559">
      <c r="A1559" t="inlineStr">
        <is>
          <t>mx-guadalajara</t>
        </is>
      </c>
      <c r="B1559" t="inlineStr">
        <is>
          <t>Guadalajara</t>
        </is>
      </c>
      <c r="C1559" t="inlineStr">
        <is>
          <t>Mexico</t>
        </is>
      </c>
      <c r="D1559" t="inlineStr">
        <is>
          <t>North America</t>
        </is>
      </c>
      <c r="E1559" t="inlineStr">
        <is>
          <t>investment_signal_raw</t>
        </is>
      </c>
      <c r="F1559" t="inlineStr">
        <is>
          <t>Investment signal raw</t>
        </is>
      </c>
      <c r="G1559" t="inlineStr">
        <is>
          <t>creative</t>
        </is>
      </c>
      <c r="H1559" t="inlineStr">
        <is>
          <t>yes</t>
        </is>
      </c>
      <c r="I1559" t="inlineStr"/>
      <c r="J1559" t="inlineStr"/>
      <c r="K1559" t="inlineStr"/>
      <c r="L1559" t="inlineStr"/>
      <c r="M1559" t="inlineStr"/>
      <c r="N1559" t="inlineStr"/>
    </row>
    <row r="1560">
      <c r="A1560" t="inlineStr">
        <is>
          <t>mx-guadalajara</t>
        </is>
      </c>
      <c r="B1560" t="inlineStr">
        <is>
          <t>Guadalajara</t>
        </is>
      </c>
      <c r="C1560" t="inlineStr">
        <is>
          <t>Mexico</t>
        </is>
      </c>
      <c r="D1560" t="inlineStr">
        <is>
          <t>North America</t>
        </is>
      </c>
      <c r="E1560" t="inlineStr">
        <is>
          <t>administrative_investment_friction_raw</t>
        </is>
      </c>
      <c r="F1560" t="inlineStr">
        <is>
          <t>Administrative investment friction raw</t>
        </is>
      </c>
      <c r="G1560" t="inlineStr">
        <is>
          <t>creative</t>
        </is>
      </c>
      <c r="H1560" t="inlineStr">
        <is>
          <t>yes</t>
        </is>
      </c>
      <c r="I1560" t="inlineStr"/>
      <c r="J1560" t="inlineStr"/>
      <c r="K1560" t="inlineStr"/>
      <c r="L1560" t="inlineStr"/>
      <c r="M1560" t="inlineStr"/>
      <c r="N1560" t="inlineStr"/>
    </row>
    <row r="1561">
      <c r="A1561" t="inlineStr">
        <is>
          <t>mx-guadalajara</t>
        </is>
      </c>
      <c r="B1561" t="inlineStr">
        <is>
          <t>Guadalajara</t>
        </is>
      </c>
      <c r="C1561" t="inlineStr">
        <is>
          <t>Mexico</t>
        </is>
      </c>
      <c r="D1561" t="inlineStr">
        <is>
          <t>North America</t>
        </is>
      </c>
      <c r="E1561" t="inlineStr">
        <is>
          <t>visitor_flow_context_raw</t>
        </is>
      </c>
      <c r="F1561" t="inlineStr">
        <is>
          <t>Visitor flow context raw</t>
        </is>
      </c>
      <c r="G1561" t="inlineStr">
        <is>
          <t>creative</t>
        </is>
      </c>
      <c r="H1561" t="inlineStr">
        <is>
          <t>no</t>
        </is>
      </c>
      <c r="I1561" t="inlineStr"/>
      <c r="J1561" t="inlineStr"/>
      <c r="K1561" t="inlineStr"/>
      <c r="L1561" t="inlineStr"/>
      <c r="M1561" t="inlineStr"/>
      <c r="N1561" t="inlineStr"/>
    </row>
    <row r="1562">
      <c r="A1562" t="inlineStr">
        <is>
          <t>pr-san-juan</t>
        </is>
      </c>
      <c r="B1562" t="inlineStr">
        <is>
          <t>San Juan</t>
        </is>
      </c>
      <c r="C1562" t="inlineStr">
        <is>
          <t>Puerto Rico</t>
        </is>
      </c>
      <c r="D1562" t="inlineStr">
        <is>
          <t>North America</t>
        </is>
      </c>
      <c r="E1562" t="inlineStr">
        <is>
          <t>gross_income</t>
        </is>
      </c>
      <c r="F1562" t="inlineStr">
        <is>
          <t>Gross income</t>
        </is>
      </c>
      <c r="G1562" t="inlineStr">
        <is>
          <t>pressure</t>
        </is>
      </c>
      <c r="H1562" t="inlineStr">
        <is>
          <t>yes</t>
        </is>
      </c>
      <c r="I1562" t="inlineStr"/>
      <c r="J1562" t="inlineStr"/>
      <c r="K1562" t="inlineStr"/>
      <c r="L1562" t="inlineStr"/>
      <c r="M1562" t="inlineStr"/>
      <c r="N1562" t="inlineStr"/>
    </row>
    <row r="1563">
      <c r="A1563" t="inlineStr">
        <is>
          <t>pr-san-juan</t>
        </is>
      </c>
      <c r="B1563" t="inlineStr">
        <is>
          <t>San Juan</t>
        </is>
      </c>
      <c r="C1563" t="inlineStr">
        <is>
          <t>Puerto Rico</t>
        </is>
      </c>
      <c r="D1563" t="inlineStr">
        <is>
          <t>North America</t>
        </is>
      </c>
      <c r="E1563" t="inlineStr">
        <is>
          <t>rent</t>
        </is>
      </c>
      <c r="F1563" t="inlineStr">
        <is>
          <t>Rent</t>
        </is>
      </c>
      <c r="G1563" t="inlineStr">
        <is>
          <t>pressure</t>
        </is>
      </c>
      <c r="H1563" t="inlineStr">
        <is>
          <t>yes</t>
        </is>
      </c>
      <c r="I1563" t="inlineStr"/>
      <c r="J1563" t="inlineStr"/>
      <c r="K1563" t="inlineStr"/>
      <c r="L1563" t="inlineStr"/>
      <c r="M1563" t="inlineStr"/>
      <c r="N1563" t="inlineStr"/>
    </row>
    <row r="1564">
      <c r="A1564" t="inlineStr">
        <is>
          <t>pr-san-juan</t>
        </is>
      </c>
      <c r="B1564" t="inlineStr">
        <is>
          <t>San Juan</t>
        </is>
      </c>
      <c r="C1564" t="inlineStr">
        <is>
          <t>Puerto Rico</t>
        </is>
      </c>
      <c r="D1564" t="inlineStr">
        <is>
          <t>North America</t>
        </is>
      </c>
      <c r="E1564" t="inlineStr">
        <is>
          <t>utilities</t>
        </is>
      </c>
      <c r="F1564" t="inlineStr">
        <is>
          <t>Utilities</t>
        </is>
      </c>
      <c r="G1564" t="inlineStr">
        <is>
          <t>pressure</t>
        </is>
      </c>
      <c r="H1564" t="inlineStr">
        <is>
          <t>yes</t>
        </is>
      </c>
      <c r="I1564" t="inlineStr"/>
      <c r="J1564" t="inlineStr"/>
      <c r="K1564" t="inlineStr"/>
      <c r="L1564" t="inlineStr"/>
      <c r="M1564" t="inlineStr"/>
      <c r="N1564" t="inlineStr"/>
    </row>
    <row r="1565">
      <c r="A1565" t="inlineStr">
        <is>
          <t>pr-san-juan</t>
        </is>
      </c>
      <c r="B1565" t="inlineStr">
        <is>
          <t>San Juan</t>
        </is>
      </c>
      <c r="C1565" t="inlineStr">
        <is>
          <t>Puerto Rico</t>
        </is>
      </c>
      <c r="D1565" t="inlineStr">
        <is>
          <t>North America</t>
        </is>
      </c>
      <c r="E1565" t="inlineStr">
        <is>
          <t>transit_cost</t>
        </is>
      </c>
      <c r="F1565" t="inlineStr">
        <is>
          <t>Transit cost</t>
        </is>
      </c>
      <c r="G1565" t="inlineStr">
        <is>
          <t>pressure</t>
        </is>
      </c>
      <c r="H1565" t="inlineStr">
        <is>
          <t>yes</t>
        </is>
      </c>
      <c r="I1565" t="inlineStr"/>
      <c r="J1565" t="inlineStr"/>
      <c r="K1565" t="inlineStr"/>
      <c r="L1565" t="inlineStr"/>
      <c r="M1565" t="inlineStr"/>
      <c r="N1565" t="inlineStr"/>
    </row>
    <row r="1566">
      <c r="A1566" t="inlineStr">
        <is>
          <t>pr-san-juan</t>
        </is>
      </c>
      <c r="B1566" t="inlineStr">
        <is>
          <t>San Juan</t>
        </is>
      </c>
      <c r="C1566" t="inlineStr">
        <is>
          <t>Puerto Rico</t>
        </is>
      </c>
      <c r="D1566" t="inlineStr">
        <is>
          <t>North America</t>
        </is>
      </c>
      <c r="E1566" t="inlineStr">
        <is>
          <t>internet_cost</t>
        </is>
      </c>
      <c r="F1566" t="inlineStr">
        <is>
          <t>Internet cost</t>
        </is>
      </c>
      <c r="G1566" t="inlineStr">
        <is>
          <t>pressure</t>
        </is>
      </c>
      <c r="H1566" t="inlineStr">
        <is>
          <t>yes</t>
        </is>
      </c>
      <c r="I1566" t="inlineStr"/>
      <c r="J1566" t="inlineStr"/>
      <c r="K1566" t="inlineStr"/>
      <c r="L1566" t="inlineStr"/>
      <c r="M1566" t="inlineStr"/>
      <c r="N1566" t="inlineStr"/>
    </row>
    <row r="1567">
      <c r="A1567" t="inlineStr">
        <is>
          <t>pr-san-juan</t>
        </is>
      </c>
      <c r="B1567" t="inlineStr">
        <is>
          <t>San Juan</t>
        </is>
      </c>
      <c r="C1567" t="inlineStr">
        <is>
          <t>Puerto Rico</t>
        </is>
      </c>
      <c r="D1567" t="inlineStr">
        <is>
          <t>North America</t>
        </is>
      </c>
      <c r="E1567" t="inlineStr">
        <is>
          <t>food_cost</t>
        </is>
      </c>
      <c r="F1567" t="inlineStr">
        <is>
          <t>Food cost</t>
        </is>
      </c>
      <c r="G1567" t="inlineStr">
        <is>
          <t>pressure</t>
        </is>
      </c>
      <c r="H1567" t="inlineStr">
        <is>
          <t>yes</t>
        </is>
      </c>
      <c r="I1567" t="inlineStr"/>
      <c r="J1567" t="inlineStr"/>
      <c r="K1567" t="inlineStr"/>
      <c r="L1567" t="inlineStr"/>
      <c r="M1567" t="inlineStr"/>
      <c r="N1567" t="inlineStr"/>
    </row>
    <row r="1568">
      <c r="A1568" t="inlineStr">
        <is>
          <t>pr-san-juan</t>
        </is>
      </c>
      <c r="B1568" t="inlineStr">
        <is>
          <t>San Juan</t>
        </is>
      </c>
      <c r="C1568" t="inlineStr">
        <is>
          <t>Puerto Rico</t>
        </is>
      </c>
      <c r="D1568" t="inlineStr">
        <is>
          <t>North America</t>
        </is>
      </c>
      <c r="E1568" t="inlineStr">
        <is>
          <t>housing_burden_raw</t>
        </is>
      </c>
      <c r="F1568" t="inlineStr">
        <is>
          <t>Housing burden raw</t>
        </is>
      </c>
      <c r="G1568" t="inlineStr">
        <is>
          <t>pressure</t>
        </is>
      </c>
      <c r="H1568" t="inlineStr">
        <is>
          <t>yes</t>
        </is>
      </c>
      <c r="I1568" t="inlineStr"/>
      <c r="J1568" t="inlineStr"/>
      <c r="K1568" t="inlineStr"/>
      <c r="L1568" t="inlineStr"/>
      <c r="M1568" t="inlineStr"/>
      <c r="N1568" t="inlineStr"/>
    </row>
    <row r="1569">
      <c r="A1569" t="inlineStr">
        <is>
          <t>pr-san-juan</t>
        </is>
      </c>
      <c r="B1569" t="inlineStr">
        <is>
          <t>San Juan</t>
        </is>
      </c>
      <c r="C1569" t="inlineStr">
        <is>
          <t>Puerto Rico</t>
        </is>
      </c>
      <c r="D1569" t="inlineStr">
        <is>
          <t>North America</t>
        </is>
      </c>
      <c r="E1569" t="inlineStr">
        <is>
          <t>household_debt_burden_raw</t>
        </is>
      </c>
      <c r="F1569" t="inlineStr">
        <is>
          <t>Household debt burden raw</t>
        </is>
      </c>
      <c r="G1569" t="inlineStr">
        <is>
          <t>pressure</t>
        </is>
      </c>
      <c r="H1569" t="inlineStr">
        <is>
          <t>yes</t>
        </is>
      </c>
      <c r="I1569" t="inlineStr"/>
      <c r="J1569" t="inlineStr"/>
      <c r="K1569" t="inlineStr"/>
      <c r="L1569" t="inlineStr"/>
      <c r="M1569" t="inlineStr"/>
      <c r="N1569" t="inlineStr"/>
    </row>
    <row r="1570">
      <c r="A1570" t="inlineStr">
        <is>
          <t>pr-san-juan</t>
        </is>
      </c>
      <c r="B1570" t="inlineStr">
        <is>
          <t>San Juan</t>
        </is>
      </c>
      <c r="C1570" t="inlineStr">
        <is>
          <t>Puerto Rico</t>
        </is>
      </c>
      <c r="D1570" t="inlineStr">
        <is>
          <t>North America</t>
        </is>
      </c>
      <c r="E1570" t="inlineStr">
        <is>
          <t>working_time_pressure_raw</t>
        </is>
      </c>
      <c r="F1570" t="inlineStr">
        <is>
          <t>Working time pressure raw</t>
        </is>
      </c>
      <c r="G1570" t="inlineStr">
        <is>
          <t>pressure</t>
        </is>
      </c>
      <c r="H1570" t="inlineStr">
        <is>
          <t>yes</t>
        </is>
      </c>
      <c r="I1570" t="inlineStr"/>
      <c r="J1570" t="inlineStr"/>
      <c r="K1570" t="inlineStr"/>
      <c r="L1570" t="inlineStr"/>
      <c r="M1570" t="inlineStr"/>
      <c r="N1570" t="inlineStr"/>
    </row>
    <row r="1571">
      <c r="A1571" t="inlineStr">
        <is>
          <t>pr-san-juan</t>
        </is>
      </c>
      <c r="B1571" t="inlineStr">
        <is>
          <t>San Juan</t>
        </is>
      </c>
      <c r="C1571" t="inlineStr">
        <is>
          <t>Puerto Rico</t>
        </is>
      </c>
      <c r="D1571" t="inlineStr">
        <is>
          <t>North America</t>
        </is>
      </c>
      <c r="E1571" t="inlineStr">
        <is>
          <t>suicide_mental_strain_raw</t>
        </is>
      </c>
      <c r="F1571" t="inlineStr">
        <is>
          <t>Suicide or mental strain raw</t>
        </is>
      </c>
      <c r="G1571" t="inlineStr">
        <is>
          <t>pressure</t>
        </is>
      </c>
      <c r="H1571" t="inlineStr">
        <is>
          <t>yes</t>
        </is>
      </c>
      <c r="I1571" t="inlineStr"/>
      <c r="J1571" t="inlineStr"/>
      <c r="K1571" t="inlineStr"/>
      <c r="L1571" t="inlineStr"/>
      <c r="M1571" t="inlineStr"/>
      <c r="N1571" t="inlineStr"/>
    </row>
    <row r="1572">
      <c r="A1572" t="inlineStr">
        <is>
          <t>pr-san-juan</t>
        </is>
      </c>
      <c r="B1572" t="inlineStr">
        <is>
          <t>San Juan</t>
        </is>
      </c>
      <c r="C1572" t="inlineStr">
        <is>
          <t>Puerto Rico</t>
        </is>
      </c>
      <c r="D1572" t="inlineStr">
        <is>
          <t>North America</t>
        </is>
      </c>
      <c r="E1572" t="inlineStr">
        <is>
          <t>personal_safety_raw</t>
        </is>
      </c>
      <c r="F1572" t="inlineStr">
        <is>
          <t>Personal safety raw</t>
        </is>
      </c>
      <c r="G1572" t="inlineStr">
        <is>
          <t>viability</t>
        </is>
      </c>
      <c r="H1572" t="inlineStr">
        <is>
          <t>yes</t>
        </is>
      </c>
      <c r="I1572" t="inlineStr"/>
      <c r="J1572" t="inlineStr"/>
      <c r="K1572" t="inlineStr"/>
      <c r="L1572" t="inlineStr"/>
      <c r="M1572" t="inlineStr"/>
      <c r="N1572" t="inlineStr"/>
    </row>
    <row r="1573">
      <c r="A1573" t="inlineStr">
        <is>
          <t>pr-san-juan</t>
        </is>
      </c>
      <c r="B1573" t="inlineStr">
        <is>
          <t>San Juan</t>
        </is>
      </c>
      <c r="C1573" t="inlineStr">
        <is>
          <t>Puerto Rico</t>
        </is>
      </c>
      <c r="D1573" t="inlineStr">
        <is>
          <t>North America</t>
        </is>
      </c>
      <c r="E1573" t="inlineStr">
        <is>
          <t>transit_access_commute_raw</t>
        </is>
      </c>
      <c r="F1573" t="inlineStr">
        <is>
          <t>Transit access and commute raw</t>
        </is>
      </c>
      <c r="G1573" t="inlineStr">
        <is>
          <t>viability</t>
        </is>
      </c>
      <c r="H1573" t="inlineStr">
        <is>
          <t>yes</t>
        </is>
      </c>
      <c r="I1573" t="inlineStr"/>
      <c r="J1573" t="inlineStr"/>
      <c r="K1573" t="inlineStr"/>
      <c r="L1573" t="inlineStr"/>
      <c r="M1573" t="inlineStr"/>
      <c r="N1573" t="inlineStr"/>
    </row>
    <row r="1574">
      <c r="A1574" t="inlineStr">
        <is>
          <t>pr-san-juan</t>
        </is>
      </c>
      <c r="B1574" t="inlineStr">
        <is>
          <t>San Juan</t>
        </is>
      </c>
      <c r="C1574" t="inlineStr">
        <is>
          <t>Puerto Rico</t>
        </is>
      </c>
      <c r="D1574" t="inlineStr">
        <is>
          <t>North America</t>
        </is>
      </c>
      <c r="E1574" t="inlineStr">
        <is>
          <t>clean_air_raw</t>
        </is>
      </c>
      <c r="F1574" t="inlineStr">
        <is>
          <t>Clean air raw</t>
        </is>
      </c>
      <c r="G1574" t="inlineStr">
        <is>
          <t>viability</t>
        </is>
      </c>
      <c r="H1574" t="inlineStr">
        <is>
          <t>yes</t>
        </is>
      </c>
      <c r="I1574" t="inlineStr"/>
      <c r="J1574" t="inlineStr"/>
      <c r="K1574" t="inlineStr"/>
      <c r="L1574" t="inlineStr"/>
      <c r="M1574" t="inlineStr"/>
      <c r="N1574" t="inlineStr"/>
    </row>
    <row r="1575">
      <c r="A1575" t="inlineStr">
        <is>
          <t>pr-san-juan</t>
        </is>
      </c>
      <c r="B1575" t="inlineStr">
        <is>
          <t>San Juan</t>
        </is>
      </c>
      <c r="C1575" t="inlineStr">
        <is>
          <t>Puerto Rico</t>
        </is>
      </c>
      <c r="D1575" t="inlineStr">
        <is>
          <t>North America</t>
        </is>
      </c>
      <c r="E1575" t="inlineStr">
        <is>
          <t>water_sanitation_utility_raw</t>
        </is>
      </c>
      <c r="F1575" t="inlineStr">
        <is>
          <t>Water, sanitation, and utility raw</t>
        </is>
      </c>
      <c r="G1575" t="inlineStr">
        <is>
          <t>viability</t>
        </is>
      </c>
      <c r="H1575" t="inlineStr">
        <is>
          <t>yes</t>
        </is>
      </c>
      <c r="I1575" t="inlineStr"/>
      <c r="J1575" t="inlineStr"/>
      <c r="K1575" t="inlineStr"/>
      <c r="L1575" t="inlineStr"/>
      <c r="M1575" t="inlineStr"/>
      <c r="N1575" t="inlineStr"/>
    </row>
    <row r="1576">
      <c r="A1576" t="inlineStr">
        <is>
          <t>pr-san-juan</t>
        </is>
      </c>
      <c r="B1576" t="inlineStr">
        <is>
          <t>San Juan</t>
        </is>
      </c>
      <c r="C1576" t="inlineStr">
        <is>
          <t>Puerto Rico</t>
        </is>
      </c>
      <c r="D1576" t="inlineStr">
        <is>
          <t>North America</t>
        </is>
      </c>
      <c r="E1576" t="inlineStr">
        <is>
          <t>digital_infrastructure_raw</t>
        </is>
      </c>
      <c r="F1576" t="inlineStr">
        <is>
          <t>Digital infrastructure raw</t>
        </is>
      </c>
      <c r="G1576" t="inlineStr">
        <is>
          <t>viability</t>
        </is>
      </c>
      <c r="H1576" t="inlineStr">
        <is>
          <t>yes</t>
        </is>
      </c>
      <c r="I1576" t="inlineStr"/>
      <c r="J1576" t="inlineStr"/>
      <c r="K1576" t="inlineStr"/>
      <c r="L1576" t="inlineStr"/>
      <c r="M1576" t="inlineStr"/>
      <c r="N1576" t="inlineStr"/>
    </row>
    <row r="1577">
      <c r="A1577" t="inlineStr">
        <is>
          <t>pr-san-juan</t>
        </is>
      </c>
      <c r="B1577" t="inlineStr">
        <is>
          <t>San Juan</t>
        </is>
      </c>
      <c r="C1577" t="inlineStr">
        <is>
          <t>Puerto Rico</t>
        </is>
      </c>
      <c r="D1577" t="inlineStr">
        <is>
          <t>North America</t>
        </is>
      </c>
      <c r="E1577" t="inlineStr">
        <is>
          <t>healthcare_quality_raw</t>
        </is>
      </c>
      <c r="F1577" t="inlineStr">
        <is>
          <t>Healthcare quality raw</t>
        </is>
      </c>
      <c r="G1577" t="inlineStr">
        <is>
          <t>capability</t>
        </is>
      </c>
      <c r="H1577" t="inlineStr">
        <is>
          <t>yes</t>
        </is>
      </c>
      <c r="I1577" t="inlineStr"/>
      <c r="J1577" t="inlineStr"/>
      <c r="K1577" t="inlineStr"/>
      <c r="L1577" t="inlineStr"/>
      <c r="M1577" t="inlineStr"/>
      <c r="N1577" t="inlineStr"/>
    </row>
    <row r="1578">
      <c r="A1578" t="inlineStr">
        <is>
          <t>pr-san-juan</t>
        </is>
      </c>
      <c r="B1578" t="inlineStr">
        <is>
          <t>San Juan</t>
        </is>
      </c>
      <c r="C1578" t="inlineStr">
        <is>
          <t>Puerto Rico</t>
        </is>
      </c>
      <c r="D1578" t="inlineStr">
        <is>
          <t>North America</t>
        </is>
      </c>
      <c r="E1578" t="inlineStr">
        <is>
          <t>education_quality_raw</t>
        </is>
      </c>
      <c r="F1578" t="inlineStr">
        <is>
          <t>Education quality raw</t>
        </is>
      </c>
      <c r="G1578" t="inlineStr">
        <is>
          <t>capability</t>
        </is>
      </c>
      <c r="H1578" t="inlineStr">
        <is>
          <t>yes</t>
        </is>
      </c>
      <c r="I1578" t="inlineStr"/>
      <c r="J1578" t="inlineStr"/>
      <c r="K1578" t="inlineStr"/>
      <c r="L1578" t="inlineStr"/>
      <c r="M1578" t="inlineStr"/>
      <c r="N1578" t="inlineStr"/>
    </row>
    <row r="1579">
      <c r="A1579" t="inlineStr">
        <is>
          <t>pr-san-juan</t>
        </is>
      </c>
      <c r="B1579" t="inlineStr">
        <is>
          <t>San Juan</t>
        </is>
      </c>
      <c r="C1579" t="inlineStr">
        <is>
          <t>Puerto Rico</t>
        </is>
      </c>
      <c r="D1579" t="inlineStr">
        <is>
          <t>North America</t>
        </is>
      </c>
      <c r="E1579" t="inlineStr">
        <is>
          <t>equal_opportunity_raw</t>
        </is>
      </c>
      <c r="F1579" t="inlineStr">
        <is>
          <t>Equal opportunity raw</t>
        </is>
      </c>
      <c r="G1579" t="inlineStr">
        <is>
          <t>capability</t>
        </is>
      </c>
      <c r="H1579" t="inlineStr">
        <is>
          <t>yes</t>
        </is>
      </c>
      <c r="I1579" t="inlineStr"/>
      <c r="J1579" t="inlineStr"/>
      <c r="K1579" t="inlineStr"/>
      <c r="L1579" t="inlineStr"/>
      <c r="M1579" t="inlineStr"/>
      <c r="N1579" t="inlineStr"/>
    </row>
    <row r="1580">
      <c r="A1580" t="inlineStr">
        <is>
          <t>pr-san-juan</t>
        </is>
      </c>
      <c r="B1580" t="inlineStr">
        <is>
          <t>San Juan</t>
        </is>
      </c>
      <c r="C1580" t="inlineStr">
        <is>
          <t>Puerto Rico</t>
        </is>
      </c>
      <c r="D1580" t="inlineStr">
        <is>
          <t>North America</t>
        </is>
      </c>
      <c r="E1580" t="inlineStr">
        <is>
          <t>hospitality_belonging_raw</t>
        </is>
      </c>
      <c r="F1580" t="inlineStr">
        <is>
          <t>Hospitality and belonging raw</t>
        </is>
      </c>
      <c r="G1580" t="inlineStr">
        <is>
          <t>community</t>
        </is>
      </c>
      <c r="H1580" t="inlineStr">
        <is>
          <t>yes</t>
        </is>
      </c>
      <c r="I1580" t="inlineStr"/>
      <c r="J1580" t="inlineStr"/>
      <c r="K1580" t="inlineStr"/>
      <c r="L1580" t="inlineStr"/>
      <c r="M1580" t="inlineStr"/>
      <c r="N1580" t="inlineStr"/>
    </row>
    <row r="1581">
      <c r="A1581" t="inlineStr">
        <is>
          <t>pr-san-juan</t>
        </is>
      </c>
      <c r="B1581" t="inlineStr">
        <is>
          <t>San Juan</t>
        </is>
      </c>
      <c r="C1581" t="inlineStr">
        <is>
          <t>Puerto Rico</t>
        </is>
      </c>
      <c r="D1581" t="inlineStr">
        <is>
          <t>North America</t>
        </is>
      </c>
      <c r="E1581" t="inlineStr">
        <is>
          <t>tolerance_pluralism_raw</t>
        </is>
      </c>
      <c r="F1581" t="inlineStr">
        <is>
          <t>Tolerance and pluralism raw</t>
        </is>
      </c>
      <c r="G1581" t="inlineStr">
        <is>
          <t>community</t>
        </is>
      </c>
      <c r="H1581" t="inlineStr">
        <is>
          <t>yes</t>
        </is>
      </c>
      <c r="I1581" t="inlineStr"/>
      <c r="J1581" t="inlineStr"/>
      <c r="K1581" t="inlineStr"/>
      <c r="L1581" t="inlineStr"/>
      <c r="M1581" t="inlineStr"/>
      <c r="N1581" t="inlineStr"/>
    </row>
    <row r="1582">
      <c r="A1582" t="inlineStr">
        <is>
          <t>pr-san-juan</t>
        </is>
      </c>
      <c r="B1582" t="inlineStr">
        <is>
          <t>San Juan</t>
        </is>
      </c>
      <c r="C1582" t="inlineStr">
        <is>
          <t>Puerto Rico</t>
        </is>
      </c>
      <c r="D1582" t="inlineStr">
        <is>
          <t>North America</t>
        </is>
      </c>
      <c r="E1582" t="inlineStr">
        <is>
          <t>cultural_public_life_raw</t>
        </is>
      </c>
      <c r="F1582" t="inlineStr">
        <is>
          <t>Cultural public life raw</t>
        </is>
      </c>
      <c r="G1582" t="inlineStr">
        <is>
          <t>community</t>
        </is>
      </c>
      <c r="H1582" t="inlineStr">
        <is>
          <t>yes</t>
        </is>
      </c>
      <c r="I1582" t="inlineStr"/>
      <c r="J1582" t="inlineStr"/>
      <c r="K1582" t="inlineStr"/>
      <c r="L1582" t="inlineStr"/>
      <c r="M1582" t="inlineStr"/>
      <c r="N1582" t="inlineStr"/>
    </row>
    <row r="1583">
      <c r="A1583" t="inlineStr">
        <is>
          <t>pr-san-juan</t>
        </is>
      </c>
      <c r="B1583" t="inlineStr">
        <is>
          <t>San Juan</t>
        </is>
      </c>
      <c r="C1583" t="inlineStr">
        <is>
          <t>Puerto Rico</t>
        </is>
      </c>
      <c r="D1583" t="inlineStr">
        <is>
          <t>North America</t>
        </is>
      </c>
      <c r="E1583" t="inlineStr">
        <is>
          <t>entrepreneurial_dynamism_raw</t>
        </is>
      </c>
      <c r="F1583" t="inlineStr">
        <is>
          <t>Entrepreneurial dynamism raw</t>
        </is>
      </c>
      <c r="G1583" t="inlineStr">
        <is>
          <t>creative</t>
        </is>
      </c>
      <c r="H1583" t="inlineStr">
        <is>
          <t>yes</t>
        </is>
      </c>
      <c r="I1583" t="inlineStr"/>
      <c r="J1583" t="inlineStr"/>
      <c r="K1583" t="inlineStr"/>
      <c r="L1583" t="inlineStr"/>
      <c r="M1583" t="inlineStr"/>
      <c r="N1583" t="inlineStr"/>
    </row>
    <row r="1584">
      <c r="A1584" t="inlineStr">
        <is>
          <t>pr-san-juan</t>
        </is>
      </c>
      <c r="B1584" t="inlineStr">
        <is>
          <t>San Juan</t>
        </is>
      </c>
      <c r="C1584" t="inlineStr">
        <is>
          <t>Puerto Rico</t>
        </is>
      </c>
      <c r="D1584" t="inlineStr">
        <is>
          <t>North America</t>
        </is>
      </c>
      <c r="E1584" t="inlineStr">
        <is>
          <t>innovation_research_intensity_raw</t>
        </is>
      </c>
      <c r="F1584" t="inlineStr">
        <is>
          <t>Innovation and research raw</t>
        </is>
      </c>
      <c r="G1584" t="inlineStr">
        <is>
          <t>creative</t>
        </is>
      </c>
      <c r="H1584" t="inlineStr">
        <is>
          <t>yes</t>
        </is>
      </c>
      <c r="I1584" t="inlineStr"/>
      <c r="J1584" t="inlineStr"/>
      <c r="K1584" t="inlineStr"/>
      <c r="L1584" t="inlineStr"/>
      <c r="M1584" t="inlineStr"/>
      <c r="N1584" t="inlineStr"/>
    </row>
    <row r="1585">
      <c r="A1585" t="inlineStr">
        <is>
          <t>pr-san-juan</t>
        </is>
      </c>
      <c r="B1585" t="inlineStr">
        <is>
          <t>San Juan</t>
        </is>
      </c>
      <c r="C1585" t="inlineStr">
        <is>
          <t>Puerto Rico</t>
        </is>
      </c>
      <c r="D1585" t="inlineStr">
        <is>
          <t>North America</t>
        </is>
      </c>
      <c r="E1585" t="inlineStr">
        <is>
          <t>investment_signal_raw</t>
        </is>
      </c>
      <c r="F1585" t="inlineStr">
        <is>
          <t>Investment signal raw</t>
        </is>
      </c>
      <c r="G1585" t="inlineStr">
        <is>
          <t>creative</t>
        </is>
      </c>
      <c r="H1585" t="inlineStr">
        <is>
          <t>yes</t>
        </is>
      </c>
      <c r="I1585" t="inlineStr"/>
      <c r="J1585" t="inlineStr"/>
      <c r="K1585" t="inlineStr"/>
      <c r="L1585" t="inlineStr"/>
      <c r="M1585" t="inlineStr"/>
      <c r="N1585" t="inlineStr"/>
    </row>
    <row r="1586">
      <c r="A1586" t="inlineStr">
        <is>
          <t>pr-san-juan</t>
        </is>
      </c>
      <c r="B1586" t="inlineStr">
        <is>
          <t>San Juan</t>
        </is>
      </c>
      <c r="C1586" t="inlineStr">
        <is>
          <t>Puerto Rico</t>
        </is>
      </c>
      <c r="D1586" t="inlineStr">
        <is>
          <t>North America</t>
        </is>
      </c>
      <c r="E1586" t="inlineStr">
        <is>
          <t>administrative_investment_friction_raw</t>
        </is>
      </c>
      <c r="F1586" t="inlineStr">
        <is>
          <t>Administrative investment friction raw</t>
        </is>
      </c>
      <c r="G1586" t="inlineStr">
        <is>
          <t>creative</t>
        </is>
      </c>
      <c r="H1586" t="inlineStr">
        <is>
          <t>yes</t>
        </is>
      </c>
      <c r="I1586" t="inlineStr"/>
      <c r="J1586" t="inlineStr"/>
      <c r="K1586" t="inlineStr"/>
      <c r="L1586" t="inlineStr"/>
      <c r="M1586" t="inlineStr"/>
      <c r="N1586" t="inlineStr"/>
    </row>
    <row r="1587">
      <c r="A1587" t="inlineStr">
        <is>
          <t>pr-san-juan</t>
        </is>
      </c>
      <c r="B1587" t="inlineStr">
        <is>
          <t>San Juan</t>
        </is>
      </c>
      <c r="C1587" t="inlineStr">
        <is>
          <t>Puerto Rico</t>
        </is>
      </c>
      <c r="D1587" t="inlineStr">
        <is>
          <t>North America</t>
        </is>
      </c>
      <c r="E1587" t="inlineStr">
        <is>
          <t>visitor_flow_context_raw</t>
        </is>
      </c>
      <c r="F1587" t="inlineStr">
        <is>
          <t>Visitor flow context raw</t>
        </is>
      </c>
      <c r="G1587" t="inlineStr">
        <is>
          <t>creative</t>
        </is>
      </c>
      <c r="H1587" t="inlineStr">
        <is>
          <t>no</t>
        </is>
      </c>
      <c r="I1587" t="inlineStr"/>
      <c r="J1587" t="inlineStr"/>
      <c r="K1587" t="inlineStr"/>
      <c r="L1587" t="inlineStr"/>
      <c r="M1587" t="inlineStr"/>
      <c r="N1587" t="inlineStr"/>
    </row>
    <row r="1588">
      <c r="A1588" t="inlineStr">
        <is>
          <t>mx-merida</t>
        </is>
      </c>
      <c r="B1588" t="inlineStr">
        <is>
          <t>Merida</t>
        </is>
      </c>
      <c r="C1588" t="inlineStr">
        <is>
          <t>Mexico</t>
        </is>
      </c>
      <c r="D1588" t="inlineStr">
        <is>
          <t>North America</t>
        </is>
      </c>
      <c r="E1588" t="inlineStr">
        <is>
          <t>gross_income</t>
        </is>
      </c>
      <c r="F1588" t="inlineStr">
        <is>
          <t>Gross income</t>
        </is>
      </c>
      <c r="G1588" t="inlineStr">
        <is>
          <t>pressure</t>
        </is>
      </c>
      <c r="H1588" t="inlineStr">
        <is>
          <t>yes</t>
        </is>
      </c>
      <c r="I1588" t="inlineStr"/>
      <c r="J1588" t="inlineStr"/>
      <c r="K1588" t="inlineStr"/>
      <c r="L1588" t="inlineStr"/>
      <c r="M1588" t="inlineStr"/>
      <c r="N1588" t="inlineStr"/>
    </row>
    <row r="1589">
      <c r="A1589" t="inlineStr">
        <is>
          <t>mx-merida</t>
        </is>
      </c>
      <c r="B1589" t="inlineStr">
        <is>
          <t>Merida</t>
        </is>
      </c>
      <c r="C1589" t="inlineStr">
        <is>
          <t>Mexico</t>
        </is>
      </c>
      <c r="D1589" t="inlineStr">
        <is>
          <t>North America</t>
        </is>
      </c>
      <c r="E1589" t="inlineStr">
        <is>
          <t>rent</t>
        </is>
      </c>
      <c r="F1589" t="inlineStr">
        <is>
          <t>Rent</t>
        </is>
      </c>
      <c r="G1589" t="inlineStr">
        <is>
          <t>pressure</t>
        </is>
      </c>
      <c r="H1589" t="inlineStr">
        <is>
          <t>yes</t>
        </is>
      </c>
      <c r="I1589" t="inlineStr"/>
      <c r="J1589" t="inlineStr"/>
      <c r="K1589" t="inlineStr"/>
      <c r="L1589" t="inlineStr"/>
      <c r="M1589" t="inlineStr"/>
      <c r="N1589" t="inlineStr"/>
    </row>
    <row r="1590">
      <c r="A1590" t="inlineStr">
        <is>
          <t>mx-merida</t>
        </is>
      </c>
      <c r="B1590" t="inlineStr">
        <is>
          <t>Merida</t>
        </is>
      </c>
      <c r="C1590" t="inlineStr">
        <is>
          <t>Mexico</t>
        </is>
      </c>
      <c r="D1590" t="inlineStr">
        <is>
          <t>North America</t>
        </is>
      </c>
      <c r="E1590" t="inlineStr">
        <is>
          <t>utilities</t>
        </is>
      </c>
      <c r="F1590" t="inlineStr">
        <is>
          <t>Utilities</t>
        </is>
      </c>
      <c r="G1590" t="inlineStr">
        <is>
          <t>pressure</t>
        </is>
      </c>
      <c r="H1590" t="inlineStr">
        <is>
          <t>yes</t>
        </is>
      </c>
      <c r="I1590" t="inlineStr"/>
      <c r="J1590" t="inlineStr"/>
      <c r="K1590" t="inlineStr"/>
      <c r="L1590" t="inlineStr"/>
      <c r="M1590" t="inlineStr"/>
      <c r="N1590" t="inlineStr"/>
    </row>
    <row r="1591">
      <c r="A1591" t="inlineStr">
        <is>
          <t>mx-merida</t>
        </is>
      </c>
      <c r="B1591" t="inlineStr">
        <is>
          <t>Merida</t>
        </is>
      </c>
      <c r="C1591" t="inlineStr">
        <is>
          <t>Mexico</t>
        </is>
      </c>
      <c r="D1591" t="inlineStr">
        <is>
          <t>North America</t>
        </is>
      </c>
      <c r="E1591" t="inlineStr">
        <is>
          <t>transit_cost</t>
        </is>
      </c>
      <c r="F1591" t="inlineStr">
        <is>
          <t>Transit cost</t>
        </is>
      </c>
      <c r="G1591" t="inlineStr">
        <is>
          <t>pressure</t>
        </is>
      </c>
      <c r="H1591" t="inlineStr">
        <is>
          <t>yes</t>
        </is>
      </c>
      <c r="I1591" t="inlineStr"/>
      <c r="J1591" t="inlineStr"/>
      <c r="K1591" t="inlineStr"/>
      <c r="L1591" t="inlineStr"/>
      <c r="M1591" t="inlineStr"/>
      <c r="N1591" t="inlineStr"/>
    </row>
    <row r="1592">
      <c r="A1592" t="inlineStr">
        <is>
          <t>mx-merida</t>
        </is>
      </c>
      <c r="B1592" t="inlineStr">
        <is>
          <t>Merida</t>
        </is>
      </c>
      <c r="C1592" t="inlineStr">
        <is>
          <t>Mexico</t>
        </is>
      </c>
      <c r="D1592" t="inlineStr">
        <is>
          <t>North America</t>
        </is>
      </c>
      <c r="E1592" t="inlineStr">
        <is>
          <t>internet_cost</t>
        </is>
      </c>
      <c r="F1592" t="inlineStr">
        <is>
          <t>Internet cost</t>
        </is>
      </c>
      <c r="G1592" t="inlineStr">
        <is>
          <t>pressure</t>
        </is>
      </c>
      <c r="H1592" t="inlineStr">
        <is>
          <t>yes</t>
        </is>
      </c>
      <c r="I1592" t="inlineStr"/>
      <c r="J1592" t="inlineStr"/>
      <c r="K1592" t="inlineStr"/>
      <c r="L1592" t="inlineStr"/>
      <c r="M1592" t="inlineStr"/>
      <c r="N1592" t="inlineStr"/>
    </row>
    <row r="1593">
      <c r="A1593" t="inlineStr">
        <is>
          <t>mx-merida</t>
        </is>
      </c>
      <c r="B1593" t="inlineStr">
        <is>
          <t>Merida</t>
        </is>
      </c>
      <c r="C1593" t="inlineStr">
        <is>
          <t>Mexico</t>
        </is>
      </c>
      <c r="D1593" t="inlineStr">
        <is>
          <t>North America</t>
        </is>
      </c>
      <c r="E1593" t="inlineStr">
        <is>
          <t>food_cost</t>
        </is>
      </c>
      <c r="F1593" t="inlineStr">
        <is>
          <t>Food cost</t>
        </is>
      </c>
      <c r="G1593" t="inlineStr">
        <is>
          <t>pressure</t>
        </is>
      </c>
      <c r="H1593" t="inlineStr">
        <is>
          <t>yes</t>
        </is>
      </c>
      <c r="I1593" t="inlineStr"/>
      <c r="J1593" t="inlineStr"/>
      <c r="K1593" t="inlineStr"/>
      <c r="L1593" t="inlineStr"/>
      <c r="M1593" t="inlineStr"/>
      <c r="N1593" t="inlineStr"/>
    </row>
    <row r="1594">
      <c r="A1594" t="inlineStr">
        <is>
          <t>mx-merida</t>
        </is>
      </c>
      <c r="B1594" t="inlineStr">
        <is>
          <t>Merida</t>
        </is>
      </c>
      <c r="C1594" t="inlineStr">
        <is>
          <t>Mexico</t>
        </is>
      </c>
      <c r="D1594" t="inlineStr">
        <is>
          <t>North America</t>
        </is>
      </c>
      <c r="E1594" t="inlineStr">
        <is>
          <t>housing_burden_raw</t>
        </is>
      </c>
      <c r="F1594" t="inlineStr">
        <is>
          <t>Housing burden raw</t>
        </is>
      </c>
      <c r="G1594" t="inlineStr">
        <is>
          <t>pressure</t>
        </is>
      </c>
      <c r="H1594" t="inlineStr">
        <is>
          <t>yes</t>
        </is>
      </c>
      <c r="I1594" t="inlineStr"/>
      <c r="J1594" t="inlineStr"/>
      <c r="K1594" t="inlineStr"/>
      <c r="L1594" t="inlineStr"/>
      <c r="M1594" t="inlineStr"/>
      <c r="N1594" t="inlineStr"/>
    </row>
    <row r="1595">
      <c r="A1595" t="inlineStr">
        <is>
          <t>mx-merida</t>
        </is>
      </c>
      <c r="B1595" t="inlineStr">
        <is>
          <t>Merida</t>
        </is>
      </c>
      <c r="C1595" t="inlineStr">
        <is>
          <t>Mexico</t>
        </is>
      </c>
      <c r="D1595" t="inlineStr">
        <is>
          <t>North America</t>
        </is>
      </c>
      <c r="E1595" t="inlineStr">
        <is>
          <t>household_debt_burden_raw</t>
        </is>
      </c>
      <c r="F1595" t="inlineStr">
        <is>
          <t>Household debt burden raw</t>
        </is>
      </c>
      <c r="G1595" t="inlineStr">
        <is>
          <t>pressure</t>
        </is>
      </c>
      <c r="H1595" t="inlineStr">
        <is>
          <t>yes</t>
        </is>
      </c>
      <c r="I1595" t="inlineStr"/>
      <c r="J1595" t="inlineStr"/>
      <c r="K1595" t="inlineStr"/>
      <c r="L1595" t="inlineStr"/>
      <c r="M1595" t="inlineStr"/>
      <c r="N1595" t="inlineStr"/>
    </row>
    <row r="1596">
      <c r="A1596" t="inlineStr">
        <is>
          <t>mx-merida</t>
        </is>
      </c>
      <c r="B1596" t="inlineStr">
        <is>
          <t>Merida</t>
        </is>
      </c>
      <c r="C1596" t="inlineStr">
        <is>
          <t>Mexico</t>
        </is>
      </c>
      <c r="D1596" t="inlineStr">
        <is>
          <t>North America</t>
        </is>
      </c>
      <c r="E1596" t="inlineStr">
        <is>
          <t>working_time_pressure_raw</t>
        </is>
      </c>
      <c r="F1596" t="inlineStr">
        <is>
          <t>Working time pressure raw</t>
        </is>
      </c>
      <c r="G1596" t="inlineStr">
        <is>
          <t>pressure</t>
        </is>
      </c>
      <c r="H1596" t="inlineStr">
        <is>
          <t>yes</t>
        </is>
      </c>
      <c r="I1596" t="inlineStr"/>
      <c r="J1596" t="inlineStr"/>
      <c r="K1596" t="inlineStr"/>
      <c r="L1596" t="inlineStr"/>
      <c r="M1596" t="inlineStr"/>
      <c r="N1596" t="inlineStr"/>
    </row>
    <row r="1597">
      <c r="A1597" t="inlineStr">
        <is>
          <t>mx-merida</t>
        </is>
      </c>
      <c r="B1597" t="inlineStr">
        <is>
          <t>Merida</t>
        </is>
      </c>
      <c r="C1597" t="inlineStr">
        <is>
          <t>Mexico</t>
        </is>
      </c>
      <c r="D1597" t="inlineStr">
        <is>
          <t>North America</t>
        </is>
      </c>
      <c r="E1597" t="inlineStr">
        <is>
          <t>suicide_mental_strain_raw</t>
        </is>
      </c>
      <c r="F1597" t="inlineStr">
        <is>
          <t>Suicide or mental strain raw</t>
        </is>
      </c>
      <c r="G1597" t="inlineStr">
        <is>
          <t>pressure</t>
        </is>
      </c>
      <c r="H1597" t="inlineStr">
        <is>
          <t>yes</t>
        </is>
      </c>
      <c r="I1597" t="inlineStr"/>
      <c r="J1597" t="inlineStr"/>
      <c r="K1597" t="inlineStr"/>
      <c r="L1597" t="inlineStr"/>
      <c r="M1597" t="inlineStr"/>
      <c r="N1597" t="inlineStr"/>
    </row>
    <row r="1598">
      <c r="A1598" t="inlineStr">
        <is>
          <t>mx-merida</t>
        </is>
      </c>
      <c r="B1598" t="inlineStr">
        <is>
          <t>Merida</t>
        </is>
      </c>
      <c r="C1598" t="inlineStr">
        <is>
          <t>Mexico</t>
        </is>
      </c>
      <c r="D1598" t="inlineStr">
        <is>
          <t>North America</t>
        </is>
      </c>
      <c r="E1598" t="inlineStr">
        <is>
          <t>personal_safety_raw</t>
        </is>
      </c>
      <c r="F1598" t="inlineStr">
        <is>
          <t>Personal safety raw</t>
        </is>
      </c>
      <c r="G1598" t="inlineStr">
        <is>
          <t>viability</t>
        </is>
      </c>
      <c r="H1598" t="inlineStr">
        <is>
          <t>yes</t>
        </is>
      </c>
      <c r="I1598" t="inlineStr"/>
      <c r="J1598" t="inlineStr"/>
      <c r="K1598" t="inlineStr"/>
      <c r="L1598" t="inlineStr"/>
      <c r="M1598" t="inlineStr"/>
      <c r="N1598" t="inlineStr"/>
    </row>
    <row r="1599">
      <c r="A1599" t="inlineStr">
        <is>
          <t>mx-merida</t>
        </is>
      </c>
      <c r="B1599" t="inlineStr">
        <is>
          <t>Merida</t>
        </is>
      </c>
      <c r="C1599" t="inlineStr">
        <is>
          <t>Mexico</t>
        </is>
      </c>
      <c r="D1599" t="inlineStr">
        <is>
          <t>North America</t>
        </is>
      </c>
      <c r="E1599" t="inlineStr">
        <is>
          <t>transit_access_commute_raw</t>
        </is>
      </c>
      <c r="F1599" t="inlineStr">
        <is>
          <t>Transit access and commute raw</t>
        </is>
      </c>
      <c r="G1599" t="inlineStr">
        <is>
          <t>viability</t>
        </is>
      </c>
      <c r="H1599" t="inlineStr">
        <is>
          <t>yes</t>
        </is>
      </c>
      <c r="I1599" t="inlineStr"/>
      <c r="J1599" t="inlineStr"/>
      <c r="K1599" t="inlineStr"/>
      <c r="L1599" t="inlineStr"/>
      <c r="M1599" t="inlineStr"/>
      <c r="N1599" t="inlineStr"/>
    </row>
    <row r="1600">
      <c r="A1600" t="inlineStr">
        <is>
          <t>mx-merida</t>
        </is>
      </c>
      <c r="B1600" t="inlineStr">
        <is>
          <t>Merida</t>
        </is>
      </c>
      <c r="C1600" t="inlineStr">
        <is>
          <t>Mexico</t>
        </is>
      </c>
      <c r="D1600" t="inlineStr">
        <is>
          <t>North America</t>
        </is>
      </c>
      <c r="E1600" t="inlineStr">
        <is>
          <t>clean_air_raw</t>
        </is>
      </c>
      <c r="F1600" t="inlineStr">
        <is>
          <t>Clean air raw</t>
        </is>
      </c>
      <c r="G1600" t="inlineStr">
        <is>
          <t>viability</t>
        </is>
      </c>
      <c r="H1600" t="inlineStr">
        <is>
          <t>yes</t>
        </is>
      </c>
      <c r="I1600" t="inlineStr"/>
      <c r="J1600" t="inlineStr"/>
      <c r="K1600" t="inlineStr"/>
      <c r="L1600" t="inlineStr"/>
      <c r="M1600" t="inlineStr"/>
      <c r="N1600" t="inlineStr"/>
    </row>
    <row r="1601">
      <c r="A1601" t="inlineStr">
        <is>
          <t>mx-merida</t>
        </is>
      </c>
      <c r="B1601" t="inlineStr">
        <is>
          <t>Merida</t>
        </is>
      </c>
      <c r="C1601" t="inlineStr">
        <is>
          <t>Mexico</t>
        </is>
      </c>
      <c r="D1601" t="inlineStr">
        <is>
          <t>North America</t>
        </is>
      </c>
      <c r="E1601" t="inlineStr">
        <is>
          <t>water_sanitation_utility_raw</t>
        </is>
      </c>
      <c r="F1601" t="inlineStr">
        <is>
          <t>Water, sanitation, and utility raw</t>
        </is>
      </c>
      <c r="G1601" t="inlineStr">
        <is>
          <t>viability</t>
        </is>
      </c>
      <c r="H1601" t="inlineStr">
        <is>
          <t>yes</t>
        </is>
      </c>
      <c r="I1601" t="inlineStr"/>
      <c r="J1601" t="inlineStr"/>
      <c r="K1601" t="inlineStr"/>
      <c r="L1601" t="inlineStr"/>
      <c r="M1601" t="inlineStr"/>
      <c r="N1601" t="inlineStr"/>
    </row>
    <row r="1602">
      <c r="A1602" t="inlineStr">
        <is>
          <t>mx-merida</t>
        </is>
      </c>
      <c r="B1602" t="inlineStr">
        <is>
          <t>Merida</t>
        </is>
      </c>
      <c r="C1602" t="inlineStr">
        <is>
          <t>Mexico</t>
        </is>
      </c>
      <c r="D1602" t="inlineStr">
        <is>
          <t>North America</t>
        </is>
      </c>
      <c r="E1602" t="inlineStr">
        <is>
          <t>digital_infrastructure_raw</t>
        </is>
      </c>
      <c r="F1602" t="inlineStr">
        <is>
          <t>Digital infrastructure raw</t>
        </is>
      </c>
      <c r="G1602" t="inlineStr">
        <is>
          <t>viability</t>
        </is>
      </c>
      <c r="H1602" t="inlineStr">
        <is>
          <t>yes</t>
        </is>
      </c>
      <c r="I1602" t="inlineStr"/>
      <c r="J1602" t="inlineStr"/>
      <c r="K1602" t="inlineStr"/>
      <c r="L1602" t="inlineStr"/>
      <c r="M1602" t="inlineStr"/>
      <c r="N1602" t="inlineStr"/>
    </row>
    <row r="1603">
      <c r="A1603" t="inlineStr">
        <is>
          <t>mx-merida</t>
        </is>
      </c>
      <c r="B1603" t="inlineStr">
        <is>
          <t>Merida</t>
        </is>
      </c>
      <c r="C1603" t="inlineStr">
        <is>
          <t>Mexico</t>
        </is>
      </c>
      <c r="D1603" t="inlineStr">
        <is>
          <t>North America</t>
        </is>
      </c>
      <c r="E1603" t="inlineStr">
        <is>
          <t>healthcare_quality_raw</t>
        </is>
      </c>
      <c r="F1603" t="inlineStr">
        <is>
          <t>Healthcare quality raw</t>
        </is>
      </c>
      <c r="G1603" t="inlineStr">
        <is>
          <t>capability</t>
        </is>
      </c>
      <c r="H1603" t="inlineStr">
        <is>
          <t>yes</t>
        </is>
      </c>
      <c r="I1603" t="inlineStr"/>
      <c r="J1603" t="inlineStr"/>
      <c r="K1603" t="inlineStr"/>
      <c r="L1603" t="inlineStr"/>
      <c r="M1603" t="inlineStr"/>
      <c r="N1603" t="inlineStr"/>
    </row>
    <row r="1604">
      <c r="A1604" t="inlineStr">
        <is>
          <t>mx-merida</t>
        </is>
      </c>
      <c r="B1604" t="inlineStr">
        <is>
          <t>Merida</t>
        </is>
      </c>
      <c r="C1604" t="inlineStr">
        <is>
          <t>Mexico</t>
        </is>
      </c>
      <c r="D1604" t="inlineStr">
        <is>
          <t>North America</t>
        </is>
      </c>
      <c r="E1604" t="inlineStr">
        <is>
          <t>education_quality_raw</t>
        </is>
      </c>
      <c r="F1604" t="inlineStr">
        <is>
          <t>Education quality raw</t>
        </is>
      </c>
      <c r="G1604" t="inlineStr">
        <is>
          <t>capability</t>
        </is>
      </c>
      <c r="H1604" t="inlineStr">
        <is>
          <t>yes</t>
        </is>
      </c>
      <c r="I1604" t="inlineStr"/>
      <c r="J1604" t="inlineStr"/>
      <c r="K1604" t="inlineStr"/>
      <c r="L1604" t="inlineStr"/>
      <c r="M1604" t="inlineStr"/>
      <c r="N1604" t="inlineStr"/>
    </row>
    <row r="1605">
      <c r="A1605" t="inlineStr">
        <is>
          <t>mx-merida</t>
        </is>
      </c>
      <c r="B1605" t="inlineStr">
        <is>
          <t>Merida</t>
        </is>
      </c>
      <c r="C1605" t="inlineStr">
        <is>
          <t>Mexico</t>
        </is>
      </c>
      <c r="D1605" t="inlineStr">
        <is>
          <t>North America</t>
        </is>
      </c>
      <c r="E1605" t="inlineStr">
        <is>
          <t>equal_opportunity_raw</t>
        </is>
      </c>
      <c r="F1605" t="inlineStr">
        <is>
          <t>Equal opportunity raw</t>
        </is>
      </c>
      <c r="G1605" t="inlineStr">
        <is>
          <t>capability</t>
        </is>
      </c>
      <c r="H1605" t="inlineStr">
        <is>
          <t>yes</t>
        </is>
      </c>
      <c r="I1605" t="inlineStr"/>
      <c r="J1605" t="inlineStr"/>
      <c r="K1605" t="inlineStr"/>
      <c r="L1605" t="inlineStr"/>
      <c r="M1605" t="inlineStr"/>
      <c r="N1605" t="inlineStr"/>
    </row>
    <row r="1606">
      <c r="A1606" t="inlineStr">
        <is>
          <t>mx-merida</t>
        </is>
      </c>
      <c r="B1606" t="inlineStr">
        <is>
          <t>Merida</t>
        </is>
      </c>
      <c r="C1606" t="inlineStr">
        <is>
          <t>Mexico</t>
        </is>
      </c>
      <c r="D1606" t="inlineStr">
        <is>
          <t>North America</t>
        </is>
      </c>
      <c r="E1606" t="inlineStr">
        <is>
          <t>hospitality_belonging_raw</t>
        </is>
      </c>
      <c r="F1606" t="inlineStr">
        <is>
          <t>Hospitality and belonging raw</t>
        </is>
      </c>
      <c r="G1606" t="inlineStr">
        <is>
          <t>community</t>
        </is>
      </c>
      <c r="H1606" t="inlineStr">
        <is>
          <t>yes</t>
        </is>
      </c>
      <c r="I1606" t="inlineStr"/>
      <c r="J1606" t="inlineStr"/>
      <c r="K1606" t="inlineStr"/>
      <c r="L1606" t="inlineStr"/>
      <c r="M1606" t="inlineStr"/>
      <c r="N1606" t="inlineStr"/>
    </row>
    <row r="1607">
      <c r="A1607" t="inlineStr">
        <is>
          <t>mx-merida</t>
        </is>
      </c>
      <c r="B1607" t="inlineStr">
        <is>
          <t>Merida</t>
        </is>
      </c>
      <c r="C1607" t="inlineStr">
        <is>
          <t>Mexico</t>
        </is>
      </c>
      <c r="D1607" t="inlineStr">
        <is>
          <t>North America</t>
        </is>
      </c>
      <c r="E1607" t="inlineStr">
        <is>
          <t>tolerance_pluralism_raw</t>
        </is>
      </c>
      <c r="F1607" t="inlineStr">
        <is>
          <t>Tolerance and pluralism raw</t>
        </is>
      </c>
      <c r="G1607" t="inlineStr">
        <is>
          <t>community</t>
        </is>
      </c>
      <c r="H1607" t="inlineStr">
        <is>
          <t>yes</t>
        </is>
      </c>
      <c r="I1607" t="inlineStr"/>
      <c r="J1607" t="inlineStr"/>
      <c r="K1607" t="inlineStr"/>
      <c r="L1607" t="inlineStr"/>
      <c r="M1607" t="inlineStr"/>
      <c r="N1607" t="inlineStr"/>
    </row>
    <row r="1608">
      <c r="A1608" t="inlineStr">
        <is>
          <t>mx-merida</t>
        </is>
      </c>
      <c r="B1608" t="inlineStr">
        <is>
          <t>Merida</t>
        </is>
      </c>
      <c r="C1608" t="inlineStr">
        <is>
          <t>Mexico</t>
        </is>
      </c>
      <c r="D1608" t="inlineStr">
        <is>
          <t>North America</t>
        </is>
      </c>
      <c r="E1608" t="inlineStr">
        <is>
          <t>cultural_public_life_raw</t>
        </is>
      </c>
      <c r="F1608" t="inlineStr">
        <is>
          <t>Cultural public life raw</t>
        </is>
      </c>
      <c r="G1608" t="inlineStr">
        <is>
          <t>community</t>
        </is>
      </c>
      <c r="H1608" t="inlineStr">
        <is>
          <t>yes</t>
        </is>
      </c>
      <c r="I1608" t="inlineStr"/>
      <c r="J1608" t="inlineStr"/>
      <c r="K1608" t="inlineStr"/>
      <c r="L1608" t="inlineStr"/>
      <c r="M1608" t="inlineStr"/>
      <c r="N1608" t="inlineStr"/>
    </row>
    <row r="1609">
      <c r="A1609" t="inlineStr">
        <is>
          <t>mx-merida</t>
        </is>
      </c>
      <c r="B1609" t="inlineStr">
        <is>
          <t>Merida</t>
        </is>
      </c>
      <c r="C1609" t="inlineStr">
        <is>
          <t>Mexico</t>
        </is>
      </c>
      <c r="D1609" t="inlineStr">
        <is>
          <t>North America</t>
        </is>
      </c>
      <c r="E1609" t="inlineStr">
        <is>
          <t>entrepreneurial_dynamism_raw</t>
        </is>
      </c>
      <c r="F1609" t="inlineStr">
        <is>
          <t>Entrepreneurial dynamism raw</t>
        </is>
      </c>
      <c r="G1609" t="inlineStr">
        <is>
          <t>creative</t>
        </is>
      </c>
      <c r="H1609" t="inlineStr">
        <is>
          <t>yes</t>
        </is>
      </c>
      <c r="I1609" t="inlineStr"/>
      <c r="J1609" t="inlineStr"/>
      <c r="K1609" t="inlineStr"/>
      <c r="L1609" t="inlineStr"/>
      <c r="M1609" t="inlineStr"/>
      <c r="N1609" t="inlineStr"/>
    </row>
    <row r="1610">
      <c r="A1610" t="inlineStr">
        <is>
          <t>mx-merida</t>
        </is>
      </c>
      <c r="B1610" t="inlineStr">
        <is>
          <t>Merida</t>
        </is>
      </c>
      <c r="C1610" t="inlineStr">
        <is>
          <t>Mexico</t>
        </is>
      </c>
      <c r="D1610" t="inlineStr">
        <is>
          <t>North America</t>
        </is>
      </c>
      <c r="E1610" t="inlineStr">
        <is>
          <t>innovation_research_intensity_raw</t>
        </is>
      </c>
      <c r="F1610" t="inlineStr">
        <is>
          <t>Innovation and research raw</t>
        </is>
      </c>
      <c r="G1610" t="inlineStr">
        <is>
          <t>creative</t>
        </is>
      </c>
      <c r="H1610" t="inlineStr">
        <is>
          <t>yes</t>
        </is>
      </c>
      <c r="I1610" t="inlineStr"/>
      <c r="J1610" t="inlineStr"/>
      <c r="K1610" t="inlineStr"/>
      <c r="L1610" t="inlineStr"/>
      <c r="M1610" t="inlineStr"/>
      <c r="N1610" t="inlineStr"/>
    </row>
    <row r="1611">
      <c r="A1611" t="inlineStr">
        <is>
          <t>mx-merida</t>
        </is>
      </c>
      <c r="B1611" t="inlineStr">
        <is>
          <t>Merida</t>
        </is>
      </c>
      <c r="C1611" t="inlineStr">
        <is>
          <t>Mexico</t>
        </is>
      </c>
      <c r="D1611" t="inlineStr">
        <is>
          <t>North America</t>
        </is>
      </c>
      <c r="E1611" t="inlineStr">
        <is>
          <t>investment_signal_raw</t>
        </is>
      </c>
      <c r="F1611" t="inlineStr">
        <is>
          <t>Investment signal raw</t>
        </is>
      </c>
      <c r="G1611" t="inlineStr">
        <is>
          <t>creative</t>
        </is>
      </c>
      <c r="H1611" t="inlineStr">
        <is>
          <t>yes</t>
        </is>
      </c>
      <c r="I1611" t="inlineStr"/>
      <c r="J1611" t="inlineStr"/>
      <c r="K1611" t="inlineStr"/>
      <c r="L1611" t="inlineStr"/>
      <c r="M1611" t="inlineStr"/>
      <c r="N1611" t="inlineStr"/>
    </row>
    <row r="1612">
      <c r="A1612" t="inlineStr">
        <is>
          <t>mx-merida</t>
        </is>
      </c>
      <c r="B1612" t="inlineStr">
        <is>
          <t>Merida</t>
        </is>
      </c>
      <c r="C1612" t="inlineStr">
        <is>
          <t>Mexico</t>
        </is>
      </c>
      <c r="D1612" t="inlineStr">
        <is>
          <t>North America</t>
        </is>
      </c>
      <c r="E1612" t="inlineStr">
        <is>
          <t>administrative_investment_friction_raw</t>
        </is>
      </c>
      <c r="F1612" t="inlineStr">
        <is>
          <t>Administrative investment friction raw</t>
        </is>
      </c>
      <c r="G1612" t="inlineStr">
        <is>
          <t>creative</t>
        </is>
      </c>
      <c r="H1612" t="inlineStr">
        <is>
          <t>yes</t>
        </is>
      </c>
      <c r="I1612" t="inlineStr"/>
      <c r="J1612" t="inlineStr"/>
      <c r="K1612" t="inlineStr"/>
      <c r="L1612" t="inlineStr"/>
      <c r="M1612" t="inlineStr"/>
      <c r="N1612" t="inlineStr"/>
    </row>
    <row r="1613">
      <c r="A1613" t="inlineStr">
        <is>
          <t>mx-merida</t>
        </is>
      </c>
      <c r="B1613" t="inlineStr">
        <is>
          <t>Merida</t>
        </is>
      </c>
      <c r="C1613" t="inlineStr">
        <is>
          <t>Mexico</t>
        </is>
      </c>
      <c r="D1613" t="inlineStr">
        <is>
          <t>North America</t>
        </is>
      </c>
      <c r="E1613" t="inlineStr">
        <is>
          <t>visitor_flow_context_raw</t>
        </is>
      </c>
      <c r="F1613" t="inlineStr">
        <is>
          <t>Visitor flow context raw</t>
        </is>
      </c>
      <c r="G1613" t="inlineStr">
        <is>
          <t>creative</t>
        </is>
      </c>
      <c r="H1613" t="inlineStr">
        <is>
          <t>no</t>
        </is>
      </c>
      <c r="I1613" t="inlineStr"/>
      <c r="J1613" t="inlineStr"/>
      <c r="K1613" t="inlineStr"/>
      <c r="L1613" t="inlineStr"/>
      <c r="M1613" t="inlineStr"/>
      <c r="N1613" t="inlineStr"/>
    </row>
    <row r="1614">
      <c r="A1614" t="inlineStr">
        <is>
          <t>br-sao-paulo</t>
        </is>
      </c>
      <c r="B1614" t="inlineStr">
        <is>
          <t>Sao Paulo</t>
        </is>
      </c>
      <c r="C1614" t="inlineStr">
        <is>
          <t>Brazil</t>
        </is>
      </c>
      <c r="D1614" t="inlineStr">
        <is>
          <t>Latin America</t>
        </is>
      </c>
      <c r="E1614" t="inlineStr">
        <is>
          <t>gross_income</t>
        </is>
      </c>
      <c r="F1614" t="inlineStr">
        <is>
          <t>Gross income</t>
        </is>
      </c>
      <c r="G1614" t="inlineStr">
        <is>
          <t>pressure</t>
        </is>
      </c>
      <c r="H1614" t="inlineStr">
        <is>
          <t>yes</t>
        </is>
      </c>
      <c r="I1614" t="inlineStr"/>
      <c r="J1614" t="inlineStr"/>
      <c r="K1614" t="inlineStr"/>
      <c r="L1614" t="inlineStr"/>
      <c r="M1614" t="inlineStr"/>
      <c r="N1614" t="inlineStr"/>
    </row>
    <row r="1615">
      <c r="A1615" t="inlineStr">
        <is>
          <t>br-sao-paulo</t>
        </is>
      </c>
      <c r="B1615" t="inlineStr">
        <is>
          <t>Sao Paulo</t>
        </is>
      </c>
      <c r="C1615" t="inlineStr">
        <is>
          <t>Brazil</t>
        </is>
      </c>
      <c r="D1615" t="inlineStr">
        <is>
          <t>Latin America</t>
        </is>
      </c>
      <c r="E1615" t="inlineStr">
        <is>
          <t>rent</t>
        </is>
      </c>
      <c r="F1615" t="inlineStr">
        <is>
          <t>Rent</t>
        </is>
      </c>
      <c r="G1615" t="inlineStr">
        <is>
          <t>pressure</t>
        </is>
      </c>
      <c r="H1615" t="inlineStr">
        <is>
          <t>yes</t>
        </is>
      </c>
      <c r="I1615" t="inlineStr"/>
      <c r="J1615" t="inlineStr"/>
      <c r="K1615" t="inlineStr"/>
      <c r="L1615" t="inlineStr"/>
      <c r="M1615" t="inlineStr"/>
      <c r="N1615" t="inlineStr"/>
    </row>
    <row r="1616">
      <c r="A1616" t="inlineStr">
        <is>
          <t>br-sao-paulo</t>
        </is>
      </c>
      <c r="B1616" t="inlineStr">
        <is>
          <t>Sao Paulo</t>
        </is>
      </c>
      <c r="C1616" t="inlineStr">
        <is>
          <t>Brazil</t>
        </is>
      </c>
      <c r="D1616" t="inlineStr">
        <is>
          <t>Latin America</t>
        </is>
      </c>
      <c r="E1616" t="inlineStr">
        <is>
          <t>utilities</t>
        </is>
      </c>
      <c r="F1616" t="inlineStr">
        <is>
          <t>Utilities</t>
        </is>
      </c>
      <c r="G1616" t="inlineStr">
        <is>
          <t>pressure</t>
        </is>
      </c>
      <c r="H1616" t="inlineStr">
        <is>
          <t>yes</t>
        </is>
      </c>
      <c r="I1616" t="inlineStr"/>
      <c r="J1616" t="inlineStr"/>
      <c r="K1616" t="inlineStr"/>
      <c r="L1616" t="inlineStr"/>
      <c r="M1616" t="inlineStr"/>
      <c r="N1616" t="inlineStr"/>
    </row>
    <row r="1617">
      <c r="A1617" t="inlineStr">
        <is>
          <t>br-sao-paulo</t>
        </is>
      </c>
      <c r="B1617" t="inlineStr">
        <is>
          <t>Sao Paulo</t>
        </is>
      </c>
      <c r="C1617" t="inlineStr">
        <is>
          <t>Brazil</t>
        </is>
      </c>
      <c r="D1617" t="inlineStr">
        <is>
          <t>Latin America</t>
        </is>
      </c>
      <c r="E1617" t="inlineStr">
        <is>
          <t>transit_cost</t>
        </is>
      </c>
      <c r="F1617" t="inlineStr">
        <is>
          <t>Transit cost</t>
        </is>
      </c>
      <c r="G1617" t="inlineStr">
        <is>
          <t>pressure</t>
        </is>
      </c>
      <c r="H1617" t="inlineStr">
        <is>
          <t>yes</t>
        </is>
      </c>
      <c r="I1617" t="inlineStr"/>
      <c r="J1617" t="inlineStr"/>
      <c r="K1617" t="inlineStr"/>
      <c r="L1617" t="inlineStr"/>
      <c r="M1617" t="inlineStr"/>
      <c r="N1617" t="inlineStr"/>
    </row>
    <row r="1618">
      <c r="A1618" t="inlineStr">
        <is>
          <t>br-sao-paulo</t>
        </is>
      </c>
      <c r="B1618" t="inlineStr">
        <is>
          <t>Sao Paulo</t>
        </is>
      </c>
      <c r="C1618" t="inlineStr">
        <is>
          <t>Brazil</t>
        </is>
      </c>
      <c r="D1618" t="inlineStr">
        <is>
          <t>Latin America</t>
        </is>
      </c>
      <c r="E1618" t="inlineStr">
        <is>
          <t>internet_cost</t>
        </is>
      </c>
      <c r="F1618" t="inlineStr">
        <is>
          <t>Internet cost</t>
        </is>
      </c>
      <c r="G1618" t="inlineStr">
        <is>
          <t>pressure</t>
        </is>
      </c>
      <c r="H1618" t="inlineStr">
        <is>
          <t>yes</t>
        </is>
      </c>
      <c r="I1618" t="inlineStr"/>
      <c r="J1618" t="inlineStr"/>
      <c r="K1618" t="inlineStr"/>
      <c r="L1618" t="inlineStr"/>
      <c r="M1618" t="inlineStr"/>
      <c r="N1618" t="inlineStr"/>
    </row>
    <row r="1619">
      <c r="A1619" t="inlineStr">
        <is>
          <t>br-sao-paulo</t>
        </is>
      </c>
      <c r="B1619" t="inlineStr">
        <is>
          <t>Sao Paulo</t>
        </is>
      </c>
      <c r="C1619" t="inlineStr">
        <is>
          <t>Brazil</t>
        </is>
      </c>
      <c r="D1619" t="inlineStr">
        <is>
          <t>Latin America</t>
        </is>
      </c>
      <c r="E1619" t="inlineStr">
        <is>
          <t>food_cost</t>
        </is>
      </c>
      <c r="F1619" t="inlineStr">
        <is>
          <t>Food cost</t>
        </is>
      </c>
      <c r="G1619" t="inlineStr">
        <is>
          <t>pressure</t>
        </is>
      </c>
      <c r="H1619" t="inlineStr">
        <is>
          <t>yes</t>
        </is>
      </c>
      <c r="I1619" t="inlineStr"/>
      <c r="J1619" t="inlineStr"/>
      <c r="K1619" t="inlineStr"/>
      <c r="L1619" t="inlineStr"/>
      <c r="M1619" t="inlineStr"/>
      <c r="N1619" t="inlineStr"/>
    </row>
    <row r="1620">
      <c r="A1620" t="inlineStr">
        <is>
          <t>br-sao-paulo</t>
        </is>
      </c>
      <c r="B1620" t="inlineStr">
        <is>
          <t>Sao Paulo</t>
        </is>
      </c>
      <c r="C1620" t="inlineStr">
        <is>
          <t>Brazil</t>
        </is>
      </c>
      <c r="D1620" t="inlineStr">
        <is>
          <t>Latin America</t>
        </is>
      </c>
      <c r="E1620" t="inlineStr">
        <is>
          <t>housing_burden_raw</t>
        </is>
      </c>
      <c r="F1620" t="inlineStr">
        <is>
          <t>Housing burden raw</t>
        </is>
      </c>
      <c r="G1620" t="inlineStr">
        <is>
          <t>pressure</t>
        </is>
      </c>
      <c r="H1620" t="inlineStr">
        <is>
          <t>yes</t>
        </is>
      </c>
      <c r="I1620" t="inlineStr"/>
      <c r="J1620" t="inlineStr"/>
      <c r="K1620" t="inlineStr"/>
      <c r="L1620" t="inlineStr"/>
      <c r="M1620" t="inlineStr"/>
      <c r="N1620" t="inlineStr"/>
    </row>
    <row r="1621">
      <c r="A1621" t="inlineStr">
        <is>
          <t>br-sao-paulo</t>
        </is>
      </c>
      <c r="B1621" t="inlineStr">
        <is>
          <t>Sao Paulo</t>
        </is>
      </c>
      <c r="C1621" t="inlineStr">
        <is>
          <t>Brazil</t>
        </is>
      </c>
      <c r="D1621" t="inlineStr">
        <is>
          <t>Latin America</t>
        </is>
      </c>
      <c r="E1621" t="inlineStr">
        <is>
          <t>household_debt_burden_raw</t>
        </is>
      </c>
      <c r="F1621" t="inlineStr">
        <is>
          <t>Household debt burden raw</t>
        </is>
      </c>
      <c r="G1621" t="inlineStr">
        <is>
          <t>pressure</t>
        </is>
      </c>
      <c r="H1621" t="inlineStr">
        <is>
          <t>yes</t>
        </is>
      </c>
      <c r="I1621" t="inlineStr"/>
      <c r="J1621" t="inlineStr"/>
      <c r="K1621" t="inlineStr"/>
      <c r="L1621" t="inlineStr"/>
      <c r="M1621" t="inlineStr"/>
      <c r="N1621" t="inlineStr"/>
    </row>
    <row r="1622">
      <c r="A1622" t="inlineStr">
        <is>
          <t>br-sao-paulo</t>
        </is>
      </c>
      <c r="B1622" t="inlineStr">
        <is>
          <t>Sao Paulo</t>
        </is>
      </c>
      <c r="C1622" t="inlineStr">
        <is>
          <t>Brazil</t>
        </is>
      </c>
      <c r="D1622" t="inlineStr">
        <is>
          <t>Latin America</t>
        </is>
      </c>
      <c r="E1622" t="inlineStr">
        <is>
          <t>working_time_pressure_raw</t>
        </is>
      </c>
      <c r="F1622" t="inlineStr">
        <is>
          <t>Working time pressure raw</t>
        </is>
      </c>
      <c r="G1622" t="inlineStr">
        <is>
          <t>pressure</t>
        </is>
      </c>
      <c r="H1622" t="inlineStr">
        <is>
          <t>yes</t>
        </is>
      </c>
      <c r="I1622" t="inlineStr"/>
      <c r="J1622" t="inlineStr"/>
      <c r="K1622" t="inlineStr"/>
      <c r="L1622" t="inlineStr"/>
      <c r="M1622" t="inlineStr"/>
      <c r="N1622" t="inlineStr"/>
    </row>
    <row r="1623">
      <c r="A1623" t="inlineStr">
        <is>
          <t>br-sao-paulo</t>
        </is>
      </c>
      <c r="B1623" t="inlineStr">
        <is>
          <t>Sao Paulo</t>
        </is>
      </c>
      <c r="C1623" t="inlineStr">
        <is>
          <t>Brazil</t>
        </is>
      </c>
      <c r="D1623" t="inlineStr">
        <is>
          <t>Latin America</t>
        </is>
      </c>
      <c r="E1623" t="inlineStr">
        <is>
          <t>suicide_mental_strain_raw</t>
        </is>
      </c>
      <c r="F1623" t="inlineStr">
        <is>
          <t>Suicide or mental strain raw</t>
        </is>
      </c>
      <c r="G1623" t="inlineStr">
        <is>
          <t>pressure</t>
        </is>
      </c>
      <c r="H1623" t="inlineStr">
        <is>
          <t>yes</t>
        </is>
      </c>
      <c r="I1623" t="inlineStr"/>
      <c r="J1623" t="inlineStr"/>
      <c r="K1623" t="inlineStr"/>
      <c r="L1623" t="inlineStr"/>
      <c r="M1623" t="inlineStr"/>
      <c r="N1623" t="inlineStr"/>
    </row>
    <row r="1624">
      <c r="A1624" t="inlineStr">
        <is>
          <t>br-sao-paulo</t>
        </is>
      </c>
      <c r="B1624" t="inlineStr">
        <is>
          <t>Sao Paulo</t>
        </is>
      </c>
      <c r="C1624" t="inlineStr">
        <is>
          <t>Brazil</t>
        </is>
      </c>
      <c r="D1624" t="inlineStr">
        <is>
          <t>Latin America</t>
        </is>
      </c>
      <c r="E1624" t="inlineStr">
        <is>
          <t>personal_safety_raw</t>
        </is>
      </c>
      <c r="F1624" t="inlineStr">
        <is>
          <t>Personal safety raw</t>
        </is>
      </c>
      <c r="G1624" t="inlineStr">
        <is>
          <t>viability</t>
        </is>
      </c>
      <c r="H1624" t="inlineStr">
        <is>
          <t>yes</t>
        </is>
      </c>
      <c r="I1624" t="inlineStr"/>
      <c r="J1624" t="inlineStr"/>
      <c r="K1624" t="inlineStr"/>
      <c r="L1624" t="inlineStr"/>
      <c r="M1624" t="inlineStr"/>
      <c r="N1624" t="inlineStr"/>
    </row>
    <row r="1625">
      <c r="A1625" t="inlineStr">
        <is>
          <t>br-sao-paulo</t>
        </is>
      </c>
      <c r="B1625" t="inlineStr">
        <is>
          <t>Sao Paulo</t>
        </is>
      </c>
      <c r="C1625" t="inlineStr">
        <is>
          <t>Brazil</t>
        </is>
      </c>
      <c r="D1625" t="inlineStr">
        <is>
          <t>Latin America</t>
        </is>
      </c>
      <c r="E1625" t="inlineStr">
        <is>
          <t>transit_access_commute_raw</t>
        </is>
      </c>
      <c r="F1625" t="inlineStr">
        <is>
          <t>Transit access and commute raw</t>
        </is>
      </c>
      <c r="G1625" t="inlineStr">
        <is>
          <t>viability</t>
        </is>
      </c>
      <c r="H1625" t="inlineStr">
        <is>
          <t>yes</t>
        </is>
      </c>
      <c r="I1625" t="inlineStr"/>
      <c r="J1625" t="inlineStr"/>
      <c r="K1625" t="inlineStr"/>
      <c r="L1625" t="inlineStr"/>
      <c r="M1625" t="inlineStr"/>
      <c r="N1625" t="inlineStr"/>
    </row>
    <row r="1626">
      <c r="A1626" t="inlineStr">
        <is>
          <t>br-sao-paulo</t>
        </is>
      </c>
      <c r="B1626" t="inlineStr">
        <is>
          <t>Sao Paulo</t>
        </is>
      </c>
      <c r="C1626" t="inlineStr">
        <is>
          <t>Brazil</t>
        </is>
      </c>
      <c r="D1626" t="inlineStr">
        <is>
          <t>Latin America</t>
        </is>
      </c>
      <c r="E1626" t="inlineStr">
        <is>
          <t>clean_air_raw</t>
        </is>
      </c>
      <c r="F1626" t="inlineStr">
        <is>
          <t>Clean air raw</t>
        </is>
      </c>
      <c r="G1626" t="inlineStr">
        <is>
          <t>viability</t>
        </is>
      </c>
      <c r="H1626" t="inlineStr">
        <is>
          <t>yes</t>
        </is>
      </c>
      <c r="I1626" t="inlineStr"/>
      <c r="J1626" t="inlineStr"/>
      <c r="K1626" t="inlineStr"/>
      <c r="L1626" t="inlineStr"/>
      <c r="M1626" t="inlineStr"/>
      <c r="N1626" t="inlineStr"/>
    </row>
    <row r="1627">
      <c r="A1627" t="inlineStr">
        <is>
          <t>br-sao-paulo</t>
        </is>
      </c>
      <c r="B1627" t="inlineStr">
        <is>
          <t>Sao Paulo</t>
        </is>
      </c>
      <c r="C1627" t="inlineStr">
        <is>
          <t>Brazil</t>
        </is>
      </c>
      <c r="D1627" t="inlineStr">
        <is>
          <t>Latin America</t>
        </is>
      </c>
      <c r="E1627" t="inlineStr">
        <is>
          <t>water_sanitation_utility_raw</t>
        </is>
      </c>
      <c r="F1627" t="inlineStr">
        <is>
          <t>Water, sanitation, and utility raw</t>
        </is>
      </c>
      <c r="G1627" t="inlineStr">
        <is>
          <t>viability</t>
        </is>
      </c>
      <c r="H1627" t="inlineStr">
        <is>
          <t>yes</t>
        </is>
      </c>
      <c r="I1627" t="inlineStr"/>
      <c r="J1627" t="inlineStr"/>
      <c r="K1627" t="inlineStr"/>
      <c r="L1627" t="inlineStr"/>
      <c r="M1627" t="inlineStr"/>
      <c r="N1627" t="inlineStr"/>
    </row>
    <row r="1628">
      <c r="A1628" t="inlineStr">
        <is>
          <t>br-sao-paulo</t>
        </is>
      </c>
      <c r="B1628" t="inlineStr">
        <is>
          <t>Sao Paulo</t>
        </is>
      </c>
      <c r="C1628" t="inlineStr">
        <is>
          <t>Brazil</t>
        </is>
      </c>
      <c r="D1628" t="inlineStr">
        <is>
          <t>Latin America</t>
        </is>
      </c>
      <c r="E1628" t="inlineStr">
        <is>
          <t>digital_infrastructure_raw</t>
        </is>
      </c>
      <c r="F1628" t="inlineStr">
        <is>
          <t>Digital infrastructure raw</t>
        </is>
      </c>
      <c r="G1628" t="inlineStr">
        <is>
          <t>viability</t>
        </is>
      </c>
      <c r="H1628" t="inlineStr">
        <is>
          <t>yes</t>
        </is>
      </c>
      <c r="I1628" t="inlineStr"/>
      <c r="J1628" t="inlineStr"/>
      <c r="K1628" t="inlineStr"/>
      <c r="L1628" t="inlineStr"/>
      <c r="M1628" t="inlineStr"/>
      <c r="N1628" t="inlineStr"/>
    </row>
    <row r="1629">
      <c r="A1629" t="inlineStr">
        <is>
          <t>br-sao-paulo</t>
        </is>
      </c>
      <c r="B1629" t="inlineStr">
        <is>
          <t>Sao Paulo</t>
        </is>
      </c>
      <c r="C1629" t="inlineStr">
        <is>
          <t>Brazil</t>
        </is>
      </c>
      <c r="D1629" t="inlineStr">
        <is>
          <t>Latin America</t>
        </is>
      </c>
      <c r="E1629" t="inlineStr">
        <is>
          <t>healthcare_quality_raw</t>
        </is>
      </c>
      <c r="F1629" t="inlineStr">
        <is>
          <t>Healthcare quality raw</t>
        </is>
      </c>
      <c r="G1629" t="inlineStr">
        <is>
          <t>capability</t>
        </is>
      </c>
      <c r="H1629" t="inlineStr">
        <is>
          <t>yes</t>
        </is>
      </c>
      <c r="I1629" t="inlineStr"/>
      <c r="J1629" t="inlineStr"/>
      <c r="K1629" t="inlineStr"/>
      <c r="L1629" t="inlineStr"/>
      <c r="M1629" t="inlineStr"/>
      <c r="N1629" t="inlineStr"/>
    </row>
    <row r="1630">
      <c r="A1630" t="inlineStr">
        <is>
          <t>br-sao-paulo</t>
        </is>
      </c>
      <c r="B1630" t="inlineStr">
        <is>
          <t>Sao Paulo</t>
        </is>
      </c>
      <c r="C1630" t="inlineStr">
        <is>
          <t>Brazil</t>
        </is>
      </c>
      <c r="D1630" t="inlineStr">
        <is>
          <t>Latin America</t>
        </is>
      </c>
      <c r="E1630" t="inlineStr">
        <is>
          <t>education_quality_raw</t>
        </is>
      </c>
      <c r="F1630" t="inlineStr">
        <is>
          <t>Education quality raw</t>
        </is>
      </c>
      <c r="G1630" t="inlineStr">
        <is>
          <t>capability</t>
        </is>
      </c>
      <c r="H1630" t="inlineStr">
        <is>
          <t>yes</t>
        </is>
      </c>
      <c r="I1630" t="inlineStr"/>
      <c r="J1630" t="inlineStr"/>
      <c r="K1630" t="inlineStr"/>
      <c r="L1630" t="inlineStr"/>
      <c r="M1630" t="inlineStr"/>
      <c r="N1630" t="inlineStr"/>
    </row>
    <row r="1631">
      <c r="A1631" t="inlineStr">
        <is>
          <t>br-sao-paulo</t>
        </is>
      </c>
      <c r="B1631" t="inlineStr">
        <is>
          <t>Sao Paulo</t>
        </is>
      </c>
      <c r="C1631" t="inlineStr">
        <is>
          <t>Brazil</t>
        </is>
      </c>
      <c r="D1631" t="inlineStr">
        <is>
          <t>Latin America</t>
        </is>
      </c>
      <c r="E1631" t="inlineStr">
        <is>
          <t>equal_opportunity_raw</t>
        </is>
      </c>
      <c r="F1631" t="inlineStr">
        <is>
          <t>Equal opportunity raw</t>
        </is>
      </c>
      <c r="G1631" t="inlineStr">
        <is>
          <t>capability</t>
        </is>
      </c>
      <c r="H1631" t="inlineStr">
        <is>
          <t>yes</t>
        </is>
      </c>
      <c r="I1631" t="inlineStr"/>
      <c r="J1631" t="inlineStr"/>
      <c r="K1631" t="inlineStr"/>
      <c r="L1631" t="inlineStr"/>
      <c r="M1631" t="inlineStr"/>
      <c r="N1631" t="inlineStr"/>
    </row>
    <row r="1632">
      <c r="A1632" t="inlineStr">
        <is>
          <t>br-sao-paulo</t>
        </is>
      </c>
      <c r="B1632" t="inlineStr">
        <is>
          <t>Sao Paulo</t>
        </is>
      </c>
      <c r="C1632" t="inlineStr">
        <is>
          <t>Brazil</t>
        </is>
      </c>
      <c r="D1632" t="inlineStr">
        <is>
          <t>Latin America</t>
        </is>
      </c>
      <c r="E1632" t="inlineStr">
        <is>
          <t>hospitality_belonging_raw</t>
        </is>
      </c>
      <c r="F1632" t="inlineStr">
        <is>
          <t>Hospitality and belonging raw</t>
        </is>
      </c>
      <c r="G1632" t="inlineStr">
        <is>
          <t>community</t>
        </is>
      </c>
      <c r="H1632" t="inlineStr">
        <is>
          <t>yes</t>
        </is>
      </c>
      <c r="I1632" t="inlineStr"/>
      <c r="J1632" t="inlineStr"/>
      <c r="K1632" t="inlineStr"/>
      <c r="L1632" t="inlineStr"/>
      <c r="M1632" t="inlineStr"/>
      <c r="N1632" t="inlineStr"/>
    </row>
    <row r="1633">
      <c r="A1633" t="inlineStr">
        <is>
          <t>br-sao-paulo</t>
        </is>
      </c>
      <c r="B1633" t="inlineStr">
        <is>
          <t>Sao Paulo</t>
        </is>
      </c>
      <c r="C1633" t="inlineStr">
        <is>
          <t>Brazil</t>
        </is>
      </c>
      <c r="D1633" t="inlineStr">
        <is>
          <t>Latin America</t>
        </is>
      </c>
      <c r="E1633" t="inlineStr">
        <is>
          <t>tolerance_pluralism_raw</t>
        </is>
      </c>
      <c r="F1633" t="inlineStr">
        <is>
          <t>Tolerance and pluralism raw</t>
        </is>
      </c>
      <c r="G1633" t="inlineStr">
        <is>
          <t>community</t>
        </is>
      </c>
      <c r="H1633" t="inlineStr">
        <is>
          <t>yes</t>
        </is>
      </c>
      <c r="I1633" t="inlineStr"/>
      <c r="J1633" t="inlineStr"/>
      <c r="K1633" t="inlineStr"/>
      <c r="L1633" t="inlineStr"/>
      <c r="M1633" t="inlineStr"/>
      <c r="N1633" t="inlineStr"/>
    </row>
    <row r="1634">
      <c r="A1634" t="inlineStr">
        <is>
          <t>br-sao-paulo</t>
        </is>
      </c>
      <c r="B1634" t="inlineStr">
        <is>
          <t>Sao Paulo</t>
        </is>
      </c>
      <c r="C1634" t="inlineStr">
        <is>
          <t>Brazil</t>
        </is>
      </c>
      <c r="D1634" t="inlineStr">
        <is>
          <t>Latin America</t>
        </is>
      </c>
      <c r="E1634" t="inlineStr">
        <is>
          <t>cultural_public_life_raw</t>
        </is>
      </c>
      <c r="F1634" t="inlineStr">
        <is>
          <t>Cultural public life raw</t>
        </is>
      </c>
      <c r="G1634" t="inlineStr">
        <is>
          <t>community</t>
        </is>
      </c>
      <c r="H1634" t="inlineStr">
        <is>
          <t>yes</t>
        </is>
      </c>
      <c r="I1634" t="inlineStr"/>
      <c r="J1634" t="inlineStr"/>
      <c r="K1634" t="inlineStr"/>
      <c r="L1634" t="inlineStr"/>
      <c r="M1634" t="inlineStr"/>
      <c r="N1634" t="inlineStr"/>
    </row>
    <row r="1635">
      <c r="A1635" t="inlineStr">
        <is>
          <t>br-sao-paulo</t>
        </is>
      </c>
      <c r="B1635" t="inlineStr">
        <is>
          <t>Sao Paulo</t>
        </is>
      </c>
      <c r="C1635" t="inlineStr">
        <is>
          <t>Brazil</t>
        </is>
      </c>
      <c r="D1635" t="inlineStr">
        <is>
          <t>Latin America</t>
        </is>
      </c>
      <c r="E1635" t="inlineStr">
        <is>
          <t>entrepreneurial_dynamism_raw</t>
        </is>
      </c>
      <c r="F1635" t="inlineStr">
        <is>
          <t>Entrepreneurial dynamism raw</t>
        </is>
      </c>
      <c r="G1635" t="inlineStr">
        <is>
          <t>creative</t>
        </is>
      </c>
      <c r="H1635" t="inlineStr">
        <is>
          <t>yes</t>
        </is>
      </c>
      <c r="I1635" t="inlineStr"/>
      <c r="J1635" t="inlineStr"/>
      <c r="K1635" t="inlineStr"/>
      <c r="L1635" t="inlineStr"/>
      <c r="M1635" t="inlineStr"/>
      <c r="N1635" t="inlineStr"/>
    </row>
    <row r="1636">
      <c r="A1636" t="inlineStr">
        <is>
          <t>br-sao-paulo</t>
        </is>
      </c>
      <c r="B1636" t="inlineStr">
        <is>
          <t>Sao Paulo</t>
        </is>
      </c>
      <c r="C1636" t="inlineStr">
        <is>
          <t>Brazil</t>
        </is>
      </c>
      <c r="D1636" t="inlineStr">
        <is>
          <t>Latin America</t>
        </is>
      </c>
      <c r="E1636" t="inlineStr">
        <is>
          <t>innovation_research_intensity_raw</t>
        </is>
      </c>
      <c r="F1636" t="inlineStr">
        <is>
          <t>Innovation and research raw</t>
        </is>
      </c>
      <c r="G1636" t="inlineStr">
        <is>
          <t>creative</t>
        </is>
      </c>
      <c r="H1636" t="inlineStr">
        <is>
          <t>yes</t>
        </is>
      </c>
      <c r="I1636" t="inlineStr"/>
      <c r="J1636" t="inlineStr"/>
      <c r="K1636" t="inlineStr"/>
      <c r="L1636" t="inlineStr"/>
      <c r="M1636" t="inlineStr"/>
      <c r="N1636" t="inlineStr"/>
    </row>
    <row r="1637">
      <c r="A1637" t="inlineStr">
        <is>
          <t>br-sao-paulo</t>
        </is>
      </c>
      <c r="B1637" t="inlineStr">
        <is>
          <t>Sao Paulo</t>
        </is>
      </c>
      <c r="C1637" t="inlineStr">
        <is>
          <t>Brazil</t>
        </is>
      </c>
      <c r="D1637" t="inlineStr">
        <is>
          <t>Latin America</t>
        </is>
      </c>
      <c r="E1637" t="inlineStr">
        <is>
          <t>investment_signal_raw</t>
        </is>
      </c>
      <c r="F1637" t="inlineStr">
        <is>
          <t>Investment signal raw</t>
        </is>
      </c>
      <c r="G1637" t="inlineStr">
        <is>
          <t>creative</t>
        </is>
      </c>
      <c r="H1637" t="inlineStr">
        <is>
          <t>yes</t>
        </is>
      </c>
      <c r="I1637" t="inlineStr"/>
      <c r="J1637" t="inlineStr"/>
      <c r="K1637" t="inlineStr"/>
      <c r="L1637" t="inlineStr"/>
      <c r="M1637" t="inlineStr"/>
      <c r="N1637" t="inlineStr"/>
    </row>
    <row r="1638">
      <c r="A1638" t="inlineStr">
        <is>
          <t>br-sao-paulo</t>
        </is>
      </c>
      <c r="B1638" t="inlineStr">
        <is>
          <t>Sao Paulo</t>
        </is>
      </c>
      <c r="C1638" t="inlineStr">
        <is>
          <t>Brazil</t>
        </is>
      </c>
      <c r="D1638" t="inlineStr">
        <is>
          <t>Latin America</t>
        </is>
      </c>
      <c r="E1638" t="inlineStr">
        <is>
          <t>administrative_investment_friction_raw</t>
        </is>
      </c>
      <c r="F1638" t="inlineStr">
        <is>
          <t>Administrative investment friction raw</t>
        </is>
      </c>
      <c r="G1638" t="inlineStr">
        <is>
          <t>creative</t>
        </is>
      </c>
      <c r="H1638" t="inlineStr">
        <is>
          <t>yes</t>
        </is>
      </c>
      <c r="I1638" t="inlineStr"/>
      <c r="J1638" t="inlineStr"/>
      <c r="K1638" t="inlineStr"/>
      <c r="L1638" t="inlineStr"/>
      <c r="M1638" t="inlineStr"/>
      <c r="N1638" t="inlineStr"/>
    </row>
    <row r="1639">
      <c r="A1639" t="inlineStr">
        <is>
          <t>br-sao-paulo</t>
        </is>
      </c>
      <c r="B1639" t="inlineStr">
        <is>
          <t>Sao Paulo</t>
        </is>
      </c>
      <c r="C1639" t="inlineStr">
        <is>
          <t>Brazil</t>
        </is>
      </c>
      <c r="D1639" t="inlineStr">
        <is>
          <t>Latin America</t>
        </is>
      </c>
      <c r="E1639" t="inlineStr">
        <is>
          <t>visitor_flow_context_raw</t>
        </is>
      </c>
      <c r="F1639" t="inlineStr">
        <is>
          <t>Visitor flow context raw</t>
        </is>
      </c>
      <c r="G1639" t="inlineStr">
        <is>
          <t>creative</t>
        </is>
      </c>
      <c r="H1639" t="inlineStr">
        <is>
          <t>no</t>
        </is>
      </c>
      <c r="I1639" t="inlineStr"/>
      <c r="J1639" t="inlineStr"/>
      <c r="K1639" t="inlineStr"/>
      <c r="L1639" t="inlineStr"/>
      <c r="M1639" t="inlineStr"/>
      <c r="N1639" t="inlineStr"/>
    </row>
    <row r="1640">
      <c r="A1640" t="inlineStr">
        <is>
          <t>ar-buenos-aires</t>
        </is>
      </c>
      <c r="B1640" t="inlineStr">
        <is>
          <t>Buenos Aires</t>
        </is>
      </c>
      <c r="C1640" t="inlineStr">
        <is>
          <t>Argentina</t>
        </is>
      </c>
      <c r="D1640" t="inlineStr">
        <is>
          <t>Latin America</t>
        </is>
      </c>
      <c r="E1640" t="inlineStr">
        <is>
          <t>gross_income</t>
        </is>
      </c>
      <c r="F1640" t="inlineStr">
        <is>
          <t>Gross income</t>
        </is>
      </c>
      <c r="G1640" t="inlineStr">
        <is>
          <t>pressure</t>
        </is>
      </c>
      <c r="H1640" t="inlineStr">
        <is>
          <t>yes</t>
        </is>
      </c>
      <c r="I1640" t="inlineStr"/>
      <c r="J1640" t="inlineStr"/>
      <c r="K1640" t="inlineStr"/>
      <c r="L1640" t="inlineStr"/>
      <c r="M1640" t="inlineStr"/>
      <c r="N1640" t="inlineStr"/>
    </row>
    <row r="1641">
      <c r="A1641" t="inlineStr">
        <is>
          <t>ar-buenos-aires</t>
        </is>
      </c>
      <c r="B1641" t="inlineStr">
        <is>
          <t>Buenos Aires</t>
        </is>
      </c>
      <c r="C1641" t="inlineStr">
        <is>
          <t>Argentina</t>
        </is>
      </c>
      <c r="D1641" t="inlineStr">
        <is>
          <t>Latin America</t>
        </is>
      </c>
      <c r="E1641" t="inlineStr">
        <is>
          <t>rent</t>
        </is>
      </c>
      <c r="F1641" t="inlineStr">
        <is>
          <t>Rent</t>
        </is>
      </c>
      <c r="G1641" t="inlineStr">
        <is>
          <t>pressure</t>
        </is>
      </c>
      <c r="H1641" t="inlineStr">
        <is>
          <t>yes</t>
        </is>
      </c>
      <c r="I1641" t="inlineStr"/>
      <c r="J1641" t="inlineStr"/>
      <c r="K1641" t="inlineStr"/>
      <c r="L1641" t="inlineStr"/>
      <c r="M1641" t="inlineStr"/>
      <c r="N1641" t="inlineStr"/>
    </row>
    <row r="1642">
      <c r="A1642" t="inlineStr">
        <is>
          <t>ar-buenos-aires</t>
        </is>
      </c>
      <c r="B1642" t="inlineStr">
        <is>
          <t>Buenos Aires</t>
        </is>
      </c>
      <c r="C1642" t="inlineStr">
        <is>
          <t>Argentina</t>
        </is>
      </c>
      <c r="D1642" t="inlineStr">
        <is>
          <t>Latin America</t>
        </is>
      </c>
      <c r="E1642" t="inlineStr">
        <is>
          <t>utilities</t>
        </is>
      </c>
      <c r="F1642" t="inlineStr">
        <is>
          <t>Utilities</t>
        </is>
      </c>
      <c r="G1642" t="inlineStr">
        <is>
          <t>pressure</t>
        </is>
      </c>
      <c r="H1642" t="inlineStr">
        <is>
          <t>yes</t>
        </is>
      </c>
      <c r="I1642" t="inlineStr"/>
      <c r="J1642" t="inlineStr"/>
      <c r="K1642" t="inlineStr"/>
      <c r="L1642" t="inlineStr"/>
      <c r="M1642" t="inlineStr"/>
      <c r="N1642" t="inlineStr"/>
    </row>
    <row r="1643">
      <c r="A1643" t="inlineStr">
        <is>
          <t>ar-buenos-aires</t>
        </is>
      </c>
      <c r="B1643" t="inlineStr">
        <is>
          <t>Buenos Aires</t>
        </is>
      </c>
      <c r="C1643" t="inlineStr">
        <is>
          <t>Argentina</t>
        </is>
      </c>
      <c r="D1643" t="inlineStr">
        <is>
          <t>Latin America</t>
        </is>
      </c>
      <c r="E1643" t="inlineStr">
        <is>
          <t>transit_cost</t>
        </is>
      </c>
      <c r="F1643" t="inlineStr">
        <is>
          <t>Transit cost</t>
        </is>
      </c>
      <c r="G1643" t="inlineStr">
        <is>
          <t>pressure</t>
        </is>
      </c>
      <c r="H1643" t="inlineStr">
        <is>
          <t>yes</t>
        </is>
      </c>
      <c r="I1643" t="inlineStr"/>
      <c r="J1643" t="inlineStr"/>
      <c r="K1643" t="inlineStr"/>
      <c r="L1643" t="inlineStr"/>
      <c r="M1643" t="inlineStr"/>
      <c r="N1643" t="inlineStr"/>
    </row>
    <row r="1644">
      <c r="A1644" t="inlineStr">
        <is>
          <t>ar-buenos-aires</t>
        </is>
      </c>
      <c r="B1644" t="inlineStr">
        <is>
          <t>Buenos Aires</t>
        </is>
      </c>
      <c r="C1644" t="inlineStr">
        <is>
          <t>Argentina</t>
        </is>
      </c>
      <c r="D1644" t="inlineStr">
        <is>
          <t>Latin America</t>
        </is>
      </c>
      <c r="E1644" t="inlineStr">
        <is>
          <t>internet_cost</t>
        </is>
      </c>
      <c r="F1644" t="inlineStr">
        <is>
          <t>Internet cost</t>
        </is>
      </c>
      <c r="G1644" t="inlineStr">
        <is>
          <t>pressure</t>
        </is>
      </c>
      <c r="H1644" t="inlineStr">
        <is>
          <t>yes</t>
        </is>
      </c>
      <c r="I1644" t="inlineStr"/>
      <c r="J1644" t="inlineStr"/>
      <c r="K1644" t="inlineStr"/>
      <c r="L1644" t="inlineStr"/>
      <c r="M1644" t="inlineStr"/>
      <c r="N1644" t="inlineStr"/>
    </row>
    <row r="1645">
      <c r="A1645" t="inlineStr">
        <is>
          <t>ar-buenos-aires</t>
        </is>
      </c>
      <c r="B1645" t="inlineStr">
        <is>
          <t>Buenos Aires</t>
        </is>
      </c>
      <c r="C1645" t="inlineStr">
        <is>
          <t>Argentina</t>
        </is>
      </c>
      <c r="D1645" t="inlineStr">
        <is>
          <t>Latin America</t>
        </is>
      </c>
      <c r="E1645" t="inlineStr">
        <is>
          <t>food_cost</t>
        </is>
      </c>
      <c r="F1645" t="inlineStr">
        <is>
          <t>Food cost</t>
        </is>
      </c>
      <c r="G1645" t="inlineStr">
        <is>
          <t>pressure</t>
        </is>
      </c>
      <c r="H1645" t="inlineStr">
        <is>
          <t>yes</t>
        </is>
      </c>
      <c r="I1645" t="inlineStr"/>
      <c r="J1645" t="inlineStr"/>
      <c r="K1645" t="inlineStr"/>
      <c r="L1645" t="inlineStr"/>
      <c r="M1645" t="inlineStr"/>
      <c r="N1645" t="inlineStr"/>
    </row>
    <row r="1646">
      <c r="A1646" t="inlineStr">
        <is>
          <t>ar-buenos-aires</t>
        </is>
      </c>
      <c r="B1646" t="inlineStr">
        <is>
          <t>Buenos Aires</t>
        </is>
      </c>
      <c r="C1646" t="inlineStr">
        <is>
          <t>Argentina</t>
        </is>
      </c>
      <c r="D1646" t="inlineStr">
        <is>
          <t>Latin America</t>
        </is>
      </c>
      <c r="E1646" t="inlineStr">
        <is>
          <t>housing_burden_raw</t>
        </is>
      </c>
      <c r="F1646" t="inlineStr">
        <is>
          <t>Housing burden raw</t>
        </is>
      </c>
      <c r="G1646" t="inlineStr">
        <is>
          <t>pressure</t>
        </is>
      </c>
      <c r="H1646" t="inlineStr">
        <is>
          <t>yes</t>
        </is>
      </c>
      <c r="I1646" t="inlineStr"/>
      <c r="J1646" t="inlineStr"/>
      <c r="K1646" t="inlineStr"/>
      <c r="L1646" t="inlineStr"/>
      <c r="M1646" t="inlineStr"/>
      <c r="N1646" t="inlineStr"/>
    </row>
    <row r="1647">
      <c r="A1647" t="inlineStr">
        <is>
          <t>ar-buenos-aires</t>
        </is>
      </c>
      <c r="B1647" t="inlineStr">
        <is>
          <t>Buenos Aires</t>
        </is>
      </c>
      <c r="C1647" t="inlineStr">
        <is>
          <t>Argentina</t>
        </is>
      </c>
      <c r="D1647" t="inlineStr">
        <is>
          <t>Latin America</t>
        </is>
      </c>
      <c r="E1647" t="inlineStr">
        <is>
          <t>household_debt_burden_raw</t>
        </is>
      </c>
      <c r="F1647" t="inlineStr">
        <is>
          <t>Household debt burden raw</t>
        </is>
      </c>
      <c r="G1647" t="inlineStr">
        <is>
          <t>pressure</t>
        </is>
      </c>
      <c r="H1647" t="inlineStr">
        <is>
          <t>yes</t>
        </is>
      </c>
      <c r="I1647" t="inlineStr"/>
      <c r="J1647" t="inlineStr"/>
      <c r="K1647" t="inlineStr"/>
      <c r="L1647" t="inlineStr"/>
      <c r="M1647" t="inlineStr"/>
      <c r="N1647" t="inlineStr"/>
    </row>
    <row r="1648">
      <c r="A1648" t="inlineStr">
        <is>
          <t>ar-buenos-aires</t>
        </is>
      </c>
      <c r="B1648" t="inlineStr">
        <is>
          <t>Buenos Aires</t>
        </is>
      </c>
      <c r="C1648" t="inlineStr">
        <is>
          <t>Argentina</t>
        </is>
      </c>
      <c r="D1648" t="inlineStr">
        <is>
          <t>Latin America</t>
        </is>
      </c>
      <c r="E1648" t="inlineStr">
        <is>
          <t>working_time_pressure_raw</t>
        </is>
      </c>
      <c r="F1648" t="inlineStr">
        <is>
          <t>Working time pressure raw</t>
        </is>
      </c>
      <c r="G1648" t="inlineStr">
        <is>
          <t>pressure</t>
        </is>
      </c>
      <c r="H1648" t="inlineStr">
        <is>
          <t>yes</t>
        </is>
      </c>
      <c r="I1648" t="inlineStr"/>
      <c r="J1648" t="inlineStr"/>
      <c r="K1648" t="inlineStr"/>
      <c r="L1648" t="inlineStr"/>
      <c r="M1648" t="inlineStr"/>
      <c r="N1648" t="inlineStr"/>
    </row>
    <row r="1649">
      <c r="A1649" t="inlineStr">
        <is>
          <t>ar-buenos-aires</t>
        </is>
      </c>
      <c r="B1649" t="inlineStr">
        <is>
          <t>Buenos Aires</t>
        </is>
      </c>
      <c r="C1649" t="inlineStr">
        <is>
          <t>Argentina</t>
        </is>
      </c>
      <c r="D1649" t="inlineStr">
        <is>
          <t>Latin America</t>
        </is>
      </c>
      <c r="E1649" t="inlineStr">
        <is>
          <t>suicide_mental_strain_raw</t>
        </is>
      </c>
      <c r="F1649" t="inlineStr">
        <is>
          <t>Suicide or mental strain raw</t>
        </is>
      </c>
      <c r="G1649" t="inlineStr">
        <is>
          <t>pressure</t>
        </is>
      </c>
      <c r="H1649" t="inlineStr">
        <is>
          <t>yes</t>
        </is>
      </c>
      <c r="I1649" t="inlineStr"/>
      <c r="J1649" t="inlineStr"/>
      <c r="K1649" t="inlineStr"/>
      <c r="L1649" t="inlineStr"/>
      <c r="M1649" t="inlineStr"/>
      <c r="N1649" t="inlineStr"/>
    </row>
    <row r="1650">
      <c r="A1650" t="inlineStr">
        <is>
          <t>ar-buenos-aires</t>
        </is>
      </c>
      <c r="B1650" t="inlineStr">
        <is>
          <t>Buenos Aires</t>
        </is>
      </c>
      <c r="C1650" t="inlineStr">
        <is>
          <t>Argentina</t>
        </is>
      </c>
      <c r="D1650" t="inlineStr">
        <is>
          <t>Latin America</t>
        </is>
      </c>
      <c r="E1650" t="inlineStr">
        <is>
          <t>personal_safety_raw</t>
        </is>
      </c>
      <c r="F1650" t="inlineStr">
        <is>
          <t>Personal safety raw</t>
        </is>
      </c>
      <c r="G1650" t="inlineStr">
        <is>
          <t>viability</t>
        </is>
      </c>
      <c r="H1650" t="inlineStr">
        <is>
          <t>yes</t>
        </is>
      </c>
      <c r="I1650" t="inlineStr"/>
      <c r="J1650" t="inlineStr"/>
      <c r="K1650" t="inlineStr"/>
      <c r="L1650" t="inlineStr"/>
      <c r="M1650" t="inlineStr"/>
      <c r="N1650" t="inlineStr"/>
    </row>
    <row r="1651">
      <c r="A1651" t="inlineStr">
        <is>
          <t>ar-buenos-aires</t>
        </is>
      </c>
      <c r="B1651" t="inlineStr">
        <is>
          <t>Buenos Aires</t>
        </is>
      </c>
      <c r="C1651" t="inlineStr">
        <is>
          <t>Argentina</t>
        </is>
      </c>
      <c r="D1651" t="inlineStr">
        <is>
          <t>Latin America</t>
        </is>
      </c>
      <c r="E1651" t="inlineStr">
        <is>
          <t>transit_access_commute_raw</t>
        </is>
      </c>
      <c r="F1651" t="inlineStr">
        <is>
          <t>Transit access and commute raw</t>
        </is>
      </c>
      <c r="G1651" t="inlineStr">
        <is>
          <t>viability</t>
        </is>
      </c>
      <c r="H1651" t="inlineStr">
        <is>
          <t>yes</t>
        </is>
      </c>
      <c r="I1651" t="inlineStr"/>
      <c r="J1651" t="inlineStr"/>
      <c r="K1651" t="inlineStr"/>
      <c r="L1651" t="inlineStr"/>
      <c r="M1651" t="inlineStr"/>
      <c r="N1651" t="inlineStr"/>
    </row>
    <row r="1652">
      <c r="A1652" t="inlineStr">
        <is>
          <t>ar-buenos-aires</t>
        </is>
      </c>
      <c r="B1652" t="inlineStr">
        <is>
          <t>Buenos Aires</t>
        </is>
      </c>
      <c r="C1652" t="inlineStr">
        <is>
          <t>Argentina</t>
        </is>
      </c>
      <c r="D1652" t="inlineStr">
        <is>
          <t>Latin America</t>
        </is>
      </c>
      <c r="E1652" t="inlineStr">
        <is>
          <t>clean_air_raw</t>
        </is>
      </c>
      <c r="F1652" t="inlineStr">
        <is>
          <t>Clean air raw</t>
        </is>
      </c>
      <c r="G1652" t="inlineStr">
        <is>
          <t>viability</t>
        </is>
      </c>
      <c r="H1652" t="inlineStr">
        <is>
          <t>yes</t>
        </is>
      </c>
      <c r="I1652" t="inlineStr"/>
      <c r="J1652" t="inlineStr"/>
      <c r="K1652" t="inlineStr"/>
      <c r="L1652" t="inlineStr"/>
      <c r="M1652" t="inlineStr"/>
      <c r="N1652" t="inlineStr"/>
    </row>
    <row r="1653">
      <c r="A1653" t="inlineStr">
        <is>
          <t>ar-buenos-aires</t>
        </is>
      </c>
      <c r="B1653" t="inlineStr">
        <is>
          <t>Buenos Aires</t>
        </is>
      </c>
      <c r="C1653" t="inlineStr">
        <is>
          <t>Argentina</t>
        </is>
      </c>
      <c r="D1653" t="inlineStr">
        <is>
          <t>Latin America</t>
        </is>
      </c>
      <c r="E1653" t="inlineStr">
        <is>
          <t>water_sanitation_utility_raw</t>
        </is>
      </c>
      <c r="F1653" t="inlineStr">
        <is>
          <t>Water, sanitation, and utility raw</t>
        </is>
      </c>
      <c r="G1653" t="inlineStr">
        <is>
          <t>viability</t>
        </is>
      </c>
      <c r="H1653" t="inlineStr">
        <is>
          <t>yes</t>
        </is>
      </c>
      <c r="I1653" t="inlineStr"/>
      <c r="J1653" t="inlineStr"/>
      <c r="K1653" t="inlineStr"/>
      <c r="L1653" t="inlineStr"/>
      <c r="M1653" t="inlineStr"/>
      <c r="N1653" t="inlineStr"/>
    </row>
    <row r="1654">
      <c r="A1654" t="inlineStr">
        <is>
          <t>ar-buenos-aires</t>
        </is>
      </c>
      <c r="B1654" t="inlineStr">
        <is>
          <t>Buenos Aires</t>
        </is>
      </c>
      <c r="C1654" t="inlineStr">
        <is>
          <t>Argentina</t>
        </is>
      </c>
      <c r="D1654" t="inlineStr">
        <is>
          <t>Latin America</t>
        </is>
      </c>
      <c r="E1654" t="inlineStr">
        <is>
          <t>digital_infrastructure_raw</t>
        </is>
      </c>
      <c r="F1654" t="inlineStr">
        <is>
          <t>Digital infrastructure raw</t>
        </is>
      </c>
      <c r="G1654" t="inlineStr">
        <is>
          <t>viability</t>
        </is>
      </c>
      <c r="H1654" t="inlineStr">
        <is>
          <t>yes</t>
        </is>
      </c>
      <c r="I1654" t="inlineStr"/>
      <c r="J1654" t="inlineStr"/>
      <c r="K1654" t="inlineStr"/>
      <c r="L1654" t="inlineStr"/>
      <c r="M1654" t="inlineStr"/>
      <c r="N1654" t="inlineStr"/>
    </row>
    <row r="1655">
      <c r="A1655" t="inlineStr">
        <is>
          <t>ar-buenos-aires</t>
        </is>
      </c>
      <c r="B1655" t="inlineStr">
        <is>
          <t>Buenos Aires</t>
        </is>
      </c>
      <c r="C1655" t="inlineStr">
        <is>
          <t>Argentina</t>
        </is>
      </c>
      <c r="D1655" t="inlineStr">
        <is>
          <t>Latin America</t>
        </is>
      </c>
      <c r="E1655" t="inlineStr">
        <is>
          <t>healthcare_quality_raw</t>
        </is>
      </c>
      <c r="F1655" t="inlineStr">
        <is>
          <t>Healthcare quality raw</t>
        </is>
      </c>
      <c r="G1655" t="inlineStr">
        <is>
          <t>capability</t>
        </is>
      </c>
      <c r="H1655" t="inlineStr">
        <is>
          <t>yes</t>
        </is>
      </c>
      <c r="I1655" t="inlineStr"/>
      <c r="J1655" t="inlineStr"/>
      <c r="K1655" t="inlineStr"/>
      <c r="L1655" t="inlineStr"/>
      <c r="M1655" t="inlineStr"/>
      <c r="N1655" t="inlineStr"/>
    </row>
    <row r="1656">
      <c r="A1656" t="inlineStr">
        <is>
          <t>ar-buenos-aires</t>
        </is>
      </c>
      <c r="B1656" t="inlineStr">
        <is>
          <t>Buenos Aires</t>
        </is>
      </c>
      <c r="C1656" t="inlineStr">
        <is>
          <t>Argentina</t>
        </is>
      </c>
      <c r="D1656" t="inlineStr">
        <is>
          <t>Latin America</t>
        </is>
      </c>
      <c r="E1656" t="inlineStr">
        <is>
          <t>education_quality_raw</t>
        </is>
      </c>
      <c r="F1656" t="inlineStr">
        <is>
          <t>Education quality raw</t>
        </is>
      </c>
      <c r="G1656" t="inlineStr">
        <is>
          <t>capability</t>
        </is>
      </c>
      <c r="H1656" t="inlineStr">
        <is>
          <t>yes</t>
        </is>
      </c>
      <c r="I1656" t="inlineStr"/>
      <c r="J1656" t="inlineStr"/>
      <c r="K1656" t="inlineStr"/>
      <c r="L1656" t="inlineStr"/>
      <c r="M1656" t="inlineStr"/>
      <c r="N1656" t="inlineStr"/>
    </row>
    <row r="1657">
      <c r="A1657" t="inlineStr">
        <is>
          <t>ar-buenos-aires</t>
        </is>
      </c>
      <c r="B1657" t="inlineStr">
        <is>
          <t>Buenos Aires</t>
        </is>
      </c>
      <c r="C1657" t="inlineStr">
        <is>
          <t>Argentina</t>
        </is>
      </c>
      <c r="D1657" t="inlineStr">
        <is>
          <t>Latin America</t>
        </is>
      </c>
      <c r="E1657" t="inlineStr">
        <is>
          <t>equal_opportunity_raw</t>
        </is>
      </c>
      <c r="F1657" t="inlineStr">
        <is>
          <t>Equal opportunity raw</t>
        </is>
      </c>
      <c r="G1657" t="inlineStr">
        <is>
          <t>capability</t>
        </is>
      </c>
      <c r="H1657" t="inlineStr">
        <is>
          <t>yes</t>
        </is>
      </c>
      <c r="I1657" t="inlineStr"/>
      <c r="J1657" t="inlineStr"/>
      <c r="K1657" t="inlineStr"/>
      <c r="L1657" t="inlineStr"/>
      <c r="M1657" t="inlineStr"/>
      <c r="N1657" t="inlineStr"/>
    </row>
    <row r="1658">
      <c r="A1658" t="inlineStr">
        <is>
          <t>ar-buenos-aires</t>
        </is>
      </c>
      <c r="B1658" t="inlineStr">
        <is>
          <t>Buenos Aires</t>
        </is>
      </c>
      <c r="C1658" t="inlineStr">
        <is>
          <t>Argentina</t>
        </is>
      </c>
      <c r="D1658" t="inlineStr">
        <is>
          <t>Latin America</t>
        </is>
      </c>
      <c r="E1658" t="inlineStr">
        <is>
          <t>hospitality_belonging_raw</t>
        </is>
      </c>
      <c r="F1658" t="inlineStr">
        <is>
          <t>Hospitality and belonging raw</t>
        </is>
      </c>
      <c r="G1658" t="inlineStr">
        <is>
          <t>community</t>
        </is>
      </c>
      <c r="H1658" t="inlineStr">
        <is>
          <t>yes</t>
        </is>
      </c>
      <c r="I1658" t="inlineStr"/>
      <c r="J1658" t="inlineStr"/>
      <c r="K1658" t="inlineStr"/>
      <c r="L1658" t="inlineStr"/>
      <c r="M1658" t="inlineStr"/>
      <c r="N1658" t="inlineStr"/>
    </row>
    <row r="1659">
      <c r="A1659" t="inlineStr">
        <is>
          <t>ar-buenos-aires</t>
        </is>
      </c>
      <c r="B1659" t="inlineStr">
        <is>
          <t>Buenos Aires</t>
        </is>
      </c>
      <c r="C1659" t="inlineStr">
        <is>
          <t>Argentina</t>
        </is>
      </c>
      <c r="D1659" t="inlineStr">
        <is>
          <t>Latin America</t>
        </is>
      </c>
      <c r="E1659" t="inlineStr">
        <is>
          <t>tolerance_pluralism_raw</t>
        </is>
      </c>
      <c r="F1659" t="inlineStr">
        <is>
          <t>Tolerance and pluralism raw</t>
        </is>
      </c>
      <c r="G1659" t="inlineStr">
        <is>
          <t>community</t>
        </is>
      </c>
      <c r="H1659" t="inlineStr">
        <is>
          <t>yes</t>
        </is>
      </c>
      <c r="I1659" t="inlineStr"/>
      <c r="J1659" t="inlineStr"/>
      <c r="K1659" t="inlineStr"/>
      <c r="L1659" t="inlineStr"/>
      <c r="M1659" t="inlineStr"/>
      <c r="N1659" t="inlineStr"/>
    </row>
    <row r="1660">
      <c r="A1660" t="inlineStr">
        <is>
          <t>ar-buenos-aires</t>
        </is>
      </c>
      <c r="B1660" t="inlineStr">
        <is>
          <t>Buenos Aires</t>
        </is>
      </c>
      <c r="C1660" t="inlineStr">
        <is>
          <t>Argentina</t>
        </is>
      </c>
      <c r="D1660" t="inlineStr">
        <is>
          <t>Latin America</t>
        </is>
      </c>
      <c r="E1660" t="inlineStr">
        <is>
          <t>cultural_public_life_raw</t>
        </is>
      </c>
      <c r="F1660" t="inlineStr">
        <is>
          <t>Cultural public life raw</t>
        </is>
      </c>
      <c r="G1660" t="inlineStr">
        <is>
          <t>community</t>
        </is>
      </c>
      <c r="H1660" t="inlineStr">
        <is>
          <t>yes</t>
        </is>
      </c>
      <c r="I1660" t="inlineStr"/>
      <c r="J1660" t="inlineStr"/>
      <c r="K1660" t="inlineStr"/>
      <c r="L1660" t="inlineStr"/>
      <c r="M1660" t="inlineStr"/>
      <c r="N1660" t="inlineStr"/>
    </row>
    <row r="1661">
      <c r="A1661" t="inlineStr">
        <is>
          <t>ar-buenos-aires</t>
        </is>
      </c>
      <c r="B1661" t="inlineStr">
        <is>
          <t>Buenos Aires</t>
        </is>
      </c>
      <c r="C1661" t="inlineStr">
        <is>
          <t>Argentina</t>
        </is>
      </c>
      <c r="D1661" t="inlineStr">
        <is>
          <t>Latin America</t>
        </is>
      </c>
      <c r="E1661" t="inlineStr">
        <is>
          <t>entrepreneurial_dynamism_raw</t>
        </is>
      </c>
      <c r="F1661" t="inlineStr">
        <is>
          <t>Entrepreneurial dynamism raw</t>
        </is>
      </c>
      <c r="G1661" t="inlineStr">
        <is>
          <t>creative</t>
        </is>
      </c>
      <c r="H1661" t="inlineStr">
        <is>
          <t>yes</t>
        </is>
      </c>
      <c r="I1661" t="inlineStr"/>
      <c r="J1661" t="inlineStr"/>
      <c r="K1661" t="inlineStr"/>
      <c r="L1661" t="inlineStr"/>
      <c r="M1661" t="inlineStr"/>
      <c r="N1661" t="inlineStr"/>
    </row>
    <row r="1662">
      <c r="A1662" t="inlineStr">
        <is>
          <t>ar-buenos-aires</t>
        </is>
      </c>
      <c r="B1662" t="inlineStr">
        <is>
          <t>Buenos Aires</t>
        </is>
      </c>
      <c r="C1662" t="inlineStr">
        <is>
          <t>Argentina</t>
        </is>
      </c>
      <c r="D1662" t="inlineStr">
        <is>
          <t>Latin America</t>
        </is>
      </c>
      <c r="E1662" t="inlineStr">
        <is>
          <t>innovation_research_intensity_raw</t>
        </is>
      </c>
      <c r="F1662" t="inlineStr">
        <is>
          <t>Innovation and research raw</t>
        </is>
      </c>
      <c r="G1662" t="inlineStr">
        <is>
          <t>creative</t>
        </is>
      </c>
      <c r="H1662" t="inlineStr">
        <is>
          <t>yes</t>
        </is>
      </c>
      <c r="I1662" t="inlineStr"/>
      <c r="J1662" t="inlineStr"/>
      <c r="K1662" t="inlineStr"/>
      <c r="L1662" t="inlineStr"/>
      <c r="M1662" t="inlineStr"/>
      <c r="N1662" t="inlineStr"/>
    </row>
    <row r="1663">
      <c r="A1663" t="inlineStr">
        <is>
          <t>ar-buenos-aires</t>
        </is>
      </c>
      <c r="B1663" t="inlineStr">
        <is>
          <t>Buenos Aires</t>
        </is>
      </c>
      <c r="C1663" t="inlineStr">
        <is>
          <t>Argentina</t>
        </is>
      </c>
      <c r="D1663" t="inlineStr">
        <is>
          <t>Latin America</t>
        </is>
      </c>
      <c r="E1663" t="inlineStr">
        <is>
          <t>investment_signal_raw</t>
        </is>
      </c>
      <c r="F1663" t="inlineStr">
        <is>
          <t>Investment signal raw</t>
        </is>
      </c>
      <c r="G1663" t="inlineStr">
        <is>
          <t>creative</t>
        </is>
      </c>
      <c r="H1663" t="inlineStr">
        <is>
          <t>yes</t>
        </is>
      </c>
      <c r="I1663" t="inlineStr"/>
      <c r="J1663" t="inlineStr"/>
      <c r="K1663" t="inlineStr"/>
      <c r="L1663" t="inlineStr"/>
      <c r="M1663" t="inlineStr"/>
      <c r="N1663" t="inlineStr"/>
    </row>
    <row r="1664">
      <c r="A1664" t="inlineStr">
        <is>
          <t>ar-buenos-aires</t>
        </is>
      </c>
      <c r="B1664" t="inlineStr">
        <is>
          <t>Buenos Aires</t>
        </is>
      </c>
      <c r="C1664" t="inlineStr">
        <is>
          <t>Argentina</t>
        </is>
      </c>
      <c r="D1664" t="inlineStr">
        <is>
          <t>Latin America</t>
        </is>
      </c>
      <c r="E1664" t="inlineStr">
        <is>
          <t>administrative_investment_friction_raw</t>
        </is>
      </c>
      <c r="F1664" t="inlineStr">
        <is>
          <t>Administrative investment friction raw</t>
        </is>
      </c>
      <c r="G1664" t="inlineStr">
        <is>
          <t>creative</t>
        </is>
      </c>
      <c r="H1664" t="inlineStr">
        <is>
          <t>yes</t>
        </is>
      </c>
      <c r="I1664" t="inlineStr"/>
      <c r="J1664" t="inlineStr"/>
      <c r="K1664" t="inlineStr"/>
      <c r="L1664" t="inlineStr"/>
      <c r="M1664" t="inlineStr"/>
      <c r="N1664" t="inlineStr"/>
    </row>
    <row r="1665">
      <c r="A1665" t="inlineStr">
        <is>
          <t>ar-buenos-aires</t>
        </is>
      </c>
      <c r="B1665" t="inlineStr">
        <is>
          <t>Buenos Aires</t>
        </is>
      </c>
      <c r="C1665" t="inlineStr">
        <is>
          <t>Argentina</t>
        </is>
      </c>
      <c r="D1665" t="inlineStr">
        <is>
          <t>Latin America</t>
        </is>
      </c>
      <c r="E1665" t="inlineStr">
        <is>
          <t>visitor_flow_context_raw</t>
        </is>
      </c>
      <c r="F1665" t="inlineStr">
        <is>
          <t>Visitor flow context raw</t>
        </is>
      </c>
      <c r="G1665" t="inlineStr">
        <is>
          <t>creative</t>
        </is>
      </c>
      <c r="H1665" t="inlineStr">
        <is>
          <t>no</t>
        </is>
      </c>
      <c r="I1665" t="inlineStr"/>
      <c r="J1665" t="inlineStr"/>
      <c r="K1665" t="inlineStr"/>
      <c r="L1665" t="inlineStr"/>
      <c r="M1665" t="inlineStr"/>
      <c r="N1665" t="inlineStr"/>
    </row>
    <row r="1666">
      <c r="A1666" t="inlineStr">
        <is>
          <t>cl-santiago</t>
        </is>
      </c>
      <c r="B1666" t="inlineStr">
        <is>
          <t>Santiago</t>
        </is>
      </c>
      <c r="C1666" t="inlineStr">
        <is>
          <t>Chile</t>
        </is>
      </c>
      <c r="D1666" t="inlineStr">
        <is>
          <t>Latin America</t>
        </is>
      </c>
      <c r="E1666" t="inlineStr">
        <is>
          <t>gross_income</t>
        </is>
      </c>
      <c r="F1666" t="inlineStr">
        <is>
          <t>Gross income</t>
        </is>
      </c>
      <c r="G1666" t="inlineStr">
        <is>
          <t>pressure</t>
        </is>
      </c>
      <c r="H1666" t="inlineStr">
        <is>
          <t>yes</t>
        </is>
      </c>
      <c r="I1666" t="inlineStr"/>
      <c r="J1666" t="inlineStr"/>
      <c r="K1666" t="inlineStr"/>
      <c r="L1666" t="inlineStr"/>
      <c r="M1666" t="inlineStr"/>
      <c r="N1666" t="inlineStr"/>
    </row>
    <row r="1667">
      <c r="A1667" t="inlineStr">
        <is>
          <t>cl-santiago</t>
        </is>
      </c>
      <c r="B1667" t="inlineStr">
        <is>
          <t>Santiago</t>
        </is>
      </c>
      <c r="C1667" t="inlineStr">
        <is>
          <t>Chile</t>
        </is>
      </c>
      <c r="D1667" t="inlineStr">
        <is>
          <t>Latin America</t>
        </is>
      </c>
      <c r="E1667" t="inlineStr">
        <is>
          <t>rent</t>
        </is>
      </c>
      <c r="F1667" t="inlineStr">
        <is>
          <t>Rent</t>
        </is>
      </c>
      <c r="G1667" t="inlineStr">
        <is>
          <t>pressure</t>
        </is>
      </c>
      <c r="H1667" t="inlineStr">
        <is>
          <t>yes</t>
        </is>
      </c>
      <c r="I1667" t="inlineStr"/>
      <c r="J1667" t="inlineStr"/>
      <c r="K1667" t="inlineStr"/>
      <c r="L1667" t="inlineStr"/>
      <c r="M1667" t="inlineStr"/>
      <c r="N1667" t="inlineStr"/>
    </row>
    <row r="1668">
      <c r="A1668" t="inlineStr">
        <is>
          <t>cl-santiago</t>
        </is>
      </c>
      <c r="B1668" t="inlineStr">
        <is>
          <t>Santiago</t>
        </is>
      </c>
      <c r="C1668" t="inlineStr">
        <is>
          <t>Chile</t>
        </is>
      </c>
      <c r="D1668" t="inlineStr">
        <is>
          <t>Latin America</t>
        </is>
      </c>
      <c r="E1668" t="inlineStr">
        <is>
          <t>utilities</t>
        </is>
      </c>
      <c r="F1668" t="inlineStr">
        <is>
          <t>Utilities</t>
        </is>
      </c>
      <c r="G1668" t="inlineStr">
        <is>
          <t>pressure</t>
        </is>
      </c>
      <c r="H1668" t="inlineStr">
        <is>
          <t>yes</t>
        </is>
      </c>
      <c r="I1668" t="inlineStr"/>
      <c r="J1668" t="inlineStr"/>
      <c r="K1668" t="inlineStr"/>
      <c r="L1668" t="inlineStr"/>
      <c r="M1668" t="inlineStr"/>
      <c r="N1668" t="inlineStr"/>
    </row>
    <row r="1669">
      <c r="A1669" t="inlineStr">
        <is>
          <t>cl-santiago</t>
        </is>
      </c>
      <c r="B1669" t="inlineStr">
        <is>
          <t>Santiago</t>
        </is>
      </c>
      <c r="C1669" t="inlineStr">
        <is>
          <t>Chile</t>
        </is>
      </c>
      <c r="D1669" t="inlineStr">
        <is>
          <t>Latin America</t>
        </is>
      </c>
      <c r="E1669" t="inlineStr">
        <is>
          <t>transit_cost</t>
        </is>
      </c>
      <c r="F1669" t="inlineStr">
        <is>
          <t>Transit cost</t>
        </is>
      </c>
      <c r="G1669" t="inlineStr">
        <is>
          <t>pressure</t>
        </is>
      </c>
      <c r="H1669" t="inlineStr">
        <is>
          <t>yes</t>
        </is>
      </c>
      <c r="I1669" t="inlineStr"/>
      <c r="J1669" t="inlineStr"/>
      <c r="K1669" t="inlineStr"/>
      <c r="L1669" t="inlineStr"/>
      <c r="M1669" t="inlineStr"/>
      <c r="N1669" t="inlineStr"/>
    </row>
    <row r="1670">
      <c r="A1670" t="inlineStr">
        <is>
          <t>cl-santiago</t>
        </is>
      </c>
      <c r="B1670" t="inlineStr">
        <is>
          <t>Santiago</t>
        </is>
      </c>
      <c r="C1670" t="inlineStr">
        <is>
          <t>Chile</t>
        </is>
      </c>
      <c r="D1670" t="inlineStr">
        <is>
          <t>Latin America</t>
        </is>
      </c>
      <c r="E1670" t="inlineStr">
        <is>
          <t>internet_cost</t>
        </is>
      </c>
      <c r="F1670" t="inlineStr">
        <is>
          <t>Internet cost</t>
        </is>
      </c>
      <c r="G1670" t="inlineStr">
        <is>
          <t>pressure</t>
        </is>
      </c>
      <c r="H1670" t="inlineStr">
        <is>
          <t>yes</t>
        </is>
      </c>
      <c r="I1670" t="inlineStr"/>
      <c r="J1670" t="inlineStr"/>
      <c r="K1670" t="inlineStr"/>
      <c r="L1670" t="inlineStr"/>
      <c r="M1670" t="inlineStr"/>
      <c r="N1670" t="inlineStr"/>
    </row>
    <row r="1671">
      <c r="A1671" t="inlineStr">
        <is>
          <t>cl-santiago</t>
        </is>
      </c>
      <c r="B1671" t="inlineStr">
        <is>
          <t>Santiago</t>
        </is>
      </c>
      <c r="C1671" t="inlineStr">
        <is>
          <t>Chile</t>
        </is>
      </c>
      <c r="D1671" t="inlineStr">
        <is>
          <t>Latin America</t>
        </is>
      </c>
      <c r="E1671" t="inlineStr">
        <is>
          <t>food_cost</t>
        </is>
      </c>
      <c r="F1671" t="inlineStr">
        <is>
          <t>Food cost</t>
        </is>
      </c>
      <c r="G1671" t="inlineStr">
        <is>
          <t>pressure</t>
        </is>
      </c>
      <c r="H1671" t="inlineStr">
        <is>
          <t>yes</t>
        </is>
      </c>
      <c r="I1671" t="inlineStr"/>
      <c r="J1671" t="inlineStr"/>
      <c r="K1671" t="inlineStr"/>
      <c r="L1671" t="inlineStr"/>
      <c r="M1671" t="inlineStr"/>
      <c r="N1671" t="inlineStr"/>
    </row>
    <row r="1672">
      <c r="A1672" t="inlineStr">
        <is>
          <t>cl-santiago</t>
        </is>
      </c>
      <c r="B1672" t="inlineStr">
        <is>
          <t>Santiago</t>
        </is>
      </c>
      <c r="C1672" t="inlineStr">
        <is>
          <t>Chile</t>
        </is>
      </c>
      <c r="D1672" t="inlineStr">
        <is>
          <t>Latin America</t>
        </is>
      </c>
      <c r="E1672" t="inlineStr">
        <is>
          <t>housing_burden_raw</t>
        </is>
      </c>
      <c r="F1672" t="inlineStr">
        <is>
          <t>Housing burden raw</t>
        </is>
      </c>
      <c r="G1672" t="inlineStr">
        <is>
          <t>pressure</t>
        </is>
      </c>
      <c r="H1672" t="inlineStr">
        <is>
          <t>yes</t>
        </is>
      </c>
      <c r="I1672" t="inlineStr"/>
      <c r="J1672" t="inlineStr"/>
      <c r="K1672" t="inlineStr"/>
      <c r="L1672" t="inlineStr"/>
      <c r="M1672" t="inlineStr"/>
      <c r="N1672" t="inlineStr"/>
    </row>
    <row r="1673">
      <c r="A1673" t="inlineStr">
        <is>
          <t>cl-santiago</t>
        </is>
      </c>
      <c r="B1673" t="inlineStr">
        <is>
          <t>Santiago</t>
        </is>
      </c>
      <c r="C1673" t="inlineStr">
        <is>
          <t>Chile</t>
        </is>
      </c>
      <c r="D1673" t="inlineStr">
        <is>
          <t>Latin America</t>
        </is>
      </c>
      <c r="E1673" t="inlineStr">
        <is>
          <t>household_debt_burden_raw</t>
        </is>
      </c>
      <c r="F1673" t="inlineStr">
        <is>
          <t>Household debt burden raw</t>
        </is>
      </c>
      <c r="G1673" t="inlineStr">
        <is>
          <t>pressure</t>
        </is>
      </c>
      <c r="H1673" t="inlineStr">
        <is>
          <t>yes</t>
        </is>
      </c>
      <c r="I1673" t="inlineStr"/>
      <c r="J1673" t="inlineStr"/>
      <c r="K1673" t="inlineStr"/>
      <c r="L1673" t="inlineStr"/>
      <c r="M1673" t="inlineStr"/>
      <c r="N1673" t="inlineStr"/>
    </row>
    <row r="1674">
      <c r="A1674" t="inlineStr">
        <is>
          <t>cl-santiago</t>
        </is>
      </c>
      <c r="B1674" t="inlineStr">
        <is>
          <t>Santiago</t>
        </is>
      </c>
      <c r="C1674" t="inlineStr">
        <is>
          <t>Chile</t>
        </is>
      </c>
      <c r="D1674" t="inlineStr">
        <is>
          <t>Latin America</t>
        </is>
      </c>
      <c r="E1674" t="inlineStr">
        <is>
          <t>working_time_pressure_raw</t>
        </is>
      </c>
      <c r="F1674" t="inlineStr">
        <is>
          <t>Working time pressure raw</t>
        </is>
      </c>
      <c r="G1674" t="inlineStr">
        <is>
          <t>pressure</t>
        </is>
      </c>
      <c r="H1674" t="inlineStr">
        <is>
          <t>yes</t>
        </is>
      </c>
      <c r="I1674" t="inlineStr"/>
      <c r="J1674" t="inlineStr"/>
      <c r="K1674" t="inlineStr"/>
      <c r="L1674" t="inlineStr"/>
      <c r="M1674" t="inlineStr"/>
      <c r="N1674" t="inlineStr"/>
    </row>
    <row r="1675">
      <c r="A1675" t="inlineStr">
        <is>
          <t>cl-santiago</t>
        </is>
      </c>
      <c r="B1675" t="inlineStr">
        <is>
          <t>Santiago</t>
        </is>
      </c>
      <c r="C1675" t="inlineStr">
        <is>
          <t>Chile</t>
        </is>
      </c>
      <c r="D1675" t="inlineStr">
        <is>
          <t>Latin America</t>
        </is>
      </c>
      <c r="E1675" t="inlineStr">
        <is>
          <t>suicide_mental_strain_raw</t>
        </is>
      </c>
      <c r="F1675" t="inlineStr">
        <is>
          <t>Suicide or mental strain raw</t>
        </is>
      </c>
      <c r="G1675" t="inlineStr">
        <is>
          <t>pressure</t>
        </is>
      </c>
      <c r="H1675" t="inlineStr">
        <is>
          <t>yes</t>
        </is>
      </c>
      <c r="I1675" t="inlineStr"/>
      <c r="J1675" t="inlineStr"/>
      <c r="K1675" t="inlineStr"/>
      <c r="L1675" t="inlineStr"/>
      <c r="M1675" t="inlineStr"/>
      <c r="N1675" t="inlineStr"/>
    </row>
    <row r="1676">
      <c r="A1676" t="inlineStr">
        <is>
          <t>cl-santiago</t>
        </is>
      </c>
      <c r="B1676" t="inlineStr">
        <is>
          <t>Santiago</t>
        </is>
      </c>
      <c r="C1676" t="inlineStr">
        <is>
          <t>Chile</t>
        </is>
      </c>
      <c r="D1676" t="inlineStr">
        <is>
          <t>Latin America</t>
        </is>
      </c>
      <c r="E1676" t="inlineStr">
        <is>
          <t>personal_safety_raw</t>
        </is>
      </c>
      <c r="F1676" t="inlineStr">
        <is>
          <t>Personal safety raw</t>
        </is>
      </c>
      <c r="G1676" t="inlineStr">
        <is>
          <t>viability</t>
        </is>
      </c>
      <c r="H1676" t="inlineStr">
        <is>
          <t>yes</t>
        </is>
      </c>
      <c r="I1676" t="inlineStr"/>
      <c r="J1676" t="inlineStr"/>
      <c r="K1676" t="inlineStr"/>
      <c r="L1676" t="inlineStr"/>
      <c r="M1676" t="inlineStr"/>
      <c r="N1676" t="inlineStr"/>
    </row>
    <row r="1677">
      <c r="A1677" t="inlineStr">
        <is>
          <t>cl-santiago</t>
        </is>
      </c>
      <c r="B1677" t="inlineStr">
        <is>
          <t>Santiago</t>
        </is>
      </c>
      <c r="C1677" t="inlineStr">
        <is>
          <t>Chile</t>
        </is>
      </c>
      <c r="D1677" t="inlineStr">
        <is>
          <t>Latin America</t>
        </is>
      </c>
      <c r="E1677" t="inlineStr">
        <is>
          <t>transit_access_commute_raw</t>
        </is>
      </c>
      <c r="F1677" t="inlineStr">
        <is>
          <t>Transit access and commute raw</t>
        </is>
      </c>
      <c r="G1677" t="inlineStr">
        <is>
          <t>viability</t>
        </is>
      </c>
      <c r="H1677" t="inlineStr">
        <is>
          <t>yes</t>
        </is>
      </c>
      <c r="I1677" t="inlineStr"/>
      <c r="J1677" t="inlineStr"/>
      <c r="K1677" t="inlineStr"/>
      <c r="L1677" t="inlineStr"/>
      <c r="M1677" t="inlineStr"/>
      <c r="N1677" t="inlineStr"/>
    </row>
    <row r="1678">
      <c r="A1678" t="inlineStr">
        <is>
          <t>cl-santiago</t>
        </is>
      </c>
      <c r="B1678" t="inlineStr">
        <is>
          <t>Santiago</t>
        </is>
      </c>
      <c r="C1678" t="inlineStr">
        <is>
          <t>Chile</t>
        </is>
      </c>
      <c r="D1678" t="inlineStr">
        <is>
          <t>Latin America</t>
        </is>
      </c>
      <c r="E1678" t="inlineStr">
        <is>
          <t>clean_air_raw</t>
        </is>
      </c>
      <c r="F1678" t="inlineStr">
        <is>
          <t>Clean air raw</t>
        </is>
      </c>
      <c r="G1678" t="inlineStr">
        <is>
          <t>viability</t>
        </is>
      </c>
      <c r="H1678" t="inlineStr">
        <is>
          <t>yes</t>
        </is>
      </c>
      <c r="I1678" t="inlineStr"/>
      <c r="J1678" t="inlineStr"/>
      <c r="K1678" t="inlineStr"/>
      <c r="L1678" t="inlineStr"/>
      <c r="M1678" t="inlineStr"/>
      <c r="N1678" t="inlineStr"/>
    </row>
    <row r="1679">
      <c r="A1679" t="inlineStr">
        <is>
          <t>cl-santiago</t>
        </is>
      </c>
      <c r="B1679" t="inlineStr">
        <is>
          <t>Santiago</t>
        </is>
      </c>
      <c r="C1679" t="inlineStr">
        <is>
          <t>Chile</t>
        </is>
      </c>
      <c r="D1679" t="inlineStr">
        <is>
          <t>Latin America</t>
        </is>
      </c>
      <c r="E1679" t="inlineStr">
        <is>
          <t>water_sanitation_utility_raw</t>
        </is>
      </c>
      <c r="F1679" t="inlineStr">
        <is>
          <t>Water, sanitation, and utility raw</t>
        </is>
      </c>
      <c r="G1679" t="inlineStr">
        <is>
          <t>viability</t>
        </is>
      </c>
      <c r="H1679" t="inlineStr">
        <is>
          <t>yes</t>
        </is>
      </c>
      <c r="I1679" t="inlineStr"/>
      <c r="J1679" t="inlineStr"/>
      <c r="K1679" t="inlineStr"/>
      <c r="L1679" t="inlineStr"/>
      <c r="M1679" t="inlineStr"/>
      <c r="N1679" t="inlineStr"/>
    </row>
    <row r="1680">
      <c r="A1680" t="inlineStr">
        <is>
          <t>cl-santiago</t>
        </is>
      </c>
      <c r="B1680" t="inlineStr">
        <is>
          <t>Santiago</t>
        </is>
      </c>
      <c r="C1680" t="inlineStr">
        <is>
          <t>Chile</t>
        </is>
      </c>
      <c r="D1680" t="inlineStr">
        <is>
          <t>Latin America</t>
        </is>
      </c>
      <c r="E1680" t="inlineStr">
        <is>
          <t>digital_infrastructure_raw</t>
        </is>
      </c>
      <c r="F1680" t="inlineStr">
        <is>
          <t>Digital infrastructure raw</t>
        </is>
      </c>
      <c r="G1680" t="inlineStr">
        <is>
          <t>viability</t>
        </is>
      </c>
      <c r="H1680" t="inlineStr">
        <is>
          <t>yes</t>
        </is>
      </c>
      <c r="I1680" t="inlineStr"/>
      <c r="J1680" t="inlineStr"/>
      <c r="K1680" t="inlineStr"/>
      <c r="L1680" t="inlineStr"/>
      <c r="M1680" t="inlineStr"/>
      <c r="N1680" t="inlineStr"/>
    </row>
    <row r="1681">
      <c r="A1681" t="inlineStr">
        <is>
          <t>cl-santiago</t>
        </is>
      </c>
      <c r="B1681" t="inlineStr">
        <is>
          <t>Santiago</t>
        </is>
      </c>
      <c r="C1681" t="inlineStr">
        <is>
          <t>Chile</t>
        </is>
      </c>
      <c r="D1681" t="inlineStr">
        <is>
          <t>Latin America</t>
        </is>
      </c>
      <c r="E1681" t="inlineStr">
        <is>
          <t>healthcare_quality_raw</t>
        </is>
      </c>
      <c r="F1681" t="inlineStr">
        <is>
          <t>Healthcare quality raw</t>
        </is>
      </c>
      <c r="G1681" t="inlineStr">
        <is>
          <t>capability</t>
        </is>
      </c>
      <c r="H1681" t="inlineStr">
        <is>
          <t>yes</t>
        </is>
      </c>
      <c r="I1681" t="inlineStr"/>
      <c r="J1681" t="inlineStr"/>
      <c r="K1681" t="inlineStr"/>
      <c r="L1681" t="inlineStr"/>
      <c r="M1681" t="inlineStr"/>
      <c r="N1681" t="inlineStr"/>
    </row>
    <row r="1682">
      <c r="A1682" t="inlineStr">
        <is>
          <t>cl-santiago</t>
        </is>
      </c>
      <c r="B1682" t="inlineStr">
        <is>
          <t>Santiago</t>
        </is>
      </c>
      <c r="C1682" t="inlineStr">
        <is>
          <t>Chile</t>
        </is>
      </c>
      <c r="D1682" t="inlineStr">
        <is>
          <t>Latin America</t>
        </is>
      </c>
      <c r="E1682" t="inlineStr">
        <is>
          <t>education_quality_raw</t>
        </is>
      </c>
      <c r="F1682" t="inlineStr">
        <is>
          <t>Education quality raw</t>
        </is>
      </c>
      <c r="G1682" t="inlineStr">
        <is>
          <t>capability</t>
        </is>
      </c>
      <c r="H1682" t="inlineStr">
        <is>
          <t>yes</t>
        </is>
      </c>
      <c r="I1682" t="inlineStr"/>
      <c r="J1682" t="inlineStr"/>
      <c r="K1682" t="inlineStr"/>
      <c r="L1682" t="inlineStr"/>
      <c r="M1682" t="inlineStr"/>
      <c r="N1682" t="inlineStr"/>
    </row>
    <row r="1683">
      <c r="A1683" t="inlineStr">
        <is>
          <t>cl-santiago</t>
        </is>
      </c>
      <c r="B1683" t="inlineStr">
        <is>
          <t>Santiago</t>
        </is>
      </c>
      <c r="C1683" t="inlineStr">
        <is>
          <t>Chile</t>
        </is>
      </c>
      <c r="D1683" t="inlineStr">
        <is>
          <t>Latin America</t>
        </is>
      </c>
      <c r="E1683" t="inlineStr">
        <is>
          <t>equal_opportunity_raw</t>
        </is>
      </c>
      <c r="F1683" t="inlineStr">
        <is>
          <t>Equal opportunity raw</t>
        </is>
      </c>
      <c r="G1683" t="inlineStr">
        <is>
          <t>capability</t>
        </is>
      </c>
      <c r="H1683" t="inlineStr">
        <is>
          <t>yes</t>
        </is>
      </c>
      <c r="I1683" t="inlineStr"/>
      <c r="J1683" t="inlineStr"/>
      <c r="K1683" t="inlineStr"/>
      <c r="L1683" t="inlineStr"/>
      <c r="M1683" t="inlineStr"/>
      <c r="N1683" t="inlineStr"/>
    </row>
    <row r="1684">
      <c r="A1684" t="inlineStr">
        <is>
          <t>cl-santiago</t>
        </is>
      </c>
      <c r="B1684" t="inlineStr">
        <is>
          <t>Santiago</t>
        </is>
      </c>
      <c r="C1684" t="inlineStr">
        <is>
          <t>Chile</t>
        </is>
      </c>
      <c r="D1684" t="inlineStr">
        <is>
          <t>Latin America</t>
        </is>
      </c>
      <c r="E1684" t="inlineStr">
        <is>
          <t>hospitality_belonging_raw</t>
        </is>
      </c>
      <c r="F1684" t="inlineStr">
        <is>
          <t>Hospitality and belonging raw</t>
        </is>
      </c>
      <c r="G1684" t="inlineStr">
        <is>
          <t>community</t>
        </is>
      </c>
      <c r="H1684" t="inlineStr">
        <is>
          <t>yes</t>
        </is>
      </c>
      <c r="I1684" t="inlineStr"/>
      <c r="J1684" t="inlineStr"/>
      <c r="K1684" t="inlineStr"/>
      <c r="L1684" t="inlineStr"/>
      <c r="M1684" t="inlineStr"/>
      <c r="N1684" t="inlineStr"/>
    </row>
    <row r="1685">
      <c r="A1685" t="inlineStr">
        <is>
          <t>cl-santiago</t>
        </is>
      </c>
      <c r="B1685" t="inlineStr">
        <is>
          <t>Santiago</t>
        </is>
      </c>
      <c r="C1685" t="inlineStr">
        <is>
          <t>Chile</t>
        </is>
      </c>
      <c r="D1685" t="inlineStr">
        <is>
          <t>Latin America</t>
        </is>
      </c>
      <c r="E1685" t="inlineStr">
        <is>
          <t>tolerance_pluralism_raw</t>
        </is>
      </c>
      <c r="F1685" t="inlineStr">
        <is>
          <t>Tolerance and pluralism raw</t>
        </is>
      </c>
      <c r="G1685" t="inlineStr">
        <is>
          <t>community</t>
        </is>
      </c>
      <c r="H1685" t="inlineStr">
        <is>
          <t>yes</t>
        </is>
      </c>
      <c r="I1685" t="inlineStr"/>
      <c r="J1685" t="inlineStr"/>
      <c r="K1685" t="inlineStr"/>
      <c r="L1685" t="inlineStr"/>
      <c r="M1685" t="inlineStr"/>
      <c r="N1685" t="inlineStr"/>
    </row>
    <row r="1686">
      <c r="A1686" t="inlineStr">
        <is>
          <t>cl-santiago</t>
        </is>
      </c>
      <c r="B1686" t="inlineStr">
        <is>
          <t>Santiago</t>
        </is>
      </c>
      <c r="C1686" t="inlineStr">
        <is>
          <t>Chile</t>
        </is>
      </c>
      <c r="D1686" t="inlineStr">
        <is>
          <t>Latin America</t>
        </is>
      </c>
      <c r="E1686" t="inlineStr">
        <is>
          <t>cultural_public_life_raw</t>
        </is>
      </c>
      <c r="F1686" t="inlineStr">
        <is>
          <t>Cultural public life raw</t>
        </is>
      </c>
      <c r="G1686" t="inlineStr">
        <is>
          <t>community</t>
        </is>
      </c>
      <c r="H1686" t="inlineStr">
        <is>
          <t>yes</t>
        </is>
      </c>
      <c r="I1686" t="inlineStr"/>
      <c r="J1686" t="inlineStr"/>
      <c r="K1686" t="inlineStr"/>
      <c r="L1686" t="inlineStr"/>
      <c r="M1686" t="inlineStr"/>
      <c r="N1686" t="inlineStr"/>
    </row>
    <row r="1687">
      <c r="A1687" t="inlineStr">
        <is>
          <t>cl-santiago</t>
        </is>
      </c>
      <c r="B1687" t="inlineStr">
        <is>
          <t>Santiago</t>
        </is>
      </c>
      <c r="C1687" t="inlineStr">
        <is>
          <t>Chile</t>
        </is>
      </c>
      <c r="D1687" t="inlineStr">
        <is>
          <t>Latin America</t>
        </is>
      </c>
      <c r="E1687" t="inlineStr">
        <is>
          <t>entrepreneurial_dynamism_raw</t>
        </is>
      </c>
      <c r="F1687" t="inlineStr">
        <is>
          <t>Entrepreneurial dynamism raw</t>
        </is>
      </c>
      <c r="G1687" t="inlineStr">
        <is>
          <t>creative</t>
        </is>
      </c>
      <c r="H1687" t="inlineStr">
        <is>
          <t>yes</t>
        </is>
      </c>
      <c r="I1687" t="inlineStr"/>
      <c r="J1687" t="inlineStr"/>
      <c r="K1687" t="inlineStr"/>
      <c r="L1687" t="inlineStr"/>
      <c r="M1687" t="inlineStr"/>
      <c r="N1687" t="inlineStr"/>
    </row>
    <row r="1688">
      <c r="A1688" t="inlineStr">
        <is>
          <t>cl-santiago</t>
        </is>
      </c>
      <c r="B1688" t="inlineStr">
        <is>
          <t>Santiago</t>
        </is>
      </c>
      <c r="C1688" t="inlineStr">
        <is>
          <t>Chile</t>
        </is>
      </c>
      <c r="D1688" t="inlineStr">
        <is>
          <t>Latin America</t>
        </is>
      </c>
      <c r="E1688" t="inlineStr">
        <is>
          <t>innovation_research_intensity_raw</t>
        </is>
      </c>
      <c r="F1688" t="inlineStr">
        <is>
          <t>Innovation and research raw</t>
        </is>
      </c>
      <c r="G1688" t="inlineStr">
        <is>
          <t>creative</t>
        </is>
      </c>
      <c r="H1688" t="inlineStr">
        <is>
          <t>yes</t>
        </is>
      </c>
      <c r="I1688" t="inlineStr"/>
      <c r="J1688" t="inlineStr"/>
      <c r="K1688" t="inlineStr"/>
      <c r="L1688" t="inlineStr"/>
      <c r="M1688" t="inlineStr"/>
      <c r="N1688" t="inlineStr"/>
    </row>
    <row r="1689">
      <c r="A1689" t="inlineStr">
        <is>
          <t>cl-santiago</t>
        </is>
      </c>
      <c r="B1689" t="inlineStr">
        <is>
          <t>Santiago</t>
        </is>
      </c>
      <c r="C1689" t="inlineStr">
        <is>
          <t>Chile</t>
        </is>
      </c>
      <c r="D1689" t="inlineStr">
        <is>
          <t>Latin America</t>
        </is>
      </c>
      <c r="E1689" t="inlineStr">
        <is>
          <t>investment_signal_raw</t>
        </is>
      </c>
      <c r="F1689" t="inlineStr">
        <is>
          <t>Investment signal raw</t>
        </is>
      </c>
      <c r="G1689" t="inlineStr">
        <is>
          <t>creative</t>
        </is>
      </c>
      <c r="H1689" t="inlineStr">
        <is>
          <t>yes</t>
        </is>
      </c>
      <c r="I1689" t="inlineStr"/>
      <c r="J1689" t="inlineStr"/>
      <c r="K1689" t="inlineStr"/>
      <c r="L1689" t="inlineStr"/>
      <c r="M1689" t="inlineStr"/>
      <c r="N1689" t="inlineStr"/>
    </row>
    <row r="1690">
      <c r="A1690" t="inlineStr">
        <is>
          <t>cl-santiago</t>
        </is>
      </c>
      <c r="B1690" t="inlineStr">
        <is>
          <t>Santiago</t>
        </is>
      </c>
      <c r="C1690" t="inlineStr">
        <is>
          <t>Chile</t>
        </is>
      </c>
      <c r="D1690" t="inlineStr">
        <is>
          <t>Latin America</t>
        </is>
      </c>
      <c r="E1690" t="inlineStr">
        <is>
          <t>administrative_investment_friction_raw</t>
        </is>
      </c>
      <c r="F1690" t="inlineStr">
        <is>
          <t>Administrative investment friction raw</t>
        </is>
      </c>
      <c r="G1690" t="inlineStr">
        <is>
          <t>creative</t>
        </is>
      </c>
      <c r="H1690" t="inlineStr">
        <is>
          <t>yes</t>
        </is>
      </c>
      <c r="I1690" t="inlineStr"/>
      <c r="J1690" t="inlineStr"/>
      <c r="K1690" t="inlineStr"/>
      <c r="L1690" t="inlineStr"/>
      <c r="M1690" t="inlineStr"/>
      <c r="N1690" t="inlineStr"/>
    </row>
    <row r="1691">
      <c r="A1691" t="inlineStr">
        <is>
          <t>cl-santiago</t>
        </is>
      </c>
      <c r="B1691" t="inlineStr">
        <is>
          <t>Santiago</t>
        </is>
      </c>
      <c r="C1691" t="inlineStr">
        <is>
          <t>Chile</t>
        </is>
      </c>
      <c r="D1691" t="inlineStr">
        <is>
          <t>Latin America</t>
        </is>
      </c>
      <c r="E1691" t="inlineStr">
        <is>
          <t>visitor_flow_context_raw</t>
        </is>
      </c>
      <c r="F1691" t="inlineStr">
        <is>
          <t>Visitor flow context raw</t>
        </is>
      </c>
      <c r="G1691" t="inlineStr">
        <is>
          <t>creative</t>
        </is>
      </c>
      <c r="H1691" t="inlineStr">
        <is>
          <t>no</t>
        </is>
      </c>
      <c r="I1691" t="inlineStr"/>
      <c r="J1691" t="inlineStr"/>
      <c r="K1691" t="inlineStr"/>
      <c r="L1691" t="inlineStr"/>
      <c r="M1691" t="inlineStr"/>
      <c r="N1691" t="inlineStr"/>
    </row>
    <row r="1692">
      <c r="A1692" t="inlineStr">
        <is>
          <t>co-bogota</t>
        </is>
      </c>
      <c r="B1692" t="inlineStr">
        <is>
          <t>Bogota</t>
        </is>
      </c>
      <c r="C1692" t="inlineStr">
        <is>
          <t>Colombia</t>
        </is>
      </c>
      <c r="D1692" t="inlineStr">
        <is>
          <t>Latin America</t>
        </is>
      </c>
      <c r="E1692" t="inlineStr">
        <is>
          <t>gross_income</t>
        </is>
      </c>
      <c r="F1692" t="inlineStr">
        <is>
          <t>Gross income</t>
        </is>
      </c>
      <c r="G1692" t="inlineStr">
        <is>
          <t>pressure</t>
        </is>
      </c>
      <c r="H1692" t="inlineStr">
        <is>
          <t>yes</t>
        </is>
      </c>
      <c r="I1692" t="inlineStr"/>
      <c r="J1692" t="inlineStr"/>
      <c r="K1692" t="inlineStr"/>
      <c r="L1692" t="inlineStr"/>
      <c r="M1692" t="inlineStr"/>
      <c r="N1692" t="inlineStr"/>
    </row>
    <row r="1693">
      <c r="A1693" t="inlineStr">
        <is>
          <t>co-bogota</t>
        </is>
      </c>
      <c r="B1693" t="inlineStr">
        <is>
          <t>Bogota</t>
        </is>
      </c>
      <c r="C1693" t="inlineStr">
        <is>
          <t>Colombia</t>
        </is>
      </c>
      <c r="D1693" t="inlineStr">
        <is>
          <t>Latin America</t>
        </is>
      </c>
      <c r="E1693" t="inlineStr">
        <is>
          <t>rent</t>
        </is>
      </c>
      <c r="F1693" t="inlineStr">
        <is>
          <t>Rent</t>
        </is>
      </c>
      <c r="G1693" t="inlineStr">
        <is>
          <t>pressure</t>
        </is>
      </c>
      <c r="H1693" t="inlineStr">
        <is>
          <t>yes</t>
        </is>
      </c>
      <c r="I1693" t="inlineStr"/>
      <c r="J1693" t="inlineStr"/>
      <c r="K1693" t="inlineStr"/>
      <c r="L1693" t="inlineStr"/>
      <c r="M1693" t="inlineStr"/>
      <c r="N1693" t="inlineStr"/>
    </row>
    <row r="1694">
      <c r="A1694" t="inlineStr">
        <is>
          <t>co-bogota</t>
        </is>
      </c>
      <c r="B1694" t="inlineStr">
        <is>
          <t>Bogota</t>
        </is>
      </c>
      <c r="C1694" t="inlineStr">
        <is>
          <t>Colombia</t>
        </is>
      </c>
      <c r="D1694" t="inlineStr">
        <is>
          <t>Latin America</t>
        </is>
      </c>
      <c r="E1694" t="inlineStr">
        <is>
          <t>utilities</t>
        </is>
      </c>
      <c r="F1694" t="inlineStr">
        <is>
          <t>Utilities</t>
        </is>
      </c>
      <c r="G1694" t="inlineStr">
        <is>
          <t>pressure</t>
        </is>
      </c>
      <c r="H1694" t="inlineStr">
        <is>
          <t>yes</t>
        </is>
      </c>
      <c r="I1694" t="inlineStr"/>
      <c r="J1694" t="inlineStr"/>
      <c r="K1694" t="inlineStr"/>
      <c r="L1694" t="inlineStr"/>
      <c r="M1694" t="inlineStr"/>
      <c r="N1694" t="inlineStr"/>
    </row>
    <row r="1695">
      <c r="A1695" t="inlineStr">
        <is>
          <t>co-bogota</t>
        </is>
      </c>
      <c r="B1695" t="inlineStr">
        <is>
          <t>Bogota</t>
        </is>
      </c>
      <c r="C1695" t="inlineStr">
        <is>
          <t>Colombia</t>
        </is>
      </c>
      <c r="D1695" t="inlineStr">
        <is>
          <t>Latin America</t>
        </is>
      </c>
      <c r="E1695" t="inlineStr">
        <is>
          <t>transit_cost</t>
        </is>
      </c>
      <c r="F1695" t="inlineStr">
        <is>
          <t>Transit cost</t>
        </is>
      </c>
      <c r="G1695" t="inlineStr">
        <is>
          <t>pressure</t>
        </is>
      </c>
      <c r="H1695" t="inlineStr">
        <is>
          <t>yes</t>
        </is>
      </c>
      <c r="I1695" t="inlineStr"/>
      <c r="J1695" t="inlineStr"/>
      <c r="K1695" t="inlineStr"/>
      <c r="L1695" t="inlineStr"/>
      <c r="M1695" t="inlineStr"/>
      <c r="N1695" t="inlineStr"/>
    </row>
    <row r="1696">
      <c r="A1696" t="inlineStr">
        <is>
          <t>co-bogota</t>
        </is>
      </c>
      <c r="B1696" t="inlineStr">
        <is>
          <t>Bogota</t>
        </is>
      </c>
      <c r="C1696" t="inlineStr">
        <is>
          <t>Colombia</t>
        </is>
      </c>
      <c r="D1696" t="inlineStr">
        <is>
          <t>Latin America</t>
        </is>
      </c>
      <c r="E1696" t="inlineStr">
        <is>
          <t>internet_cost</t>
        </is>
      </c>
      <c r="F1696" t="inlineStr">
        <is>
          <t>Internet cost</t>
        </is>
      </c>
      <c r="G1696" t="inlineStr">
        <is>
          <t>pressure</t>
        </is>
      </c>
      <c r="H1696" t="inlineStr">
        <is>
          <t>yes</t>
        </is>
      </c>
      <c r="I1696" t="inlineStr"/>
      <c r="J1696" t="inlineStr"/>
      <c r="K1696" t="inlineStr"/>
      <c r="L1696" t="inlineStr"/>
      <c r="M1696" t="inlineStr"/>
      <c r="N1696" t="inlineStr"/>
    </row>
    <row r="1697">
      <c r="A1697" t="inlineStr">
        <is>
          <t>co-bogota</t>
        </is>
      </c>
      <c r="B1697" t="inlineStr">
        <is>
          <t>Bogota</t>
        </is>
      </c>
      <c r="C1697" t="inlineStr">
        <is>
          <t>Colombia</t>
        </is>
      </c>
      <c r="D1697" t="inlineStr">
        <is>
          <t>Latin America</t>
        </is>
      </c>
      <c r="E1697" t="inlineStr">
        <is>
          <t>food_cost</t>
        </is>
      </c>
      <c r="F1697" t="inlineStr">
        <is>
          <t>Food cost</t>
        </is>
      </c>
      <c r="G1697" t="inlineStr">
        <is>
          <t>pressure</t>
        </is>
      </c>
      <c r="H1697" t="inlineStr">
        <is>
          <t>yes</t>
        </is>
      </c>
      <c r="I1697" t="inlineStr"/>
      <c r="J1697" t="inlineStr"/>
      <c r="K1697" t="inlineStr"/>
      <c r="L1697" t="inlineStr"/>
      <c r="M1697" t="inlineStr"/>
      <c r="N1697" t="inlineStr"/>
    </row>
    <row r="1698">
      <c r="A1698" t="inlineStr">
        <is>
          <t>co-bogota</t>
        </is>
      </c>
      <c r="B1698" t="inlineStr">
        <is>
          <t>Bogota</t>
        </is>
      </c>
      <c r="C1698" t="inlineStr">
        <is>
          <t>Colombia</t>
        </is>
      </c>
      <c r="D1698" t="inlineStr">
        <is>
          <t>Latin America</t>
        </is>
      </c>
      <c r="E1698" t="inlineStr">
        <is>
          <t>housing_burden_raw</t>
        </is>
      </c>
      <c r="F1698" t="inlineStr">
        <is>
          <t>Housing burden raw</t>
        </is>
      </c>
      <c r="G1698" t="inlineStr">
        <is>
          <t>pressure</t>
        </is>
      </c>
      <c r="H1698" t="inlineStr">
        <is>
          <t>yes</t>
        </is>
      </c>
      <c r="I1698" t="inlineStr"/>
      <c r="J1698" t="inlineStr"/>
      <c r="K1698" t="inlineStr"/>
      <c r="L1698" t="inlineStr"/>
      <c r="M1698" t="inlineStr"/>
      <c r="N1698" t="inlineStr"/>
    </row>
    <row r="1699">
      <c r="A1699" t="inlineStr">
        <is>
          <t>co-bogota</t>
        </is>
      </c>
      <c r="B1699" t="inlineStr">
        <is>
          <t>Bogota</t>
        </is>
      </c>
      <c r="C1699" t="inlineStr">
        <is>
          <t>Colombia</t>
        </is>
      </c>
      <c r="D1699" t="inlineStr">
        <is>
          <t>Latin America</t>
        </is>
      </c>
      <c r="E1699" t="inlineStr">
        <is>
          <t>household_debt_burden_raw</t>
        </is>
      </c>
      <c r="F1699" t="inlineStr">
        <is>
          <t>Household debt burden raw</t>
        </is>
      </c>
      <c r="G1699" t="inlineStr">
        <is>
          <t>pressure</t>
        </is>
      </c>
      <c r="H1699" t="inlineStr">
        <is>
          <t>yes</t>
        </is>
      </c>
      <c r="I1699" t="inlineStr"/>
      <c r="J1699" t="inlineStr"/>
      <c r="K1699" t="inlineStr"/>
      <c r="L1699" t="inlineStr"/>
      <c r="M1699" t="inlineStr"/>
      <c r="N1699" t="inlineStr"/>
    </row>
    <row r="1700">
      <c r="A1700" t="inlineStr">
        <is>
          <t>co-bogota</t>
        </is>
      </c>
      <c r="B1700" t="inlineStr">
        <is>
          <t>Bogota</t>
        </is>
      </c>
      <c r="C1700" t="inlineStr">
        <is>
          <t>Colombia</t>
        </is>
      </c>
      <c r="D1700" t="inlineStr">
        <is>
          <t>Latin America</t>
        </is>
      </c>
      <c r="E1700" t="inlineStr">
        <is>
          <t>working_time_pressure_raw</t>
        </is>
      </c>
      <c r="F1700" t="inlineStr">
        <is>
          <t>Working time pressure raw</t>
        </is>
      </c>
      <c r="G1700" t="inlineStr">
        <is>
          <t>pressure</t>
        </is>
      </c>
      <c r="H1700" t="inlineStr">
        <is>
          <t>yes</t>
        </is>
      </c>
      <c r="I1700" t="inlineStr"/>
      <c r="J1700" t="inlineStr"/>
      <c r="K1700" t="inlineStr"/>
      <c r="L1700" t="inlineStr"/>
      <c r="M1700" t="inlineStr"/>
      <c r="N1700" t="inlineStr"/>
    </row>
    <row r="1701">
      <c r="A1701" t="inlineStr">
        <is>
          <t>co-bogota</t>
        </is>
      </c>
      <c r="B1701" t="inlineStr">
        <is>
          <t>Bogota</t>
        </is>
      </c>
      <c r="C1701" t="inlineStr">
        <is>
          <t>Colombia</t>
        </is>
      </c>
      <c r="D1701" t="inlineStr">
        <is>
          <t>Latin America</t>
        </is>
      </c>
      <c r="E1701" t="inlineStr">
        <is>
          <t>suicide_mental_strain_raw</t>
        </is>
      </c>
      <c r="F1701" t="inlineStr">
        <is>
          <t>Suicide or mental strain raw</t>
        </is>
      </c>
      <c r="G1701" t="inlineStr">
        <is>
          <t>pressure</t>
        </is>
      </c>
      <c r="H1701" t="inlineStr">
        <is>
          <t>yes</t>
        </is>
      </c>
      <c r="I1701" t="inlineStr"/>
      <c r="J1701" t="inlineStr"/>
      <c r="K1701" t="inlineStr"/>
      <c r="L1701" t="inlineStr"/>
      <c r="M1701" t="inlineStr"/>
      <c r="N1701" t="inlineStr"/>
    </row>
    <row r="1702">
      <c r="A1702" t="inlineStr">
        <is>
          <t>co-bogota</t>
        </is>
      </c>
      <c r="B1702" t="inlineStr">
        <is>
          <t>Bogota</t>
        </is>
      </c>
      <c r="C1702" t="inlineStr">
        <is>
          <t>Colombia</t>
        </is>
      </c>
      <c r="D1702" t="inlineStr">
        <is>
          <t>Latin America</t>
        </is>
      </c>
      <c r="E1702" t="inlineStr">
        <is>
          <t>personal_safety_raw</t>
        </is>
      </c>
      <c r="F1702" t="inlineStr">
        <is>
          <t>Personal safety raw</t>
        </is>
      </c>
      <c r="G1702" t="inlineStr">
        <is>
          <t>viability</t>
        </is>
      </c>
      <c r="H1702" t="inlineStr">
        <is>
          <t>yes</t>
        </is>
      </c>
      <c r="I1702" t="inlineStr"/>
      <c r="J1702" t="inlineStr"/>
      <c r="K1702" t="inlineStr"/>
      <c r="L1702" t="inlineStr"/>
      <c r="M1702" t="inlineStr"/>
      <c r="N1702" t="inlineStr"/>
    </row>
    <row r="1703">
      <c r="A1703" t="inlineStr">
        <is>
          <t>co-bogota</t>
        </is>
      </c>
      <c r="B1703" t="inlineStr">
        <is>
          <t>Bogota</t>
        </is>
      </c>
      <c r="C1703" t="inlineStr">
        <is>
          <t>Colombia</t>
        </is>
      </c>
      <c r="D1703" t="inlineStr">
        <is>
          <t>Latin America</t>
        </is>
      </c>
      <c r="E1703" t="inlineStr">
        <is>
          <t>transit_access_commute_raw</t>
        </is>
      </c>
      <c r="F1703" t="inlineStr">
        <is>
          <t>Transit access and commute raw</t>
        </is>
      </c>
      <c r="G1703" t="inlineStr">
        <is>
          <t>viability</t>
        </is>
      </c>
      <c r="H1703" t="inlineStr">
        <is>
          <t>yes</t>
        </is>
      </c>
      <c r="I1703" t="inlineStr"/>
      <c r="J1703" t="inlineStr"/>
      <c r="K1703" t="inlineStr"/>
      <c r="L1703" t="inlineStr"/>
      <c r="M1703" t="inlineStr"/>
      <c r="N1703" t="inlineStr"/>
    </row>
    <row r="1704">
      <c r="A1704" t="inlineStr">
        <is>
          <t>co-bogota</t>
        </is>
      </c>
      <c r="B1704" t="inlineStr">
        <is>
          <t>Bogota</t>
        </is>
      </c>
      <c r="C1704" t="inlineStr">
        <is>
          <t>Colombia</t>
        </is>
      </c>
      <c r="D1704" t="inlineStr">
        <is>
          <t>Latin America</t>
        </is>
      </c>
      <c r="E1704" t="inlineStr">
        <is>
          <t>clean_air_raw</t>
        </is>
      </c>
      <c r="F1704" t="inlineStr">
        <is>
          <t>Clean air raw</t>
        </is>
      </c>
      <c r="G1704" t="inlineStr">
        <is>
          <t>viability</t>
        </is>
      </c>
      <c r="H1704" t="inlineStr">
        <is>
          <t>yes</t>
        </is>
      </c>
      <c r="I1704" t="inlineStr"/>
      <c r="J1704" t="inlineStr"/>
      <c r="K1704" t="inlineStr"/>
      <c r="L1704" t="inlineStr"/>
      <c r="M1704" t="inlineStr"/>
      <c r="N1704" t="inlineStr"/>
    </row>
    <row r="1705">
      <c r="A1705" t="inlineStr">
        <is>
          <t>co-bogota</t>
        </is>
      </c>
      <c r="B1705" t="inlineStr">
        <is>
          <t>Bogota</t>
        </is>
      </c>
      <c r="C1705" t="inlineStr">
        <is>
          <t>Colombia</t>
        </is>
      </c>
      <c r="D1705" t="inlineStr">
        <is>
          <t>Latin America</t>
        </is>
      </c>
      <c r="E1705" t="inlineStr">
        <is>
          <t>water_sanitation_utility_raw</t>
        </is>
      </c>
      <c r="F1705" t="inlineStr">
        <is>
          <t>Water, sanitation, and utility raw</t>
        </is>
      </c>
      <c r="G1705" t="inlineStr">
        <is>
          <t>viability</t>
        </is>
      </c>
      <c r="H1705" t="inlineStr">
        <is>
          <t>yes</t>
        </is>
      </c>
      <c r="I1705" t="inlineStr"/>
      <c r="J1705" t="inlineStr"/>
      <c r="K1705" t="inlineStr"/>
      <c r="L1705" t="inlineStr"/>
      <c r="M1705" t="inlineStr"/>
      <c r="N1705" t="inlineStr"/>
    </row>
    <row r="1706">
      <c r="A1706" t="inlineStr">
        <is>
          <t>co-bogota</t>
        </is>
      </c>
      <c r="B1706" t="inlineStr">
        <is>
          <t>Bogota</t>
        </is>
      </c>
      <c r="C1706" t="inlineStr">
        <is>
          <t>Colombia</t>
        </is>
      </c>
      <c r="D1706" t="inlineStr">
        <is>
          <t>Latin America</t>
        </is>
      </c>
      <c r="E1706" t="inlineStr">
        <is>
          <t>digital_infrastructure_raw</t>
        </is>
      </c>
      <c r="F1706" t="inlineStr">
        <is>
          <t>Digital infrastructure raw</t>
        </is>
      </c>
      <c r="G1706" t="inlineStr">
        <is>
          <t>viability</t>
        </is>
      </c>
      <c r="H1706" t="inlineStr">
        <is>
          <t>yes</t>
        </is>
      </c>
      <c r="I1706" t="inlineStr"/>
      <c r="J1706" t="inlineStr"/>
      <c r="K1706" t="inlineStr"/>
      <c r="L1706" t="inlineStr"/>
      <c r="M1706" t="inlineStr"/>
      <c r="N1706" t="inlineStr"/>
    </row>
    <row r="1707">
      <c r="A1707" t="inlineStr">
        <is>
          <t>co-bogota</t>
        </is>
      </c>
      <c r="B1707" t="inlineStr">
        <is>
          <t>Bogota</t>
        </is>
      </c>
      <c r="C1707" t="inlineStr">
        <is>
          <t>Colombia</t>
        </is>
      </c>
      <c r="D1707" t="inlineStr">
        <is>
          <t>Latin America</t>
        </is>
      </c>
      <c r="E1707" t="inlineStr">
        <is>
          <t>healthcare_quality_raw</t>
        </is>
      </c>
      <c r="F1707" t="inlineStr">
        <is>
          <t>Healthcare quality raw</t>
        </is>
      </c>
      <c r="G1707" t="inlineStr">
        <is>
          <t>capability</t>
        </is>
      </c>
      <c r="H1707" t="inlineStr">
        <is>
          <t>yes</t>
        </is>
      </c>
      <c r="I1707" t="inlineStr"/>
      <c r="J1707" t="inlineStr"/>
      <c r="K1707" t="inlineStr"/>
      <c r="L1707" t="inlineStr"/>
      <c r="M1707" t="inlineStr"/>
      <c r="N1707" t="inlineStr"/>
    </row>
    <row r="1708">
      <c r="A1708" t="inlineStr">
        <is>
          <t>co-bogota</t>
        </is>
      </c>
      <c r="B1708" t="inlineStr">
        <is>
          <t>Bogota</t>
        </is>
      </c>
      <c r="C1708" t="inlineStr">
        <is>
          <t>Colombia</t>
        </is>
      </c>
      <c r="D1708" t="inlineStr">
        <is>
          <t>Latin America</t>
        </is>
      </c>
      <c r="E1708" t="inlineStr">
        <is>
          <t>education_quality_raw</t>
        </is>
      </c>
      <c r="F1708" t="inlineStr">
        <is>
          <t>Education quality raw</t>
        </is>
      </c>
      <c r="G1708" t="inlineStr">
        <is>
          <t>capability</t>
        </is>
      </c>
      <c r="H1708" t="inlineStr">
        <is>
          <t>yes</t>
        </is>
      </c>
      <c r="I1708" t="inlineStr"/>
      <c r="J1708" t="inlineStr"/>
      <c r="K1708" t="inlineStr"/>
      <c r="L1708" t="inlineStr"/>
      <c r="M1708" t="inlineStr"/>
      <c r="N1708" t="inlineStr"/>
    </row>
    <row r="1709">
      <c r="A1709" t="inlineStr">
        <is>
          <t>co-bogota</t>
        </is>
      </c>
      <c r="B1709" t="inlineStr">
        <is>
          <t>Bogota</t>
        </is>
      </c>
      <c r="C1709" t="inlineStr">
        <is>
          <t>Colombia</t>
        </is>
      </c>
      <c r="D1709" t="inlineStr">
        <is>
          <t>Latin America</t>
        </is>
      </c>
      <c r="E1709" t="inlineStr">
        <is>
          <t>equal_opportunity_raw</t>
        </is>
      </c>
      <c r="F1709" t="inlineStr">
        <is>
          <t>Equal opportunity raw</t>
        </is>
      </c>
      <c r="G1709" t="inlineStr">
        <is>
          <t>capability</t>
        </is>
      </c>
      <c r="H1709" t="inlineStr">
        <is>
          <t>yes</t>
        </is>
      </c>
      <c r="I1709" t="inlineStr"/>
      <c r="J1709" t="inlineStr"/>
      <c r="K1709" t="inlineStr"/>
      <c r="L1709" t="inlineStr"/>
      <c r="M1709" t="inlineStr"/>
      <c r="N1709" t="inlineStr"/>
    </row>
    <row r="1710">
      <c r="A1710" t="inlineStr">
        <is>
          <t>co-bogota</t>
        </is>
      </c>
      <c r="B1710" t="inlineStr">
        <is>
          <t>Bogota</t>
        </is>
      </c>
      <c r="C1710" t="inlineStr">
        <is>
          <t>Colombia</t>
        </is>
      </c>
      <c r="D1710" t="inlineStr">
        <is>
          <t>Latin America</t>
        </is>
      </c>
      <c r="E1710" t="inlineStr">
        <is>
          <t>hospitality_belonging_raw</t>
        </is>
      </c>
      <c r="F1710" t="inlineStr">
        <is>
          <t>Hospitality and belonging raw</t>
        </is>
      </c>
      <c r="G1710" t="inlineStr">
        <is>
          <t>community</t>
        </is>
      </c>
      <c r="H1710" t="inlineStr">
        <is>
          <t>yes</t>
        </is>
      </c>
      <c r="I1710" t="inlineStr"/>
      <c r="J1710" t="inlineStr"/>
      <c r="K1710" t="inlineStr"/>
      <c r="L1710" t="inlineStr"/>
      <c r="M1710" t="inlineStr"/>
      <c r="N1710" t="inlineStr"/>
    </row>
    <row r="1711">
      <c r="A1711" t="inlineStr">
        <is>
          <t>co-bogota</t>
        </is>
      </c>
      <c r="B1711" t="inlineStr">
        <is>
          <t>Bogota</t>
        </is>
      </c>
      <c r="C1711" t="inlineStr">
        <is>
          <t>Colombia</t>
        </is>
      </c>
      <c r="D1711" t="inlineStr">
        <is>
          <t>Latin America</t>
        </is>
      </c>
      <c r="E1711" t="inlineStr">
        <is>
          <t>tolerance_pluralism_raw</t>
        </is>
      </c>
      <c r="F1711" t="inlineStr">
        <is>
          <t>Tolerance and pluralism raw</t>
        </is>
      </c>
      <c r="G1711" t="inlineStr">
        <is>
          <t>community</t>
        </is>
      </c>
      <c r="H1711" t="inlineStr">
        <is>
          <t>yes</t>
        </is>
      </c>
      <c r="I1711" t="inlineStr"/>
      <c r="J1711" t="inlineStr"/>
      <c r="K1711" t="inlineStr"/>
      <c r="L1711" t="inlineStr"/>
      <c r="M1711" t="inlineStr"/>
      <c r="N1711" t="inlineStr"/>
    </row>
    <row r="1712">
      <c r="A1712" t="inlineStr">
        <is>
          <t>co-bogota</t>
        </is>
      </c>
      <c r="B1712" t="inlineStr">
        <is>
          <t>Bogota</t>
        </is>
      </c>
      <c r="C1712" t="inlineStr">
        <is>
          <t>Colombia</t>
        </is>
      </c>
      <c r="D1712" t="inlineStr">
        <is>
          <t>Latin America</t>
        </is>
      </c>
      <c r="E1712" t="inlineStr">
        <is>
          <t>cultural_public_life_raw</t>
        </is>
      </c>
      <c r="F1712" t="inlineStr">
        <is>
          <t>Cultural public life raw</t>
        </is>
      </c>
      <c r="G1712" t="inlineStr">
        <is>
          <t>community</t>
        </is>
      </c>
      <c r="H1712" t="inlineStr">
        <is>
          <t>yes</t>
        </is>
      </c>
      <c r="I1712" t="inlineStr"/>
      <c r="J1712" t="inlineStr"/>
      <c r="K1712" t="inlineStr"/>
      <c r="L1712" t="inlineStr"/>
      <c r="M1712" t="inlineStr"/>
      <c r="N1712" t="inlineStr"/>
    </row>
    <row r="1713">
      <c r="A1713" t="inlineStr">
        <is>
          <t>co-bogota</t>
        </is>
      </c>
      <c r="B1713" t="inlineStr">
        <is>
          <t>Bogota</t>
        </is>
      </c>
      <c r="C1713" t="inlineStr">
        <is>
          <t>Colombia</t>
        </is>
      </c>
      <c r="D1713" t="inlineStr">
        <is>
          <t>Latin America</t>
        </is>
      </c>
      <c r="E1713" t="inlineStr">
        <is>
          <t>entrepreneurial_dynamism_raw</t>
        </is>
      </c>
      <c r="F1713" t="inlineStr">
        <is>
          <t>Entrepreneurial dynamism raw</t>
        </is>
      </c>
      <c r="G1713" t="inlineStr">
        <is>
          <t>creative</t>
        </is>
      </c>
      <c r="H1713" t="inlineStr">
        <is>
          <t>yes</t>
        </is>
      </c>
      <c r="I1713" t="inlineStr"/>
      <c r="J1713" t="inlineStr"/>
      <c r="K1713" t="inlineStr"/>
      <c r="L1713" t="inlineStr"/>
      <c r="M1713" t="inlineStr"/>
      <c r="N1713" t="inlineStr"/>
    </row>
    <row r="1714">
      <c r="A1714" t="inlineStr">
        <is>
          <t>co-bogota</t>
        </is>
      </c>
      <c r="B1714" t="inlineStr">
        <is>
          <t>Bogota</t>
        </is>
      </c>
      <c r="C1714" t="inlineStr">
        <is>
          <t>Colombia</t>
        </is>
      </c>
      <c r="D1714" t="inlineStr">
        <is>
          <t>Latin America</t>
        </is>
      </c>
      <c r="E1714" t="inlineStr">
        <is>
          <t>innovation_research_intensity_raw</t>
        </is>
      </c>
      <c r="F1714" t="inlineStr">
        <is>
          <t>Innovation and research raw</t>
        </is>
      </c>
      <c r="G1714" t="inlineStr">
        <is>
          <t>creative</t>
        </is>
      </c>
      <c r="H1714" t="inlineStr">
        <is>
          <t>yes</t>
        </is>
      </c>
      <c r="I1714" t="inlineStr"/>
      <c r="J1714" t="inlineStr"/>
      <c r="K1714" t="inlineStr"/>
      <c r="L1714" t="inlineStr"/>
      <c r="M1714" t="inlineStr"/>
      <c r="N1714" t="inlineStr"/>
    </row>
    <row r="1715">
      <c r="A1715" t="inlineStr">
        <is>
          <t>co-bogota</t>
        </is>
      </c>
      <c r="B1715" t="inlineStr">
        <is>
          <t>Bogota</t>
        </is>
      </c>
      <c r="C1715" t="inlineStr">
        <is>
          <t>Colombia</t>
        </is>
      </c>
      <c r="D1715" t="inlineStr">
        <is>
          <t>Latin America</t>
        </is>
      </c>
      <c r="E1715" t="inlineStr">
        <is>
          <t>investment_signal_raw</t>
        </is>
      </c>
      <c r="F1715" t="inlineStr">
        <is>
          <t>Investment signal raw</t>
        </is>
      </c>
      <c r="G1715" t="inlineStr">
        <is>
          <t>creative</t>
        </is>
      </c>
      <c r="H1715" t="inlineStr">
        <is>
          <t>yes</t>
        </is>
      </c>
      <c r="I1715" t="inlineStr"/>
      <c r="J1715" t="inlineStr"/>
      <c r="K1715" t="inlineStr"/>
      <c r="L1715" t="inlineStr"/>
      <c r="M1715" t="inlineStr"/>
      <c r="N1715" t="inlineStr"/>
    </row>
    <row r="1716">
      <c r="A1716" t="inlineStr">
        <is>
          <t>co-bogota</t>
        </is>
      </c>
      <c r="B1716" t="inlineStr">
        <is>
          <t>Bogota</t>
        </is>
      </c>
      <c r="C1716" t="inlineStr">
        <is>
          <t>Colombia</t>
        </is>
      </c>
      <c r="D1716" t="inlineStr">
        <is>
          <t>Latin America</t>
        </is>
      </c>
      <c r="E1716" t="inlineStr">
        <is>
          <t>administrative_investment_friction_raw</t>
        </is>
      </c>
      <c r="F1716" t="inlineStr">
        <is>
          <t>Administrative investment friction raw</t>
        </is>
      </c>
      <c r="G1716" t="inlineStr">
        <is>
          <t>creative</t>
        </is>
      </c>
      <c r="H1716" t="inlineStr">
        <is>
          <t>yes</t>
        </is>
      </c>
      <c r="I1716" t="inlineStr"/>
      <c r="J1716" t="inlineStr"/>
      <c r="K1716" t="inlineStr"/>
      <c r="L1716" t="inlineStr"/>
      <c r="M1716" t="inlineStr"/>
      <c r="N1716" t="inlineStr"/>
    </row>
    <row r="1717">
      <c r="A1717" t="inlineStr">
        <is>
          <t>co-bogota</t>
        </is>
      </c>
      <c r="B1717" t="inlineStr">
        <is>
          <t>Bogota</t>
        </is>
      </c>
      <c r="C1717" t="inlineStr">
        <is>
          <t>Colombia</t>
        </is>
      </c>
      <c r="D1717" t="inlineStr">
        <is>
          <t>Latin America</t>
        </is>
      </c>
      <c r="E1717" t="inlineStr">
        <is>
          <t>visitor_flow_context_raw</t>
        </is>
      </c>
      <c r="F1717" t="inlineStr">
        <is>
          <t>Visitor flow context raw</t>
        </is>
      </c>
      <c r="G1717" t="inlineStr">
        <is>
          <t>creative</t>
        </is>
      </c>
      <c r="H1717" t="inlineStr">
        <is>
          <t>no</t>
        </is>
      </c>
      <c r="I1717" t="inlineStr"/>
      <c r="J1717" t="inlineStr"/>
      <c r="K1717" t="inlineStr"/>
      <c r="L1717" t="inlineStr"/>
      <c r="M1717" t="inlineStr"/>
      <c r="N1717" t="inlineStr"/>
    </row>
    <row r="1718">
      <c r="A1718" t="inlineStr">
        <is>
          <t>pe-lima</t>
        </is>
      </c>
      <c r="B1718" t="inlineStr">
        <is>
          <t>Lima</t>
        </is>
      </c>
      <c r="C1718" t="inlineStr">
        <is>
          <t>Peru</t>
        </is>
      </c>
      <c r="D1718" t="inlineStr">
        <is>
          <t>Latin America</t>
        </is>
      </c>
      <c r="E1718" t="inlineStr">
        <is>
          <t>gross_income</t>
        </is>
      </c>
      <c r="F1718" t="inlineStr">
        <is>
          <t>Gross income</t>
        </is>
      </c>
      <c r="G1718" t="inlineStr">
        <is>
          <t>pressure</t>
        </is>
      </c>
      <c r="H1718" t="inlineStr">
        <is>
          <t>yes</t>
        </is>
      </c>
      <c r="I1718" t="inlineStr"/>
      <c r="J1718" t="inlineStr"/>
      <c r="K1718" t="inlineStr"/>
      <c r="L1718" t="inlineStr"/>
      <c r="M1718" t="inlineStr"/>
      <c r="N1718" t="inlineStr"/>
    </row>
    <row r="1719">
      <c r="A1719" t="inlineStr">
        <is>
          <t>pe-lima</t>
        </is>
      </c>
      <c r="B1719" t="inlineStr">
        <is>
          <t>Lima</t>
        </is>
      </c>
      <c r="C1719" t="inlineStr">
        <is>
          <t>Peru</t>
        </is>
      </c>
      <c r="D1719" t="inlineStr">
        <is>
          <t>Latin America</t>
        </is>
      </c>
      <c r="E1719" t="inlineStr">
        <is>
          <t>rent</t>
        </is>
      </c>
      <c r="F1719" t="inlineStr">
        <is>
          <t>Rent</t>
        </is>
      </c>
      <c r="G1719" t="inlineStr">
        <is>
          <t>pressure</t>
        </is>
      </c>
      <c r="H1719" t="inlineStr">
        <is>
          <t>yes</t>
        </is>
      </c>
      <c r="I1719" t="inlineStr"/>
      <c r="J1719" t="inlineStr"/>
      <c r="K1719" t="inlineStr"/>
      <c r="L1719" t="inlineStr"/>
      <c r="M1719" t="inlineStr"/>
      <c r="N1719" t="inlineStr"/>
    </row>
    <row r="1720">
      <c r="A1720" t="inlineStr">
        <is>
          <t>pe-lima</t>
        </is>
      </c>
      <c r="B1720" t="inlineStr">
        <is>
          <t>Lima</t>
        </is>
      </c>
      <c r="C1720" t="inlineStr">
        <is>
          <t>Peru</t>
        </is>
      </c>
      <c r="D1720" t="inlineStr">
        <is>
          <t>Latin America</t>
        </is>
      </c>
      <c r="E1720" t="inlineStr">
        <is>
          <t>utilities</t>
        </is>
      </c>
      <c r="F1720" t="inlineStr">
        <is>
          <t>Utilities</t>
        </is>
      </c>
      <c r="G1720" t="inlineStr">
        <is>
          <t>pressure</t>
        </is>
      </c>
      <c r="H1720" t="inlineStr">
        <is>
          <t>yes</t>
        </is>
      </c>
      <c r="I1720" t="inlineStr"/>
      <c r="J1720" t="inlineStr"/>
      <c r="K1720" t="inlineStr"/>
      <c r="L1720" t="inlineStr"/>
      <c r="M1720" t="inlineStr"/>
      <c r="N1720" t="inlineStr"/>
    </row>
    <row r="1721">
      <c r="A1721" t="inlineStr">
        <is>
          <t>pe-lima</t>
        </is>
      </c>
      <c r="B1721" t="inlineStr">
        <is>
          <t>Lima</t>
        </is>
      </c>
      <c r="C1721" t="inlineStr">
        <is>
          <t>Peru</t>
        </is>
      </c>
      <c r="D1721" t="inlineStr">
        <is>
          <t>Latin America</t>
        </is>
      </c>
      <c r="E1721" t="inlineStr">
        <is>
          <t>transit_cost</t>
        </is>
      </c>
      <c r="F1721" t="inlineStr">
        <is>
          <t>Transit cost</t>
        </is>
      </c>
      <c r="G1721" t="inlineStr">
        <is>
          <t>pressure</t>
        </is>
      </c>
      <c r="H1721" t="inlineStr">
        <is>
          <t>yes</t>
        </is>
      </c>
      <c r="I1721" t="inlineStr"/>
      <c r="J1721" t="inlineStr"/>
      <c r="K1721" t="inlineStr"/>
      <c r="L1721" t="inlineStr"/>
      <c r="M1721" t="inlineStr"/>
      <c r="N1721" t="inlineStr"/>
    </row>
    <row r="1722">
      <c r="A1722" t="inlineStr">
        <is>
          <t>pe-lima</t>
        </is>
      </c>
      <c r="B1722" t="inlineStr">
        <is>
          <t>Lima</t>
        </is>
      </c>
      <c r="C1722" t="inlineStr">
        <is>
          <t>Peru</t>
        </is>
      </c>
      <c r="D1722" t="inlineStr">
        <is>
          <t>Latin America</t>
        </is>
      </c>
      <c r="E1722" t="inlineStr">
        <is>
          <t>internet_cost</t>
        </is>
      </c>
      <c r="F1722" t="inlineStr">
        <is>
          <t>Internet cost</t>
        </is>
      </c>
      <c r="G1722" t="inlineStr">
        <is>
          <t>pressure</t>
        </is>
      </c>
      <c r="H1722" t="inlineStr">
        <is>
          <t>yes</t>
        </is>
      </c>
      <c r="I1722" t="inlineStr"/>
      <c r="J1722" t="inlineStr"/>
      <c r="K1722" t="inlineStr"/>
      <c r="L1722" t="inlineStr"/>
      <c r="M1722" t="inlineStr"/>
      <c r="N1722" t="inlineStr"/>
    </row>
    <row r="1723">
      <c r="A1723" t="inlineStr">
        <is>
          <t>pe-lima</t>
        </is>
      </c>
      <c r="B1723" t="inlineStr">
        <is>
          <t>Lima</t>
        </is>
      </c>
      <c r="C1723" t="inlineStr">
        <is>
          <t>Peru</t>
        </is>
      </c>
      <c r="D1723" t="inlineStr">
        <is>
          <t>Latin America</t>
        </is>
      </c>
      <c r="E1723" t="inlineStr">
        <is>
          <t>food_cost</t>
        </is>
      </c>
      <c r="F1723" t="inlineStr">
        <is>
          <t>Food cost</t>
        </is>
      </c>
      <c r="G1723" t="inlineStr">
        <is>
          <t>pressure</t>
        </is>
      </c>
      <c r="H1723" t="inlineStr">
        <is>
          <t>yes</t>
        </is>
      </c>
      <c r="I1723" t="inlineStr"/>
      <c r="J1723" t="inlineStr"/>
      <c r="K1723" t="inlineStr"/>
      <c r="L1723" t="inlineStr"/>
      <c r="M1723" t="inlineStr"/>
      <c r="N1723" t="inlineStr"/>
    </row>
    <row r="1724">
      <c r="A1724" t="inlineStr">
        <is>
          <t>pe-lima</t>
        </is>
      </c>
      <c r="B1724" t="inlineStr">
        <is>
          <t>Lima</t>
        </is>
      </c>
      <c r="C1724" t="inlineStr">
        <is>
          <t>Peru</t>
        </is>
      </c>
      <c r="D1724" t="inlineStr">
        <is>
          <t>Latin America</t>
        </is>
      </c>
      <c r="E1724" t="inlineStr">
        <is>
          <t>housing_burden_raw</t>
        </is>
      </c>
      <c r="F1724" t="inlineStr">
        <is>
          <t>Housing burden raw</t>
        </is>
      </c>
      <c r="G1724" t="inlineStr">
        <is>
          <t>pressure</t>
        </is>
      </c>
      <c r="H1724" t="inlineStr">
        <is>
          <t>yes</t>
        </is>
      </c>
      <c r="I1724" t="inlineStr"/>
      <c r="J1724" t="inlineStr"/>
      <c r="K1724" t="inlineStr"/>
      <c r="L1724" t="inlineStr"/>
      <c r="M1724" t="inlineStr"/>
      <c r="N1724" t="inlineStr"/>
    </row>
    <row r="1725">
      <c r="A1725" t="inlineStr">
        <is>
          <t>pe-lima</t>
        </is>
      </c>
      <c r="B1725" t="inlineStr">
        <is>
          <t>Lima</t>
        </is>
      </c>
      <c r="C1725" t="inlineStr">
        <is>
          <t>Peru</t>
        </is>
      </c>
      <c r="D1725" t="inlineStr">
        <is>
          <t>Latin America</t>
        </is>
      </c>
      <c r="E1725" t="inlineStr">
        <is>
          <t>household_debt_burden_raw</t>
        </is>
      </c>
      <c r="F1725" t="inlineStr">
        <is>
          <t>Household debt burden raw</t>
        </is>
      </c>
      <c r="G1725" t="inlineStr">
        <is>
          <t>pressure</t>
        </is>
      </c>
      <c r="H1725" t="inlineStr">
        <is>
          <t>yes</t>
        </is>
      </c>
      <c r="I1725" t="inlineStr"/>
      <c r="J1725" t="inlineStr"/>
      <c r="K1725" t="inlineStr"/>
      <c r="L1725" t="inlineStr"/>
      <c r="M1725" t="inlineStr"/>
      <c r="N1725" t="inlineStr"/>
    </row>
    <row r="1726">
      <c r="A1726" t="inlineStr">
        <is>
          <t>pe-lima</t>
        </is>
      </c>
      <c r="B1726" t="inlineStr">
        <is>
          <t>Lima</t>
        </is>
      </c>
      <c r="C1726" t="inlineStr">
        <is>
          <t>Peru</t>
        </is>
      </c>
      <c r="D1726" t="inlineStr">
        <is>
          <t>Latin America</t>
        </is>
      </c>
      <c r="E1726" t="inlineStr">
        <is>
          <t>working_time_pressure_raw</t>
        </is>
      </c>
      <c r="F1726" t="inlineStr">
        <is>
          <t>Working time pressure raw</t>
        </is>
      </c>
      <c r="G1726" t="inlineStr">
        <is>
          <t>pressure</t>
        </is>
      </c>
      <c r="H1726" t="inlineStr">
        <is>
          <t>yes</t>
        </is>
      </c>
      <c r="I1726" t="inlineStr"/>
      <c r="J1726" t="inlineStr"/>
      <c r="K1726" t="inlineStr"/>
      <c r="L1726" t="inlineStr"/>
      <c r="M1726" t="inlineStr"/>
      <c r="N1726" t="inlineStr"/>
    </row>
    <row r="1727">
      <c r="A1727" t="inlineStr">
        <is>
          <t>pe-lima</t>
        </is>
      </c>
      <c r="B1727" t="inlineStr">
        <is>
          <t>Lima</t>
        </is>
      </c>
      <c r="C1727" t="inlineStr">
        <is>
          <t>Peru</t>
        </is>
      </c>
      <c r="D1727" t="inlineStr">
        <is>
          <t>Latin America</t>
        </is>
      </c>
      <c r="E1727" t="inlineStr">
        <is>
          <t>suicide_mental_strain_raw</t>
        </is>
      </c>
      <c r="F1727" t="inlineStr">
        <is>
          <t>Suicide or mental strain raw</t>
        </is>
      </c>
      <c r="G1727" t="inlineStr">
        <is>
          <t>pressure</t>
        </is>
      </c>
      <c r="H1727" t="inlineStr">
        <is>
          <t>yes</t>
        </is>
      </c>
      <c r="I1727" t="inlineStr"/>
      <c r="J1727" t="inlineStr"/>
      <c r="K1727" t="inlineStr"/>
      <c r="L1727" t="inlineStr"/>
      <c r="M1727" t="inlineStr"/>
      <c r="N1727" t="inlineStr"/>
    </row>
    <row r="1728">
      <c r="A1728" t="inlineStr">
        <is>
          <t>pe-lima</t>
        </is>
      </c>
      <c r="B1728" t="inlineStr">
        <is>
          <t>Lima</t>
        </is>
      </c>
      <c r="C1728" t="inlineStr">
        <is>
          <t>Peru</t>
        </is>
      </c>
      <c r="D1728" t="inlineStr">
        <is>
          <t>Latin America</t>
        </is>
      </c>
      <c r="E1728" t="inlineStr">
        <is>
          <t>personal_safety_raw</t>
        </is>
      </c>
      <c r="F1728" t="inlineStr">
        <is>
          <t>Personal safety raw</t>
        </is>
      </c>
      <c r="G1728" t="inlineStr">
        <is>
          <t>viability</t>
        </is>
      </c>
      <c r="H1728" t="inlineStr">
        <is>
          <t>yes</t>
        </is>
      </c>
      <c r="I1728" t="inlineStr"/>
      <c r="J1728" t="inlineStr"/>
      <c r="K1728" t="inlineStr"/>
      <c r="L1728" t="inlineStr"/>
      <c r="M1728" t="inlineStr"/>
      <c r="N1728" t="inlineStr"/>
    </row>
    <row r="1729">
      <c r="A1729" t="inlineStr">
        <is>
          <t>pe-lima</t>
        </is>
      </c>
      <c r="B1729" t="inlineStr">
        <is>
          <t>Lima</t>
        </is>
      </c>
      <c r="C1729" t="inlineStr">
        <is>
          <t>Peru</t>
        </is>
      </c>
      <c r="D1729" t="inlineStr">
        <is>
          <t>Latin America</t>
        </is>
      </c>
      <c r="E1729" t="inlineStr">
        <is>
          <t>transit_access_commute_raw</t>
        </is>
      </c>
      <c r="F1729" t="inlineStr">
        <is>
          <t>Transit access and commute raw</t>
        </is>
      </c>
      <c r="G1729" t="inlineStr">
        <is>
          <t>viability</t>
        </is>
      </c>
      <c r="H1729" t="inlineStr">
        <is>
          <t>yes</t>
        </is>
      </c>
      <c r="I1729" t="inlineStr"/>
      <c r="J1729" t="inlineStr"/>
      <c r="K1729" t="inlineStr"/>
      <c r="L1729" t="inlineStr"/>
      <c r="M1729" t="inlineStr"/>
      <c r="N1729" t="inlineStr"/>
    </row>
    <row r="1730">
      <c r="A1730" t="inlineStr">
        <is>
          <t>pe-lima</t>
        </is>
      </c>
      <c r="B1730" t="inlineStr">
        <is>
          <t>Lima</t>
        </is>
      </c>
      <c r="C1730" t="inlineStr">
        <is>
          <t>Peru</t>
        </is>
      </c>
      <c r="D1730" t="inlineStr">
        <is>
          <t>Latin America</t>
        </is>
      </c>
      <c r="E1730" t="inlineStr">
        <is>
          <t>clean_air_raw</t>
        </is>
      </c>
      <c r="F1730" t="inlineStr">
        <is>
          <t>Clean air raw</t>
        </is>
      </c>
      <c r="G1730" t="inlineStr">
        <is>
          <t>viability</t>
        </is>
      </c>
      <c r="H1730" t="inlineStr">
        <is>
          <t>yes</t>
        </is>
      </c>
      <c r="I1730" t="inlineStr"/>
      <c r="J1730" t="inlineStr"/>
      <c r="K1730" t="inlineStr"/>
      <c r="L1730" t="inlineStr"/>
      <c r="M1730" t="inlineStr"/>
      <c r="N1730" t="inlineStr"/>
    </row>
    <row r="1731">
      <c r="A1731" t="inlineStr">
        <is>
          <t>pe-lima</t>
        </is>
      </c>
      <c r="B1731" t="inlineStr">
        <is>
          <t>Lima</t>
        </is>
      </c>
      <c r="C1731" t="inlineStr">
        <is>
          <t>Peru</t>
        </is>
      </c>
      <c r="D1731" t="inlineStr">
        <is>
          <t>Latin America</t>
        </is>
      </c>
      <c r="E1731" t="inlineStr">
        <is>
          <t>water_sanitation_utility_raw</t>
        </is>
      </c>
      <c r="F1731" t="inlineStr">
        <is>
          <t>Water, sanitation, and utility raw</t>
        </is>
      </c>
      <c r="G1731" t="inlineStr">
        <is>
          <t>viability</t>
        </is>
      </c>
      <c r="H1731" t="inlineStr">
        <is>
          <t>yes</t>
        </is>
      </c>
      <c r="I1731" t="inlineStr"/>
      <c r="J1731" t="inlineStr"/>
      <c r="K1731" t="inlineStr"/>
      <c r="L1731" t="inlineStr"/>
      <c r="M1731" t="inlineStr"/>
      <c r="N1731" t="inlineStr"/>
    </row>
    <row r="1732">
      <c r="A1732" t="inlineStr">
        <is>
          <t>pe-lima</t>
        </is>
      </c>
      <c r="B1732" t="inlineStr">
        <is>
          <t>Lima</t>
        </is>
      </c>
      <c r="C1732" t="inlineStr">
        <is>
          <t>Peru</t>
        </is>
      </c>
      <c r="D1732" t="inlineStr">
        <is>
          <t>Latin America</t>
        </is>
      </c>
      <c r="E1732" t="inlineStr">
        <is>
          <t>digital_infrastructure_raw</t>
        </is>
      </c>
      <c r="F1732" t="inlineStr">
        <is>
          <t>Digital infrastructure raw</t>
        </is>
      </c>
      <c r="G1732" t="inlineStr">
        <is>
          <t>viability</t>
        </is>
      </c>
      <c r="H1732" t="inlineStr">
        <is>
          <t>yes</t>
        </is>
      </c>
      <c r="I1732" t="inlineStr"/>
      <c r="J1732" t="inlineStr"/>
      <c r="K1732" t="inlineStr"/>
      <c r="L1732" t="inlineStr"/>
      <c r="M1732" t="inlineStr"/>
      <c r="N1732" t="inlineStr"/>
    </row>
    <row r="1733">
      <c r="A1733" t="inlineStr">
        <is>
          <t>pe-lima</t>
        </is>
      </c>
      <c r="B1733" t="inlineStr">
        <is>
          <t>Lima</t>
        </is>
      </c>
      <c r="C1733" t="inlineStr">
        <is>
          <t>Peru</t>
        </is>
      </c>
      <c r="D1733" t="inlineStr">
        <is>
          <t>Latin America</t>
        </is>
      </c>
      <c r="E1733" t="inlineStr">
        <is>
          <t>healthcare_quality_raw</t>
        </is>
      </c>
      <c r="F1733" t="inlineStr">
        <is>
          <t>Healthcare quality raw</t>
        </is>
      </c>
      <c r="G1733" t="inlineStr">
        <is>
          <t>capability</t>
        </is>
      </c>
      <c r="H1733" t="inlineStr">
        <is>
          <t>yes</t>
        </is>
      </c>
      <c r="I1733" t="inlineStr"/>
      <c r="J1733" t="inlineStr"/>
      <c r="K1733" t="inlineStr"/>
      <c r="L1733" t="inlineStr"/>
      <c r="M1733" t="inlineStr"/>
      <c r="N1733" t="inlineStr"/>
    </row>
    <row r="1734">
      <c r="A1734" t="inlineStr">
        <is>
          <t>pe-lima</t>
        </is>
      </c>
      <c r="B1734" t="inlineStr">
        <is>
          <t>Lima</t>
        </is>
      </c>
      <c r="C1734" t="inlineStr">
        <is>
          <t>Peru</t>
        </is>
      </c>
      <c r="D1734" t="inlineStr">
        <is>
          <t>Latin America</t>
        </is>
      </c>
      <c r="E1734" t="inlineStr">
        <is>
          <t>education_quality_raw</t>
        </is>
      </c>
      <c r="F1734" t="inlineStr">
        <is>
          <t>Education quality raw</t>
        </is>
      </c>
      <c r="G1734" t="inlineStr">
        <is>
          <t>capability</t>
        </is>
      </c>
      <c r="H1734" t="inlineStr">
        <is>
          <t>yes</t>
        </is>
      </c>
      <c r="I1734" t="inlineStr"/>
      <c r="J1734" t="inlineStr"/>
      <c r="K1734" t="inlineStr"/>
      <c r="L1734" t="inlineStr"/>
      <c r="M1734" t="inlineStr"/>
      <c r="N1734" t="inlineStr"/>
    </row>
    <row r="1735">
      <c r="A1735" t="inlineStr">
        <is>
          <t>pe-lima</t>
        </is>
      </c>
      <c r="B1735" t="inlineStr">
        <is>
          <t>Lima</t>
        </is>
      </c>
      <c r="C1735" t="inlineStr">
        <is>
          <t>Peru</t>
        </is>
      </c>
      <c r="D1735" t="inlineStr">
        <is>
          <t>Latin America</t>
        </is>
      </c>
      <c r="E1735" t="inlineStr">
        <is>
          <t>equal_opportunity_raw</t>
        </is>
      </c>
      <c r="F1735" t="inlineStr">
        <is>
          <t>Equal opportunity raw</t>
        </is>
      </c>
      <c r="G1735" t="inlineStr">
        <is>
          <t>capability</t>
        </is>
      </c>
      <c r="H1735" t="inlineStr">
        <is>
          <t>yes</t>
        </is>
      </c>
      <c r="I1735" t="inlineStr"/>
      <c r="J1735" t="inlineStr"/>
      <c r="K1735" t="inlineStr"/>
      <c r="L1735" t="inlineStr"/>
      <c r="M1735" t="inlineStr"/>
      <c r="N1735" t="inlineStr"/>
    </row>
    <row r="1736">
      <c r="A1736" t="inlineStr">
        <is>
          <t>pe-lima</t>
        </is>
      </c>
      <c r="B1736" t="inlineStr">
        <is>
          <t>Lima</t>
        </is>
      </c>
      <c r="C1736" t="inlineStr">
        <is>
          <t>Peru</t>
        </is>
      </c>
      <c r="D1736" t="inlineStr">
        <is>
          <t>Latin America</t>
        </is>
      </c>
      <c r="E1736" t="inlineStr">
        <is>
          <t>hospitality_belonging_raw</t>
        </is>
      </c>
      <c r="F1736" t="inlineStr">
        <is>
          <t>Hospitality and belonging raw</t>
        </is>
      </c>
      <c r="G1736" t="inlineStr">
        <is>
          <t>community</t>
        </is>
      </c>
      <c r="H1736" t="inlineStr">
        <is>
          <t>yes</t>
        </is>
      </c>
      <c r="I1736" t="inlineStr"/>
      <c r="J1736" t="inlineStr"/>
      <c r="K1736" t="inlineStr"/>
      <c r="L1736" t="inlineStr"/>
      <c r="M1736" t="inlineStr"/>
      <c r="N1736" t="inlineStr"/>
    </row>
    <row r="1737">
      <c r="A1737" t="inlineStr">
        <is>
          <t>pe-lima</t>
        </is>
      </c>
      <c r="B1737" t="inlineStr">
        <is>
          <t>Lima</t>
        </is>
      </c>
      <c r="C1737" t="inlineStr">
        <is>
          <t>Peru</t>
        </is>
      </c>
      <c r="D1737" t="inlineStr">
        <is>
          <t>Latin America</t>
        </is>
      </c>
      <c r="E1737" t="inlineStr">
        <is>
          <t>tolerance_pluralism_raw</t>
        </is>
      </c>
      <c r="F1737" t="inlineStr">
        <is>
          <t>Tolerance and pluralism raw</t>
        </is>
      </c>
      <c r="G1737" t="inlineStr">
        <is>
          <t>community</t>
        </is>
      </c>
      <c r="H1737" t="inlineStr">
        <is>
          <t>yes</t>
        </is>
      </c>
      <c r="I1737" t="inlineStr"/>
      <c r="J1737" t="inlineStr"/>
      <c r="K1737" t="inlineStr"/>
      <c r="L1737" t="inlineStr"/>
      <c r="M1737" t="inlineStr"/>
      <c r="N1737" t="inlineStr"/>
    </row>
    <row r="1738">
      <c r="A1738" t="inlineStr">
        <is>
          <t>pe-lima</t>
        </is>
      </c>
      <c r="B1738" t="inlineStr">
        <is>
          <t>Lima</t>
        </is>
      </c>
      <c r="C1738" t="inlineStr">
        <is>
          <t>Peru</t>
        </is>
      </c>
      <c r="D1738" t="inlineStr">
        <is>
          <t>Latin America</t>
        </is>
      </c>
      <c r="E1738" t="inlineStr">
        <is>
          <t>cultural_public_life_raw</t>
        </is>
      </c>
      <c r="F1738" t="inlineStr">
        <is>
          <t>Cultural public life raw</t>
        </is>
      </c>
      <c r="G1738" t="inlineStr">
        <is>
          <t>community</t>
        </is>
      </c>
      <c r="H1738" t="inlineStr">
        <is>
          <t>yes</t>
        </is>
      </c>
      <c r="I1738" t="inlineStr"/>
      <c r="J1738" t="inlineStr"/>
      <c r="K1738" t="inlineStr"/>
      <c r="L1738" t="inlineStr"/>
      <c r="M1738" t="inlineStr"/>
      <c r="N1738" t="inlineStr"/>
    </row>
    <row r="1739">
      <c r="A1739" t="inlineStr">
        <is>
          <t>pe-lima</t>
        </is>
      </c>
      <c r="B1739" t="inlineStr">
        <is>
          <t>Lima</t>
        </is>
      </c>
      <c r="C1739" t="inlineStr">
        <is>
          <t>Peru</t>
        </is>
      </c>
      <c r="D1739" t="inlineStr">
        <is>
          <t>Latin America</t>
        </is>
      </c>
      <c r="E1739" t="inlineStr">
        <is>
          <t>entrepreneurial_dynamism_raw</t>
        </is>
      </c>
      <c r="F1739" t="inlineStr">
        <is>
          <t>Entrepreneurial dynamism raw</t>
        </is>
      </c>
      <c r="G1739" t="inlineStr">
        <is>
          <t>creative</t>
        </is>
      </c>
      <c r="H1739" t="inlineStr">
        <is>
          <t>yes</t>
        </is>
      </c>
      <c r="I1739" t="inlineStr"/>
      <c r="J1739" t="inlineStr"/>
      <c r="K1739" t="inlineStr"/>
      <c r="L1739" t="inlineStr"/>
      <c r="M1739" t="inlineStr"/>
      <c r="N1739" t="inlineStr"/>
    </row>
    <row r="1740">
      <c r="A1740" t="inlineStr">
        <is>
          <t>pe-lima</t>
        </is>
      </c>
      <c r="B1740" t="inlineStr">
        <is>
          <t>Lima</t>
        </is>
      </c>
      <c r="C1740" t="inlineStr">
        <is>
          <t>Peru</t>
        </is>
      </c>
      <c r="D1740" t="inlineStr">
        <is>
          <t>Latin America</t>
        </is>
      </c>
      <c r="E1740" t="inlineStr">
        <is>
          <t>innovation_research_intensity_raw</t>
        </is>
      </c>
      <c r="F1740" t="inlineStr">
        <is>
          <t>Innovation and research raw</t>
        </is>
      </c>
      <c r="G1740" t="inlineStr">
        <is>
          <t>creative</t>
        </is>
      </c>
      <c r="H1740" t="inlineStr">
        <is>
          <t>yes</t>
        </is>
      </c>
      <c r="I1740" t="inlineStr"/>
      <c r="J1740" t="inlineStr"/>
      <c r="K1740" t="inlineStr"/>
      <c r="L1740" t="inlineStr"/>
      <c r="M1740" t="inlineStr"/>
      <c r="N1740" t="inlineStr"/>
    </row>
    <row r="1741">
      <c r="A1741" t="inlineStr">
        <is>
          <t>pe-lima</t>
        </is>
      </c>
      <c r="B1741" t="inlineStr">
        <is>
          <t>Lima</t>
        </is>
      </c>
      <c r="C1741" t="inlineStr">
        <is>
          <t>Peru</t>
        </is>
      </c>
      <c r="D1741" t="inlineStr">
        <is>
          <t>Latin America</t>
        </is>
      </c>
      <c r="E1741" t="inlineStr">
        <is>
          <t>investment_signal_raw</t>
        </is>
      </c>
      <c r="F1741" t="inlineStr">
        <is>
          <t>Investment signal raw</t>
        </is>
      </c>
      <c r="G1741" t="inlineStr">
        <is>
          <t>creative</t>
        </is>
      </c>
      <c r="H1741" t="inlineStr">
        <is>
          <t>yes</t>
        </is>
      </c>
      <c r="I1741" t="inlineStr"/>
      <c r="J1741" t="inlineStr"/>
      <c r="K1741" t="inlineStr"/>
      <c r="L1741" t="inlineStr"/>
      <c r="M1741" t="inlineStr"/>
      <c r="N1741" t="inlineStr"/>
    </row>
    <row r="1742">
      <c r="A1742" t="inlineStr">
        <is>
          <t>pe-lima</t>
        </is>
      </c>
      <c r="B1742" t="inlineStr">
        <is>
          <t>Lima</t>
        </is>
      </c>
      <c r="C1742" t="inlineStr">
        <is>
          <t>Peru</t>
        </is>
      </c>
      <c r="D1742" t="inlineStr">
        <is>
          <t>Latin America</t>
        </is>
      </c>
      <c r="E1742" t="inlineStr">
        <is>
          <t>administrative_investment_friction_raw</t>
        </is>
      </c>
      <c r="F1742" t="inlineStr">
        <is>
          <t>Administrative investment friction raw</t>
        </is>
      </c>
      <c r="G1742" t="inlineStr">
        <is>
          <t>creative</t>
        </is>
      </c>
      <c r="H1742" t="inlineStr">
        <is>
          <t>yes</t>
        </is>
      </c>
      <c r="I1742" t="inlineStr"/>
      <c r="J1742" t="inlineStr"/>
      <c r="K1742" t="inlineStr"/>
      <c r="L1742" t="inlineStr"/>
      <c r="M1742" t="inlineStr"/>
      <c r="N1742" t="inlineStr"/>
    </row>
    <row r="1743">
      <c r="A1743" t="inlineStr">
        <is>
          <t>pe-lima</t>
        </is>
      </c>
      <c r="B1743" t="inlineStr">
        <is>
          <t>Lima</t>
        </is>
      </c>
      <c r="C1743" t="inlineStr">
        <is>
          <t>Peru</t>
        </is>
      </c>
      <c r="D1743" t="inlineStr">
        <is>
          <t>Latin America</t>
        </is>
      </c>
      <c r="E1743" t="inlineStr">
        <is>
          <t>visitor_flow_context_raw</t>
        </is>
      </c>
      <c r="F1743" t="inlineStr">
        <is>
          <t>Visitor flow context raw</t>
        </is>
      </c>
      <c r="G1743" t="inlineStr">
        <is>
          <t>creative</t>
        </is>
      </c>
      <c r="H1743" t="inlineStr">
        <is>
          <t>no</t>
        </is>
      </c>
      <c r="I1743" t="inlineStr"/>
      <c r="J1743" t="inlineStr"/>
      <c r="K1743" t="inlineStr"/>
      <c r="L1743" t="inlineStr"/>
      <c r="M1743" t="inlineStr"/>
      <c r="N1743" t="inlineStr"/>
    </row>
    <row r="1744">
      <c r="A1744" t="inlineStr">
        <is>
          <t>br-curitiba</t>
        </is>
      </c>
      <c r="B1744" t="inlineStr">
        <is>
          <t>Curitiba</t>
        </is>
      </c>
      <c r="C1744" t="inlineStr">
        <is>
          <t>Brazil</t>
        </is>
      </c>
      <c r="D1744" t="inlineStr">
        <is>
          <t>Latin America</t>
        </is>
      </c>
      <c r="E1744" t="inlineStr">
        <is>
          <t>gross_income</t>
        </is>
      </c>
      <c r="F1744" t="inlineStr">
        <is>
          <t>Gross income</t>
        </is>
      </c>
      <c r="G1744" t="inlineStr">
        <is>
          <t>pressure</t>
        </is>
      </c>
      <c r="H1744" t="inlineStr">
        <is>
          <t>yes</t>
        </is>
      </c>
      <c r="I1744" t="inlineStr"/>
      <c r="J1744" t="inlineStr"/>
      <c r="K1744" t="inlineStr"/>
      <c r="L1744" t="inlineStr"/>
      <c r="M1744" t="inlineStr"/>
      <c r="N1744" t="inlineStr"/>
    </row>
    <row r="1745">
      <c r="A1745" t="inlineStr">
        <is>
          <t>br-curitiba</t>
        </is>
      </c>
      <c r="B1745" t="inlineStr">
        <is>
          <t>Curitiba</t>
        </is>
      </c>
      <c r="C1745" t="inlineStr">
        <is>
          <t>Brazil</t>
        </is>
      </c>
      <c r="D1745" t="inlineStr">
        <is>
          <t>Latin America</t>
        </is>
      </c>
      <c r="E1745" t="inlineStr">
        <is>
          <t>rent</t>
        </is>
      </c>
      <c r="F1745" t="inlineStr">
        <is>
          <t>Rent</t>
        </is>
      </c>
      <c r="G1745" t="inlineStr">
        <is>
          <t>pressure</t>
        </is>
      </c>
      <c r="H1745" t="inlineStr">
        <is>
          <t>yes</t>
        </is>
      </c>
      <c r="I1745" t="inlineStr"/>
      <c r="J1745" t="inlineStr"/>
      <c r="K1745" t="inlineStr"/>
      <c r="L1745" t="inlineStr"/>
      <c r="M1745" t="inlineStr"/>
      <c r="N1745" t="inlineStr"/>
    </row>
    <row r="1746">
      <c r="A1746" t="inlineStr">
        <is>
          <t>br-curitiba</t>
        </is>
      </c>
      <c r="B1746" t="inlineStr">
        <is>
          <t>Curitiba</t>
        </is>
      </c>
      <c r="C1746" t="inlineStr">
        <is>
          <t>Brazil</t>
        </is>
      </c>
      <c r="D1746" t="inlineStr">
        <is>
          <t>Latin America</t>
        </is>
      </c>
      <c r="E1746" t="inlineStr">
        <is>
          <t>utilities</t>
        </is>
      </c>
      <c r="F1746" t="inlineStr">
        <is>
          <t>Utilities</t>
        </is>
      </c>
      <c r="G1746" t="inlineStr">
        <is>
          <t>pressure</t>
        </is>
      </c>
      <c r="H1746" t="inlineStr">
        <is>
          <t>yes</t>
        </is>
      </c>
      <c r="I1746" t="inlineStr"/>
      <c r="J1746" t="inlineStr"/>
      <c r="K1746" t="inlineStr"/>
      <c r="L1746" t="inlineStr"/>
      <c r="M1746" t="inlineStr"/>
      <c r="N1746" t="inlineStr"/>
    </row>
    <row r="1747">
      <c r="A1747" t="inlineStr">
        <is>
          <t>br-curitiba</t>
        </is>
      </c>
      <c r="B1747" t="inlineStr">
        <is>
          <t>Curitiba</t>
        </is>
      </c>
      <c r="C1747" t="inlineStr">
        <is>
          <t>Brazil</t>
        </is>
      </c>
      <c r="D1747" t="inlineStr">
        <is>
          <t>Latin America</t>
        </is>
      </c>
      <c r="E1747" t="inlineStr">
        <is>
          <t>transit_cost</t>
        </is>
      </c>
      <c r="F1747" t="inlineStr">
        <is>
          <t>Transit cost</t>
        </is>
      </c>
      <c r="G1747" t="inlineStr">
        <is>
          <t>pressure</t>
        </is>
      </c>
      <c r="H1747" t="inlineStr">
        <is>
          <t>yes</t>
        </is>
      </c>
      <c r="I1747" t="inlineStr"/>
      <c r="J1747" t="inlineStr"/>
      <c r="K1747" t="inlineStr"/>
      <c r="L1747" t="inlineStr"/>
      <c r="M1747" t="inlineStr"/>
      <c r="N1747" t="inlineStr"/>
    </row>
    <row r="1748">
      <c r="A1748" t="inlineStr">
        <is>
          <t>br-curitiba</t>
        </is>
      </c>
      <c r="B1748" t="inlineStr">
        <is>
          <t>Curitiba</t>
        </is>
      </c>
      <c r="C1748" t="inlineStr">
        <is>
          <t>Brazil</t>
        </is>
      </c>
      <c r="D1748" t="inlineStr">
        <is>
          <t>Latin America</t>
        </is>
      </c>
      <c r="E1748" t="inlineStr">
        <is>
          <t>internet_cost</t>
        </is>
      </c>
      <c r="F1748" t="inlineStr">
        <is>
          <t>Internet cost</t>
        </is>
      </c>
      <c r="G1748" t="inlineStr">
        <is>
          <t>pressure</t>
        </is>
      </c>
      <c r="H1748" t="inlineStr">
        <is>
          <t>yes</t>
        </is>
      </c>
      <c r="I1748" t="inlineStr"/>
      <c r="J1748" t="inlineStr"/>
      <c r="K1748" t="inlineStr"/>
      <c r="L1748" t="inlineStr"/>
      <c r="M1748" t="inlineStr"/>
      <c r="N1748" t="inlineStr"/>
    </row>
    <row r="1749">
      <c r="A1749" t="inlineStr">
        <is>
          <t>br-curitiba</t>
        </is>
      </c>
      <c r="B1749" t="inlineStr">
        <is>
          <t>Curitiba</t>
        </is>
      </c>
      <c r="C1749" t="inlineStr">
        <is>
          <t>Brazil</t>
        </is>
      </c>
      <c r="D1749" t="inlineStr">
        <is>
          <t>Latin America</t>
        </is>
      </c>
      <c r="E1749" t="inlineStr">
        <is>
          <t>food_cost</t>
        </is>
      </c>
      <c r="F1749" t="inlineStr">
        <is>
          <t>Food cost</t>
        </is>
      </c>
      <c r="G1749" t="inlineStr">
        <is>
          <t>pressure</t>
        </is>
      </c>
      <c r="H1749" t="inlineStr">
        <is>
          <t>yes</t>
        </is>
      </c>
      <c r="I1749" t="inlineStr"/>
      <c r="J1749" t="inlineStr"/>
      <c r="K1749" t="inlineStr"/>
      <c r="L1749" t="inlineStr"/>
      <c r="M1749" t="inlineStr"/>
      <c r="N1749" t="inlineStr"/>
    </row>
    <row r="1750">
      <c r="A1750" t="inlineStr">
        <is>
          <t>br-curitiba</t>
        </is>
      </c>
      <c r="B1750" t="inlineStr">
        <is>
          <t>Curitiba</t>
        </is>
      </c>
      <c r="C1750" t="inlineStr">
        <is>
          <t>Brazil</t>
        </is>
      </c>
      <c r="D1750" t="inlineStr">
        <is>
          <t>Latin America</t>
        </is>
      </c>
      <c r="E1750" t="inlineStr">
        <is>
          <t>housing_burden_raw</t>
        </is>
      </c>
      <c r="F1750" t="inlineStr">
        <is>
          <t>Housing burden raw</t>
        </is>
      </c>
      <c r="G1750" t="inlineStr">
        <is>
          <t>pressure</t>
        </is>
      </c>
      <c r="H1750" t="inlineStr">
        <is>
          <t>yes</t>
        </is>
      </c>
      <c r="I1750" t="inlineStr"/>
      <c r="J1750" t="inlineStr"/>
      <c r="K1750" t="inlineStr"/>
      <c r="L1750" t="inlineStr"/>
      <c r="M1750" t="inlineStr"/>
      <c r="N1750" t="inlineStr"/>
    </row>
    <row r="1751">
      <c r="A1751" t="inlineStr">
        <is>
          <t>br-curitiba</t>
        </is>
      </c>
      <c r="B1751" t="inlineStr">
        <is>
          <t>Curitiba</t>
        </is>
      </c>
      <c r="C1751" t="inlineStr">
        <is>
          <t>Brazil</t>
        </is>
      </c>
      <c r="D1751" t="inlineStr">
        <is>
          <t>Latin America</t>
        </is>
      </c>
      <c r="E1751" t="inlineStr">
        <is>
          <t>household_debt_burden_raw</t>
        </is>
      </c>
      <c r="F1751" t="inlineStr">
        <is>
          <t>Household debt burden raw</t>
        </is>
      </c>
      <c r="G1751" t="inlineStr">
        <is>
          <t>pressure</t>
        </is>
      </c>
      <c r="H1751" t="inlineStr">
        <is>
          <t>yes</t>
        </is>
      </c>
      <c r="I1751" t="inlineStr"/>
      <c r="J1751" t="inlineStr"/>
      <c r="K1751" t="inlineStr"/>
      <c r="L1751" t="inlineStr"/>
      <c r="M1751" t="inlineStr"/>
      <c r="N1751" t="inlineStr"/>
    </row>
    <row r="1752">
      <c r="A1752" t="inlineStr">
        <is>
          <t>br-curitiba</t>
        </is>
      </c>
      <c r="B1752" t="inlineStr">
        <is>
          <t>Curitiba</t>
        </is>
      </c>
      <c r="C1752" t="inlineStr">
        <is>
          <t>Brazil</t>
        </is>
      </c>
      <c r="D1752" t="inlineStr">
        <is>
          <t>Latin America</t>
        </is>
      </c>
      <c r="E1752" t="inlineStr">
        <is>
          <t>working_time_pressure_raw</t>
        </is>
      </c>
      <c r="F1752" t="inlineStr">
        <is>
          <t>Working time pressure raw</t>
        </is>
      </c>
      <c r="G1752" t="inlineStr">
        <is>
          <t>pressure</t>
        </is>
      </c>
      <c r="H1752" t="inlineStr">
        <is>
          <t>yes</t>
        </is>
      </c>
      <c r="I1752" t="inlineStr"/>
      <c r="J1752" t="inlineStr"/>
      <c r="K1752" t="inlineStr"/>
      <c r="L1752" t="inlineStr"/>
      <c r="M1752" t="inlineStr"/>
      <c r="N1752" t="inlineStr"/>
    </row>
    <row r="1753">
      <c r="A1753" t="inlineStr">
        <is>
          <t>br-curitiba</t>
        </is>
      </c>
      <c r="B1753" t="inlineStr">
        <is>
          <t>Curitiba</t>
        </is>
      </c>
      <c r="C1753" t="inlineStr">
        <is>
          <t>Brazil</t>
        </is>
      </c>
      <c r="D1753" t="inlineStr">
        <is>
          <t>Latin America</t>
        </is>
      </c>
      <c r="E1753" t="inlineStr">
        <is>
          <t>suicide_mental_strain_raw</t>
        </is>
      </c>
      <c r="F1753" t="inlineStr">
        <is>
          <t>Suicide or mental strain raw</t>
        </is>
      </c>
      <c r="G1753" t="inlineStr">
        <is>
          <t>pressure</t>
        </is>
      </c>
      <c r="H1753" t="inlineStr">
        <is>
          <t>yes</t>
        </is>
      </c>
      <c r="I1753" t="inlineStr"/>
      <c r="J1753" t="inlineStr"/>
      <c r="K1753" t="inlineStr"/>
      <c r="L1753" t="inlineStr"/>
      <c r="M1753" t="inlineStr"/>
      <c r="N1753" t="inlineStr"/>
    </row>
    <row r="1754">
      <c r="A1754" t="inlineStr">
        <is>
          <t>br-curitiba</t>
        </is>
      </c>
      <c r="B1754" t="inlineStr">
        <is>
          <t>Curitiba</t>
        </is>
      </c>
      <c r="C1754" t="inlineStr">
        <is>
          <t>Brazil</t>
        </is>
      </c>
      <c r="D1754" t="inlineStr">
        <is>
          <t>Latin America</t>
        </is>
      </c>
      <c r="E1754" t="inlineStr">
        <is>
          <t>personal_safety_raw</t>
        </is>
      </c>
      <c r="F1754" t="inlineStr">
        <is>
          <t>Personal safety raw</t>
        </is>
      </c>
      <c r="G1754" t="inlineStr">
        <is>
          <t>viability</t>
        </is>
      </c>
      <c r="H1754" t="inlineStr">
        <is>
          <t>yes</t>
        </is>
      </c>
      <c r="I1754" t="inlineStr"/>
      <c r="J1754" t="inlineStr"/>
      <c r="K1754" t="inlineStr"/>
      <c r="L1754" t="inlineStr"/>
      <c r="M1754" t="inlineStr"/>
      <c r="N1754" t="inlineStr"/>
    </row>
    <row r="1755">
      <c r="A1755" t="inlineStr">
        <is>
          <t>br-curitiba</t>
        </is>
      </c>
      <c r="B1755" t="inlineStr">
        <is>
          <t>Curitiba</t>
        </is>
      </c>
      <c r="C1755" t="inlineStr">
        <is>
          <t>Brazil</t>
        </is>
      </c>
      <c r="D1755" t="inlineStr">
        <is>
          <t>Latin America</t>
        </is>
      </c>
      <c r="E1755" t="inlineStr">
        <is>
          <t>transit_access_commute_raw</t>
        </is>
      </c>
      <c r="F1755" t="inlineStr">
        <is>
          <t>Transit access and commute raw</t>
        </is>
      </c>
      <c r="G1755" t="inlineStr">
        <is>
          <t>viability</t>
        </is>
      </c>
      <c r="H1755" t="inlineStr">
        <is>
          <t>yes</t>
        </is>
      </c>
      <c r="I1755" t="inlineStr"/>
      <c r="J1755" t="inlineStr"/>
      <c r="K1755" t="inlineStr"/>
      <c r="L1755" t="inlineStr"/>
      <c r="M1755" t="inlineStr"/>
      <c r="N1755" t="inlineStr"/>
    </row>
    <row r="1756">
      <c r="A1756" t="inlineStr">
        <is>
          <t>br-curitiba</t>
        </is>
      </c>
      <c r="B1756" t="inlineStr">
        <is>
          <t>Curitiba</t>
        </is>
      </c>
      <c r="C1756" t="inlineStr">
        <is>
          <t>Brazil</t>
        </is>
      </c>
      <c r="D1756" t="inlineStr">
        <is>
          <t>Latin America</t>
        </is>
      </c>
      <c r="E1756" t="inlineStr">
        <is>
          <t>clean_air_raw</t>
        </is>
      </c>
      <c r="F1756" t="inlineStr">
        <is>
          <t>Clean air raw</t>
        </is>
      </c>
      <c r="G1756" t="inlineStr">
        <is>
          <t>viability</t>
        </is>
      </c>
      <c r="H1756" t="inlineStr">
        <is>
          <t>yes</t>
        </is>
      </c>
      <c r="I1756" t="inlineStr"/>
      <c r="J1756" t="inlineStr"/>
      <c r="K1756" t="inlineStr"/>
      <c r="L1756" t="inlineStr"/>
      <c r="M1756" t="inlineStr"/>
      <c r="N1756" t="inlineStr"/>
    </row>
    <row r="1757">
      <c r="A1757" t="inlineStr">
        <is>
          <t>br-curitiba</t>
        </is>
      </c>
      <c r="B1757" t="inlineStr">
        <is>
          <t>Curitiba</t>
        </is>
      </c>
      <c r="C1757" t="inlineStr">
        <is>
          <t>Brazil</t>
        </is>
      </c>
      <c r="D1757" t="inlineStr">
        <is>
          <t>Latin America</t>
        </is>
      </c>
      <c r="E1757" t="inlineStr">
        <is>
          <t>water_sanitation_utility_raw</t>
        </is>
      </c>
      <c r="F1757" t="inlineStr">
        <is>
          <t>Water, sanitation, and utility raw</t>
        </is>
      </c>
      <c r="G1757" t="inlineStr">
        <is>
          <t>viability</t>
        </is>
      </c>
      <c r="H1757" t="inlineStr">
        <is>
          <t>yes</t>
        </is>
      </c>
      <c r="I1757" t="inlineStr"/>
      <c r="J1757" t="inlineStr"/>
      <c r="K1757" t="inlineStr"/>
      <c r="L1757" t="inlineStr"/>
      <c r="M1757" t="inlineStr"/>
      <c r="N1757" t="inlineStr"/>
    </row>
    <row r="1758">
      <c r="A1758" t="inlineStr">
        <is>
          <t>br-curitiba</t>
        </is>
      </c>
      <c r="B1758" t="inlineStr">
        <is>
          <t>Curitiba</t>
        </is>
      </c>
      <c r="C1758" t="inlineStr">
        <is>
          <t>Brazil</t>
        </is>
      </c>
      <c r="D1758" t="inlineStr">
        <is>
          <t>Latin America</t>
        </is>
      </c>
      <c r="E1758" t="inlineStr">
        <is>
          <t>digital_infrastructure_raw</t>
        </is>
      </c>
      <c r="F1758" t="inlineStr">
        <is>
          <t>Digital infrastructure raw</t>
        </is>
      </c>
      <c r="G1758" t="inlineStr">
        <is>
          <t>viability</t>
        </is>
      </c>
      <c r="H1758" t="inlineStr">
        <is>
          <t>yes</t>
        </is>
      </c>
      <c r="I1758" t="inlineStr"/>
      <c r="J1758" t="inlineStr"/>
      <c r="K1758" t="inlineStr"/>
      <c r="L1758" t="inlineStr"/>
      <c r="M1758" t="inlineStr"/>
      <c r="N1758" t="inlineStr"/>
    </row>
    <row r="1759">
      <c r="A1759" t="inlineStr">
        <is>
          <t>br-curitiba</t>
        </is>
      </c>
      <c r="B1759" t="inlineStr">
        <is>
          <t>Curitiba</t>
        </is>
      </c>
      <c r="C1759" t="inlineStr">
        <is>
          <t>Brazil</t>
        </is>
      </c>
      <c r="D1759" t="inlineStr">
        <is>
          <t>Latin America</t>
        </is>
      </c>
      <c r="E1759" t="inlineStr">
        <is>
          <t>healthcare_quality_raw</t>
        </is>
      </c>
      <c r="F1759" t="inlineStr">
        <is>
          <t>Healthcare quality raw</t>
        </is>
      </c>
      <c r="G1759" t="inlineStr">
        <is>
          <t>capability</t>
        </is>
      </c>
      <c r="H1759" t="inlineStr">
        <is>
          <t>yes</t>
        </is>
      </c>
      <c r="I1759" t="inlineStr"/>
      <c r="J1759" t="inlineStr"/>
      <c r="K1759" t="inlineStr"/>
      <c r="L1759" t="inlineStr"/>
      <c r="M1759" t="inlineStr"/>
      <c r="N1759" t="inlineStr"/>
    </row>
    <row r="1760">
      <c r="A1760" t="inlineStr">
        <is>
          <t>br-curitiba</t>
        </is>
      </c>
      <c r="B1760" t="inlineStr">
        <is>
          <t>Curitiba</t>
        </is>
      </c>
      <c r="C1760" t="inlineStr">
        <is>
          <t>Brazil</t>
        </is>
      </c>
      <c r="D1760" t="inlineStr">
        <is>
          <t>Latin America</t>
        </is>
      </c>
      <c r="E1760" t="inlineStr">
        <is>
          <t>education_quality_raw</t>
        </is>
      </c>
      <c r="F1760" t="inlineStr">
        <is>
          <t>Education quality raw</t>
        </is>
      </c>
      <c r="G1760" t="inlineStr">
        <is>
          <t>capability</t>
        </is>
      </c>
      <c r="H1760" t="inlineStr">
        <is>
          <t>yes</t>
        </is>
      </c>
      <c r="I1760" t="inlineStr"/>
      <c r="J1760" t="inlineStr"/>
      <c r="K1760" t="inlineStr"/>
      <c r="L1760" t="inlineStr"/>
      <c r="M1760" t="inlineStr"/>
      <c r="N1760" t="inlineStr"/>
    </row>
    <row r="1761">
      <c r="A1761" t="inlineStr">
        <is>
          <t>br-curitiba</t>
        </is>
      </c>
      <c r="B1761" t="inlineStr">
        <is>
          <t>Curitiba</t>
        </is>
      </c>
      <c r="C1761" t="inlineStr">
        <is>
          <t>Brazil</t>
        </is>
      </c>
      <c r="D1761" t="inlineStr">
        <is>
          <t>Latin America</t>
        </is>
      </c>
      <c r="E1761" t="inlineStr">
        <is>
          <t>equal_opportunity_raw</t>
        </is>
      </c>
      <c r="F1761" t="inlineStr">
        <is>
          <t>Equal opportunity raw</t>
        </is>
      </c>
      <c r="G1761" t="inlineStr">
        <is>
          <t>capability</t>
        </is>
      </c>
      <c r="H1761" t="inlineStr">
        <is>
          <t>yes</t>
        </is>
      </c>
      <c r="I1761" t="inlineStr"/>
      <c r="J1761" t="inlineStr"/>
      <c r="K1761" t="inlineStr"/>
      <c r="L1761" t="inlineStr"/>
      <c r="M1761" t="inlineStr"/>
      <c r="N1761" t="inlineStr"/>
    </row>
    <row r="1762">
      <c r="A1762" t="inlineStr">
        <is>
          <t>br-curitiba</t>
        </is>
      </c>
      <c r="B1762" t="inlineStr">
        <is>
          <t>Curitiba</t>
        </is>
      </c>
      <c r="C1762" t="inlineStr">
        <is>
          <t>Brazil</t>
        </is>
      </c>
      <c r="D1762" t="inlineStr">
        <is>
          <t>Latin America</t>
        </is>
      </c>
      <c r="E1762" t="inlineStr">
        <is>
          <t>hospitality_belonging_raw</t>
        </is>
      </c>
      <c r="F1762" t="inlineStr">
        <is>
          <t>Hospitality and belonging raw</t>
        </is>
      </c>
      <c r="G1762" t="inlineStr">
        <is>
          <t>community</t>
        </is>
      </c>
      <c r="H1762" t="inlineStr">
        <is>
          <t>yes</t>
        </is>
      </c>
      <c r="I1762" t="inlineStr"/>
      <c r="J1762" t="inlineStr"/>
      <c r="K1762" t="inlineStr"/>
      <c r="L1762" t="inlineStr"/>
      <c r="M1762" t="inlineStr"/>
      <c r="N1762" t="inlineStr"/>
    </row>
    <row r="1763">
      <c r="A1763" t="inlineStr">
        <is>
          <t>br-curitiba</t>
        </is>
      </c>
      <c r="B1763" t="inlineStr">
        <is>
          <t>Curitiba</t>
        </is>
      </c>
      <c r="C1763" t="inlineStr">
        <is>
          <t>Brazil</t>
        </is>
      </c>
      <c r="D1763" t="inlineStr">
        <is>
          <t>Latin America</t>
        </is>
      </c>
      <c r="E1763" t="inlineStr">
        <is>
          <t>tolerance_pluralism_raw</t>
        </is>
      </c>
      <c r="F1763" t="inlineStr">
        <is>
          <t>Tolerance and pluralism raw</t>
        </is>
      </c>
      <c r="G1763" t="inlineStr">
        <is>
          <t>community</t>
        </is>
      </c>
      <c r="H1763" t="inlineStr">
        <is>
          <t>yes</t>
        </is>
      </c>
      <c r="I1763" t="inlineStr"/>
      <c r="J1763" t="inlineStr"/>
      <c r="K1763" t="inlineStr"/>
      <c r="L1763" t="inlineStr"/>
      <c r="M1763" t="inlineStr"/>
      <c r="N1763" t="inlineStr"/>
    </row>
    <row r="1764">
      <c r="A1764" t="inlineStr">
        <is>
          <t>br-curitiba</t>
        </is>
      </c>
      <c r="B1764" t="inlineStr">
        <is>
          <t>Curitiba</t>
        </is>
      </c>
      <c r="C1764" t="inlineStr">
        <is>
          <t>Brazil</t>
        </is>
      </c>
      <c r="D1764" t="inlineStr">
        <is>
          <t>Latin America</t>
        </is>
      </c>
      <c r="E1764" t="inlineStr">
        <is>
          <t>cultural_public_life_raw</t>
        </is>
      </c>
      <c r="F1764" t="inlineStr">
        <is>
          <t>Cultural public life raw</t>
        </is>
      </c>
      <c r="G1764" t="inlineStr">
        <is>
          <t>community</t>
        </is>
      </c>
      <c r="H1764" t="inlineStr">
        <is>
          <t>yes</t>
        </is>
      </c>
      <c r="I1764" t="inlineStr"/>
      <c r="J1764" t="inlineStr"/>
      <c r="K1764" t="inlineStr"/>
      <c r="L1764" t="inlineStr"/>
      <c r="M1764" t="inlineStr"/>
      <c r="N1764" t="inlineStr"/>
    </row>
    <row r="1765">
      <c r="A1765" t="inlineStr">
        <is>
          <t>br-curitiba</t>
        </is>
      </c>
      <c r="B1765" t="inlineStr">
        <is>
          <t>Curitiba</t>
        </is>
      </c>
      <c r="C1765" t="inlineStr">
        <is>
          <t>Brazil</t>
        </is>
      </c>
      <c r="D1765" t="inlineStr">
        <is>
          <t>Latin America</t>
        </is>
      </c>
      <c r="E1765" t="inlineStr">
        <is>
          <t>entrepreneurial_dynamism_raw</t>
        </is>
      </c>
      <c r="F1765" t="inlineStr">
        <is>
          <t>Entrepreneurial dynamism raw</t>
        </is>
      </c>
      <c r="G1765" t="inlineStr">
        <is>
          <t>creative</t>
        </is>
      </c>
      <c r="H1765" t="inlineStr">
        <is>
          <t>yes</t>
        </is>
      </c>
      <c r="I1765" t="inlineStr"/>
      <c r="J1765" t="inlineStr"/>
      <c r="K1765" t="inlineStr"/>
      <c r="L1765" t="inlineStr"/>
      <c r="M1765" t="inlineStr"/>
      <c r="N1765" t="inlineStr"/>
    </row>
    <row r="1766">
      <c r="A1766" t="inlineStr">
        <is>
          <t>br-curitiba</t>
        </is>
      </c>
      <c r="B1766" t="inlineStr">
        <is>
          <t>Curitiba</t>
        </is>
      </c>
      <c r="C1766" t="inlineStr">
        <is>
          <t>Brazil</t>
        </is>
      </c>
      <c r="D1766" t="inlineStr">
        <is>
          <t>Latin America</t>
        </is>
      </c>
      <c r="E1766" t="inlineStr">
        <is>
          <t>innovation_research_intensity_raw</t>
        </is>
      </c>
      <c r="F1766" t="inlineStr">
        <is>
          <t>Innovation and research raw</t>
        </is>
      </c>
      <c r="G1766" t="inlineStr">
        <is>
          <t>creative</t>
        </is>
      </c>
      <c r="H1766" t="inlineStr">
        <is>
          <t>yes</t>
        </is>
      </c>
      <c r="I1766" t="inlineStr"/>
      <c r="J1766" t="inlineStr"/>
      <c r="K1766" t="inlineStr"/>
      <c r="L1766" t="inlineStr"/>
      <c r="M1766" t="inlineStr"/>
      <c r="N1766" t="inlineStr"/>
    </row>
    <row r="1767">
      <c r="A1767" t="inlineStr">
        <is>
          <t>br-curitiba</t>
        </is>
      </c>
      <c r="B1767" t="inlineStr">
        <is>
          <t>Curitiba</t>
        </is>
      </c>
      <c r="C1767" t="inlineStr">
        <is>
          <t>Brazil</t>
        </is>
      </c>
      <c r="D1767" t="inlineStr">
        <is>
          <t>Latin America</t>
        </is>
      </c>
      <c r="E1767" t="inlineStr">
        <is>
          <t>investment_signal_raw</t>
        </is>
      </c>
      <c r="F1767" t="inlineStr">
        <is>
          <t>Investment signal raw</t>
        </is>
      </c>
      <c r="G1767" t="inlineStr">
        <is>
          <t>creative</t>
        </is>
      </c>
      <c r="H1767" t="inlineStr">
        <is>
          <t>yes</t>
        </is>
      </c>
      <c r="I1767" t="inlineStr"/>
      <c r="J1767" t="inlineStr"/>
      <c r="K1767" t="inlineStr"/>
      <c r="L1767" t="inlineStr"/>
      <c r="M1767" t="inlineStr"/>
      <c r="N1767" t="inlineStr"/>
    </row>
    <row r="1768">
      <c r="A1768" t="inlineStr">
        <is>
          <t>br-curitiba</t>
        </is>
      </c>
      <c r="B1768" t="inlineStr">
        <is>
          <t>Curitiba</t>
        </is>
      </c>
      <c r="C1768" t="inlineStr">
        <is>
          <t>Brazil</t>
        </is>
      </c>
      <c r="D1768" t="inlineStr">
        <is>
          <t>Latin America</t>
        </is>
      </c>
      <c r="E1768" t="inlineStr">
        <is>
          <t>administrative_investment_friction_raw</t>
        </is>
      </c>
      <c r="F1768" t="inlineStr">
        <is>
          <t>Administrative investment friction raw</t>
        </is>
      </c>
      <c r="G1768" t="inlineStr">
        <is>
          <t>creative</t>
        </is>
      </c>
      <c r="H1768" t="inlineStr">
        <is>
          <t>yes</t>
        </is>
      </c>
      <c r="I1768" t="inlineStr"/>
      <c r="J1768" t="inlineStr"/>
      <c r="K1768" t="inlineStr"/>
      <c r="L1768" t="inlineStr"/>
      <c r="M1768" t="inlineStr"/>
      <c r="N1768" t="inlineStr"/>
    </row>
    <row r="1769">
      <c r="A1769" t="inlineStr">
        <is>
          <t>br-curitiba</t>
        </is>
      </c>
      <c r="B1769" t="inlineStr">
        <is>
          <t>Curitiba</t>
        </is>
      </c>
      <c r="C1769" t="inlineStr">
        <is>
          <t>Brazil</t>
        </is>
      </c>
      <c r="D1769" t="inlineStr">
        <is>
          <t>Latin America</t>
        </is>
      </c>
      <c r="E1769" t="inlineStr">
        <is>
          <t>visitor_flow_context_raw</t>
        </is>
      </c>
      <c r="F1769" t="inlineStr">
        <is>
          <t>Visitor flow context raw</t>
        </is>
      </c>
      <c r="G1769" t="inlineStr">
        <is>
          <t>creative</t>
        </is>
      </c>
      <c r="H1769" t="inlineStr">
        <is>
          <t>no</t>
        </is>
      </c>
      <c r="I1769" t="inlineStr"/>
      <c r="J1769" t="inlineStr"/>
      <c r="K1769" t="inlineStr"/>
      <c r="L1769" t="inlineStr"/>
      <c r="M1769" t="inlineStr"/>
      <c r="N1769" t="inlineStr"/>
    </row>
    <row r="1770">
      <c r="A1770" t="inlineStr">
        <is>
          <t>co-medellin</t>
        </is>
      </c>
      <c r="B1770" t="inlineStr">
        <is>
          <t>Medellin</t>
        </is>
      </c>
      <c r="C1770" t="inlineStr">
        <is>
          <t>Colombia</t>
        </is>
      </c>
      <c r="D1770" t="inlineStr">
        <is>
          <t>Latin America</t>
        </is>
      </c>
      <c r="E1770" t="inlineStr">
        <is>
          <t>gross_income</t>
        </is>
      </c>
      <c r="F1770" t="inlineStr">
        <is>
          <t>Gross income</t>
        </is>
      </c>
      <c r="G1770" t="inlineStr">
        <is>
          <t>pressure</t>
        </is>
      </c>
      <c r="H1770" t="inlineStr">
        <is>
          <t>yes</t>
        </is>
      </c>
      <c r="I1770" t="inlineStr"/>
      <c r="J1770" t="inlineStr"/>
      <c r="K1770" t="inlineStr"/>
      <c r="L1770" t="inlineStr"/>
      <c r="M1770" t="inlineStr"/>
      <c r="N1770" t="inlineStr"/>
    </row>
    <row r="1771">
      <c r="A1771" t="inlineStr">
        <is>
          <t>co-medellin</t>
        </is>
      </c>
      <c r="B1771" t="inlineStr">
        <is>
          <t>Medellin</t>
        </is>
      </c>
      <c r="C1771" t="inlineStr">
        <is>
          <t>Colombia</t>
        </is>
      </c>
      <c r="D1771" t="inlineStr">
        <is>
          <t>Latin America</t>
        </is>
      </c>
      <c r="E1771" t="inlineStr">
        <is>
          <t>rent</t>
        </is>
      </c>
      <c r="F1771" t="inlineStr">
        <is>
          <t>Rent</t>
        </is>
      </c>
      <c r="G1771" t="inlineStr">
        <is>
          <t>pressure</t>
        </is>
      </c>
      <c r="H1771" t="inlineStr">
        <is>
          <t>yes</t>
        </is>
      </c>
      <c r="I1771" t="inlineStr"/>
      <c r="J1771" t="inlineStr"/>
      <c r="K1771" t="inlineStr"/>
      <c r="L1771" t="inlineStr"/>
      <c r="M1771" t="inlineStr"/>
      <c r="N1771" t="inlineStr"/>
    </row>
    <row r="1772">
      <c r="A1772" t="inlineStr">
        <is>
          <t>co-medellin</t>
        </is>
      </c>
      <c r="B1772" t="inlineStr">
        <is>
          <t>Medellin</t>
        </is>
      </c>
      <c r="C1772" t="inlineStr">
        <is>
          <t>Colombia</t>
        </is>
      </c>
      <c r="D1772" t="inlineStr">
        <is>
          <t>Latin America</t>
        </is>
      </c>
      <c r="E1772" t="inlineStr">
        <is>
          <t>utilities</t>
        </is>
      </c>
      <c r="F1772" t="inlineStr">
        <is>
          <t>Utilities</t>
        </is>
      </c>
      <c r="G1772" t="inlineStr">
        <is>
          <t>pressure</t>
        </is>
      </c>
      <c r="H1772" t="inlineStr">
        <is>
          <t>yes</t>
        </is>
      </c>
      <c r="I1772" t="inlineStr"/>
      <c r="J1772" t="inlineStr"/>
      <c r="K1772" t="inlineStr"/>
      <c r="L1772" t="inlineStr"/>
      <c r="M1772" t="inlineStr"/>
      <c r="N1772" t="inlineStr"/>
    </row>
    <row r="1773">
      <c r="A1773" t="inlineStr">
        <is>
          <t>co-medellin</t>
        </is>
      </c>
      <c r="B1773" t="inlineStr">
        <is>
          <t>Medellin</t>
        </is>
      </c>
      <c r="C1773" t="inlineStr">
        <is>
          <t>Colombia</t>
        </is>
      </c>
      <c r="D1773" t="inlineStr">
        <is>
          <t>Latin America</t>
        </is>
      </c>
      <c r="E1773" t="inlineStr">
        <is>
          <t>transit_cost</t>
        </is>
      </c>
      <c r="F1773" t="inlineStr">
        <is>
          <t>Transit cost</t>
        </is>
      </c>
      <c r="G1773" t="inlineStr">
        <is>
          <t>pressure</t>
        </is>
      </c>
      <c r="H1773" t="inlineStr">
        <is>
          <t>yes</t>
        </is>
      </c>
      <c r="I1773" t="inlineStr"/>
      <c r="J1773" t="inlineStr"/>
      <c r="K1773" t="inlineStr"/>
      <c r="L1773" t="inlineStr"/>
      <c r="M1773" t="inlineStr"/>
      <c r="N1773" t="inlineStr"/>
    </row>
    <row r="1774">
      <c r="A1774" t="inlineStr">
        <is>
          <t>co-medellin</t>
        </is>
      </c>
      <c r="B1774" t="inlineStr">
        <is>
          <t>Medellin</t>
        </is>
      </c>
      <c r="C1774" t="inlineStr">
        <is>
          <t>Colombia</t>
        </is>
      </c>
      <c r="D1774" t="inlineStr">
        <is>
          <t>Latin America</t>
        </is>
      </c>
      <c r="E1774" t="inlineStr">
        <is>
          <t>internet_cost</t>
        </is>
      </c>
      <c r="F1774" t="inlineStr">
        <is>
          <t>Internet cost</t>
        </is>
      </c>
      <c r="G1774" t="inlineStr">
        <is>
          <t>pressure</t>
        </is>
      </c>
      <c r="H1774" t="inlineStr">
        <is>
          <t>yes</t>
        </is>
      </c>
      <c r="I1774" t="inlineStr"/>
      <c r="J1774" t="inlineStr"/>
      <c r="K1774" t="inlineStr"/>
      <c r="L1774" t="inlineStr"/>
      <c r="M1774" t="inlineStr"/>
      <c r="N1774" t="inlineStr"/>
    </row>
    <row r="1775">
      <c r="A1775" t="inlineStr">
        <is>
          <t>co-medellin</t>
        </is>
      </c>
      <c r="B1775" t="inlineStr">
        <is>
          <t>Medellin</t>
        </is>
      </c>
      <c r="C1775" t="inlineStr">
        <is>
          <t>Colombia</t>
        </is>
      </c>
      <c r="D1775" t="inlineStr">
        <is>
          <t>Latin America</t>
        </is>
      </c>
      <c r="E1775" t="inlineStr">
        <is>
          <t>food_cost</t>
        </is>
      </c>
      <c r="F1775" t="inlineStr">
        <is>
          <t>Food cost</t>
        </is>
      </c>
      <c r="G1775" t="inlineStr">
        <is>
          <t>pressure</t>
        </is>
      </c>
      <c r="H1775" t="inlineStr">
        <is>
          <t>yes</t>
        </is>
      </c>
      <c r="I1775" t="inlineStr"/>
      <c r="J1775" t="inlineStr"/>
      <c r="K1775" t="inlineStr"/>
      <c r="L1775" t="inlineStr"/>
      <c r="M1775" t="inlineStr"/>
      <c r="N1775" t="inlineStr"/>
    </row>
    <row r="1776">
      <c r="A1776" t="inlineStr">
        <is>
          <t>co-medellin</t>
        </is>
      </c>
      <c r="B1776" t="inlineStr">
        <is>
          <t>Medellin</t>
        </is>
      </c>
      <c r="C1776" t="inlineStr">
        <is>
          <t>Colombia</t>
        </is>
      </c>
      <c r="D1776" t="inlineStr">
        <is>
          <t>Latin America</t>
        </is>
      </c>
      <c r="E1776" t="inlineStr">
        <is>
          <t>housing_burden_raw</t>
        </is>
      </c>
      <c r="F1776" t="inlineStr">
        <is>
          <t>Housing burden raw</t>
        </is>
      </c>
      <c r="G1776" t="inlineStr">
        <is>
          <t>pressure</t>
        </is>
      </c>
      <c r="H1776" t="inlineStr">
        <is>
          <t>yes</t>
        </is>
      </c>
      <c r="I1776" t="inlineStr"/>
      <c r="J1776" t="inlineStr"/>
      <c r="K1776" t="inlineStr"/>
      <c r="L1776" t="inlineStr"/>
      <c r="M1776" t="inlineStr"/>
      <c r="N1776" t="inlineStr"/>
    </row>
    <row r="1777">
      <c r="A1777" t="inlineStr">
        <is>
          <t>co-medellin</t>
        </is>
      </c>
      <c r="B1777" t="inlineStr">
        <is>
          <t>Medellin</t>
        </is>
      </c>
      <c r="C1777" t="inlineStr">
        <is>
          <t>Colombia</t>
        </is>
      </c>
      <c r="D1777" t="inlineStr">
        <is>
          <t>Latin America</t>
        </is>
      </c>
      <c r="E1777" t="inlineStr">
        <is>
          <t>household_debt_burden_raw</t>
        </is>
      </c>
      <c r="F1777" t="inlineStr">
        <is>
          <t>Household debt burden raw</t>
        </is>
      </c>
      <c r="G1777" t="inlineStr">
        <is>
          <t>pressure</t>
        </is>
      </c>
      <c r="H1777" t="inlineStr">
        <is>
          <t>yes</t>
        </is>
      </c>
      <c r="I1777" t="inlineStr"/>
      <c r="J1777" t="inlineStr"/>
      <c r="K1777" t="inlineStr"/>
      <c r="L1777" t="inlineStr"/>
      <c r="M1777" t="inlineStr"/>
      <c r="N1777" t="inlineStr"/>
    </row>
    <row r="1778">
      <c r="A1778" t="inlineStr">
        <is>
          <t>co-medellin</t>
        </is>
      </c>
      <c r="B1778" t="inlineStr">
        <is>
          <t>Medellin</t>
        </is>
      </c>
      <c r="C1778" t="inlineStr">
        <is>
          <t>Colombia</t>
        </is>
      </c>
      <c r="D1778" t="inlineStr">
        <is>
          <t>Latin America</t>
        </is>
      </c>
      <c r="E1778" t="inlineStr">
        <is>
          <t>working_time_pressure_raw</t>
        </is>
      </c>
      <c r="F1778" t="inlineStr">
        <is>
          <t>Working time pressure raw</t>
        </is>
      </c>
      <c r="G1778" t="inlineStr">
        <is>
          <t>pressure</t>
        </is>
      </c>
      <c r="H1778" t="inlineStr">
        <is>
          <t>yes</t>
        </is>
      </c>
      <c r="I1778" t="inlineStr"/>
      <c r="J1778" t="inlineStr"/>
      <c r="K1778" t="inlineStr"/>
      <c r="L1778" t="inlineStr"/>
      <c r="M1778" t="inlineStr"/>
      <c r="N1778" t="inlineStr"/>
    </row>
    <row r="1779">
      <c r="A1779" t="inlineStr">
        <is>
          <t>co-medellin</t>
        </is>
      </c>
      <c r="B1779" t="inlineStr">
        <is>
          <t>Medellin</t>
        </is>
      </c>
      <c r="C1779" t="inlineStr">
        <is>
          <t>Colombia</t>
        </is>
      </c>
      <c r="D1779" t="inlineStr">
        <is>
          <t>Latin America</t>
        </is>
      </c>
      <c r="E1779" t="inlineStr">
        <is>
          <t>suicide_mental_strain_raw</t>
        </is>
      </c>
      <c r="F1779" t="inlineStr">
        <is>
          <t>Suicide or mental strain raw</t>
        </is>
      </c>
      <c r="G1779" t="inlineStr">
        <is>
          <t>pressure</t>
        </is>
      </c>
      <c r="H1779" t="inlineStr">
        <is>
          <t>yes</t>
        </is>
      </c>
      <c r="I1779" t="inlineStr"/>
      <c r="J1779" t="inlineStr"/>
      <c r="K1779" t="inlineStr"/>
      <c r="L1779" t="inlineStr"/>
      <c r="M1779" t="inlineStr"/>
      <c r="N1779" t="inlineStr"/>
    </row>
    <row r="1780">
      <c r="A1780" t="inlineStr">
        <is>
          <t>co-medellin</t>
        </is>
      </c>
      <c r="B1780" t="inlineStr">
        <is>
          <t>Medellin</t>
        </is>
      </c>
      <c r="C1780" t="inlineStr">
        <is>
          <t>Colombia</t>
        </is>
      </c>
      <c r="D1780" t="inlineStr">
        <is>
          <t>Latin America</t>
        </is>
      </c>
      <c r="E1780" t="inlineStr">
        <is>
          <t>personal_safety_raw</t>
        </is>
      </c>
      <c r="F1780" t="inlineStr">
        <is>
          <t>Personal safety raw</t>
        </is>
      </c>
      <c r="G1780" t="inlineStr">
        <is>
          <t>viability</t>
        </is>
      </c>
      <c r="H1780" t="inlineStr">
        <is>
          <t>yes</t>
        </is>
      </c>
      <c r="I1780" t="inlineStr"/>
      <c r="J1780" t="inlineStr"/>
      <c r="K1780" t="inlineStr"/>
      <c r="L1780" t="inlineStr"/>
      <c r="M1780" t="inlineStr"/>
      <c r="N1780" t="inlineStr"/>
    </row>
    <row r="1781">
      <c r="A1781" t="inlineStr">
        <is>
          <t>co-medellin</t>
        </is>
      </c>
      <c r="B1781" t="inlineStr">
        <is>
          <t>Medellin</t>
        </is>
      </c>
      <c r="C1781" t="inlineStr">
        <is>
          <t>Colombia</t>
        </is>
      </c>
      <c r="D1781" t="inlineStr">
        <is>
          <t>Latin America</t>
        </is>
      </c>
      <c r="E1781" t="inlineStr">
        <is>
          <t>transit_access_commute_raw</t>
        </is>
      </c>
      <c r="F1781" t="inlineStr">
        <is>
          <t>Transit access and commute raw</t>
        </is>
      </c>
      <c r="G1781" t="inlineStr">
        <is>
          <t>viability</t>
        </is>
      </c>
      <c r="H1781" t="inlineStr">
        <is>
          <t>yes</t>
        </is>
      </c>
      <c r="I1781" t="inlineStr"/>
      <c r="J1781" t="inlineStr"/>
      <c r="K1781" t="inlineStr"/>
      <c r="L1781" t="inlineStr"/>
      <c r="M1781" t="inlineStr"/>
      <c r="N1781" t="inlineStr"/>
    </row>
    <row r="1782">
      <c r="A1782" t="inlineStr">
        <is>
          <t>co-medellin</t>
        </is>
      </c>
      <c r="B1782" t="inlineStr">
        <is>
          <t>Medellin</t>
        </is>
      </c>
      <c r="C1782" t="inlineStr">
        <is>
          <t>Colombia</t>
        </is>
      </c>
      <c r="D1782" t="inlineStr">
        <is>
          <t>Latin America</t>
        </is>
      </c>
      <c r="E1782" t="inlineStr">
        <is>
          <t>clean_air_raw</t>
        </is>
      </c>
      <c r="F1782" t="inlineStr">
        <is>
          <t>Clean air raw</t>
        </is>
      </c>
      <c r="G1782" t="inlineStr">
        <is>
          <t>viability</t>
        </is>
      </c>
      <c r="H1782" t="inlineStr">
        <is>
          <t>yes</t>
        </is>
      </c>
      <c r="I1782" t="inlineStr"/>
      <c r="J1782" t="inlineStr"/>
      <c r="K1782" t="inlineStr"/>
      <c r="L1782" t="inlineStr"/>
      <c r="M1782" t="inlineStr"/>
      <c r="N1782" t="inlineStr"/>
    </row>
    <row r="1783">
      <c r="A1783" t="inlineStr">
        <is>
          <t>co-medellin</t>
        </is>
      </c>
      <c r="B1783" t="inlineStr">
        <is>
          <t>Medellin</t>
        </is>
      </c>
      <c r="C1783" t="inlineStr">
        <is>
          <t>Colombia</t>
        </is>
      </c>
      <c r="D1783" t="inlineStr">
        <is>
          <t>Latin America</t>
        </is>
      </c>
      <c r="E1783" t="inlineStr">
        <is>
          <t>water_sanitation_utility_raw</t>
        </is>
      </c>
      <c r="F1783" t="inlineStr">
        <is>
          <t>Water, sanitation, and utility raw</t>
        </is>
      </c>
      <c r="G1783" t="inlineStr">
        <is>
          <t>viability</t>
        </is>
      </c>
      <c r="H1783" t="inlineStr">
        <is>
          <t>yes</t>
        </is>
      </c>
      <c r="I1783" t="inlineStr"/>
      <c r="J1783" t="inlineStr"/>
      <c r="K1783" t="inlineStr"/>
      <c r="L1783" t="inlineStr"/>
      <c r="M1783" t="inlineStr"/>
      <c r="N1783" t="inlineStr"/>
    </row>
    <row r="1784">
      <c r="A1784" t="inlineStr">
        <is>
          <t>co-medellin</t>
        </is>
      </c>
      <c r="B1784" t="inlineStr">
        <is>
          <t>Medellin</t>
        </is>
      </c>
      <c r="C1784" t="inlineStr">
        <is>
          <t>Colombia</t>
        </is>
      </c>
      <c r="D1784" t="inlineStr">
        <is>
          <t>Latin America</t>
        </is>
      </c>
      <c r="E1784" t="inlineStr">
        <is>
          <t>digital_infrastructure_raw</t>
        </is>
      </c>
      <c r="F1784" t="inlineStr">
        <is>
          <t>Digital infrastructure raw</t>
        </is>
      </c>
      <c r="G1784" t="inlineStr">
        <is>
          <t>viability</t>
        </is>
      </c>
      <c r="H1784" t="inlineStr">
        <is>
          <t>yes</t>
        </is>
      </c>
      <c r="I1784" t="inlineStr"/>
      <c r="J1784" t="inlineStr"/>
      <c r="K1784" t="inlineStr"/>
      <c r="L1784" t="inlineStr"/>
      <c r="M1784" t="inlineStr"/>
      <c r="N1784" t="inlineStr"/>
    </row>
    <row r="1785">
      <c r="A1785" t="inlineStr">
        <is>
          <t>co-medellin</t>
        </is>
      </c>
      <c r="B1785" t="inlineStr">
        <is>
          <t>Medellin</t>
        </is>
      </c>
      <c r="C1785" t="inlineStr">
        <is>
          <t>Colombia</t>
        </is>
      </c>
      <c r="D1785" t="inlineStr">
        <is>
          <t>Latin America</t>
        </is>
      </c>
      <c r="E1785" t="inlineStr">
        <is>
          <t>healthcare_quality_raw</t>
        </is>
      </c>
      <c r="F1785" t="inlineStr">
        <is>
          <t>Healthcare quality raw</t>
        </is>
      </c>
      <c r="G1785" t="inlineStr">
        <is>
          <t>capability</t>
        </is>
      </c>
      <c r="H1785" t="inlineStr">
        <is>
          <t>yes</t>
        </is>
      </c>
      <c r="I1785" t="inlineStr"/>
      <c r="J1785" t="inlineStr"/>
      <c r="K1785" t="inlineStr"/>
      <c r="L1785" t="inlineStr"/>
      <c r="M1785" t="inlineStr"/>
      <c r="N1785" t="inlineStr"/>
    </row>
    <row r="1786">
      <c r="A1786" t="inlineStr">
        <is>
          <t>co-medellin</t>
        </is>
      </c>
      <c r="B1786" t="inlineStr">
        <is>
          <t>Medellin</t>
        </is>
      </c>
      <c r="C1786" t="inlineStr">
        <is>
          <t>Colombia</t>
        </is>
      </c>
      <c r="D1786" t="inlineStr">
        <is>
          <t>Latin America</t>
        </is>
      </c>
      <c r="E1786" t="inlineStr">
        <is>
          <t>education_quality_raw</t>
        </is>
      </c>
      <c r="F1786" t="inlineStr">
        <is>
          <t>Education quality raw</t>
        </is>
      </c>
      <c r="G1786" t="inlineStr">
        <is>
          <t>capability</t>
        </is>
      </c>
      <c r="H1786" t="inlineStr">
        <is>
          <t>yes</t>
        </is>
      </c>
      <c r="I1786" t="inlineStr"/>
      <c r="J1786" t="inlineStr"/>
      <c r="K1786" t="inlineStr"/>
      <c r="L1786" t="inlineStr"/>
      <c r="M1786" t="inlineStr"/>
      <c r="N1786" t="inlineStr"/>
    </row>
    <row r="1787">
      <c r="A1787" t="inlineStr">
        <is>
          <t>co-medellin</t>
        </is>
      </c>
      <c r="B1787" t="inlineStr">
        <is>
          <t>Medellin</t>
        </is>
      </c>
      <c r="C1787" t="inlineStr">
        <is>
          <t>Colombia</t>
        </is>
      </c>
      <c r="D1787" t="inlineStr">
        <is>
          <t>Latin America</t>
        </is>
      </c>
      <c r="E1787" t="inlineStr">
        <is>
          <t>equal_opportunity_raw</t>
        </is>
      </c>
      <c r="F1787" t="inlineStr">
        <is>
          <t>Equal opportunity raw</t>
        </is>
      </c>
      <c r="G1787" t="inlineStr">
        <is>
          <t>capability</t>
        </is>
      </c>
      <c r="H1787" t="inlineStr">
        <is>
          <t>yes</t>
        </is>
      </c>
      <c r="I1787" t="inlineStr"/>
      <c r="J1787" t="inlineStr"/>
      <c r="K1787" t="inlineStr"/>
      <c r="L1787" t="inlineStr"/>
      <c r="M1787" t="inlineStr"/>
      <c r="N1787" t="inlineStr"/>
    </row>
    <row r="1788">
      <c r="A1788" t="inlineStr">
        <is>
          <t>co-medellin</t>
        </is>
      </c>
      <c r="B1788" t="inlineStr">
        <is>
          <t>Medellin</t>
        </is>
      </c>
      <c r="C1788" t="inlineStr">
        <is>
          <t>Colombia</t>
        </is>
      </c>
      <c r="D1788" t="inlineStr">
        <is>
          <t>Latin America</t>
        </is>
      </c>
      <c r="E1788" t="inlineStr">
        <is>
          <t>hospitality_belonging_raw</t>
        </is>
      </c>
      <c r="F1788" t="inlineStr">
        <is>
          <t>Hospitality and belonging raw</t>
        </is>
      </c>
      <c r="G1788" t="inlineStr">
        <is>
          <t>community</t>
        </is>
      </c>
      <c r="H1788" t="inlineStr">
        <is>
          <t>yes</t>
        </is>
      </c>
      <c r="I1788" t="inlineStr"/>
      <c r="J1788" t="inlineStr"/>
      <c r="K1788" t="inlineStr"/>
      <c r="L1788" t="inlineStr"/>
      <c r="M1788" t="inlineStr"/>
      <c r="N1788" t="inlineStr"/>
    </row>
    <row r="1789">
      <c r="A1789" t="inlineStr">
        <is>
          <t>co-medellin</t>
        </is>
      </c>
      <c r="B1789" t="inlineStr">
        <is>
          <t>Medellin</t>
        </is>
      </c>
      <c r="C1789" t="inlineStr">
        <is>
          <t>Colombia</t>
        </is>
      </c>
      <c r="D1789" t="inlineStr">
        <is>
          <t>Latin America</t>
        </is>
      </c>
      <c r="E1789" t="inlineStr">
        <is>
          <t>tolerance_pluralism_raw</t>
        </is>
      </c>
      <c r="F1789" t="inlineStr">
        <is>
          <t>Tolerance and pluralism raw</t>
        </is>
      </c>
      <c r="G1789" t="inlineStr">
        <is>
          <t>community</t>
        </is>
      </c>
      <c r="H1789" t="inlineStr">
        <is>
          <t>yes</t>
        </is>
      </c>
      <c r="I1789" t="inlineStr"/>
      <c r="J1789" t="inlineStr"/>
      <c r="K1789" t="inlineStr"/>
      <c r="L1789" t="inlineStr"/>
      <c r="M1789" t="inlineStr"/>
      <c r="N1789" t="inlineStr"/>
    </row>
    <row r="1790">
      <c r="A1790" t="inlineStr">
        <is>
          <t>co-medellin</t>
        </is>
      </c>
      <c r="B1790" t="inlineStr">
        <is>
          <t>Medellin</t>
        </is>
      </c>
      <c r="C1790" t="inlineStr">
        <is>
          <t>Colombia</t>
        </is>
      </c>
      <c r="D1790" t="inlineStr">
        <is>
          <t>Latin America</t>
        </is>
      </c>
      <c r="E1790" t="inlineStr">
        <is>
          <t>cultural_public_life_raw</t>
        </is>
      </c>
      <c r="F1790" t="inlineStr">
        <is>
          <t>Cultural public life raw</t>
        </is>
      </c>
      <c r="G1790" t="inlineStr">
        <is>
          <t>community</t>
        </is>
      </c>
      <c r="H1790" t="inlineStr">
        <is>
          <t>yes</t>
        </is>
      </c>
      <c r="I1790" t="inlineStr"/>
      <c r="J1790" t="inlineStr"/>
      <c r="K1790" t="inlineStr"/>
      <c r="L1790" t="inlineStr"/>
      <c r="M1790" t="inlineStr"/>
      <c r="N1790" t="inlineStr"/>
    </row>
    <row r="1791">
      <c r="A1791" t="inlineStr">
        <is>
          <t>co-medellin</t>
        </is>
      </c>
      <c r="B1791" t="inlineStr">
        <is>
          <t>Medellin</t>
        </is>
      </c>
      <c r="C1791" t="inlineStr">
        <is>
          <t>Colombia</t>
        </is>
      </c>
      <c r="D1791" t="inlineStr">
        <is>
          <t>Latin America</t>
        </is>
      </c>
      <c r="E1791" t="inlineStr">
        <is>
          <t>entrepreneurial_dynamism_raw</t>
        </is>
      </c>
      <c r="F1791" t="inlineStr">
        <is>
          <t>Entrepreneurial dynamism raw</t>
        </is>
      </c>
      <c r="G1791" t="inlineStr">
        <is>
          <t>creative</t>
        </is>
      </c>
      <c r="H1791" t="inlineStr">
        <is>
          <t>yes</t>
        </is>
      </c>
      <c r="I1791" t="inlineStr"/>
      <c r="J1791" t="inlineStr"/>
      <c r="K1791" t="inlineStr"/>
      <c r="L1791" t="inlineStr"/>
      <c r="M1791" t="inlineStr"/>
      <c r="N1791" t="inlineStr"/>
    </row>
    <row r="1792">
      <c r="A1792" t="inlineStr">
        <is>
          <t>co-medellin</t>
        </is>
      </c>
      <c r="B1792" t="inlineStr">
        <is>
          <t>Medellin</t>
        </is>
      </c>
      <c r="C1792" t="inlineStr">
        <is>
          <t>Colombia</t>
        </is>
      </c>
      <c r="D1792" t="inlineStr">
        <is>
          <t>Latin America</t>
        </is>
      </c>
      <c r="E1792" t="inlineStr">
        <is>
          <t>innovation_research_intensity_raw</t>
        </is>
      </c>
      <c r="F1792" t="inlineStr">
        <is>
          <t>Innovation and research raw</t>
        </is>
      </c>
      <c r="G1792" t="inlineStr">
        <is>
          <t>creative</t>
        </is>
      </c>
      <c r="H1792" t="inlineStr">
        <is>
          <t>yes</t>
        </is>
      </c>
      <c r="I1792" t="inlineStr"/>
      <c r="J1792" t="inlineStr"/>
      <c r="K1792" t="inlineStr"/>
      <c r="L1792" t="inlineStr"/>
      <c r="M1792" t="inlineStr"/>
      <c r="N1792" t="inlineStr"/>
    </row>
    <row r="1793">
      <c r="A1793" t="inlineStr">
        <is>
          <t>co-medellin</t>
        </is>
      </c>
      <c r="B1793" t="inlineStr">
        <is>
          <t>Medellin</t>
        </is>
      </c>
      <c r="C1793" t="inlineStr">
        <is>
          <t>Colombia</t>
        </is>
      </c>
      <c r="D1793" t="inlineStr">
        <is>
          <t>Latin America</t>
        </is>
      </c>
      <c r="E1793" t="inlineStr">
        <is>
          <t>investment_signal_raw</t>
        </is>
      </c>
      <c r="F1793" t="inlineStr">
        <is>
          <t>Investment signal raw</t>
        </is>
      </c>
      <c r="G1793" t="inlineStr">
        <is>
          <t>creative</t>
        </is>
      </c>
      <c r="H1793" t="inlineStr">
        <is>
          <t>yes</t>
        </is>
      </c>
      <c r="I1793" t="inlineStr"/>
      <c r="J1793" t="inlineStr"/>
      <c r="K1793" t="inlineStr"/>
      <c r="L1793" t="inlineStr"/>
      <c r="M1793" t="inlineStr"/>
      <c r="N1793" t="inlineStr"/>
    </row>
    <row r="1794">
      <c r="A1794" t="inlineStr">
        <is>
          <t>co-medellin</t>
        </is>
      </c>
      <c r="B1794" t="inlineStr">
        <is>
          <t>Medellin</t>
        </is>
      </c>
      <c r="C1794" t="inlineStr">
        <is>
          <t>Colombia</t>
        </is>
      </c>
      <c r="D1794" t="inlineStr">
        <is>
          <t>Latin America</t>
        </is>
      </c>
      <c r="E1794" t="inlineStr">
        <is>
          <t>administrative_investment_friction_raw</t>
        </is>
      </c>
      <c r="F1794" t="inlineStr">
        <is>
          <t>Administrative investment friction raw</t>
        </is>
      </c>
      <c r="G1794" t="inlineStr">
        <is>
          <t>creative</t>
        </is>
      </c>
      <c r="H1794" t="inlineStr">
        <is>
          <t>yes</t>
        </is>
      </c>
      <c r="I1794" t="inlineStr"/>
      <c r="J1794" t="inlineStr"/>
      <c r="K1794" t="inlineStr"/>
      <c r="L1794" t="inlineStr"/>
      <c r="M1794" t="inlineStr"/>
      <c r="N1794" t="inlineStr"/>
    </row>
    <row r="1795">
      <c r="A1795" t="inlineStr">
        <is>
          <t>co-medellin</t>
        </is>
      </c>
      <c r="B1795" t="inlineStr">
        <is>
          <t>Medellin</t>
        </is>
      </c>
      <c r="C1795" t="inlineStr">
        <is>
          <t>Colombia</t>
        </is>
      </c>
      <c r="D1795" t="inlineStr">
        <is>
          <t>Latin America</t>
        </is>
      </c>
      <c r="E1795" t="inlineStr">
        <is>
          <t>visitor_flow_context_raw</t>
        </is>
      </c>
      <c r="F1795" t="inlineStr">
        <is>
          <t>Visitor flow context raw</t>
        </is>
      </c>
      <c r="G1795" t="inlineStr">
        <is>
          <t>creative</t>
        </is>
      </c>
      <c r="H1795" t="inlineStr">
        <is>
          <t>no</t>
        </is>
      </c>
      <c r="I1795" t="inlineStr"/>
      <c r="J1795" t="inlineStr"/>
      <c r="K1795" t="inlineStr"/>
      <c r="L1795" t="inlineStr"/>
      <c r="M1795" t="inlineStr"/>
      <c r="N1795" t="inlineStr"/>
    </row>
    <row r="1796">
      <c r="A1796" t="inlineStr">
        <is>
          <t>uy-montevideo</t>
        </is>
      </c>
      <c r="B1796" t="inlineStr">
        <is>
          <t>Montevideo</t>
        </is>
      </c>
      <c r="C1796" t="inlineStr">
        <is>
          <t>Uruguay</t>
        </is>
      </c>
      <c r="D1796" t="inlineStr">
        <is>
          <t>Latin America</t>
        </is>
      </c>
      <c r="E1796" t="inlineStr">
        <is>
          <t>gross_income</t>
        </is>
      </c>
      <c r="F1796" t="inlineStr">
        <is>
          <t>Gross income</t>
        </is>
      </c>
      <c r="G1796" t="inlineStr">
        <is>
          <t>pressure</t>
        </is>
      </c>
      <c r="H1796" t="inlineStr">
        <is>
          <t>yes</t>
        </is>
      </c>
      <c r="I1796" t="inlineStr"/>
      <c r="J1796" t="inlineStr"/>
      <c r="K1796" t="inlineStr"/>
      <c r="L1796" t="inlineStr"/>
      <c r="M1796" t="inlineStr"/>
      <c r="N1796" t="inlineStr"/>
    </row>
    <row r="1797">
      <c r="A1797" t="inlineStr">
        <is>
          <t>uy-montevideo</t>
        </is>
      </c>
      <c r="B1797" t="inlineStr">
        <is>
          <t>Montevideo</t>
        </is>
      </c>
      <c r="C1797" t="inlineStr">
        <is>
          <t>Uruguay</t>
        </is>
      </c>
      <c r="D1797" t="inlineStr">
        <is>
          <t>Latin America</t>
        </is>
      </c>
      <c r="E1797" t="inlineStr">
        <is>
          <t>rent</t>
        </is>
      </c>
      <c r="F1797" t="inlineStr">
        <is>
          <t>Rent</t>
        </is>
      </c>
      <c r="G1797" t="inlineStr">
        <is>
          <t>pressure</t>
        </is>
      </c>
      <c r="H1797" t="inlineStr">
        <is>
          <t>yes</t>
        </is>
      </c>
      <c r="I1797" t="inlineStr"/>
      <c r="J1797" t="inlineStr"/>
      <c r="K1797" t="inlineStr"/>
      <c r="L1797" t="inlineStr"/>
      <c r="M1797" t="inlineStr"/>
      <c r="N1797" t="inlineStr"/>
    </row>
    <row r="1798">
      <c r="A1798" t="inlineStr">
        <is>
          <t>uy-montevideo</t>
        </is>
      </c>
      <c r="B1798" t="inlineStr">
        <is>
          <t>Montevideo</t>
        </is>
      </c>
      <c r="C1798" t="inlineStr">
        <is>
          <t>Uruguay</t>
        </is>
      </c>
      <c r="D1798" t="inlineStr">
        <is>
          <t>Latin America</t>
        </is>
      </c>
      <c r="E1798" t="inlineStr">
        <is>
          <t>utilities</t>
        </is>
      </c>
      <c r="F1798" t="inlineStr">
        <is>
          <t>Utilities</t>
        </is>
      </c>
      <c r="G1798" t="inlineStr">
        <is>
          <t>pressure</t>
        </is>
      </c>
      <c r="H1798" t="inlineStr">
        <is>
          <t>yes</t>
        </is>
      </c>
      <c r="I1798" t="inlineStr"/>
      <c r="J1798" t="inlineStr"/>
      <c r="K1798" t="inlineStr"/>
      <c r="L1798" t="inlineStr"/>
      <c r="M1798" t="inlineStr"/>
      <c r="N1798" t="inlineStr"/>
    </row>
    <row r="1799">
      <c r="A1799" t="inlineStr">
        <is>
          <t>uy-montevideo</t>
        </is>
      </c>
      <c r="B1799" t="inlineStr">
        <is>
          <t>Montevideo</t>
        </is>
      </c>
      <c r="C1799" t="inlineStr">
        <is>
          <t>Uruguay</t>
        </is>
      </c>
      <c r="D1799" t="inlineStr">
        <is>
          <t>Latin America</t>
        </is>
      </c>
      <c r="E1799" t="inlineStr">
        <is>
          <t>transit_cost</t>
        </is>
      </c>
      <c r="F1799" t="inlineStr">
        <is>
          <t>Transit cost</t>
        </is>
      </c>
      <c r="G1799" t="inlineStr">
        <is>
          <t>pressure</t>
        </is>
      </c>
      <c r="H1799" t="inlineStr">
        <is>
          <t>yes</t>
        </is>
      </c>
      <c r="I1799" t="inlineStr"/>
      <c r="J1799" t="inlineStr"/>
      <c r="K1799" t="inlineStr"/>
      <c r="L1799" t="inlineStr"/>
      <c r="M1799" t="inlineStr"/>
      <c r="N1799" t="inlineStr"/>
    </row>
    <row r="1800">
      <c r="A1800" t="inlineStr">
        <is>
          <t>uy-montevideo</t>
        </is>
      </c>
      <c r="B1800" t="inlineStr">
        <is>
          <t>Montevideo</t>
        </is>
      </c>
      <c r="C1800" t="inlineStr">
        <is>
          <t>Uruguay</t>
        </is>
      </c>
      <c r="D1800" t="inlineStr">
        <is>
          <t>Latin America</t>
        </is>
      </c>
      <c r="E1800" t="inlineStr">
        <is>
          <t>internet_cost</t>
        </is>
      </c>
      <c r="F1800" t="inlineStr">
        <is>
          <t>Internet cost</t>
        </is>
      </c>
      <c r="G1800" t="inlineStr">
        <is>
          <t>pressure</t>
        </is>
      </c>
      <c r="H1800" t="inlineStr">
        <is>
          <t>yes</t>
        </is>
      </c>
      <c r="I1800" t="inlineStr"/>
      <c r="J1800" t="inlineStr"/>
      <c r="K1800" t="inlineStr"/>
      <c r="L1800" t="inlineStr"/>
      <c r="M1800" t="inlineStr"/>
      <c r="N1800" t="inlineStr"/>
    </row>
    <row r="1801">
      <c r="A1801" t="inlineStr">
        <is>
          <t>uy-montevideo</t>
        </is>
      </c>
      <c r="B1801" t="inlineStr">
        <is>
          <t>Montevideo</t>
        </is>
      </c>
      <c r="C1801" t="inlineStr">
        <is>
          <t>Uruguay</t>
        </is>
      </c>
      <c r="D1801" t="inlineStr">
        <is>
          <t>Latin America</t>
        </is>
      </c>
      <c r="E1801" t="inlineStr">
        <is>
          <t>food_cost</t>
        </is>
      </c>
      <c r="F1801" t="inlineStr">
        <is>
          <t>Food cost</t>
        </is>
      </c>
      <c r="G1801" t="inlineStr">
        <is>
          <t>pressure</t>
        </is>
      </c>
      <c r="H1801" t="inlineStr">
        <is>
          <t>yes</t>
        </is>
      </c>
      <c r="I1801" t="inlineStr"/>
      <c r="J1801" t="inlineStr"/>
      <c r="K1801" t="inlineStr"/>
      <c r="L1801" t="inlineStr"/>
      <c r="M1801" t="inlineStr"/>
      <c r="N1801" t="inlineStr"/>
    </row>
    <row r="1802">
      <c r="A1802" t="inlineStr">
        <is>
          <t>uy-montevideo</t>
        </is>
      </c>
      <c r="B1802" t="inlineStr">
        <is>
          <t>Montevideo</t>
        </is>
      </c>
      <c r="C1802" t="inlineStr">
        <is>
          <t>Uruguay</t>
        </is>
      </c>
      <c r="D1802" t="inlineStr">
        <is>
          <t>Latin America</t>
        </is>
      </c>
      <c r="E1802" t="inlineStr">
        <is>
          <t>housing_burden_raw</t>
        </is>
      </c>
      <c r="F1802" t="inlineStr">
        <is>
          <t>Housing burden raw</t>
        </is>
      </c>
      <c r="G1802" t="inlineStr">
        <is>
          <t>pressure</t>
        </is>
      </c>
      <c r="H1802" t="inlineStr">
        <is>
          <t>yes</t>
        </is>
      </c>
      <c r="I1802" t="inlineStr"/>
      <c r="J1802" t="inlineStr"/>
      <c r="K1802" t="inlineStr"/>
      <c r="L1802" t="inlineStr"/>
      <c r="M1802" t="inlineStr"/>
      <c r="N1802" t="inlineStr"/>
    </row>
    <row r="1803">
      <c r="A1803" t="inlineStr">
        <is>
          <t>uy-montevideo</t>
        </is>
      </c>
      <c r="B1803" t="inlineStr">
        <is>
          <t>Montevideo</t>
        </is>
      </c>
      <c r="C1803" t="inlineStr">
        <is>
          <t>Uruguay</t>
        </is>
      </c>
      <c r="D1803" t="inlineStr">
        <is>
          <t>Latin America</t>
        </is>
      </c>
      <c r="E1803" t="inlineStr">
        <is>
          <t>household_debt_burden_raw</t>
        </is>
      </c>
      <c r="F1803" t="inlineStr">
        <is>
          <t>Household debt burden raw</t>
        </is>
      </c>
      <c r="G1803" t="inlineStr">
        <is>
          <t>pressure</t>
        </is>
      </c>
      <c r="H1803" t="inlineStr">
        <is>
          <t>yes</t>
        </is>
      </c>
      <c r="I1803" t="inlineStr"/>
      <c r="J1803" t="inlineStr"/>
      <c r="K1803" t="inlineStr"/>
      <c r="L1803" t="inlineStr"/>
      <c r="M1803" t="inlineStr"/>
      <c r="N1803" t="inlineStr"/>
    </row>
    <row r="1804">
      <c r="A1804" t="inlineStr">
        <is>
          <t>uy-montevideo</t>
        </is>
      </c>
      <c r="B1804" t="inlineStr">
        <is>
          <t>Montevideo</t>
        </is>
      </c>
      <c r="C1804" t="inlineStr">
        <is>
          <t>Uruguay</t>
        </is>
      </c>
      <c r="D1804" t="inlineStr">
        <is>
          <t>Latin America</t>
        </is>
      </c>
      <c r="E1804" t="inlineStr">
        <is>
          <t>working_time_pressure_raw</t>
        </is>
      </c>
      <c r="F1804" t="inlineStr">
        <is>
          <t>Working time pressure raw</t>
        </is>
      </c>
      <c r="G1804" t="inlineStr">
        <is>
          <t>pressure</t>
        </is>
      </c>
      <c r="H1804" t="inlineStr">
        <is>
          <t>yes</t>
        </is>
      </c>
      <c r="I1804" t="inlineStr"/>
      <c r="J1804" t="inlineStr"/>
      <c r="K1804" t="inlineStr"/>
      <c r="L1804" t="inlineStr"/>
      <c r="M1804" t="inlineStr"/>
      <c r="N1804" t="inlineStr"/>
    </row>
    <row r="1805">
      <c r="A1805" t="inlineStr">
        <is>
          <t>uy-montevideo</t>
        </is>
      </c>
      <c r="B1805" t="inlineStr">
        <is>
          <t>Montevideo</t>
        </is>
      </c>
      <c r="C1805" t="inlineStr">
        <is>
          <t>Uruguay</t>
        </is>
      </c>
      <c r="D1805" t="inlineStr">
        <is>
          <t>Latin America</t>
        </is>
      </c>
      <c r="E1805" t="inlineStr">
        <is>
          <t>suicide_mental_strain_raw</t>
        </is>
      </c>
      <c r="F1805" t="inlineStr">
        <is>
          <t>Suicide or mental strain raw</t>
        </is>
      </c>
      <c r="G1805" t="inlineStr">
        <is>
          <t>pressure</t>
        </is>
      </c>
      <c r="H1805" t="inlineStr">
        <is>
          <t>yes</t>
        </is>
      </c>
      <c r="I1805" t="inlineStr"/>
      <c r="J1805" t="inlineStr"/>
      <c r="K1805" t="inlineStr"/>
      <c r="L1805" t="inlineStr"/>
      <c r="M1805" t="inlineStr"/>
      <c r="N1805" t="inlineStr"/>
    </row>
    <row r="1806">
      <c r="A1806" t="inlineStr">
        <is>
          <t>uy-montevideo</t>
        </is>
      </c>
      <c r="B1806" t="inlineStr">
        <is>
          <t>Montevideo</t>
        </is>
      </c>
      <c r="C1806" t="inlineStr">
        <is>
          <t>Uruguay</t>
        </is>
      </c>
      <c r="D1806" t="inlineStr">
        <is>
          <t>Latin America</t>
        </is>
      </c>
      <c r="E1806" t="inlineStr">
        <is>
          <t>personal_safety_raw</t>
        </is>
      </c>
      <c r="F1806" t="inlineStr">
        <is>
          <t>Personal safety raw</t>
        </is>
      </c>
      <c r="G1806" t="inlineStr">
        <is>
          <t>viability</t>
        </is>
      </c>
      <c r="H1806" t="inlineStr">
        <is>
          <t>yes</t>
        </is>
      </c>
      <c r="I1806" t="inlineStr"/>
      <c r="J1806" t="inlineStr"/>
      <c r="K1806" t="inlineStr"/>
      <c r="L1806" t="inlineStr"/>
      <c r="M1806" t="inlineStr"/>
      <c r="N1806" t="inlineStr"/>
    </row>
    <row r="1807">
      <c r="A1807" t="inlineStr">
        <is>
          <t>uy-montevideo</t>
        </is>
      </c>
      <c r="B1807" t="inlineStr">
        <is>
          <t>Montevideo</t>
        </is>
      </c>
      <c r="C1807" t="inlineStr">
        <is>
          <t>Uruguay</t>
        </is>
      </c>
      <c r="D1807" t="inlineStr">
        <is>
          <t>Latin America</t>
        </is>
      </c>
      <c r="E1807" t="inlineStr">
        <is>
          <t>transit_access_commute_raw</t>
        </is>
      </c>
      <c r="F1807" t="inlineStr">
        <is>
          <t>Transit access and commute raw</t>
        </is>
      </c>
      <c r="G1807" t="inlineStr">
        <is>
          <t>viability</t>
        </is>
      </c>
      <c r="H1807" t="inlineStr">
        <is>
          <t>yes</t>
        </is>
      </c>
      <c r="I1807" t="inlineStr"/>
      <c r="J1807" t="inlineStr"/>
      <c r="K1807" t="inlineStr"/>
      <c r="L1807" t="inlineStr"/>
      <c r="M1807" t="inlineStr"/>
      <c r="N1807" t="inlineStr"/>
    </row>
    <row r="1808">
      <c r="A1808" t="inlineStr">
        <is>
          <t>uy-montevideo</t>
        </is>
      </c>
      <c r="B1808" t="inlineStr">
        <is>
          <t>Montevideo</t>
        </is>
      </c>
      <c r="C1808" t="inlineStr">
        <is>
          <t>Uruguay</t>
        </is>
      </c>
      <c r="D1808" t="inlineStr">
        <is>
          <t>Latin America</t>
        </is>
      </c>
      <c r="E1808" t="inlineStr">
        <is>
          <t>clean_air_raw</t>
        </is>
      </c>
      <c r="F1808" t="inlineStr">
        <is>
          <t>Clean air raw</t>
        </is>
      </c>
      <c r="G1808" t="inlineStr">
        <is>
          <t>viability</t>
        </is>
      </c>
      <c r="H1808" t="inlineStr">
        <is>
          <t>yes</t>
        </is>
      </c>
      <c r="I1808" t="inlineStr"/>
      <c r="J1808" t="inlineStr"/>
      <c r="K1808" t="inlineStr"/>
      <c r="L1808" t="inlineStr"/>
      <c r="M1808" t="inlineStr"/>
      <c r="N1808" t="inlineStr"/>
    </row>
    <row r="1809">
      <c r="A1809" t="inlineStr">
        <is>
          <t>uy-montevideo</t>
        </is>
      </c>
      <c r="B1809" t="inlineStr">
        <is>
          <t>Montevideo</t>
        </is>
      </c>
      <c r="C1809" t="inlineStr">
        <is>
          <t>Uruguay</t>
        </is>
      </c>
      <c r="D1809" t="inlineStr">
        <is>
          <t>Latin America</t>
        </is>
      </c>
      <c r="E1809" t="inlineStr">
        <is>
          <t>water_sanitation_utility_raw</t>
        </is>
      </c>
      <c r="F1809" t="inlineStr">
        <is>
          <t>Water, sanitation, and utility raw</t>
        </is>
      </c>
      <c r="G1809" t="inlineStr">
        <is>
          <t>viability</t>
        </is>
      </c>
      <c r="H1809" t="inlineStr">
        <is>
          <t>yes</t>
        </is>
      </c>
      <c r="I1809" t="inlineStr"/>
      <c r="J1809" t="inlineStr"/>
      <c r="K1809" t="inlineStr"/>
      <c r="L1809" t="inlineStr"/>
      <c r="M1809" t="inlineStr"/>
      <c r="N1809" t="inlineStr"/>
    </row>
    <row r="1810">
      <c r="A1810" t="inlineStr">
        <is>
          <t>uy-montevideo</t>
        </is>
      </c>
      <c r="B1810" t="inlineStr">
        <is>
          <t>Montevideo</t>
        </is>
      </c>
      <c r="C1810" t="inlineStr">
        <is>
          <t>Uruguay</t>
        </is>
      </c>
      <c r="D1810" t="inlineStr">
        <is>
          <t>Latin America</t>
        </is>
      </c>
      <c r="E1810" t="inlineStr">
        <is>
          <t>digital_infrastructure_raw</t>
        </is>
      </c>
      <c r="F1810" t="inlineStr">
        <is>
          <t>Digital infrastructure raw</t>
        </is>
      </c>
      <c r="G1810" t="inlineStr">
        <is>
          <t>viability</t>
        </is>
      </c>
      <c r="H1810" t="inlineStr">
        <is>
          <t>yes</t>
        </is>
      </c>
      <c r="I1810" t="inlineStr"/>
      <c r="J1810" t="inlineStr"/>
      <c r="K1810" t="inlineStr"/>
      <c r="L1810" t="inlineStr"/>
      <c r="M1810" t="inlineStr"/>
      <c r="N1810" t="inlineStr"/>
    </row>
    <row r="1811">
      <c r="A1811" t="inlineStr">
        <is>
          <t>uy-montevideo</t>
        </is>
      </c>
      <c r="B1811" t="inlineStr">
        <is>
          <t>Montevideo</t>
        </is>
      </c>
      <c r="C1811" t="inlineStr">
        <is>
          <t>Uruguay</t>
        </is>
      </c>
      <c r="D1811" t="inlineStr">
        <is>
          <t>Latin America</t>
        </is>
      </c>
      <c r="E1811" t="inlineStr">
        <is>
          <t>healthcare_quality_raw</t>
        </is>
      </c>
      <c r="F1811" t="inlineStr">
        <is>
          <t>Healthcare quality raw</t>
        </is>
      </c>
      <c r="G1811" t="inlineStr">
        <is>
          <t>capability</t>
        </is>
      </c>
      <c r="H1811" t="inlineStr">
        <is>
          <t>yes</t>
        </is>
      </c>
      <c r="I1811" t="inlineStr"/>
      <c r="J1811" t="inlineStr"/>
      <c r="K1811" t="inlineStr"/>
      <c r="L1811" t="inlineStr"/>
      <c r="M1811" t="inlineStr"/>
      <c r="N1811" t="inlineStr"/>
    </row>
    <row r="1812">
      <c r="A1812" t="inlineStr">
        <is>
          <t>uy-montevideo</t>
        </is>
      </c>
      <c r="B1812" t="inlineStr">
        <is>
          <t>Montevideo</t>
        </is>
      </c>
      <c r="C1812" t="inlineStr">
        <is>
          <t>Uruguay</t>
        </is>
      </c>
      <c r="D1812" t="inlineStr">
        <is>
          <t>Latin America</t>
        </is>
      </c>
      <c r="E1812" t="inlineStr">
        <is>
          <t>education_quality_raw</t>
        </is>
      </c>
      <c r="F1812" t="inlineStr">
        <is>
          <t>Education quality raw</t>
        </is>
      </c>
      <c r="G1812" t="inlineStr">
        <is>
          <t>capability</t>
        </is>
      </c>
      <c r="H1812" t="inlineStr">
        <is>
          <t>yes</t>
        </is>
      </c>
      <c r="I1812" t="inlineStr"/>
      <c r="J1812" t="inlineStr"/>
      <c r="K1812" t="inlineStr"/>
      <c r="L1812" t="inlineStr"/>
      <c r="M1812" t="inlineStr"/>
      <c r="N1812" t="inlineStr"/>
    </row>
    <row r="1813">
      <c r="A1813" t="inlineStr">
        <is>
          <t>uy-montevideo</t>
        </is>
      </c>
      <c r="B1813" t="inlineStr">
        <is>
          <t>Montevideo</t>
        </is>
      </c>
      <c r="C1813" t="inlineStr">
        <is>
          <t>Uruguay</t>
        </is>
      </c>
      <c r="D1813" t="inlineStr">
        <is>
          <t>Latin America</t>
        </is>
      </c>
      <c r="E1813" t="inlineStr">
        <is>
          <t>equal_opportunity_raw</t>
        </is>
      </c>
      <c r="F1813" t="inlineStr">
        <is>
          <t>Equal opportunity raw</t>
        </is>
      </c>
      <c r="G1813" t="inlineStr">
        <is>
          <t>capability</t>
        </is>
      </c>
      <c r="H1813" t="inlineStr">
        <is>
          <t>yes</t>
        </is>
      </c>
      <c r="I1813" t="inlineStr"/>
      <c r="J1813" t="inlineStr"/>
      <c r="K1813" t="inlineStr"/>
      <c r="L1813" t="inlineStr"/>
      <c r="M1813" t="inlineStr"/>
      <c r="N1813" t="inlineStr"/>
    </row>
    <row r="1814">
      <c r="A1814" t="inlineStr">
        <is>
          <t>uy-montevideo</t>
        </is>
      </c>
      <c r="B1814" t="inlineStr">
        <is>
          <t>Montevideo</t>
        </is>
      </c>
      <c r="C1814" t="inlineStr">
        <is>
          <t>Uruguay</t>
        </is>
      </c>
      <c r="D1814" t="inlineStr">
        <is>
          <t>Latin America</t>
        </is>
      </c>
      <c r="E1814" t="inlineStr">
        <is>
          <t>hospitality_belonging_raw</t>
        </is>
      </c>
      <c r="F1814" t="inlineStr">
        <is>
          <t>Hospitality and belonging raw</t>
        </is>
      </c>
      <c r="G1814" t="inlineStr">
        <is>
          <t>community</t>
        </is>
      </c>
      <c r="H1814" t="inlineStr">
        <is>
          <t>yes</t>
        </is>
      </c>
      <c r="I1814" t="inlineStr"/>
      <c r="J1814" t="inlineStr"/>
      <c r="K1814" t="inlineStr"/>
      <c r="L1814" t="inlineStr"/>
      <c r="M1814" t="inlineStr"/>
      <c r="N1814" t="inlineStr"/>
    </row>
    <row r="1815">
      <c r="A1815" t="inlineStr">
        <is>
          <t>uy-montevideo</t>
        </is>
      </c>
      <c r="B1815" t="inlineStr">
        <is>
          <t>Montevideo</t>
        </is>
      </c>
      <c r="C1815" t="inlineStr">
        <is>
          <t>Uruguay</t>
        </is>
      </c>
      <c r="D1815" t="inlineStr">
        <is>
          <t>Latin America</t>
        </is>
      </c>
      <c r="E1815" t="inlineStr">
        <is>
          <t>tolerance_pluralism_raw</t>
        </is>
      </c>
      <c r="F1815" t="inlineStr">
        <is>
          <t>Tolerance and pluralism raw</t>
        </is>
      </c>
      <c r="G1815" t="inlineStr">
        <is>
          <t>community</t>
        </is>
      </c>
      <c r="H1815" t="inlineStr">
        <is>
          <t>yes</t>
        </is>
      </c>
      <c r="I1815" t="inlineStr"/>
      <c r="J1815" t="inlineStr"/>
      <c r="K1815" t="inlineStr"/>
      <c r="L1815" t="inlineStr"/>
      <c r="M1815" t="inlineStr"/>
      <c r="N1815" t="inlineStr"/>
    </row>
    <row r="1816">
      <c r="A1816" t="inlineStr">
        <is>
          <t>uy-montevideo</t>
        </is>
      </c>
      <c r="B1816" t="inlineStr">
        <is>
          <t>Montevideo</t>
        </is>
      </c>
      <c r="C1816" t="inlineStr">
        <is>
          <t>Uruguay</t>
        </is>
      </c>
      <c r="D1816" t="inlineStr">
        <is>
          <t>Latin America</t>
        </is>
      </c>
      <c r="E1816" t="inlineStr">
        <is>
          <t>cultural_public_life_raw</t>
        </is>
      </c>
      <c r="F1816" t="inlineStr">
        <is>
          <t>Cultural public life raw</t>
        </is>
      </c>
      <c r="G1816" t="inlineStr">
        <is>
          <t>community</t>
        </is>
      </c>
      <c r="H1816" t="inlineStr">
        <is>
          <t>yes</t>
        </is>
      </c>
      <c r="I1816" t="inlineStr"/>
      <c r="J1816" t="inlineStr"/>
      <c r="K1816" t="inlineStr"/>
      <c r="L1816" t="inlineStr"/>
      <c r="M1816" t="inlineStr"/>
      <c r="N1816" t="inlineStr"/>
    </row>
    <row r="1817">
      <c r="A1817" t="inlineStr">
        <is>
          <t>uy-montevideo</t>
        </is>
      </c>
      <c r="B1817" t="inlineStr">
        <is>
          <t>Montevideo</t>
        </is>
      </c>
      <c r="C1817" t="inlineStr">
        <is>
          <t>Uruguay</t>
        </is>
      </c>
      <c r="D1817" t="inlineStr">
        <is>
          <t>Latin America</t>
        </is>
      </c>
      <c r="E1817" t="inlineStr">
        <is>
          <t>entrepreneurial_dynamism_raw</t>
        </is>
      </c>
      <c r="F1817" t="inlineStr">
        <is>
          <t>Entrepreneurial dynamism raw</t>
        </is>
      </c>
      <c r="G1817" t="inlineStr">
        <is>
          <t>creative</t>
        </is>
      </c>
      <c r="H1817" t="inlineStr">
        <is>
          <t>yes</t>
        </is>
      </c>
      <c r="I1817" t="inlineStr"/>
      <c r="J1817" t="inlineStr"/>
      <c r="K1817" t="inlineStr"/>
      <c r="L1817" t="inlineStr"/>
      <c r="M1817" t="inlineStr"/>
      <c r="N1817" t="inlineStr"/>
    </row>
    <row r="1818">
      <c r="A1818" t="inlineStr">
        <is>
          <t>uy-montevideo</t>
        </is>
      </c>
      <c r="B1818" t="inlineStr">
        <is>
          <t>Montevideo</t>
        </is>
      </c>
      <c r="C1818" t="inlineStr">
        <is>
          <t>Uruguay</t>
        </is>
      </c>
      <c r="D1818" t="inlineStr">
        <is>
          <t>Latin America</t>
        </is>
      </c>
      <c r="E1818" t="inlineStr">
        <is>
          <t>innovation_research_intensity_raw</t>
        </is>
      </c>
      <c r="F1818" t="inlineStr">
        <is>
          <t>Innovation and research raw</t>
        </is>
      </c>
      <c r="G1818" t="inlineStr">
        <is>
          <t>creative</t>
        </is>
      </c>
      <c r="H1818" t="inlineStr">
        <is>
          <t>yes</t>
        </is>
      </c>
      <c r="I1818" t="inlineStr"/>
      <c r="J1818" t="inlineStr"/>
      <c r="K1818" t="inlineStr"/>
      <c r="L1818" t="inlineStr"/>
      <c r="M1818" t="inlineStr"/>
      <c r="N1818" t="inlineStr"/>
    </row>
    <row r="1819">
      <c r="A1819" t="inlineStr">
        <is>
          <t>uy-montevideo</t>
        </is>
      </c>
      <c r="B1819" t="inlineStr">
        <is>
          <t>Montevideo</t>
        </is>
      </c>
      <c r="C1819" t="inlineStr">
        <is>
          <t>Uruguay</t>
        </is>
      </c>
      <c r="D1819" t="inlineStr">
        <is>
          <t>Latin America</t>
        </is>
      </c>
      <c r="E1819" t="inlineStr">
        <is>
          <t>investment_signal_raw</t>
        </is>
      </c>
      <c r="F1819" t="inlineStr">
        <is>
          <t>Investment signal raw</t>
        </is>
      </c>
      <c r="G1819" t="inlineStr">
        <is>
          <t>creative</t>
        </is>
      </c>
      <c r="H1819" t="inlineStr">
        <is>
          <t>yes</t>
        </is>
      </c>
      <c r="I1819" t="inlineStr"/>
      <c r="J1819" t="inlineStr"/>
      <c r="K1819" t="inlineStr"/>
      <c r="L1819" t="inlineStr"/>
      <c r="M1819" t="inlineStr"/>
      <c r="N1819" t="inlineStr"/>
    </row>
    <row r="1820">
      <c r="A1820" t="inlineStr">
        <is>
          <t>uy-montevideo</t>
        </is>
      </c>
      <c r="B1820" t="inlineStr">
        <is>
          <t>Montevideo</t>
        </is>
      </c>
      <c r="C1820" t="inlineStr">
        <is>
          <t>Uruguay</t>
        </is>
      </c>
      <c r="D1820" t="inlineStr">
        <is>
          <t>Latin America</t>
        </is>
      </c>
      <c r="E1820" t="inlineStr">
        <is>
          <t>administrative_investment_friction_raw</t>
        </is>
      </c>
      <c r="F1820" t="inlineStr">
        <is>
          <t>Administrative investment friction raw</t>
        </is>
      </c>
      <c r="G1820" t="inlineStr">
        <is>
          <t>creative</t>
        </is>
      </c>
      <c r="H1820" t="inlineStr">
        <is>
          <t>yes</t>
        </is>
      </c>
      <c r="I1820" t="inlineStr"/>
      <c r="J1820" t="inlineStr"/>
      <c r="K1820" t="inlineStr"/>
      <c r="L1820" t="inlineStr"/>
      <c r="M1820" t="inlineStr"/>
      <c r="N1820" t="inlineStr"/>
    </row>
    <row r="1821">
      <c r="A1821" t="inlineStr">
        <is>
          <t>uy-montevideo</t>
        </is>
      </c>
      <c r="B1821" t="inlineStr">
        <is>
          <t>Montevideo</t>
        </is>
      </c>
      <c r="C1821" t="inlineStr">
        <is>
          <t>Uruguay</t>
        </is>
      </c>
      <c r="D1821" t="inlineStr">
        <is>
          <t>Latin America</t>
        </is>
      </c>
      <c r="E1821" t="inlineStr">
        <is>
          <t>visitor_flow_context_raw</t>
        </is>
      </c>
      <c r="F1821" t="inlineStr">
        <is>
          <t>Visitor flow context raw</t>
        </is>
      </c>
      <c r="G1821" t="inlineStr">
        <is>
          <t>creative</t>
        </is>
      </c>
      <c r="H1821" t="inlineStr">
        <is>
          <t>no</t>
        </is>
      </c>
      <c r="I1821" t="inlineStr"/>
      <c r="J1821" t="inlineStr"/>
      <c r="K1821" t="inlineStr"/>
      <c r="L1821" t="inlineStr"/>
      <c r="M1821" t="inlineStr"/>
      <c r="N1821" t="inlineStr"/>
    </row>
    <row r="1822">
      <c r="A1822" t="inlineStr">
        <is>
          <t>ar-cordoba</t>
        </is>
      </c>
      <c r="B1822" t="inlineStr">
        <is>
          <t>Cordoba</t>
        </is>
      </c>
      <c r="C1822" t="inlineStr">
        <is>
          <t>Argentina</t>
        </is>
      </c>
      <c r="D1822" t="inlineStr">
        <is>
          <t>Latin America</t>
        </is>
      </c>
      <c r="E1822" t="inlineStr">
        <is>
          <t>gross_income</t>
        </is>
      </c>
      <c r="F1822" t="inlineStr">
        <is>
          <t>Gross income</t>
        </is>
      </c>
      <c r="G1822" t="inlineStr">
        <is>
          <t>pressure</t>
        </is>
      </c>
      <c r="H1822" t="inlineStr">
        <is>
          <t>yes</t>
        </is>
      </c>
      <c r="I1822" t="inlineStr"/>
      <c r="J1822" t="inlineStr"/>
      <c r="K1822" t="inlineStr"/>
      <c r="L1822" t="inlineStr"/>
      <c r="M1822" t="inlineStr"/>
      <c r="N1822" t="inlineStr"/>
    </row>
    <row r="1823">
      <c r="A1823" t="inlineStr">
        <is>
          <t>ar-cordoba</t>
        </is>
      </c>
      <c r="B1823" t="inlineStr">
        <is>
          <t>Cordoba</t>
        </is>
      </c>
      <c r="C1823" t="inlineStr">
        <is>
          <t>Argentina</t>
        </is>
      </c>
      <c r="D1823" t="inlineStr">
        <is>
          <t>Latin America</t>
        </is>
      </c>
      <c r="E1823" t="inlineStr">
        <is>
          <t>rent</t>
        </is>
      </c>
      <c r="F1823" t="inlineStr">
        <is>
          <t>Rent</t>
        </is>
      </c>
      <c r="G1823" t="inlineStr">
        <is>
          <t>pressure</t>
        </is>
      </c>
      <c r="H1823" t="inlineStr">
        <is>
          <t>yes</t>
        </is>
      </c>
      <c r="I1823" t="inlineStr"/>
      <c r="J1823" t="inlineStr"/>
      <c r="K1823" t="inlineStr"/>
      <c r="L1823" t="inlineStr"/>
      <c r="M1823" t="inlineStr"/>
      <c r="N1823" t="inlineStr"/>
    </row>
    <row r="1824">
      <c r="A1824" t="inlineStr">
        <is>
          <t>ar-cordoba</t>
        </is>
      </c>
      <c r="B1824" t="inlineStr">
        <is>
          <t>Cordoba</t>
        </is>
      </c>
      <c r="C1824" t="inlineStr">
        <is>
          <t>Argentina</t>
        </is>
      </c>
      <c r="D1824" t="inlineStr">
        <is>
          <t>Latin America</t>
        </is>
      </c>
      <c r="E1824" t="inlineStr">
        <is>
          <t>utilities</t>
        </is>
      </c>
      <c r="F1824" t="inlineStr">
        <is>
          <t>Utilities</t>
        </is>
      </c>
      <c r="G1824" t="inlineStr">
        <is>
          <t>pressure</t>
        </is>
      </c>
      <c r="H1824" t="inlineStr">
        <is>
          <t>yes</t>
        </is>
      </c>
      <c r="I1824" t="inlineStr"/>
      <c r="J1824" t="inlineStr"/>
      <c r="K1824" t="inlineStr"/>
      <c r="L1824" t="inlineStr"/>
      <c r="M1824" t="inlineStr"/>
      <c r="N1824" t="inlineStr"/>
    </row>
    <row r="1825">
      <c r="A1825" t="inlineStr">
        <is>
          <t>ar-cordoba</t>
        </is>
      </c>
      <c r="B1825" t="inlineStr">
        <is>
          <t>Cordoba</t>
        </is>
      </c>
      <c r="C1825" t="inlineStr">
        <is>
          <t>Argentina</t>
        </is>
      </c>
      <c r="D1825" t="inlineStr">
        <is>
          <t>Latin America</t>
        </is>
      </c>
      <c r="E1825" t="inlineStr">
        <is>
          <t>transit_cost</t>
        </is>
      </c>
      <c r="F1825" t="inlineStr">
        <is>
          <t>Transit cost</t>
        </is>
      </c>
      <c r="G1825" t="inlineStr">
        <is>
          <t>pressure</t>
        </is>
      </c>
      <c r="H1825" t="inlineStr">
        <is>
          <t>yes</t>
        </is>
      </c>
      <c r="I1825" t="inlineStr"/>
      <c r="J1825" t="inlineStr"/>
      <c r="K1825" t="inlineStr"/>
      <c r="L1825" t="inlineStr"/>
      <c r="M1825" t="inlineStr"/>
      <c r="N1825" t="inlineStr"/>
    </row>
    <row r="1826">
      <c r="A1826" t="inlineStr">
        <is>
          <t>ar-cordoba</t>
        </is>
      </c>
      <c r="B1826" t="inlineStr">
        <is>
          <t>Cordoba</t>
        </is>
      </c>
      <c r="C1826" t="inlineStr">
        <is>
          <t>Argentina</t>
        </is>
      </c>
      <c r="D1826" t="inlineStr">
        <is>
          <t>Latin America</t>
        </is>
      </c>
      <c r="E1826" t="inlineStr">
        <is>
          <t>internet_cost</t>
        </is>
      </c>
      <c r="F1826" t="inlineStr">
        <is>
          <t>Internet cost</t>
        </is>
      </c>
      <c r="G1826" t="inlineStr">
        <is>
          <t>pressure</t>
        </is>
      </c>
      <c r="H1826" t="inlineStr">
        <is>
          <t>yes</t>
        </is>
      </c>
      <c r="I1826" t="inlineStr"/>
      <c r="J1826" t="inlineStr"/>
      <c r="K1826" t="inlineStr"/>
      <c r="L1826" t="inlineStr"/>
      <c r="M1826" t="inlineStr"/>
      <c r="N1826" t="inlineStr"/>
    </row>
    <row r="1827">
      <c r="A1827" t="inlineStr">
        <is>
          <t>ar-cordoba</t>
        </is>
      </c>
      <c r="B1827" t="inlineStr">
        <is>
          <t>Cordoba</t>
        </is>
      </c>
      <c r="C1827" t="inlineStr">
        <is>
          <t>Argentina</t>
        </is>
      </c>
      <c r="D1827" t="inlineStr">
        <is>
          <t>Latin America</t>
        </is>
      </c>
      <c r="E1827" t="inlineStr">
        <is>
          <t>food_cost</t>
        </is>
      </c>
      <c r="F1827" t="inlineStr">
        <is>
          <t>Food cost</t>
        </is>
      </c>
      <c r="G1827" t="inlineStr">
        <is>
          <t>pressure</t>
        </is>
      </c>
      <c r="H1827" t="inlineStr">
        <is>
          <t>yes</t>
        </is>
      </c>
      <c r="I1827" t="inlineStr"/>
      <c r="J1827" t="inlineStr"/>
      <c r="K1827" t="inlineStr"/>
      <c r="L1827" t="inlineStr"/>
      <c r="M1827" t="inlineStr"/>
      <c r="N1827" t="inlineStr"/>
    </row>
    <row r="1828">
      <c r="A1828" t="inlineStr">
        <is>
          <t>ar-cordoba</t>
        </is>
      </c>
      <c r="B1828" t="inlineStr">
        <is>
          <t>Cordoba</t>
        </is>
      </c>
      <c r="C1828" t="inlineStr">
        <is>
          <t>Argentina</t>
        </is>
      </c>
      <c r="D1828" t="inlineStr">
        <is>
          <t>Latin America</t>
        </is>
      </c>
      <c r="E1828" t="inlineStr">
        <is>
          <t>housing_burden_raw</t>
        </is>
      </c>
      <c r="F1828" t="inlineStr">
        <is>
          <t>Housing burden raw</t>
        </is>
      </c>
      <c r="G1828" t="inlineStr">
        <is>
          <t>pressure</t>
        </is>
      </c>
      <c r="H1828" t="inlineStr">
        <is>
          <t>yes</t>
        </is>
      </c>
      <c r="I1828" t="inlineStr"/>
      <c r="J1828" t="inlineStr"/>
      <c r="K1828" t="inlineStr"/>
      <c r="L1828" t="inlineStr"/>
      <c r="M1828" t="inlineStr"/>
      <c r="N1828" t="inlineStr"/>
    </row>
    <row r="1829">
      <c r="A1829" t="inlineStr">
        <is>
          <t>ar-cordoba</t>
        </is>
      </c>
      <c r="B1829" t="inlineStr">
        <is>
          <t>Cordoba</t>
        </is>
      </c>
      <c r="C1829" t="inlineStr">
        <is>
          <t>Argentina</t>
        </is>
      </c>
      <c r="D1829" t="inlineStr">
        <is>
          <t>Latin America</t>
        </is>
      </c>
      <c r="E1829" t="inlineStr">
        <is>
          <t>household_debt_burden_raw</t>
        </is>
      </c>
      <c r="F1829" t="inlineStr">
        <is>
          <t>Household debt burden raw</t>
        </is>
      </c>
      <c r="G1829" t="inlineStr">
        <is>
          <t>pressure</t>
        </is>
      </c>
      <c r="H1829" t="inlineStr">
        <is>
          <t>yes</t>
        </is>
      </c>
      <c r="I1829" t="inlineStr"/>
      <c r="J1829" t="inlineStr"/>
      <c r="K1829" t="inlineStr"/>
      <c r="L1829" t="inlineStr"/>
      <c r="M1829" t="inlineStr"/>
      <c r="N1829" t="inlineStr"/>
    </row>
    <row r="1830">
      <c r="A1830" t="inlineStr">
        <is>
          <t>ar-cordoba</t>
        </is>
      </c>
      <c r="B1830" t="inlineStr">
        <is>
          <t>Cordoba</t>
        </is>
      </c>
      <c r="C1830" t="inlineStr">
        <is>
          <t>Argentina</t>
        </is>
      </c>
      <c r="D1830" t="inlineStr">
        <is>
          <t>Latin America</t>
        </is>
      </c>
      <c r="E1830" t="inlineStr">
        <is>
          <t>working_time_pressure_raw</t>
        </is>
      </c>
      <c r="F1830" t="inlineStr">
        <is>
          <t>Working time pressure raw</t>
        </is>
      </c>
      <c r="G1830" t="inlineStr">
        <is>
          <t>pressure</t>
        </is>
      </c>
      <c r="H1830" t="inlineStr">
        <is>
          <t>yes</t>
        </is>
      </c>
      <c r="I1830" t="inlineStr"/>
      <c r="J1830" t="inlineStr"/>
      <c r="K1830" t="inlineStr"/>
      <c r="L1830" t="inlineStr"/>
      <c r="M1830" t="inlineStr"/>
      <c r="N1830" t="inlineStr"/>
    </row>
    <row r="1831">
      <c r="A1831" t="inlineStr">
        <is>
          <t>ar-cordoba</t>
        </is>
      </c>
      <c r="B1831" t="inlineStr">
        <is>
          <t>Cordoba</t>
        </is>
      </c>
      <c r="C1831" t="inlineStr">
        <is>
          <t>Argentina</t>
        </is>
      </c>
      <c r="D1831" t="inlineStr">
        <is>
          <t>Latin America</t>
        </is>
      </c>
      <c r="E1831" t="inlineStr">
        <is>
          <t>suicide_mental_strain_raw</t>
        </is>
      </c>
      <c r="F1831" t="inlineStr">
        <is>
          <t>Suicide or mental strain raw</t>
        </is>
      </c>
      <c r="G1831" t="inlineStr">
        <is>
          <t>pressure</t>
        </is>
      </c>
      <c r="H1831" t="inlineStr">
        <is>
          <t>yes</t>
        </is>
      </c>
      <c r="I1831" t="inlineStr"/>
      <c r="J1831" t="inlineStr"/>
      <c r="K1831" t="inlineStr"/>
      <c r="L1831" t="inlineStr"/>
      <c r="M1831" t="inlineStr"/>
      <c r="N1831" t="inlineStr"/>
    </row>
    <row r="1832">
      <c r="A1832" t="inlineStr">
        <is>
          <t>ar-cordoba</t>
        </is>
      </c>
      <c r="B1832" t="inlineStr">
        <is>
          <t>Cordoba</t>
        </is>
      </c>
      <c r="C1832" t="inlineStr">
        <is>
          <t>Argentina</t>
        </is>
      </c>
      <c r="D1832" t="inlineStr">
        <is>
          <t>Latin America</t>
        </is>
      </c>
      <c r="E1832" t="inlineStr">
        <is>
          <t>personal_safety_raw</t>
        </is>
      </c>
      <c r="F1832" t="inlineStr">
        <is>
          <t>Personal safety raw</t>
        </is>
      </c>
      <c r="G1832" t="inlineStr">
        <is>
          <t>viability</t>
        </is>
      </c>
      <c r="H1832" t="inlineStr">
        <is>
          <t>yes</t>
        </is>
      </c>
      <c r="I1832" t="inlineStr"/>
      <c r="J1832" t="inlineStr"/>
      <c r="K1832" t="inlineStr"/>
      <c r="L1832" t="inlineStr"/>
      <c r="M1832" t="inlineStr"/>
      <c r="N1832" t="inlineStr"/>
    </row>
    <row r="1833">
      <c r="A1833" t="inlineStr">
        <is>
          <t>ar-cordoba</t>
        </is>
      </c>
      <c r="B1833" t="inlineStr">
        <is>
          <t>Cordoba</t>
        </is>
      </c>
      <c r="C1833" t="inlineStr">
        <is>
          <t>Argentina</t>
        </is>
      </c>
      <c r="D1833" t="inlineStr">
        <is>
          <t>Latin America</t>
        </is>
      </c>
      <c r="E1833" t="inlineStr">
        <is>
          <t>transit_access_commute_raw</t>
        </is>
      </c>
      <c r="F1833" t="inlineStr">
        <is>
          <t>Transit access and commute raw</t>
        </is>
      </c>
      <c r="G1833" t="inlineStr">
        <is>
          <t>viability</t>
        </is>
      </c>
      <c r="H1833" t="inlineStr">
        <is>
          <t>yes</t>
        </is>
      </c>
      <c r="I1833" t="inlineStr"/>
      <c r="J1833" t="inlineStr"/>
      <c r="K1833" t="inlineStr"/>
      <c r="L1833" t="inlineStr"/>
      <c r="M1833" t="inlineStr"/>
      <c r="N1833" t="inlineStr"/>
    </row>
    <row r="1834">
      <c r="A1834" t="inlineStr">
        <is>
          <t>ar-cordoba</t>
        </is>
      </c>
      <c r="B1834" t="inlineStr">
        <is>
          <t>Cordoba</t>
        </is>
      </c>
      <c r="C1834" t="inlineStr">
        <is>
          <t>Argentina</t>
        </is>
      </c>
      <c r="D1834" t="inlineStr">
        <is>
          <t>Latin America</t>
        </is>
      </c>
      <c r="E1834" t="inlineStr">
        <is>
          <t>clean_air_raw</t>
        </is>
      </c>
      <c r="F1834" t="inlineStr">
        <is>
          <t>Clean air raw</t>
        </is>
      </c>
      <c r="G1834" t="inlineStr">
        <is>
          <t>viability</t>
        </is>
      </c>
      <c r="H1834" t="inlineStr">
        <is>
          <t>yes</t>
        </is>
      </c>
      <c r="I1834" t="inlineStr"/>
      <c r="J1834" t="inlineStr"/>
      <c r="K1834" t="inlineStr"/>
      <c r="L1834" t="inlineStr"/>
      <c r="M1834" t="inlineStr"/>
      <c r="N1834" t="inlineStr"/>
    </row>
    <row r="1835">
      <c r="A1835" t="inlineStr">
        <is>
          <t>ar-cordoba</t>
        </is>
      </c>
      <c r="B1835" t="inlineStr">
        <is>
          <t>Cordoba</t>
        </is>
      </c>
      <c r="C1835" t="inlineStr">
        <is>
          <t>Argentina</t>
        </is>
      </c>
      <c r="D1835" t="inlineStr">
        <is>
          <t>Latin America</t>
        </is>
      </c>
      <c r="E1835" t="inlineStr">
        <is>
          <t>water_sanitation_utility_raw</t>
        </is>
      </c>
      <c r="F1835" t="inlineStr">
        <is>
          <t>Water, sanitation, and utility raw</t>
        </is>
      </c>
      <c r="G1835" t="inlineStr">
        <is>
          <t>viability</t>
        </is>
      </c>
      <c r="H1835" t="inlineStr">
        <is>
          <t>yes</t>
        </is>
      </c>
      <c r="I1835" t="inlineStr"/>
      <c r="J1835" t="inlineStr"/>
      <c r="K1835" t="inlineStr"/>
      <c r="L1835" t="inlineStr"/>
      <c r="M1835" t="inlineStr"/>
      <c r="N1835" t="inlineStr"/>
    </row>
    <row r="1836">
      <c r="A1836" t="inlineStr">
        <is>
          <t>ar-cordoba</t>
        </is>
      </c>
      <c r="B1836" t="inlineStr">
        <is>
          <t>Cordoba</t>
        </is>
      </c>
      <c r="C1836" t="inlineStr">
        <is>
          <t>Argentina</t>
        </is>
      </c>
      <c r="D1836" t="inlineStr">
        <is>
          <t>Latin America</t>
        </is>
      </c>
      <c r="E1836" t="inlineStr">
        <is>
          <t>digital_infrastructure_raw</t>
        </is>
      </c>
      <c r="F1836" t="inlineStr">
        <is>
          <t>Digital infrastructure raw</t>
        </is>
      </c>
      <c r="G1836" t="inlineStr">
        <is>
          <t>viability</t>
        </is>
      </c>
      <c r="H1836" t="inlineStr">
        <is>
          <t>yes</t>
        </is>
      </c>
      <c r="I1836" t="inlineStr"/>
      <c r="J1836" t="inlineStr"/>
      <c r="K1836" t="inlineStr"/>
      <c r="L1836" t="inlineStr"/>
      <c r="M1836" t="inlineStr"/>
      <c r="N1836" t="inlineStr"/>
    </row>
    <row r="1837">
      <c r="A1837" t="inlineStr">
        <is>
          <t>ar-cordoba</t>
        </is>
      </c>
      <c r="B1837" t="inlineStr">
        <is>
          <t>Cordoba</t>
        </is>
      </c>
      <c r="C1837" t="inlineStr">
        <is>
          <t>Argentina</t>
        </is>
      </c>
      <c r="D1837" t="inlineStr">
        <is>
          <t>Latin America</t>
        </is>
      </c>
      <c r="E1837" t="inlineStr">
        <is>
          <t>healthcare_quality_raw</t>
        </is>
      </c>
      <c r="F1837" t="inlineStr">
        <is>
          <t>Healthcare quality raw</t>
        </is>
      </c>
      <c r="G1837" t="inlineStr">
        <is>
          <t>capability</t>
        </is>
      </c>
      <c r="H1837" t="inlineStr">
        <is>
          <t>yes</t>
        </is>
      </c>
      <c r="I1837" t="inlineStr"/>
      <c r="J1837" t="inlineStr"/>
      <c r="K1837" t="inlineStr"/>
      <c r="L1837" t="inlineStr"/>
      <c r="M1837" t="inlineStr"/>
      <c r="N1837" t="inlineStr"/>
    </row>
    <row r="1838">
      <c r="A1838" t="inlineStr">
        <is>
          <t>ar-cordoba</t>
        </is>
      </c>
      <c r="B1838" t="inlineStr">
        <is>
          <t>Cordoba</t>
        </is>
      </c>
      <c r="C1838" t="inlineStr">
        <is>
          <t>Argentina</t>
        </is>
      </c>
      <c r="D1838" t="inlineStr">
        <is>
          <t>Latin America</t>
        </is>
      </c>
      <c r="E1838" t="inlineStr">
        <is>
          <t>education_quality_raw</t>
        </is>
      </c>
      <c r="F1838" t="inlineStr">
        <is>
          <t>Education quality raw</t>
        </is>
      </c>
      <c r="G1838" t="inlineStr">
        <is>
          <t>capability</t>
        </is>
      </c>
      <c r="H1838" t="inlineStr">
        <is>
          <t>yes</t>
        </is>
      </c>
      <c r="I1838" t="inlineStr"/>
      <c r="J1838" t="inlineStr"/>
      <c r="K1838" t="inlineStr"/>
      <c r="L1838" t="inlineStr"/>
      <c r="M1838" t="inlineStr"/>
      <c r="N1838" t="inlineStr"/>
    </row>
    <row r="1839">
      <c r="A1839" t="inlineStr">
        <is>
          <t>ar-cordoba</t>
        </is>
      </c>
      <c r="B1839" t="inlineStr">
        <is>
          <t>Cordoba</t>
        </is>
      </c>
      <c r="C1839" t="inlineStr">
        <is>
          <t>Argentina</t>
        </is>
      </c>
      <c r="D1839" t="inlineStr">
        <is>
          <t>Latin America</t>
        </is>
      </c>
      <c r="E1839" t="inlineStr">
        <is>
          <t>equal_opportunity_raw</t>
        </is>
      </c>
      <c r="F1839" t="inlineStr">
        <is>
          <t>Equal opportunity raw</t>
        </is>
      </c>
      <c r="G1839" t="inlineStr">
        <is>
          <t>capability</t>
        </is>
      </c>
      <c r="H1839" t="inlineStr">
        <is>
          <t>yes</t>
        </is>
      </c>
      <c r="I1839" t="inlineStr"/>
      <c r="J1839" t="inlineStr"/>
      <c r="K1839" t="inlineStr"/>
      <c r="L1839" t="inlineStr"/>
      <c r="M1839" t="inlineStr"/>
      <c r="N1839" t="inlineStr"/>
    </row>
    <row r="1840">
      <c r="A1840" t="inlineStr">
        <is>
          <t>ar-cordoba</t>
        </is>
      </c>
      <c r="B1840" t="inlineStr">
        <is>
          <t>Cordoba</t>
        </is>
      </c>
      <c r="C1840" t="inlineStr">
        <is>
          <t>Argentina</t>
        </is>
      </c>
      <c r="D1840" t="inlineStr">
        <is>
          <t>Latin America</t>
        </is>
      </c>
      <c r="E1840" t="inlineStr">
        <is>
          <t>hospitality_belonging_raw</t>
        </is>
      </c>
      <c r="F1840" t="inlineStr">
        <is>
          <t>Hospitality and belonging raw</t>
        </is>
      </c>
      <c r="G1840" t="inlineStr">
        <is>
          <t>community</t>
        </is>
      </c>
      <c r="H1840" t="inlineStr">
        <is>
          <t>yes</t>
        </is>
      </c>
      <c r="I1840" t="inlineStr"/>
      <c r="J1840" t="inlineStr"/>
      <c r="K1840" t="inlineStr"/>
      <c r="L1840" t="inlineStr"/>
      <c r="M1840" t="inlineStr"/>
      <c r="N1840" t="inlineStr"/>
    </row>
    <row r="1841">
      <c r="A1841" t="inlineStr">
        <is>
          <t>ar-cordoba</t>
        </is>
      </c>
      <c r="B1841" t="inlineStr">
        <is>
          <t>Cordoba</t>
        </is>
      </c>
      <c r="C1841" t="inlineStr">
        <is>
          <t>Argentina</t>
        </is>
      </c>
      <c r="D1841" t="inlineStr">
        <is>
          <t>Latin America</t>
        </is>
      </c>
      <c r="E1841" t="inlineStr">
        <is>
          <t>tolerance_pluralism_raw</t>
        </is>
      </c>
      <c r="F1841" t="inlineStr">
        <is>
          <t>Tolerance and pluralism raw</t>
        </is>
      </c>
      <c r="G1841" t="inlineStr">
        <is>
          <t>community</t>
        </is>
      </c>
      <c r="H1841" t="inlineStr">
        <is>
          <t>yes</t>
        </is>
      </c>
      <c r="I1841" t="inlineStr"/>
      <c r="J1841" t="inlineStr"/>
      <c r="K1841" t="inlineStr"/>
      <c r="L1841" t="inlineStr"/>
      <c r="M1841" t="inlineStr"/>
      <c r="N1841" t="inlineStr"/>
    </row>
    <row r="1842">
      <c r="A1842" t="inlineStr">
        <is>
          <t>ar-cordoba</t>
        </is>
      </c>
      <c r="B1842" t="inlineStr">
        <is>
          <t>Cordoba</t>
        </is>
      </c>
      <c r="C1842" t="inlineStr">
        <is>
          <t>Argentina</t>
        </is>
      </c>
      <c r="D1842" t="inlineStr">
        <is>
          <t>Latin America</t>
        </is>
      </c>
      <c r="E1842" t="inlineStr">
        <is>
          <t>cultural_public_life_raw</t>
        </is>
      </c>
      <c r="F1842" t="inlineStr">
        <is>
          <t>Cultural public life raw</t>
        </is>
      </c>
      <c r="G1842" t="inlineStr">
        <is>
          <t>community</t>
        </is>
      </c>
      <c r="H1842" t="inlineStr">
        <is>
          <t>yes</t>
        </is>
      </c>
      <c r="I1842" t="inlineStr"/>
      <c r="J1842" t="inlineStr"/>
      <c r="K1842" t="inlineStr"/>
      <c r="L1842" t="inlineStr"/>
      <c r="M1842" t="inlineStr"/>
      <c r="N1842" t="inlineStr"/>
    </row>
    <row r="1843">
      <c r="A1843" t="inlineStr">
        <is>
          <t>ar-cordoba</t>
        </is>
      </c>
      <c r="B1843" t="inlineStr">
        <is>
          <t>Cordoba</t>
        </is>
      </c>
      <c r="C1843" t="inlineStr">
        <is>
          <t>Argentina</t>
        </is>
      </c>
      <c r="D1843" t="inlineStr">
        <is>
          <t>Latin America</t>
        </is>
      </c>
      <c r="E1843" t="inlineStr">
        <is>
          <t>entrepreneurial_dynamism_raw</t>
        </is>
      </c>
      <c r="F1843" t="inlineStr">
        <is>
          <t>Entrepreneurial dynamism raw</t>
        </is>
      </c>
      <c r="G1843" t="inlineStr">
        <is>
          <t>creative</t>
        </is>
      </c>
      <c r="H1843" t="inlineStr">
        <is>
          <t>yes</t>
        </is>
      </c>
      <c r="I1843" t="inlineStr"/>
      <c r="J1843" t="inlineStr"/>
      <c r="K1843" t="inlineStr"/>
      <c r="L1843" t="inlineStr"/>
      <c r="M1843" t="inlineStr"/>
      <c r="N1843" t="inlineStr"/>
    </row>
    <row r="1844">
      <c r="A1844" t="inlineStr">
        <is>
          <t>ar-cordoba</t>
        </is>
      </c>
      <c r="B1844" t="inlineStr">
        <is>
          <t>Cordoba</t>
        </is>
      </c>
      <c r="C1844" t="inlineStr">
        <is>
          <t>Argentina</t>
        </is>
      </c>
      <c r="D1844" t="inlineStr">
        <is>
          <t>Latin America</t>
        </is>
      </c>
      <c r="E1844" t="inlineStr">
        <is>
          <t>innovation_research_intensity_raw</t>
        </is>
      </c>
      <c r="F1844" t="inlineStr">
        <is>
          <t>Innovation and research raw</t>
        </is>
      </c>
      <c r="G1844" t="inlineStr">
        <is>
          <t>creative</t>
        </is>
      </c>
      <c r="H1844" t="inlineStr">
        <is>
          <t>yes</t>
        </is>
      </c>
      <c r="I1844" t="inlineStr"/>
      <c r="J1844" t="inlineStr"/>
      <c r="K1844" t="inlineStr"/>
      <c r="L1844" t="inlineStr"/>
      <c r="M1844" t="inlineStr"/>
      <c r="N1844" t="inlineStr"/>
    </row>
    <row r="1845">
      <c r="A1845" t="inlineStr">
        <is>
          <t>ar-cordoba</t>
        </is>
      </c>
      <c r="B1845" t="inlineStr">
        <is>
          <t>Cordoba</t>
        </is>
      </c>
      <c r="C1845" t="inlineStr">
        <is>
          <t>Argentina</t>
        </is>
      </c>
      <c r="D1845" t="inlineStr">
        <is>
          <t>Latin America</t>
        </is>
      </c>
      <c r="E1845" t="inlineStr">
        <is>
          <t>investment_signal_raw</t>
        </is>
      </c>
      <c r="F1845" t="inlineStr">
        <is>
          <t>Investment signal raw</t>
        </is>
      </c>
      <c r="G1845" t="inlineStr">
        <is>
          <t>creative</t>
        </is>
      </c>
      <c r="H1845" t="inlineStr">
        <is>
          <t>yes</t>
        </is>
      </c>
      <c r="I1845" t="inlineStr"/>
      <c r="J1845" t="inlineStr"/>
      <c r="K1845" t="inlineStr"/>
      <c r="L1845" t="inlineStr"/>
      <c r="M1845" t="inlineStr"/>
      <c r="N1845" t="inlineStr"/>
    </row>
    <row r="1846">
      <c r="A1846" t="inlineStr">
        <is>
          <t>ar-cordoba</t>
        </is>
      </c>
      <c r="B1846" t="inlineStr">
        <is>
          <t>Cordoba</t>
        </is>
      </c>
      <c r="C1846" t="inlineStr">
        <is>
          <t>Argentina</t>
        </is>
      </c>
      <c r="D1846" t="inlineStr">
        <is>
          <t>Latin America</t>
        </is>
      </c>
      <c r="E1846" t="inlineStr">
        <is>
          <t>administrative_investment_friction_raw</t>
        </is>
      </c>
      <c r="F1846" t="inlineStr">
        <is>
          <t>Administrative investment friction raw</t>
        </is>
      </c>
      <c r="G1846" t="inlineStr">
        <is>
          <t>creative</t>
        </is>
      </c>
      <c r="H1846" t="inlineStr">
        <is>
          <t>yes</t>
        </is>
      </c>
      <c r="I1846" t="inlineStr"/>
      <c r="J1846" t="inlineStr"/>
      <c r="K1846" t="inlineStr"/>
      <c r="L1846" t="inlineStr"/>
      <c r="M1846" t="inlineStr"/>
      <c r="N1846" t="inlineStr"/>
    </row>
    <row r="1847">
      <c r="A1847" t="inlineStr">
        <is>
          <t>ar-cordoba</t>
        </is>
      </c>
      <c r="B1847" t="inlineStr">
        <is>
          <t>Cordoba</t>
        </is>
      </c>
      <c r="C1847" t="inlineStr">
        <is>
          <t>Argentina</t>
        </is>
      </c>
      <c r="D1847" t="inlineStr">
        <is>
          <t>Latin America</t>
        </is>
      </c>
      <c r="E1847" t="inlineStr">
        <is>
          <t>visitor_flow_context_raw</t>
        </is>
      </c>
      <c r="F1847" t="inlineStr">
        <is>
          <t>Visitor flow context raw</t>
        </is>
      </c>
      <c r="G1847" t="inlineStr">
        <is>
          <t>creative</t>
        </is>
      </c>
      <c r="H1847" t="inlineStr">
        <is>
          <t>no</t>
        </is>
      </c>
      <c r="I1847" t="inlineStr"/>
      <c r="J1847" t="inlineStr"/>
      <c r="K1847" t="inlineStr"/>
      <c r="L1847" t="inlineStr"/>
      <c r="M1847" t="inlineStr"/>
      <c r="N1847" t="inlineStr"/>
    </row>
    <row r="1848">
      <c r="A1848" t="inlineStr">
        <is>
          <t>cl-valparaiso</t>
        </is>
      </c>
      <c r="B1848" t="inlineStr">
        <is>
          <t>Valparaiso</t>
        </is>
      </c>
      <c r="C1848" t="inlineStr">
        <is>
          <t>Chile</t>
        </is>
      </c>
      <c r="D1848" t="inlineStr">
        <is>
          <t>Latin America</t>
        </is>
      </c>
      <c r="E1848" t="inlineStr">
        <is>
          <t>gross_income</t>
        </is>
      </c>
      <c r="F1848" t="inlineStr">
        <is>
          <t>Gross income</t>
        </is>
      </c>
      <c r="G1848" t="inlineStr">
        <is>
          <t>pressure</t>
        </is>
      </c>
      <c r="H1848" t="inlineStr">
        <is>
          <t>yes</t>
        </is>
      </c>
      <c r="I1848" t="inlineStr"/>
      <c r="J1848" t="inlineStr"/>
      <c r="K1848" t="inlineStr"/>
      <c r="L1848" t="inlineStr"/>
      <c r="M1848" t="inlineStr"/>
      <c r="N1848" t="inlineStr"/>
    </row>
    <row r="1849">
      <c r="A1849" t="inlineStr">
        <is>
          <t>cl-valparaiso</t>
        </is>
      </c>
      <c r="B1849" t="inlineStr">
        <is>
          <t>Valparaiso</t>
        </is>
      </c>
      <c r="C1849" t="inlineStr">
        <is>
          <t>Chile</t>
        </is>
      </c>
      <c r="D1849" t="inlineStr">
        <is>
          <t>Latin America</t>
        </is>
      </c>
      <c r="E1849" t="inlineStr">
        <is>
          <t>rent</t>
        </is>
      </c>
      <c r="F1849" t="inlineStr">
        <is>
          <t>Rent</t>
        </is>
      </c>
      <c r="G1849" t="inlineStr">
        <is>
          <t>pressure</t>
        </is>
      </c>
      <c r="H1849" t="inlineStr">
        <is>
          <t>yes</t>
        </is>
      </c>
      <c r="I1849" t="inlineStr"/>
      <c r="J1849" t="inlineStr"/>
      <c r="K1849" t="inlineStr"/>
      <c r="L1849" t="inlineStr"/>
      <c r="M1849" t="inlineStr"/>
      <c r="N1849" t="inlineStr"/>
    </row>
    <row r="1850">
      <c r="A1850" t="inlineStr">
        <is>
          <t>cl-valparaiso</t>
        </is>
      </c>
      <c r="B1850" t="inlineStr">
        <is>
          <t>Valparaiso</t>
        </is>
      </c>
      <c r="C1850" t="inlineStr">
        <is>
          <t>Chile</t>
        </is>
      </c>
      <c r="D1850" t="inlineStr">
        <is>
          <t>Latin America</t>
        </is>
      </c>
      <c r="E1850" t="inlineStr">
        <is>
          <t>utilities</t>
        </is>
      </c>
      <c r="F1850" t="inlineStr">
        <is>
          <t>Utilities</t>
        </is>
      </c>
      <c r="G1850" t="inlineStr">
        <is>
          <t>pressure</t>
        </is>
      </c>
      <c r="H1850" t="inlineStr">
        <is>
          <t>yes</t>
        </is>
      </c>
      <c r="I1850" t="inlineStr"/>
      <c r="J1850" t="inlineStr"/>
      <c r="K1850" t="inlineStr"/>
      <c r="L1850" t="inlineStr"/>
      <c r="M1850" t="inlineStr"/>
      <c r="N1850" t="inlineStr"/>
    </row>
    <row r="1851">
      <c r="A1851" t="inlineStr">
        <is>
          <t>cl-valparaiso</t>
        </is>
      </c>
      <c r="B1851" t="inlineStr">
        <is>
          <t>Valparaiso</t>
        </is>
      </c>
      <c r="C1851" t="inlineStr">
        <is>
          <t>Chile</t>
        </is>
      </c>
      <c r="D1851" t="inlineStr">
        <is>
          <t>Latin America</t>
        </is>
      </c>
      <c r="E1851" t="inlineStr">
        <is>
          <t>transit_cost</t>
        </is>
      </c>
      <c r="F1851" t="inlineStr">
        <is>
          <t>Transit cost</t>
        </is>
      </c>
      <c r="G1851" t="inlineStr">
        <is>
          <t>pressure</t>
        </is>
      </c>
      <c r="H1851" t="inlineStr">
        <is>
          <t>yes</t>
        </is>
      </c>
      <c r="I1851" t="inlineStr"/>
      <c r="J1851" t="inlineStr"/>
      <c r="K1851" t="inlineStr"/>
      <c r="L1851" t="inlineStr"/>
      <c r="M1851" t="inlineStr"/>
      <c r="N1851" t="inlineStr"/>
    </row>
    <row r="1852">
      <c r="A1852" t="inlineStr">
        <is>
          <t>cl-valparaiso</t>
        </is>
      </c>
      <c r="B1852" t="inlineStr">
        <is>
          <t>Valparaiso</t>
        </is>
      </c>
      <c r="C1852" t="inlineStr">
        <is>
          <t>Chile</t>
        </is>
      </c>
      <c r="D1852" t="inlineStr">
        <is>
          <t>Latin America</t>
        </is>
      </c>
      <c r="E1852" t="inlineStr">
        <is>
          <t>internet_cost</t>
        </is>
      </c>
      <c r="F1852" t="inlineStr">
        <is>
          <t>Internet cost</t>
        </is>
      </c>
      <c r="G1852" t="inlineStr">
        <is>
          <t>pressure</t>
        </is>
      </c>
      <c r="H1852" t="inlineStr">
        <is>
          <t>yes</t>
        </is>
      </c>
      <c r="I1852" t="inlineStr"/>
      <c r="J1852" t="inlineStr"/>
      <c r="K1852" t="inlineStr"/>
      <c r="L1852" t="inlineStr"/>
      <c r="M1852" t="inlineStr"/>
      <c r="N1852" t="inlineStr"/>
    </row>
    <row r="1853">
      <c r="A1853" t="inlineStr">
        <is>
          <t>cl-valparaiso</t>
        </is>
      </c>
      <c r="B1853" t="inlineStr">
        <is>
          <t>Valparaiso</t>
        </is>
      </c>
      <c r="C1853" t="inlineStr">
        <is>
          <t>Chile</t>
        </is>
      </c>
      <c r="D1853" t="inlineStr">
        <is>
          <t>Latin America</t>
        </is>
      </c>
      <c r="E1853" t="inlineStr">
        <is>
          <t>food_cost</t>
        </is>
      </c>
      <c r="F1853" t="inlineStr">
        <is>
          <t>Food cost</t>
        </is>
      </c>
      <c r="G1853" t="inlineStr">
        <is>
          <t>pressure</t>
        </is>
      </c>
      <c r="H1853" t="inlineStr">
        <is>
          <t>yes</t>
        </is>
      </c>
      <c r="I1853" t="inlineStr"/>
      <c r="J1853" t="inlineStr"/>
      <c r="K1853" t="inlineStr"/>
      <c r="L1853" t="inlineStr"/>
      <c r="M1853" t="inlineStr"/>
      <c r="N1853" t="inlineStr"/>
    </row>
    <row r="1854">
      <c r="A1854" t="inlineStr">
        <is>
          <t>cl-valparaiso</t>
        </is>
      </c>
      <c r="B1854" t="inlineStr">
        <is>
          <t>Valparaiso</t>
        </is>
      </c>
      <c r="C1854" t="inlineStr">
        <is>
          <t>Chile</t>
        </is>
      </c>
      <c r="D1854" t="inlineStr">
        <is>
          <t>Latin America</t>
        </is>
      </c>
      <c r="E1854" t="inlineStr">
        <is>
          <t>housing_burden_raw</t>
        </is>
      </c>
      <c r="F1854" t="inlineStr">
        <is>
          <t>Housing burden raw</t>
        </is>
      </c>
      <c r="G1854" t="inlineStr">
        <is>
          <t>pressure</t>
        </is>
      </c>
      <c r="H1854" t="inlineStr">
        <is>
          <t>yes</t>
        </is>
      </c>
      <c r="I1854" t="inlineStr"/>
      <c r="J1854" t="inlineStr"/>
      <c r="K1854" t="inlineStr"/>
      <c r="L1854" t="inlineStr"/>
      <c r="M1854" t="inlineStr"/>
      <c r="N1854" t="inlineStr"/>
    </row>
    <row r="1855">
      <c r="A1855" t="inlineStr">
        <is>
          <t>cl-valparaiso</t>
        </is>
      </c>
      <c r="B1855" t="inlineStr">
        <is>
          <t>Valparaiso</t>
        </is>
      </c>
      <c r="C1855" t="inlineStr">
        <is>
          <t>Chile</t>
        </is>
      </c>
      <c r="D1855" t="inlineStr">
        <is>
          <t>Latin America</t>
        </is>
      </c>
      <c r="E1855" t="inlineStr">
        <is>
          <t>household_debt_burden_raw</t>
        </is>
      </c>
      <c r="F1855" t="inlineStr">
        <is>
          <t>Household debt burden raw</t>
        </is>
      </c>
      <c r="G1855" t="inlineStr">
        <is>
          <t>pressure</t>
        </is>
      </c>
      <c r="H1855" t="inlineStr">
        <is>
          <t>yes</t>
        </is>
      </c>
      <c r="I1855" t="inlineStr"/>
      <c r="J1855" t="inlineStr"/>
      <c r="K1855" t="inlineStr"/>
      <c r="L1855" t="inlineStr"/>
      <c r="M1855" t="inlineStr"/>
      <c r="N1855" t="inlineStr"/>
    </row>
    <row r="1856">
      <c r="A1856" t="inlineStr">
        <is>
          <t>cl-valparaiso</t>
        </is>
      </c>
      <c r="B1856" t="inlineStr">
        <is>
          <t>Valparaiso</t>
        </is>
      </c>
      <c r="C1856" t="inlineStr">
        <is>
          <t>Chile</t>
        </is>
      </c>
      <c r="D1856" t="inlineStr">
        <is>
          <t>Latin America</t>
        </is>
      </c>
      <c r="E1856" t="inlineStr">
        <is>
          <t>working_time_pressure_raw</t>
        </is>
      </c>
      <c r="F1856" t="inlineStr">
        <is>
          <t>Working time pressure raw</t>
        </is>
      </c>
      <c r="G1856" t="inlineStr">
        <is>
          <t>pressure</t>
        </is>
      </c>
      <c r="H1856" t="inlineStr">
        <is>
          <t>yes</t>
        </is>
      </c>
      <c r="I1856" t="inlineStr"/>
      <c r="J1856" t="inlineStr"/>
      <c r="K1856" t="inlineStr"/>
      <c r="L1856" t="inlineStr"/>
      <c r="M1856" t="inlineStr"/>
      <c r="N1856" t="inlineStr"/>
    </row>
    <row r="1857">
      <c r="A1857" t="inlineStr">
        <is>
          <t>cl-valparaiso</t>
        </is>
      </c>
      <c r="B1857" t="inlineStr">
        <is>
          <t>Valparaiso</t>
        </is>
      </c>
      <c r="C1857" t="inlineStr">
        <is>
          <t>Chile</t>
        </is>
      </c>
      <c r="D1857" t="inlineStr">
        <is>
          <t>Latin America</t>
        </is>
      </c>
      <c r="E1857" t="inlineStr">
        <is>
          <t>suicide_mental_strain_raw</t>
        </is>
      </c>
      <c r="F1857" t="inlineStr">
        <is>
          <t>Suicide or mental strain raw</t>
        </is>
      </c>
      <c r="G1857" t="inlineStr">
        <is>
          <t>pressure</t>
        </is>
      </c>
      <c r="H1857" t="inlineStr">
        <is>
          <t>yes</t>
        </is>
      </c>
      <c r="I1857" t="inlineStr"/>
      <c r="J1857" t="inlineStr"/>
      <c r="K1857" t="inlineStr"/>
      <c r="L1857" t="inlineStr"/>
      <c r="M1857" t="inlineStr"/>
      <c r="N1857" t="inlineStr"/>
    </row>
    <row r="1858">
      <c r="A1858" t="inlineStr">
        <is>
          <t>cl-valparaiso</t>
        </is>
      </c>
      <c r="B1858" t="inlineStr">
        <is>
          <t>Valparaiso</t>
        </is>
      </c>
      <c r="C1858" t="inlineStr">
        <is>
          <t>Chile</t>
        </is>
      </c>
      <c r="D1858" t="inlineStr">
        <is>
          <t>Latin America</t>
        </is>
      </c>
      <c r="E1858" t="inlineStr">
        <is>
          <t>personal_safety_raw</t>
        </is>
      </c>
      <c r="F1858" t="inlineStr">
        <is>
          <t>Personal safety raw</t>
        </is>
      </c>
      <c r="G1858" t="inlineStr">
        <is>
          <t>viability</t>
        </is>
      </c>
      <c r="H1858" t="inlineStr">
        <is>
          <t>yes</t>
        </is>
      </c>
      <c r="I1858" t="inlineStr"/>
      <c r="J1858" t="inlineStr"/>
      <c r="K1858" t="inlineStr"/>
      <c r="L1858" t="inlineStr"/>
      <c r="M1858" t="inlineStr"/>
      <c r="N1858" t="inlineStr"/>
    </row>
    <row r="1859">
      <c r="A1859" t="inlineStr">
        <is>
          <t>cl-valparaiso</t>
        </is>
      </c>
      <c r="B1859" t="inlineStr">
        <is>
          <t>Valparaiso</t>
        </is>
      </c>
      <c r="C1859" t="inlineStr">
        <is>
          <t>Chile</t>
        </is>
      </c>
      <c r="D1859" t="inlineStr">
        <is>
          <t>Latin America</t>
        </is>
      </c>
      <c r="E1859" t="inlineStr">
        <is>
          <t>transit_access_commute_raw</t>
        </is>
      </c>
      <c r="F1859" t="inlineStr">
        <is>
          <t>Transit access and commute raw</t>
        </is>
      </c>
      <c r="G1859" t="inlineStr">
        <is>
          <t>viability</t>
        </is>
      </c>
      <c r="H1859" t="inlineStr">
        <is>
          <t>yes</t>
        </is>
      </c>
      <c r="I1859" t="inlineStr"/>
      <c r="J1859" t="inlineStr"/>
      <c r="K1859" t="inlineStr"/>
      <c r="L1859" t="inlineStr"/>
      <c r="M1859" t="inlineStr"/>
      <c r="N1859" t="inlineStr"/>
    </row>
    <row r="1860">
      <c r="A1860" t="inlineStr">
        <is>
          <t>cl-valparaiso</t>
        </is>
      </c>
      <c r="B1860" t="inlineStr">
        <is>
          <t>Valparaiso</t>
        </is>
      </c>
      <c r="C1860" t="inlineStr">
        <is>
          <t>Chile</t>
        </is>
      </c>
      <c r="D1860" t="inlineStr">
        <is>
          <t>Latin America</t>
        </is>
      </c>
      <c r="E1860" t="inlineStr">
        <is>
          <t>clean_air_raw</t>
        </is>
      </c>
      <c r="F1860" t="inlineStr">
        <is>
          <t>Clean air raw</t>
        </is>
      </c>
      <c r="G1860" t="inlineStr">
        <is>
          <t>viability</t>
        </is>
      </c>
      <c r="H1860" t="inlineStr">
        <is>
          <t>yes</t>
        </is>
      </c>
      <c r="I1860" t="inlineStr"/>
      <c r="J1860" t="inlineStr"/>
      <c r="K1860" t="inlineStr"/>
      <c r="L1860" t="inlineStr"/>
      <c r="M1860" t="inlineStr"/>
      <c r="N1860" t="inlineStr"/>
    </row>
    <row r="1861">
      <c r="A1861" t="inlineStr">
        <is>
          <t>cl-valparaiso</t>
        </is>
      </c>
      <c r="B1861" t="inlineStr">
        <is>
          <t>Valparaiso</t>
        </is>
      </c>
      <c r="C1861" t="inlineStr">
        <is>
          <t>Chile</t>
        </is>
      </c>
      <c r="D1861" t="inlineStr">
        <is>
          <t>Latin America</t>
        </is>
      </c>
      <c r="E1861" t="inlineStr">
        <is>
          <t>water_sanitation_utility_raw</t>
        </is>
      </c>
      <c r="F1861" t="inlineStr">
        <is>
          <t>Water, sanitation, and utility raw</t>
        </is>
      </c>
      <c r="G1861" t="inlineStr">
        <is>
          <t>viability</t>
        </is>
      </c>
      <c r="H1861" t="inlineStr">
        <is>
          <t>yes</t>
        </is>
      </c>
      <c r="I1861" t="inlineStr"/>
      <c r="J1861" t="inlineStr"/>
      <c r="K1861" t="inlineStr"/>
      <c r="L1861" t="inlineStr"/>
      <c r="M1861" t="inlineStr"/>
      <c r="N1861" t="inlineStr"/>
    </row>
    <row r="1862">
      <c r="A1862" t="inlineStr">
        <is>
          <t>cl-valparaiso</t>
        </is>
      </c>
      <c r="B1862" t="inlineStr">
        <is>
          <t>Valparaiso</t>
        </is>
      </c>
      <c r="C1862" t="inlineStr">
        <is>
          <t>Chile</t>
        </is>
      </c>
      <c r="D1862" t="inlineStr">
        <is>
          <t>Latin America</t>
        </is>
      </c>
      <c r="E1862" t="inlineStr">
        <is>
          <t>digital_infrastructure_raw</t>
        </is>
      </c>
      <c r="F1862" t="inlineStr">
        <is>
          <t>Digital infrastructure raw</t>
        </is>
      </c>
      <c r="G1862" t="inlineStr">
        <is>
          <t>viability</t>
        </is>
      </c>
      <c r="H1862" t="inlineStr">
        <is>
          <t>yes</t>
        </is>
      </c>
      <c r="I1862" t="inlineStr"/>
      <c r="J1862" t="inlineStr"/>
      <c r="K1862" t="inlineStr"/>
      <c r="L1862" t="inlineStr"/>
      <c r="M1862" t="inlineStr"/>
      <c r="N1862" t="inlineStr"/>
    </row>
    <row r="1863">
      <c r="A1863" t="inlineStr">
        <is>
          <t>cl-valparaiso</t>
        </is>
      </c>
      <c r="B1863" t="inlineStr">
        <is>
          <t>Valparaiso</t>
        </is>
      </c>
      <c r="C1863" t="inlineStr">
        <is>
          <t>Chile</t>
        </is>
      </c>
      <c r="D1863" t="inlineStr">
        <is>
          <t>Latin America</t>
        </is>
      </c>
      <c r="E1863" t="inlineStr">
        <is>
          <t>healthcare_quality_raw</t>
        </is>
      </c>
      <c r="F1863" t="inlineStr">
        <is>
          <t>Healthcare quality raw</t>
        </is>
      </c>
      <c r="G1863" t="inlineStr">
        <is>
          <t>capability</t>
        </is>
      </c>
      <c r="H1863" t="inlineStr">
        <is>
          <t>yes</t>
        </is>
      </c>
      <c r="I1863" t="inlineStr"/>
      <c r="J1863" t="inlineStr"/>
      <c r="K1863" t="inlineStr"/>
      <c r="L1863" t="inlineStr"/>
      <c r="M1863" t="inlineStr"/>
      <c r="N1863" t="inlineStr"/>
    </row>
    <row r="1864">
      <c r="A1864" t="inlineStr">
        <is>
          <t>cl-valparaiso</t>
        </is>
      </c>
      <c r="B1864" t="inlineStr">
        <is>
          <t>Valparaiso</t>
        </is>
      </c>
      <c r="C1864" t="inlineStr">
        <is>
          <t>Chile</t>
        </is>
      </c>
      <c r="D1864" t="inlineStr">
        <is>
          <t>Latin America</t>
        </is>
      </c>
      <c r="E1864" t="inlineStr">
        <is>
          <t>education_quality_raw</t>
        </is>
      </c>
      <c r="F1864" t="inlineStr">
        <is>
          <t>Education quality raw</t>
        </is>
      </c>
      <c r="G1864" t="inlineStr">
        <is>
          <t>capability</t>
        </is>
      </c>
      <c r="H1864" t="inlineStr">
        <is>
          <t>yes</t>
        </is>
      </c>
      <c r="I1864" t="inlineStr"/>
      <c r="J1864" t="inlineStr"/>
      <c r="K1864" t="inlineStr"/>
      <c r="L1864" t="inlineStr"/>
      <c r="M1864" t="inlineStr"/>
      <c r="N1864" t="inlineStr"/>
    </row>
    <row r="1865">
      <c r="A1865" t="inlineStr">
        <is>
          <t>cl-valparaiso</t>
        </is>
      </c>
      <c r="B1865" t="inlineStr">
        <is>
          <t>Valparaiso</t>
        </is>
      </c>
      <c r="C1865" t="inlineStr">
        <is>
          <t>Chile</t>
        </is>
      </c>
      <c r="D1865" t="inlineStr">
        <is>
          <t>Latin America</t>
        </is>
      </c>
      <c r="E1865" t="inlineStr">
        <is>
          <t>equal_opportunity_raw</t>
        </is>
      </c>
      <c r="F1865" t="inlineStr">
        <is>
          <t>Equal opportunity raw</t>
        </is>
      </c>
      <c r="G1865" t="inlineStr">
        <is>
          <t>capability</t>
        </is>
      </c>
      <c r="H1865" t="inlineStr">
        <is>
          <t>yes</t>
        </is>
      </c>
      <c r="I1865" t="inlineStr"/>
      <c r="J1865" t="inlineStr"/>
      <c r="K1865" t="inlineStr"/>
      <c r="L1865" t="inlineStr"/>
      <c r="M1865" t="inlineStr"/>
      <c r="N1865" t="inlineStr"/>
    </row>
    <row r="1866">
      <c r="A1866" t="inlineStr">
        <is>
          <t>cl-valparaiso</t>
        </is>
      </c>
      <c r="B1866" t="inlineStr">
        <is>
          <t>Valparaiso</t>
        </is>
      </c>
      <c r="C1866" t="inlineStr">
        <is>
          <t>Chile</t>
        </is>
      </c>
      <c r="D1866" t="inlineStr">
        <is>
          <t>Latin America</t>
        </is>
      </c>
      <c r="E1866" t="inlineStr">
        <is>
          <t>hospitality_belonging_raw</t>
        </is>
      </c>
      <c r="F1866" t="inlineStr">
        <is>
          <t>Hospitality and belonging raw</t>
        </is>
      </c>
      <c r="G1866" t="inlineStr">
        <is>
          <t>community</t>
        </is>
      </c>
      <c r="H1866" t="inlineStr">
        <is>
          <t>yes</t>
        </is>
      </c>
      <c r="I1866" t="inlineStr"/>
      <c r="J1866" t="inlineStr"/>
      <c r="K1866" t="inlineStr"/>
      <c r="L1866" t="inlineStr"/>
      <c r="M1866" t="inlineStr"/>
      <c r="N1866" t="inlineStr"/>
    </row>
    <row r="1867">
      <c r="A1867" t="inlineStr">
        <is>
          <t>cl-valparaiso</t>
        </is>
      </c>
      <c r="B1867" t="inlineStr">
        <is>
          <t>Valparaiso</t>
        </is>
      </c>
      <c r="C1867" t="inlineStr">
        <is>
          <t>Chile</t>
        </is>
      </c>
      <c r="D1867" t="inlineStr">
        <is>
          <t>Latin America</t>
        </is>
      </c>
      <c r="E1867" t="inlineStr">
        <is>
          <t>tolerance_pluralism_raw</t>
        </is>
      </c>
      <c r="F1867" t="inlineStr">
        <is>
          <t>Tolerance and pluralism raw</t>
        </is>
      </c>
      <c r="G1867" t="inlineStr">
        <is>
          <t>community</t>
        </is>
      </c>
      <c r="H1867" t="inlineStr">
        <is>
          <t>yes</t>
        </is>
      </c>
      <c r="I1867" t="inlineStr"/>
      <c r="J1867" t="inlineStr"/>
      <c r="K1867" t="inlineStr"/>
      <c r="L1867" t="inlineStr"/>
      <c r="M1867" t="inlineStr"/>
      <c r="N1867" t="inlineStr"/>
    </row>
    <row r="1868">
      <c r="A1868" t="inlineStr">
        <is>
          <t>cl-valparaiso</t>
        </is>
      </c>
      <c r="B1868" t="inlineStr">
        <is>
          <t>Valparaiso</t>
        </is>
      </c>
      <c r="C1868" t="inlineStr">
        <is>
          <t>Chile</t>
        </is>
      </c>
      <c r="D1868" t="inlineStr">
        <is>
          <t>Latin America</t>
        </is>
      </c>
      <c r="E1868" t="inlineStr">
        <is>
          <t>cultural_public_life_raw</t>
        </is>
      </c>
      <c r="F1868" t="inlineStr">
        <is>
          <t>Cultural public life raw</t>
        </is>
      </c>
      <c r="G1868" t="inlineStr">
        <is>
          <t>community</t>
        </is>
      </c>
      <c r="H1868" t="inlineStr">
        <is>
          <t>yes</t>
        </is>
      </c>
      <c r="I1868" t="inlineStr"/>
      <c r="J1868" t="inlineStr"/>
      <c r="K1868" t="inlineStr"/>
      <c r="L1868" t="inlineStr"/>
      <c r="M1868" t="inlineStr"/>
      <c r="N1868" t="inlineStr"/>
    </row>
    <row r="1869">
      <c r="A1869" t="inlineStr">
        <is>
          <t>cl-valparaiso</t>
        </is>
      </c>
      <c r="B1869" t="inlineStr">
        <is>
          <t>Valparaiso</t>
        </is>
      </c>
      <c r="C1869" t="inlineStr">
        <is>
          <t>Chile</t>
        </is>
      </c>
      <c r="D1869" t="inlineStr">
        <is>
          <t>Latin America</t>
        </is>
      </c>
      <c r="E1869" t="inlineStr">
        <is>
          <t>entrepreneurial_dynamism_raw</t>
        </is>
      </c>
      <c r="F1869" t="inlineStr">
        <is>
          <t>Entrepreneurial dynamism raw</t>
        </is>
      </c>
      <c r="G1869" t="inlineStr">
        <is>
          <t>creative</t>
        </is>
      </c>
      <c r="H1869" t="inlineStr">
        <is>
          <t>yes</t>
        </is>
      </c>
      <c r="I1869" t="inlineStr"/>
      <c r="J1869" t="inlineStr"/>
      <c r="K1869" t="inlineStr"/>
      <c r="L1869" t="inlineStr"/>
      <c r="M1869" t="inlineStr"/>
      <c r="N1869" t="inlineStr"/>
    </row>
    <row r="1870">
      <c r="A1870" t="inlineStr">
        <is>
          <t>cl-valparaiso</t>
        </is>
      </c>
      <c r="B1870" t="inlineStr">
        <is>
          <t>Valparaiso</t>
        </is>
      </c>
      <c r="C1870" t="inlineStr">
        <is>
          <t>Chile</t>
        </is>
      </c>
      <c r="D1870" t="inlineStr">
        <is>
          <t>Latin America</t>
        </is>
      </c>
      <c r="E1870" t="inlineStr">
        <is>
          <t>innovation_research_intensity_raw</t>
        </is>
      </c>
      <c r="F1870" t="inlineStr">
        <is>
          <t>Innovation and research raw</t>
        </is>
      </c>
      <c r="G1870" t="inlineStr">
        <is>
          <t>creative</t>
        </is>
      </c>
      <c r="H1870" t="inlineStr">
        <is>
          <t>yes</t>
        </is>
      </c>
      <c r="I1870" t="inlineStr"/>
      <c r="J1870" t="inlineStr"/>
      <c r="K1870" t="inlineStr"/>
      <c r="L1870" t="inlineStr"/>
      <c r="M1870" t="inlineStr"/>
      <c r="N1870" t="inlineStr"/>
    </row>
    <row r="1871">
      <c r="A1871" t="inlineStr">
        <is>
          <t>cl-valparaiso</t>
        </is>
      </c>
      <c r="B1871" t="inlineStr">
        <is>
          <t>Valparaiso</t>
        </is>
      </c>
      <c r="C1871" t="inlineStr">
        <is>
          <t>Chile</t>
        </is>
      </c>
      <c r="D1871" t="inlineStr">
        <is>
          <t>Latin America</t>
        </is>
      </c>
      <c r="E1871" t="inlineStr">
        <is>
          <t>investment_signal_raw</t>
        </is>
      </c>
      <c r="F1871" t="inlineStr">
        <is>
          <t>Investment signal raw</t>
        </is>
      </c>
      <c r="G1871" t="inlineStr">
        <is>
          <t>creative</t>
        </is>
      </c>
      <c r="H1871" t="inlineStr">
        <is>
          <t>yes</t>
        </is>
      </c>
      <c r="I1871" t="inlineStr"/>
      <c r="J1871" t="inlineStr"/>
      <c r="K1871" t="inlineStr"/>
      <c r="L1871" t="inlineStr"/>
      <c r="M1871" t="inlineStr"/>
      <c r="N1871" t="inlineStr"/>
    </row>
    <row r="1872">
      <c r="A1872" t="inlineStr">
        <is>
          <t>cl-valparaiso</t>
        </is>
      </c>
      <c r="B1872" t="inlineStr">
        <is>
          <t>Valparaiso</t>
        </is>
      </c>
      <c r="C1872" t="inlineStr">
        <is>
          <t>Chile</t>
        </is>
      </c>
      <c r="D1872" t="inlineStr">
        <is>
          <t>Latin America</t>
        </is>
      </c>
      <c r="E1872" t="inlineStr">
        <is>
          <t>administrative_investment_friction_raw</t>
        </is>
      </c>
      <c r="F1872" t="inlineStr">
        <is>
          <t>Administrative investment friction raw</t>
        </is>
      </c>
      <c r="G1872" t="inlineStr">
        <is>
          <t>creative</t>
        </is>
      </c>
      <c r="H1872" t="inlineStr">
        <is>
          <t>yes</t>
        </is>
      </c>
      <c r="I1872" t="inlineStr"/>
      <c r="J1872" t="inlineStr"/>
      <c r="K1872" t="inlineStr"/>
      <c r="L1872" t="inlineStr"/>
      <c r="M1872" t="inlineStr"/>
      <c r="N1872" t="inlineStr"/>
    </row>
    <row r="1873">
      <c r="A1873" t="inlineStr">
        <is>
          <t>cl-valparaiso</t>
        </is>
      </c>
      <c r="B1873" t="inlineStr">
        <is>
          <t>Valparaiso</t>
        </is>
      </c>
      <c r="C1873" t="inlineStr">
        <is>
          <t>Chile</t>
        </is>
      </c>
      <c r="D1873" t="inlineStr">
        <is>
          <t>Latin America</t>
        </is>
      </c>
      <c r="E1873" t="inlineStr">
        <is>
          <t>visitor_flow_context_raw</t>
        </is>
      </c>
      <c r="F1873" t="inlineStr">
        <is>
          <t>Visitor flow context raw</t>
        </is>
      </c>
      <c r="G1873" t="inlineStr">
        <is>
          <t>creative</t>
        </is>
      </c>
      <c r="H1873" t="inlineStr">
        <is>
          <t>no</t>
        </is>
      </c>
      <c r="I1873" t="inlineStr"/>
      <c r="J1873" t="inlineStr"/>
      <c r="K1873" t="inlineStr"/>
      <c r="L1873" t="inlineStr"/>
      <c r="M1873" t="inlineStr"/>
      <c r="N1873" t="inlineStr"/>
    </row>
    <row r="1874">
      <c r="A1874" t="inlineStr">
        <is>
          <t>ae-dubai</t>
        </is>
      </c>
      <c r="B1874" t="inlineStr">
        <is>
          <t>Dubai</t>
        </is>
      </c>
      <c r="C1874" t="inlineStr">
        <is>
          <t>United Arab Emirates</t>
        </is>
      </c>
      <c r="D1874" t="inlineStr">
        <is>
          <t>Middle East</t>
        </is>
      </c>
      <c r="E1874" t="inlineStr">
        <is>
          <t>gross_income</t>
        </is>
      </c>
      <c r="F1874" t="inlineStr">
        <is>
          <t>Gross income</t>
        </is>
      </c>
      <c r="G1874" t="inlineStr">
        <is>
          <t>pressure</t>
        </is>
      </c>
      <c r="H1874" t="inlineStr">
        <is>
          <t>yes</t>
        </is>
      </c>
      <c r="I1874" t="inlineStr"/>
      <c r="J1874" t="inlineStr"/>
      <c r="K1874" t="inlineStr"/>
      <c r="L1874" t="inlineStr"/>
      <c r="M1874" t="inlineStr"/>
      <c r="N1874" t="inlineStr"/>
    </row>
    <row r="1875">
      <c r="A1875" t="inlineStr">
        <is>
          <t>ae-dubai</t>
        </is>
      </c>
      <c r="B1875" t="inlineStr">
        <is>
          <t>Dubai</t>
        </is>
      </c>
      <c r="C1875" t="inlineStr">
        <is>
          <t>United Arab Emirates</t>
        </is>
      </c>
      <c r="D1875" t="inlineStr">
        <is>
          <t>Middle East</t>
        </is>
      </c>
      <c r="E1875" t="inlineStr">
        <is>
          <t>rent</t>
        </is>
      </c>
      <c r="F1875" t="inlineStr">
        <is>
          <t>Rent</t>
        </is>
      </c>
      <c r="G1875" t="inlineStr">
        <is>
          <t>pressure</t>
        </is>
      </c>
      <c r="H1875" t="inlineStr">
        <is>
          <t>yes</t>
        </is>
      </c>
      <c r="I1875" t="inlineStr"/>
      <c r="J1875" t="inlineStr"/>
      <c r="K1875" t="inlineStr"/>
      <c r="L1875" t="inlineStr"/>
      <c r="M1875" t="inlineStr"/>
      <c r="N1875" t="inlineStr"/>
    </row>
    <row r="1876">
      <c r="A1876" t="inlineStr">
        <is>
          <t>ae-dubai</t>
        </is>
      </c>
      <c r="B1876" t="inlineStr">
        <is>
          <t>Dubai</t>
        </is>
      </c>
      <c r="C1876" t="inlineStr">
        <is>
          <t>United Arab Emirates</t>
        </is>
      </c>
      <c r="D1876" t="inlineStr">
        <is>
          <t>Middle East</t>
        </is>
      </c>
      <c r="E1876" t="inlineStr">
        <is>
          <t>utilities</t>
        </is>
      </c>
      <c r="F1876" t="inlineStr">
        <is>
          <t>Utilities</t>
        </is>
      </c>
      <c r="G1876" t="inlineStr">
        <is>
          <t>pressure</t>
        </is>
      </c>
      <c r="H1876" t="inlineStr">
        <is>
          <t>yes</t>
        </is>
      </c>
      <c r="I1876" t="inlineStr"/>
      <c r="J1876" t="inlineStr"/>
      <c r="K1876" t="inlineStr"/>
      <c r="L1876" t="inlineStr"/>
      <c r="M1876" t="inlineStr"/>
      <c r="N1876" t="inlineStr"/>
    </row>
    <row r="1877">
      <c r="A1877" t="inlineStr">
        <is>
          <t>ae-dubai</t>
        </is>
      </c>
      <c r="B1877" t="inlineStr">
        <is>
          <t>Dubai</t>
        </is>
      </c>
      <c r="C1877" t="inlineStr">
        <is>
          <t>United Arab Emirates</t>
        </is>
      </c>
      <c r="D1877" t="inlineStr">
        <is>
          <t>Middle East</t>
        </is>
      </c>
      <c r="E1877" t="inlineStr">
        <is>
          <t>transit_cost</t>
        </is>
      </c>
      <c r="F1877" t="inlineStr">
        <is>
          <t>Transit cost</t>
        </is>
      </c>
      <c r="G1877" t="inlineStr">
        <is>
          <t>pressure</t>
        </is>
      </c>
      <c r="H1877" t="inlineStr">
        <is>
          <t>yes</t>
        </is>
      </c>
      <c r="I1877" t="inlineStr"/>
      <c r="J1877" t="inlineStr"/>
      <c r="K1877" t="inlineStr"/>
      <c r="L1877" t="inlineStr"/>
      <c r="M1877" t="inlineStr"/>
      <c r="N1877" t="inlineStr"/>
    </row>
    <row r="1878">
      <c r="A1878" t="inlineStr">
        <is>
          <t>ae-dubai</t>
        </is>
      </c>
      <c r="B1878" t="inlineStr">
        <is>
          <t>Dubai</t>
        </is>
      </c>
      <c r="C1878" t="inlineStr">
        <is>
          <t>United Arab Emirates</t>
        </is>
      </c>
      <c r="D1878" t="inlineStr">
        <is>
          <t>Middle East</t>
        </is>
      </c>
      <c r="E1878" t="inlineStr">
        <is>
          <t>internet_cost</t>
        </is>
      </c>
      <c r="F1878" t="inlineStr">
        <is>
          <t>Internet cost</t>
        </is>
      </c>
      <c r="G1878" t="inlineStr">
        <is>
          <t>pressure</t>
        </is>
      </c>
      <c r="H1878" t="inlineStr">
        <is>
          <t>yes</t>
        </is>
      </c>
      <c r="I1878" t="inlineStr"/>
      <c r="J1878" t="inlineStr"/>
      <c r="K1878" t="inlineStr"/>
      <c r="L1878" t="inlineStr"/>
      <c r="M1878" t="inlineStr"/>
      <c r="N1878" t="inlineStr"/>
    </row>
    <row r="1879">
      <c r="A1879" t="inlineStr">
        <is>
          <t>ae-dubai</t>
        </is>
      </c>
      <c r="B1879" t="inlineStr">
        <is>
          <t>Dubai</t>
        </is>
      </c>
      <c r="C1879" t="inlineStr">
        <is>
          <t>United Arab Emirates</t>
        </is>
      </c>
      <c r="D1879" t="inlineStr">
        <is>
          <t>Middle East</t>
        </is>
      </c>
      <c r="E1879" t="inlineStr">
        <is>
          <t>food_cost</t>
        </is>
      </c>
      <c r="F1879" t="inlineStr">
        <is>
          <t>Food cost</t>
        </is>
      </c>
      <c r="G1879" t="inlineStr">
        <is>
          <t>pressure</t>
        </is>
      </c>
      <c r="H1879" t="inlineStr">
        <is>
          <t>yes</t>
        </is>
      </c>
      <c r="I1879" t="inlineStr"/>
      <c r="J1879" t="inlineStr"/>
      <c r="K1879" t="inlineStr"/>
      <c r="L1879" t="inlineStr"/>
      <c r="M1879" t="inlineStr"/>
      <c r="N1879" t="inlineStr"/>
    </row>
    <row r="1880">
      <c r="A1880" t="inlineStr">
        <is>
          <t>ae-dubai</t>
        </is>
      </c>
      <c r="B1880" t="inlineStr">
        <is>
          <t>Dubai</t>
        </is>
      </c>
      <c r="C1880" t="inlineStr">
        <is>
          <t>United Arab Emirates</t>
        </is>
      </c>
      <c r="D1880" t="inlineStr">
        <is>
          <t>Middle East</t>
        </is>
      </c>
      <c r="E1880" t="inlineStr">
        <is>
          <t>housing_burden_raw</t>
        </is>
      </c>
      <c r="F1880" t="inlineStr">
        <is>
          <t>Housing burden raw</t>
        </is>
      </c>
      <c r="G1880" t="inlineStr">
        <is>
          <t>pressure</t>
        </is>
      </c>
      <c r="H1880" t="inlineStr">
        <is>
          <t>yes</t>
        </is>
      </c>
      <c r="I1880" t="inlineStr"/>
      <c r="J1880" t="inlineStr"/>
      <c r="K1880" t="inlineStr"/>
      <c r="L1880" t="inlineStr"/>
      <c r="M1880" t="inlineStr"/>
      <c r="N1880" t="inlineStr"/>
    </row>
    <row r="1881">
      <c r="A1881" t="inlineStr">
        <is>
          <t>ae-dubai</t>
        </is>
      </c>
      <c r="B1881" t="inlineStr">
        <is>
          <t>Dubai</t>
        </is>
      </c>
      <c r="C1881" t="inlineStr">
        <is>
          <t>United Arab Emirates</t>
        </is>
      </c>
      <c r="D1881" t="inlineStr">
        <is>
          <t>Middle East</t>
        </is>
      </c>
      <c r="E1881" t="inlineStr">
        <is>
          <t>household_debt_burden_raw</t>
        </is>
      </c>
      <c r="F1881" t="inlineStr">
        <is>
          <t>Household debt burden raw</t>
        </is>
      </c>
      <c r="G1881" t="inlineStr">
        <is>
          <t>pressure</t>
        </is>
      </c>
      <c r="H1881" t="inlineStr">
        <is>
          <t>yes</t>
        </is>
      </c>
      <c r="I1881" t="inlineStr"/>
      <c r="J1881" t="inlineStr"/>
      <c r="K1881" t="inlineStr"/>
      <c r="L1881" t="inlineStr"/>
      <c r="M1881" t="inlineStr"/>
      <c r="N1881" t="inlineStr"/>
    </row>
    <row r="1882">
      <c r="A1882" t="inlineStr">
        <is>
          <t>ae-dubai</t>
        </is>
      </c>
      <c r="B1882" t="inlineStr">
        <is>
          <t>Dubai</t>
        </is>
      </c>
      <c r="C1882" t="inlineStr">
        <is>
          <t>United Arab Emirates</t>
        </is>
      </c>
      <c r="D1882" t="inlineStr">
        <is>
          <t>Middle East</t>
        </is>
      </c>
      <c r="E1882" t="inlineStr">
        <is>
          <t>working_time_pressure_raw</t>
        </is>
      </c>
      <c r="F1882" t="inlineStr">
        <is>
          <t>Working time pressure raw</t>
        </is>
      </c>
      <c r="G1882" t="inlineStr">
        <is>
          <t>pressure</t>
        </is>
      </c>
      <c r="H1882" t="inlineStr">
        <is>
          <t>yes</t>
        </is>
      </c>
      <c r="I1882" t="inlineStr"/>
      <c r="J1882" t="inlineStr"/>
      <c r="K1882" t="inlineStr"/>
      <c r="L1882" t="inlineStr"/>
      <c r="M1882" t="inlineStr"/>
      <c r="N1882" t="inlineStr"/>
    </row>
    <row r="1883">
      <c r="A1883" t="inlineStr">
        <is>
          <t>ae-dubai</t>
        </is>
      </c>
      <c r="B1883" t="inlineStr">
        <is>
          <t>Dubai</t>
        </is>
      </c>
      <c r="C1883" t="inlineStr">
        <is>
          <t>United Arab Emirates</t>
        </is>
      </c>
      <c r="D1883" t="inlineStr">
        <is>
          <t>Middle East</t>
        </is>
      </c>
      <c r="E1883" t="inlineStr">
        <is>
          <t>suicide_mental_strain_raw</t>
        </is>
      </c>
      <c r="F1883" t="inlineStr">
        <is>
          <t>Suicide or mental strain raw</t>
        </is>
      </c>
      <c r="G1883" t="inlineStr">
        <is>
          <t>pressure</t>
        </is>
      </c>
      <c r="H1883" t="inlineStr">
        <is>
          <t>yes</t>
        </is>
      </c>
      <c r="I1883" t="inlineStr"/>
      <c r="J1883" t="inlineStr"/>
      <c r="K1883" t="inlineStr"/>
      <c r="L1883" t="inlineStr"/>
      <c r="M1883" t="inlineStr"/>
      <c r="N1883" t="inlineStr"/>
    </row>
    <row r="1884">
      <c r="A1884" t="inlineStr">
        <is>
          <t>ae-dubai</t>
        </is>
      </c>
      <c r="B1884" t="inlineStr">
        <is>
          <t>Dubai</t>
        </is>
      </c>
      <c r="C1884" t="inlineStr">
        <is>
          <t>United Arab Emirates</t>
        </is>
      </c>
      <c r="D1884" t="inlineStr">
        <is>
          <t>Middle East</t>
        </is>
      </c>
      <c r="E1884" t="inlineStr">
        <is>
          <t>personal_safety_raw</t>
        </is>
      </c>
      <c r="F1884" t="inlineStr">
        <is>
          <t>Personal safety raw</t>
        </is>
      </c>
      <c r="G1884" t="inlineStr">
        <is>
          <t>viability</t>
        </is>
      </c>
      <c r="H1884" t="inlineStr">
        <is>
          <t>yes</t>
        </is>
      </c>
      <c r="I1884" t="inlineStr"/>
      <c r="J1884" t="inlineStr"/>
      <c r="K1884" t="inlineStr"/>
      <c r="L1884" t="inlineStr"/>
      <c r="M1884" t="inlineStr"/>
      <c r="N1884" t="inlineStr"/>
    </row>
    <row r="1885">
      <c r="A1885" t="inlineStr">
        <is>
          <t>ae-dubai</t>
        </is>
      </c>
      <c r="B1885" t="inlineStr">
        <is>
          <t>Dubai</t>
        </is>
      </c>
      <c r="C1885" t="inlineStr">
        <is>
          <t>United Arab Emirates</t>
        </is>
      </c>
      <c r="D1885" t="inlineStr">
        <is>
          <t>Middle East</t>
        </is>
      </c>
      <c r="E1885" t="inlineStr">
        <is>
          <t>transit_access_commute_raw</t>
        </is>
      </c>
      <c r="F1885" t="inlineStr">
        <is>
          <t>Transit access and commute raw</t>
        </is>
      </c>
      <c r="G1885" t="inlineStr">
        <is>
          <t>viability</t>
        </is>
      </c>
      <c r="H1885" t="inlineStr">
        <is>
          <t>yes</t>
        </is>
      </c>
      <c r="I1885" t="inlineStr"/>
      <c r="J1885" t="inlineStr"/>
      <c r="K1885" t="inlineStr"/>
      <c r="L1885" t="inlineStr"/>
      <c r="M1885" t="inlineStr"/>
      <c r="N1885" t="inlineStr"/>
    </row>
    <row r="1886">
      <c r="A1886" t="inlineStr">
        <is>
          <t>ae-dubai</t>
        </is>
      </c>
      <c r="B1886" t="inlineStr">
        <is>
          <t>Dubai</t>
        </is>
      </c>
      <c r="C1886" t="inlineStr">
        <is>
          <t>United Arab Emirates</t>
        </is>
      </c>
      <c r="D1886" t="inlineStr">
        <is>
          <t>Middle East</t>
        </is>
      </c>
      <c r="E1886" t="inlineStr">
        <is>
          <t>clean_air_raw</t>
        </is>
      </c>
      <c r="F1886" t="inlineStr">
        <is>
          <t>Clean air raw</t>
        </is>
      </c>
      <c r="G1886" t="inlineStr">
        <is>
          <t>viability</t>
        </is>
      </c>
      <c r="H1886" t="inlineStr">
        <is>
          <t>yes</t>
        </is>
      </c>
      <c r="I1886" t="inlineStr"/>
      <c r="J1886" t="inlineStr"/>
      <c r="K1886" t="inlineStr"/>
      <c r="L1886" t="inlineStr"/>
      <c r="M1886" t="inlineStr"/>
      <c r="N1886" t="inlineStr"/>
    </row>
    <row r="1887">
      <c r="A1887" t="inlineStr">
        <is>
          <t>ae-dubai</t>
        </is>
      </c>
      <c r="B1887" t="inlineStr">
        <is>
          <t>Dubai</t>
        </is>
      </c>
      <c r="C1887" t="inlineStr">
        <is>
          <t>United Arab Emirates</t>
        </is>
      </c>
      <c r="D1887" t="inlineStr">
        <is>
          <t>Middle East</t>
        </is>
      </c>
      <c r="E1887" t="inlineStr">
        <is>
          <t>water_sanitation_utility_raw</t>
        </is>
      </c>
      <c r="F1887" t="inlineStr">
        <is>
          <t>Water, sanitation, and utility raw</t>
        </is>
      </c>
      <c r="G1887" t="inlineStr">
        <is>
          <t>viability</t>
        </is>
      </c>
      <c r="H1887" t="inlineStr">
        <is>
          <t>yes</t>
        </is>
      </c>
      <c r="I1887" t="inlineStr"/>
      <c r="J1887" t="inlineStr"/>
      <c r="K1887" t="inlineStr"/>
      <c r="L1887" t="inlineStr"/>
      <c r="M1887" t="inlineStr"/>
      <c r="N1887" t="inlineStr"/>
    </row>
    <row r="1888">
      <c r="A1888" t="inlineStr">
        <is>
          <t>ae-dubai</t>
        </is>
      </c>
      <c r="B1888" t="inlineStr">
        <is>
          <t>Dubai</t>
        </is>
      </c>
      <c r="C1888" t="inlineStr">
        <is>
          <t>United Arab Emirates</t>
        </is>
      </c>
      <c r="D1888" t="inlineStr">
        <is>
          <t>Middle East</t>
        </is>
      </c>
      <c r="E1888" t="inlineStr">
        <is>
          <t>digital_infrastructure_raw</t>
        </is>
      </c>
      <c r="F1888" t="inlineStr">
        <is>
          <t>Digital infrastructure raw</t>
        </is>
      </c>
      <c r="G1888" t="inlineStr">
        <is>
          <t>viability</t>
        </is>
      </c>
      <c r="H1888" t="inlineStr">
        <is>
          <t>yes</t>
        </is>
      </c>
      <c r="I1888" t="inlineStr"/>
      <c r="J1888" t="inlineStr"/>
      <c r="K1888" t="inlineStr"/>
      <c r="L1888" t="inlineStr"/>
      <c r="M1888" t="inlineStr"/>
      <c r="N1888" t="inlineStr"/>
    </row>
    <row r="1889">
      <c r="A1889" t="inlineStr">
        <is>
          <t>ae-dubai</t>
        </is>
      </c>
      <c r="B1889" t="inlineStr">
        <is>
          <t>Dubai</t>
        </is>
      </c>
      <c r="C1889" t="inlineStr">
        <is>
          <t>United Arab Emirates</t>
        </is>
      </c>
      <c r="D1889" t="inlineStr">
        <is>
          <t>Middle East</t>
        </is>
      </c>
      <c r="E1889" t="inlineStr">
        <is>
          <t>healthcare_quality_raw</t>
        </is>
      </c>
      <c r="F1889" t="inlineStr">
        <is>
          <t>Healthcare quality raw</t>
        </is>
      </c>
      <c r="G1889" t="inlineStr">
        <is>
          <t>capability</t>
        </is>
      </c>
      <c r="H1889" t="inlineStr">
        <is>
          <t>yes</t>
        </is>
      </c>
      <c r="I1889" t="inlineStr"/>
      <c r="J1889" t="inlineStr"/>
      <c r="K1889" t="inlineStr"/>
      <c r="L1889" t="inlineStr"/>
      <c r="M1889" t="inlineStr"/>
      <c r="N1889" t="inlineStr"/>
    </row>
    <row r="1890">
      <c r="A1890" t="inlineStr">
        <is>
          <t>ae-dubai</t>
        </is>
      </c>
      <c r="B1890" t="inlineStr">
        <is>
          <t>Dubai</t>
        </is>
      </c>
      <c r="C1890" t="inlineStr">
        <is>
          <t>United Arab Emirates</t>
        </is>
      </c>
      <c r="D1890" t="inlineStr">
        <is>
          <t>Middle East</t>
        </is>
      </c>
      <c r="E1890" t="inlineStr">
        <is>
          <t>education_quality_raw</t>
        </is>
      </c>
      <c r="F1890" t="inlineStr">
        <is>
          <t>Education quality raw</t>
        </is>
      </c>
      <c r="G1890" t="inlineStr">
        <is>
          <t>capability</t>
        </is>
      </c>
      <c r="H1890" t="inlineStr">
        <is>
          <t>yes</t>
        </is>
      </c>
      <c r="I1890" t="inlineStr"/>
      <c r="J1890" t="inlineStr"/>
      <c r="K1890" t="inlineStr"/>
      <c r="L1890" t="inlineStr"/>
      <c r="M1890" t="inlineStr"/>
      <c r="N1890" t="inlineStr"/>
    </row>
    <row r="1891">
      <c r="A1891" t="inlineStr">
        <is>
          <t>ae-dubai</t>
        </is>
      </c>
      <c r="B1891" t="inlineStr">
        <is>
          <t>Dubai</t>
        </is>
      </c>
      <c r="C1891" t="inlineStr">
        <is>
          <t>United Arab Emirates</t>
        </is>
      </c>
      <c r="D1891" t="inlineStr">
        <is>
          <t>Middle East</t>
        </is>
      </c>
      <c r="E1891" t="inlineStr">
        <is>
          <t>equal_opportunity_raw</t>
        </is>
      </c>
      <c r="F1891" t="inlineStr">
        <is>
          <t>Equal opportunity raw</t>
        </is>
      </c>
      <c r="G1891" t="inlineStr">
        <is>
          <t>capability</t>
        </is>
      </c>
      <c r="H1891" t="inlineStr">
        <is>
          <t>yes</t>
        </is>
      </c>
      <c r="I1891" t="inlineStr"/>
      <c r="J1891" t="inlineStr"/>
      <c r="K1891" t="inlineStr"/>
      <c r="L1891" t="inlineStr"/>
      <c r="M1891" t="inlineStr"/>
      <c r="N1891" t="inlineStr"/>
    </row>
    <row r="1892">
      <c r="A1892" t="inlineStr">
        <is>
          <t>ae-dubai</t>
        </is>
      </c>
      <c r="B1892" t="inlineStr">
        <is>
          <t>Dubai</t>
        </is>
      </c>
      <c r="C1892" t="inlineStr">
        <is>
          <t>United Arab Emirates</t>
        </is>
      </c>
      <c r="D1892" t="inlineStr">
        <is>
          <t>Middle East</t>
        </is>
      </c>
      <c r="E1892" t="inlineStr">
        <is>
          <t>hospitality_belonging_raw</t>
        </is>
      </c>
      <c r="F1892" t="inlineStr">
        <is>
          <t>Hospitality and belonging raw</t>
        </is>
      </c>
      <c r="G1892" t="inlineStr">
        <is>
          <t>community</t>
        </is>
      </c>
      <c r="H1892" t="inlineStr">
        <is>
          <t>yes</t>
        </is>
      </c>
      <c r="I1892" t="inlineStr"/>
      <c r="J1892" t="inlineStr"/>
      <c r="K1892" t="inlineStr"/>
      <c r="L1892" t="inlineStr"/>
      <c r="M1892" t="inlineStr"/>
      <c r="N1892" t="inlineStr"/>
    </row>
    <row r="1893">
      <c r="A1893" t="inlineStr">
        <is>
          <t>ae-dubai</t>
        </is>
      </c>
      <c r="B1893" t="inlineStr">
        <is>
          <t>Dubai</t>
        </is>
      </c>
      <c r="C1893" t="inlineStr">
        <is>
          <t>United Arab Emirates</t>
        </is>
      </c>
      <c r="D1893" t="inlineStr">
        <is>
          <t>Middle East</t>
        </is>
      </c>
      <c r="E1893" t="inlineStr">
        <is>
          <t>tolerance_pluralism_raw</t>
        </is>
      </c>
      <c r="F1893" t="inlineStr">
        <is>
          <t>Tolerance and pluralism raw</t>
        </is>
      </c>
      <c r="G1893" t="inlineStr">
        <is>
          <t>community</t>
        </is>
      </c>
      <c r="H1893" t="inlineStr">
        <is>
          <t>yes</t>
        </is>
      </c>
      <c r="I1893" t="inlineStr"/>
      <c r="J1893" t="inlineStr"/>
      <c r="K1893" t="inlineStr"/>
      <c r="L1893" t="inlineStr"/>
      <c r="M1893" t="inlineStr"/>
      <c r="N1893" t="inlineStr"/>
    </row>
    <row r="1894">
      <c r="A1894" t="inlineStr">
        <is>
          <t>ae-dubai</t>
        </is>
      </c>
      <c r="B1894" t="inlineStr">
        <is>
          <t>Dubai</t>
        </is>
      </c>
      <c r="C1894" t="inlineStr">
        <is>
          <t>United Arab Emirates</t>
        </is>
      </c>
      <c r="D1894" t="inlineStr">
        <is>
          <t>Middle East</t>
        </is>
      </c>
      <c r="E1894" t="inlineStr">
        <is>
          <t>cultural_public_life_raw</t>
        </is>
      </c>
      <c r="F1894" t="inlineStr">
        <is>
          <t>Cultural public life raw</t>
        </is>
      </c>
      <c r="G1894" t="inlineStr">
        <is>
          <t>community</t>
        </is>
      </c>
      <c r="H1894" t="inlineStr">
        <is>
          <t>yes</t>
        </is>
      </c>
      <c r="I1894" t="inlineStr"/>
      <c r="J1894" t="inlineStr"/>
      <c r="K1894" t="inlineStr"/>
      <c r="L1894" t="inlineStr"/>
      <c r="M1894" t="inlineStr"/>
      <c r="N1894" t="inlineStr"/>
    </row>
    <row r="1895">
      <c r="A1895" t="inlineStr">
        <is>
          <t>ae-dubai</t>
        </is>
      </c>
      <c r="B1895" t="inlineStr">
        <is>
          <t>Dubai</t>
        </is>
      </c>
      <c r="C1895" t="inlineStr">
        <is>
          <t>United Arab Emirates</t>
        </is>
      </c>
      <c r="D1895" t="inlineStr">
        <is>
          <t>Middle East</t>
        </is>
      </c>
      <c r="E1895" t="inlineStr">
        <is>
          <t>entrepreneurial_dynamism_raw</t>
        </is>
      </c>
      <c r="F1895" t="inlineStr">
        <is>
          <t>Entrepreneurial dynamism raw</t>
        </is>
      </c>
      <c r="G1895" t="inlineStr">
        <is>
          <t>creative</t>
        </is>
      </c>
      <c r="H1895" t="inlineStr">
        <is>
          <t>yes</t>
        </is>
      </c>
      <c r="I1895" t="inlineStr"/>
      <c r="J1895" t="inlineStr"/>
      <c r="K1895" t="inlineStr"/>
      <c r="L1895" t="inlineStr"/>
      <c r="M1895" t="inlineStr"/>
      <c r="N1895" t="inlineStr"/>
    </row>
    <row r="1896">
      <c r="A1896" t="inlineStr">
        <is>
          <t>ae-dubai</t>
        </is>
      </c>
      <c r="B1896" t="inlineStr">
        <is>
          <t>Dubai</t>
        </is>
      </c>
      <c r="C1896" t="inlineStr">
        <is>
          <t>United Arab Emirates</t>
        </is>
      </c>
      <c r="D1896" t="inlineStr">
        <is>
          <t>Middle East</t>
        </is>
      </c>
      <c r="E1896" t="inlineStr">
        <is>
          <t>innovation_research_intensity_raw</t>
        </is>
      </c>
      <c r="F1896" t="inlineStr">
        <is>
          <t>Innovation and research raw</t>
        </is>
      </c>
      <c r="G1896" t="inlineStr">
        <is>
          <t>creative</t>
        </is>
      </c>
      <c r="H1896" t="inlineStr">
        <is>
          <t>yes</t>
        </is>
      </c>
      <c r="I1896" t="inlineStr"/>
      <c r="J1896" t="inlineStr"/>
      <c r="K1896" t="inlineStr"/>
      <c r="L1896" t="inlineStr"/>
      <c r="M1896" t="inlineStr"/>
      <c r="N1896" t="inlineStr"/>
    </row>
    <row r="1897">
      <c r="A1897" t="inlineStr">
        <is>
          <t>ae-dubai</t>
        </is>
      </c>
      <c r="B1897" t="inlineStr">
        <is>
          <t>Dubai</t>
        </is>
      </c>
      <c r="C1897" t="inlineStr">
        <is>
          <t>United Arab Emirates</t>
        </is>
      </c>
      <c r="D1897" t="inlineStr">
        <is>
          <t>Middle East</t>
        </is>
      </c>
      <c r="E1897" t="inlineStr">
        <is>
          <t>investment_signal_raw</t>
        </is>
      </c>
      <c r="F1897" t="inlineStr">
        <is>
          <t>Investment signal raw</t>
        </is>
      </c>
      <c r="G1897" t="inlineStr">
        <is>
          <t>creative</t>
        </is>
      </c>
      <c r="H1897" t="inlineStr">
        <is>
          <t>yes</t>
        </is>
      </c>
      <c r="I1897" t="inlineStr"/>
      <c r="J1897" t="inlineStr"/>
      <c r="K1897" t="inlineStr"/>
      <c r="L1897" t="inlineStr"/>
      <c r="M1897" t="inlineStr"/>
      <c r="N1897" t="inlineStr"/>
    </row>
    <row r="1898">
      <c r="A1898" t="inlineStr">
        <is>
          <t>ae-dubai</t>
        </is>
      </c>
      <c r="B1898" t="inlineStr">
        <is>
          <t>Dubai</t>
        </is>
      </c>
      <c r="C1898" t="inlineStr">
        <is>
          <t>United Arab Emirates</t>
        </is>
      </c>
      <c r="D1898" t="inlineStr">
        <is>
          <t>Middle East</t>
        </is>
      </c>
      <c r="E1898" t="inlineStr">
        <is>
          <t>administrative_investment_friction_raw</t>
        </is>
      </c>
      <c r="F1898" t="inlineStr">
        <is>
          <t>Administrative investment friction raw</t>
        </is>
      </c>
      <c r="G1898" t="inlineStr">
        <is>
          <t>creative</t>
        </is>
      </c>
      <c r="H1898" t="inlineStr">
        <is>
          <t>yes</t>
        </is>
      </c>
      <c r="I1898" t="inlineStr"/>
      <c r="J1898" t="inlineStr"/>
      <c r="K1898" t="inlineStr"/>
      <c r="L1898" t="inlineStr"/>
      <c r="M1898" t="inlineStr"/>
      <c r="N1898" t="inlineStr"/>
    </row>
    <row r="1899">
      <c r="A1899" t="inlineStr">
        <is>
          <t>ae-dubai</t>
        </is>
      </c>
      <c r="B1899" t="inlineStr">
        <is>
          <t>Dubai</t>
        </is>
      </c>
      <c r="C1899" t="inlineStr">
        <is>
          <t>United Arab Emirates</t>
        </is>
      </c>
      <c r="D1899" t="inlineStr">
        <is>
          <t>Middle East</t>
        </is>
      </c>
      <c r="E1899" t="inlineStr">
        <is>
          <t>visitor_flow_context_raw</t>
        </is>
      </c>
      <c r="F1899" t="inlineStr">
        <is>
          <t>Visitor flow context raw</t>
        </is>
      </c>
      <c r="G1899" t="inlineStr">
        <is>
          <t>creative</t>
        </is>
      </c>
      <c r="H1899" t="inlineStr">
        <is>
          <t>no</t>
        </is>
      </c>
      <c r="I1899" t="inlineStr"/>
      <c r="J1899" t="inlineStr"/>
      <c r="K1899" t="inlineStr"/>
      <c r="L1899" t="inlineStr"/>
      <c r="M1899" t="inlineStr"/>
      <c r="N1899" t="inlineStr"/>
    </row>
    <row r="1900">
      <c r="A1900" t="inlineStr">
        <is>
          <t>ae-abu-dhabi</t>
        </is>
      </c>
      <c r="B1900" t="inlineStr">
        <is>
          <t>Abu Dhabi</t>
        </is>
      </c>
      <c r="C1900" t="inlineStr">
        <is>
          <t>United Arab Emirates</t>
        </is>
      </c>
      <c r="D1900" t="inlineStr">
        <is>
          <t>Middle East</t>
        </is>
      </c>
      <c r="E1900" t="inlineStr">
        <is>
          <t>gross_income</t>
        </is>
      </c>
      <c r="F1900" t="inlineStr">
        <is>
          <t>Gross income</t>
        </is>
      </c>
      <c r="G1900" t="inlineStr">
        <is>
          <t>pressure</t>
        </is>
      </c>
      <c r="H1900" t="inlineStr">
        <is>
          <t>yes</t>
        </is>
      </c>
      <c r="I1900" t="inlineStr"/>
      <c r="J1900" t="inlineStr"/>
      <c r="K1900" t="inlineStr"/>
      <c r="L1900" t="inlineStr"/>
      <c r="M1900" t="inlineStr"/>
      <c r="N1900" t="inlineStr"/>
    </row>
    <row r="1901">
      <c r="A1901" t="inlineStr">
        <is>
          <t>ae-abu-dhabi</t>
        </is>
      </c>
      <c r="B1901" t="inlineStr">
        <is>
          <t>Abu Dhabi</t>
        </is>
      </c>
      <c r="C1901" t="inlineStr">
        <is>
          <t>United Arab Emirates</t>
        </is>
      </c>
      <c r="D1901" t="inlineStr">
        <is>
          <t>Middle East</t>
        </is>
      </c>
      <c r="E1901" t="inlineStr">
        <is>
          <t>rent</t>
        </is>
      </c>
      <c r="F1901" t="inlineStr">
        <is>
          <t>Rent</t>
        </is>
      </c>
      <c r="G1901" t="inlineStr">
        <is>
          <t>pressure</t>
        </is>
      </c>
      <c r="H1901" t="inlineStr">
        <is>
          <t>yes</t>
        </is>
      </c>
      <c r="I1901" t="inlineStr"/>
      <c r="J1901" t="inlineStr"/>
      <c r="K1901" t="inlineStr"/>
      <c r="L1901" t="inlineStr"/>
      <c r="M1901" t="inlineStr"/>
      <c r="N1901" t="inlineStr"/>
    </row>
    <row r="1902">
      <c r="A1902" t="inlineStr">
        <is>
          <t>ae-abu-dhabi</t>
        </is>
      </c>
      <c r="B1902" t="inlineStr">
        <is>
          <t>Abu Dhabi</t>
        </is>
      </c>
      <c r="C1902" t="inlineStr">
        <is>
          <t>United Arab Emirates</t>
        </is>
      </c>
      <c r="D1902" t="inlineStr">
        <is>
          <t>Middle East</t>
        </is>
      </c>
      <c r="E1902" t="inlineStr">
        <is>
          <t>utilities</t>
        </is>
      </c>
      <c r="F1902" t="inlineStr">
        <is>
          <t>Utilities</t>
        </is>
      </c>
      <c r="G1902" t="inlineStr">
        <is>
          <t>pressure</t>
        </is>
      </c>
      <c r="H1902" t="inlineStr">
        <is>
          <t>yes</t>
        </is>
      </c>
      <c r="I1902" t="inlineStr"/>
      <c r="J1902" t="inlineStr"/>
      <c r="K1902" t="inlineStr"/>
      <c r="L1902" t="inlineStr"/>
      <c r="M1902" t="inlineStr"/>
      <c r="N1902" t="inlineStr"/>
    </row>
    <row r="1903">
      <c r="A1903" t="inlineStr">
        <is>
          <t>ae-abu-dhabi</t>
        </is>
      </c>
      <c r="B1903" t="inlineStr">
        <is>
          <t>Abu Dhabi</t>
        </is>
      </c>
      <c r="C1903" t="inlineStr">
        <is>
          <t>United Arab Emirates</t>
        </is>
      </c>
      <c r="D1903" t="inlineStr">
        <is>
          <t>Middle East</t>
        </is>
      </c>
      <c r="E1903" t="inlineStr">
        <is>
          <t>transit_cost</t>
        </is>
      </c>
      <c r="F1903" t="inlineStr">
        <is>
          <t>Transit cost</t>
        </is>
      </c>
      <c r="G1903" t="inlineStr">
        <is>
          <t>pressure</t>
        </is>
      </c>
      <c r="H1903" t="inlineStr">
        <is>
          <t>yes</t>
        </is>
      </c>
      <c r="I1903" t="inlineStr"/>
      <c r="J1903" t="inlineStr"/>
      <c r="K1903" t="inlineStr"/>
      <c r="L1903" t="inlineStr"/>
      <c r="M1903" t="inlineStr"/>
      <c r="N1903" t="inlineStr"/>
    </row>
    <row r="1904">
      <c r="A1904" t="inlineStr">
        <is>
          <t>ae-abu-dhabi</t>
        </is>
      </c>
      <c r="B1904" t="inlineStr">
        <is>
          <t>Abu Dhabi</t>
        </is>
      </c>
      <c r="C1904" t="inlineStr">
        <is>
          <t>United Arab Emirates</t>
        </is>
      </c>
      <c r="D1904" t="inlineStr">
        <is>
          <t>Middle East</t>
        </is>
      </c>
      <c r="E1904" t="inlineStr">
        <is>
          <t>internet_cost</t>
        </is>
      </c>
      <c r="F1904" t="inlineStr">
        <is>
          <t>Internet cost</t>
        </is>
      </c>
      <c r="G1904" t="inlineStr">
        <is>
          <t>pressure</t>
        </is>
      </c>
      <c r="H1904" t="inlineStr">
        <is>
          <t>yes</t>
        </is>
      </c>
      <c r="I1904" t="inlineStr"/>
      <c r="J1904" t="inlineStr"/>
      <c r="K1904" t="inlineStr"/>
      <c r="L1904" t="inlineStr"/>
      <c r="M1904" t="inlineStr"/>
      <c r="N1904" t="inlineStr"/>
    </row>
    <row r="1905">
      <c r="A1905" t="inlineStr">
        <is>
          <t>ae-abu-dhabi</t>
        </is>
      </c>
      <c r="B1905" t="inlineStr">
        <is>
          <t>Abu Dhabi</t>
        </is>
      </c>
      <c r="C1905" t="inlineStr">
        <is>
          <t>United Arab Emirates</t>
        </is>
      </c>
      <c r="D1905" t="inlineStr">
        <is>
          <t>Middle East</t>
        </is>
      </c>
      <c r="E1905" t="inlineStr">
        <is>
          <t>food_cost</t>
        </is>
      </c>
      <c r="F1905" t="inlineStr">
        <is>
          <t>Food cost</t>
        </is>
      </c>
      <c r="G1905" t="inlineStr">
        <is>
          <t>pressure</t>
        </is>
      </c>
      <c r="H1905" t="inlineStr">
        <is>
          <t>yes</t>
        </is>
      </c>
      <c r="I1905" t="inlineStr"/>
      <c r="J1905" t="inlineStr"/>
      <c r="K1905" t="inlineStr"/>
      <c r="L1905" t="inlineStr"/>
      <c r="M1905" t="inlineStr"/>
      <c r="N1905" t="inlineStr"/>
    </row>
    <row r="1906">
      <c r="A1906" t="inlineStr">
        <is>
          <t>ae-abu-dhabi</t>
        </is>
      </c>
      <c r="B1906" t="inlineStr">
        <is>
          <t>Abu Dhabi</t>
        </is>
      </c>
      <c r="C1906" t="inlineStr">
        <is>
          <t>United Arab Emirates</t>
        </is>
      </c>
      <c r="D1906" t="inlineStr">
        <is>
          <t>Middle East</t>
        </is>
      </c>
      <c r="E1906" t="inlineStr">
        <is>
          <t>housing_burden_raw</t>
        </is>
      </c>
      <c r="F1906" t="inlineStr">
        <is>
          <t>Housing burden raw</t>
        </is>
      </c>
      <c r="G1906" t="inlineStr">
        <is>
          <t>pressure</t>
        </is>
      </c>
      <c r="H1906" t="inlineStr">
        <is>
          <t>yes</t>
        </is>
      </c>
      <c r="I1906" t="inlineStr"/>
      <c r="J1906" t="inlineStr"/>
      <c r="K1906" t="inlineStr"/>
      <c r="L1906" t="inlineStr"/>
      <c r="M1906" t="inlineStr"/>
      <c r="N1906" t="inlineStr"/>
    </row>
    <row r="1907">
      <c r="A1907" t="inlineStr">
        <is>
          <t>ae-abu-dhabi</t>
        </is>
      </c>
      <c r="B1907" t="inlineStr">
        <is>
          <t>Abu Dhabi</t>
        </is>
      </c>
      <c r="C1907" t="inlineStr">
        <is>
          <t>United Arab Emirates</t>
        </is>
      </c>
      <c r="D1907" t="inlineStr">
        <is>
          <t>Middle East</t>
        </is>
      </c>
      <c r="E1907" t="inlineStr">
        <is>
          <t>household_debt_burden_raw</t>
        </is>
      </c>
      <c r="F1907" t="inlineStr">
        <is>
          <t>Household debt burden raw</t>
        </is>
      </c>
      <c r="G1907" t="inlineStr">
        <is>
          <t>pressure</t>
        </is>
      </c>
      <c r="H1907" t="inlineStr">
        <is>
          <t>yes</t>
        </is>
      </c>
      <c r="I1907" t="inlineStr"/>
      <c r="J1907" t="inlineStr"/>
      <c r="K1907" t="inlineStr"/>
      <c r="L1907" t="inlineStr"/>
      <c r="M1907" t="inlineStr"/>
      <c r="N1907" t="inlineStr"/>
    </row>
    <row r="1908">
      <c r="A1908" t="inlineStr">
        <is>
          <t>ae-abu-dhabi</t>
        </is>
      </c>
      <c r="B1908" t="inlineStr">
        <is>
          <t>Abu Dhabi</t>
        </is>
      </c>
      <c r="C1908" t="inlineStr">
        <is>
          <t>United Arab Emirates</t>
        </is>
      </c>
      <c r="D1908" t="inlineStr">
        <is>
          <t>Middle East</t>
        </is>
      </c>
      <c r="E1908" t="inlineStr">
        <is>
          <t>working_time_pressure_raw</t>
        </is>
      </c>
      <c r="F1908" t="inlineStr">
        <is>
          <t>Working time pressure raw</t>
        </is>
      </c>
      <c r="G1908" t="inlineStr">
        <is>
          <t>pressure</t>
        </is>
      </c>
      <c r="H1908" t="inlineStr">
        <is>
          <t>yes</t>
        </is>
      </c>
      <c r="I1908" t="inlineStr"/>
      <c r="J1908" t="inlineStr"/>
      <c r="K1908" t="inlineStr"/>
      <c r="L1908" t="inlineStr"/>
      <c r="M1908" t="inlineStr"/>
      <c r="N1908" t="inlineStr"/>
    </row>
    <row r="1909">
      <c r="A1909" t="inlineStr">
        <is>
          <t>ae-abu-dhabi</t>
        </is>
      </c>
      <c r="B1909" t="inlineStr">
        <is>
          <t>Abu Dhabi</t>
        </is>
      </c>
      <c r="C1909" t="inlineStr">
        <is>
          <t>United Arab Emirates</t>
        </is>
      </c>
      <c r="D1909" t="inlineStr">
        <is>
          <t>Middle East</t>
        </is>
      </c>
      <c r="E1909" t="inlineStr">
        <is>
          <t>suicide_mental_strain_raw</t>
        </is>
      </c>
      <c r="F1909" t="inlineStr">
        <is>
          <t>Suicide or mental strain raw</t>
        </is>
      </c>
      <c r="G1909" t="inlineStr">
        <is>
          <t>pressure</t>
        </is>
      </c>
      <c r="H1909" t="inlineStr">
        <is>
          <t>yes</t>
        </is>
      </c>
      <c r="I1909" t="inlineStr"/>
      <c r="J1909" t="inlineStr"/>
      <c r="K1909" t="inlineStr"/>
      <c r="L1909" t="inlineStr"/>
      <c r="M1909" t="inlineStr"/>
      <c r="N1909" t="inlineStr"/>
    </row>
    <row r="1910">
      <c r="A1910" t="inlineStr">
        <is>
          <t>ae-abu-dhabi</t>
        </is>
      </c>
      <c r="B1910" t="inlineStr">
        <is>
          <t>Abu Dhabi</t>
        </is>
      </c>
      <c r="C1910" t="inlineStr">
        <is>
          <t>United Arab Emirates</t>
        </is>
      </c>
      <c r="D1910" t="inlineStr">
        <is>
          <t>Middle East</t>
        </is>
      </c>
      <c r="E1910" t="inlineStr">
        <is>
          <t>personal_safety_raw</t>
        </is>
      </c>
      <c r="F1910" t="inlineStr">
        <is>
          <t>Personal safety raw</t>
        </is>
      </c>
      <c r="G1910" t="inlineStr">
        <is>
          <t>viability</t>
        </is>
      </c>
      <c r="H1910" t="inlineStr">
        <is>
          <t>yes</t>
        </is>
      </c>
      <c r="I1910" t="inlineStr"/>
      <c r="J1910" t="inlineStr"/>
      <c r="K1910" t="inlineStr"/>
      <c r="L1910" t="inlineStr"/>
      <c r="M1910" t="inlineStr"/>
      <c r="N1910" t="inlineStr"/>
    </row>
    <row r="1911">
      <c r="A1911" t="inlineStr">
        <is>
          <t>ae-abu-dhabi</t>
        </is>
      </c>
      <c r="B1911" t="inlineStr">
        <is>
          <t>Abu Dhabi</t>
        </is>
      </c>
      <c r="C1911" t="inlineStr">
        <is>
          <t>United Arab Emirates</t>
        </is>
      </c>
      <c r="D1911" t="inlineStr">
        <is>
          <t>Middle East</t>
        </is>
      </c>
      <c r="E1911" t="inlineStr">
        <is>
          <t>transit_access_commute_raw</t>
        </is>
      </c>
      <c r="F1911" t="inlineStr">
        <is>
          <t>Transit access and commute raw</t>
        </is>
      </c>
      <c r="G1911" t="inlineStr">
        <is>
          <t>viability</t>
        </is>
      </c>
      <c r="H1911" t="inlineStr">
        <is>
          <t>yes</t>
        </is>
      </c>
      <c r="I1911" t="inlineStr"/>
      <c r="J1911" t="inlineStr"/>
      <c r="K1911" t="inlineStr"/>
      <c r="L1911" t="inlineStr"/>
      <c r="M1911" t="inlineStr"/>
      <c r="N1911" t="inlineStr"/>
    </row>
    <row r="1912">
      <c r="A1912" t="inlineStr">
        <is>
          <t>ae-abu-dhabi</t>
        </is>
      </c>
      <c r="B1912" t="inlineStr">
        <is>
          <t>Abu Dhabi</t>
        </is>
      </c>
      <c r="C1912" t="inlineStr">
        <is>
          <t>United Arab Emirates</t>
        </is>
      </c>
      <c r="D1912" t="inlineStr">
        <is>
          <t>Middle East</t>
        </is>
      </c>
      <c r="E1912" t="inlineStr">
        <is>
          <t>clean_air_raw</t>
        </is>
      </c>
      <c r="F1912" t="inlineStr">
        <is>
          <t>Clean air raw</t>
        </is>
      </c>
      <c r="G1912" t="inlineStr">
        <is>
          <t>viability</t>
        </is>
      </c>
      <c r="H1912" t="inlineStr">
        <is>
          <t>yes</t>
        </is>
      </c>
      <c r="I1912" t="inlineStr"/>
      <c r="J1912" t="inlineStr"/>
      <c r="K1912" t="inlineStr"/>
      <c r="L1912" t="inlineStr"/>
      <c r="M1912" t="inlineStr"/>
      <c r="N1912" t="inlineStr"/>
    </row>
    <row r="1913">
      <c r="A1913" t="inlineStr">
        <is>
          <t>ae-abu-dhabi</t>
        </is>
      </c>
      <c r="B1913" t="inlineStr">
        <is>
          <t>Abu Dhabi</t>
        </is>
      </c>
      <c r="C1913" t="inlineStr">
        <is>
          <t>United Arab Emirates</t>
        </is>
      </c>
      <c r="D1913" t="inlineStr">
        <is>
          <t>Middle East</t>
        </is>
      </c>
      <c r="E1913" t="inlineStr">
        <is>
          <t>water_sanitation_utility_raw</t>
        </is>
      </c>
      <c r="F1913" t="inlineStr">
        <is>
          <t>Water, sanitation, and utility raw</t>
        </is>
      </c>
      <c r="G1913" t="inlineStr">
        <is>
          <t>viability</t>
        </is>
      </c>
      <c r="H1913" t="inlineStr">
        <is>
          <t>yes</t>
        </is>
      </c>
      <c r="I1913" t="inlineStr"/>
      <c r="J1913" t="inlineStr"/>
      <c r="K1913" t="inlineStr"/>
      <c r="L1913" t="inlineStr"/>
      <c r="M1913" t="inlineStr"/>
      <c r="N1913" t="inlineStr"/>
    </row>
    <row r="1914">
      <c r="A1914" t="inlineStr">
        <is>
          <t>ae-abu-dhabi</t>
        </is>
      </c>
      <c r="B1914" t="inlineStr">
        <is>
          <t>Abu Dhabi</t>
        </is>
      </c>
      <c r="C1914" t="inlineStr">
        <is>
          <t>United Arab Emirates</t>
        </is>
      </c>
      <c r="D1914" t="inlineStr">
        <is>
          <t>Middle East</t>
        </is>
      </c>
      <c r="E1914" t="inlineStr">
        <is>
          <t>digital_infrastructure_raw</t>
        </is>
      </c>
      <c r="F1914" t="inlineStr">
        <is>
          <t>Digital infrastructure raw</t>
        </is>
      </c>
      <c r="G1914" t="inlineStr">
        <is>
          <t>viability</t>
        </is>
      </c>
      <c r="H1914" t="inlineStr">
        <is>
          <t>yes</t>
        </is>
      </c>
      <c r="I1914" t="inlineStr"/>
      <c r="J1914" t="inlineStr"/>
      <c r="K1914" t="inlineStr"/>
      <c r="L1914" t="inlineStr"/>
      <c r="M1914" t="inlineStr"/>
      <c r="N1914" t="inlineStr"/>
    </row>
    <row r="1915">
      <c r="A1915" t="inlineStr">
        <is>
          <t>ae-abu-dhabi</t>
        </is>
      </c>
      <c r="B1915" t="inlineStr">
        <is>
          <t>Abu Dhabi</t>
        </is>
      </c>
      <c r="C1915" t="inlineStr">
        <is>
          <t>United Arab Emirates</t>
        </is>
      </c>
      <c r="D1915" t="inlineStr">
        <is>
          <t>Middle East</t>
        </is>
      </c>
      <c r="E1915" t="inlineStr">
        <is>
          <t>healthcare_quality_raw</t>
        </is>
      </c>
      <c r="F1915" t="inlineStr">
        <is>
          <t>Healthcare quality raw</t>
        </is>
      </c>
      <c r="G1915" t="inlineStr">
        <is>
          <t>capability</t>
        </is>
      </c>
      <c r="H1915" t="inlineStr">
        <is>
          <t>yes</t>
        </is>
      </c>
      <c r="I1915" t="inlineStr"/>
      <c r="J1915" t="inlineStr"/>
      <c r="K1915" t="inlineStr"/>
      <c r="L1915" t="inlineStr"/>
      <c r="M1915" t="inlineStr"/>
      <c r="N1915" t="inlineStr"/>
    </row>
    <row r="1916">
      <c r="A1916" t="inlineStr">
        <is>
          <t>ae-abu-dhabi</t>
        </is>
      </c>
      <c r="B1916" t="inlineStr">
        <is>
          <t>Abu Dhabi</t>
        </is>
      </c>
      <c r="C1916" t="inlineStr">
        <is>
          <t>United Arab Emirates</t>
        </is>
      </c>
      <c r="D1916" t="inlineStr">
        <is>
          <t>Middle East</t>
        </is>
      </c>
      <c r="E1916" t="inlineStr">
        <is>
          <t>education_quality_raw</t>
        </is>
      </c>
      <c r="F1916" t="inlineStr">
        <is>
          <t>Education quality raw</t>
        </is>
      </c>
      <c r="G1916" t="inlineStr">
        <is>
          <t>capability</t>
        </is>
      </c>
      <c r="H1916" t="inlineStr">
        <is>
          <t>yes</t>
        </is>
      </c>
      <c r="I1916" t="inlineStr"/>
      <c r="J1916" t="inlineStr"/>
      <c r="K1916" t="inlineStr"/>
      <c r="L1916" t="inlineStr"/>
      <c r="M1916" t="inlineStr"/>
      <c r="N1916" t="inlineStr"/>
    </row>
    <row r="1917">
      <c r="A1917" t="inlineStr">
        <is>
          <t>ae-abu-dhabi</t>
        </is>
      </c>
      <c r="B1917" t="inlineStr">
        <is>
          <t>Abu Dhabi</t>
        </is>
      </c>
      <c r="C1917" t="inlineStr">
        <is>
          <t>United Arab Emirates</t>
        </is>
      </c>
      <c r="D1917" t="inlineStr">
        <is>
          <t>Middle East</t>
        </is>
      </c>
      <c r="E1917" t="inlineStr">
        <is>
          <t>equal_opportunity_raw</t>
        </is>
      </c>
      <c r="F1917" t="inlineStr">
        <is>
          <t>Equal opportunity raw</t>
        </is>
      </c>
      <c r="G1917" t="inlineStr">
        <is>
          <t>capability</t>
        </is>
      </c>
      <c r="H1917" t="inlineStr">
        <is>
          <t>yes</t>
        </is>
      </c>
      <c r="I1917" t="inlineStr"/>
      <c r="J1917" t="inlineStr"/>
      <c r="K1917" t="inlineStr"/>
      <c r="L1917" t="inlineStr"/>
      <c r="M1917" t="inlineStr"/>
      <c r="N1917" t="inlineStr"/>
    </row>
    <row r="1918">
      <c r="A1918" t="inlineStr">
        <is>
          <t>ae-abu-dhabi</t>
        </is>
      </c>
      <c r="B1918" t="inlineStr">
        <is>
          <t>Abu Dhabi</t>
        </is>
      </c>
      <c r="C1918" t="inlineStr">
        <is>
          <t>United Arab Emirates</t>
        </is>
      </c>
      <c r="D1918" t="inlineStr">
        <is>
          <t>Middle East</t>
        </is>
      </c>
      <c r="E1918" t="inlineStr">
        <is>
          <t>hospitality_belonging_raw</t>
        </is>
      </c>
      <c r="F1918" t="inlineStr">
        <is>
          <t>Hospitality and belonging raw</t>
        </is>
      </c>
      <c r="G1918" t="inlineStr">
        <is>
          <t>community</t>
        </is>
      </c>
      <c r="H1918" t="inlineStr">
        <is>
          <t>yes</t>
        </is>
      </c>
      <c r="I1918" t="inlineStr"/>
      <c r="J1918" t="inlineStr"/>
      <c r="K1918" t="inlineStr"/>
      <c r="L1918" t="inlineStr"/>
      <c r="M1918" t="inlineStr"/>
      <c r="N1918" t="inlineStr"/>
    </row>
    <row r="1919">
      <c r="A1919" t="inlineStr">
        <is>
          <t>ae-abu-dhabi</t>
        </is>
      </c>
      <c r="B1919" t="inlineStr">
        <is>
          <t>Abu Dhabi</t>
        </is>
      </c>
      <c r="C1919" t="inlineStr">
        <is>
          <t>United Arab Emirates</t>
        </is>
      </c>
      <c r="D1919" t="inlineStr">
        <is>
          <t>Middle East</t>
        </is>
      </c>
      <c r="E1919" t="inlineStr">
        <is>
          <t>tolerance_pluralism_raw</t>
        </is>
      </c>
      <c r="F1919" t="inlineStr">
        <is>
          <t>Tolerance and pluralism raw</t>
        </is>
      </c>
      <c r="G1919" t="inlineStr">
        <is>
          <t>community</t>
        </is>
      </c>
      <c r="H1919" t="inlineStr">
        <is>
          <t>yes</t>
        </is>
      </c>
      <c r="I1919" t="inlineStr"/>
      <c r="J1919" t="inlineStr"/>
      <c r="K1919" t="inlineStr"/>
      <c r="L1919" t="inlineStr"/>
      <c r="M1919" t="inlineStr"/>
      <c r="N1919" t="inlineStr"/>
    </row>
    <row r="1920">
      <c r="A1920" t="inlineStr">
        <is>
          <t>ae-abu-dhabi</t>
        </is>
      </c>
      <c r="B1920" t="inlineStr">
        <is>
          <t>Abu Dhabi</t>
        </is>
      </c>
      <c r="C1920" t="inlineStr">
        <is>
          <t>United Arab Emirates</t>
        </is>
      </c>
      <c r="D1920" t="inlineStr">
        <is>
          <t>Middle East</t>
        </is>
      </c>
      <c r="E1920" t="inlineStr">
        <is>
          <t>cultural_public_life_raw</t>
        </is>
      </c>
      <c r="F1920" t="inlineStr">
        <is>
          <t>Cultural public life raw</t>
        </is>
      </c>
      <c r="G1920" t="inlineStr">
        <is>
          <t>community</t>
        </is>
      </c>
      <c r="H1920" t="inlineStr">
        <is>
          <t>yes</t>
        </is>
      </c>
      <c r="I1920" t="inlineStr"/>
      <c r="J1920" t="inlineStr"/>
      <c r="K1920" t="inlineStr"/>
      <c r="L1920" t="inlineStr"/>
      <c r="M1920" t="inlineStr"/>
      <c r="N1920" t="inlineStr"/>
    </row>
    <row r="1921">
      <c r="A1921" t="inlineStr">
        <is>
          <t>ae-abu-dhabi</t>
        </is>
      </c>
      <c r="B1921" t="inlineStr">
        <is>
          <t>Abu Dhabi</t>
        </is>
      </c>
      <c r="C1921" t="inlineStr">
        <is>
          <t>United Arab Emirates</t>
        </is>
      </c>
      <c r="D1921" t="inlineStr">
        <is>
          <t>Middle East</t>
        </is>
      </c>
      <c r="E1921" t="inlineStr">
        <is>
          <t>entrepreneurial_dynamism_raw</t>
        </is>
      </c>
      <c r="F1921" t="inlineStr">
        <is>
          <t>Entrepreneurial dynamism raw</t>
        </is>
      </c>
      <c r="G1921" t="inlineStr">
        <is>
          <t>creative</t>
        </is>
      </c>
      <c r="H1921" t="inlineStr">
        <is>
          <t>yes</t>
        </is>
      </c>
      <c r="I1921" t="inlineStr"/>
      <c r="J1921" t="inlineStr"/>
      <c r="K1921" t="inlineStr"/>
      <c r="L1921" t="inlineStr"/>
      <c r="M1921" t="inlineStr"/>
      <c r="N1921" t="inlineStr"/>
    </row>
    <row r="1922">
      <c r="A1922" t="inlineStr">
        <is>
          <t>ae-abu-dhabi</t>
        </is>
      </c>
      <c r="B1922" t="inlineStr">
        <is>
          <t>Abu Dhabi</t>
        </is>
      </c>
      <c r="C1922" t="inlineStr">
        <is>
          <t>United Arab Emirates</t>
        </is>
      </c>
      <c r="D1922" t="inlineStr">
        <is>
          <t>Middle East</t>
        </is>
      </c>
      <c r="E1922" t="inlineStr">
        <is>
          <t>innovation_research_intensity_raw</t>
        </is>
      </c>
      <c r="F1922" t="inlineStr">
        <is>
          <t>Innovation and research raw</t>
        </is>
      </c>
      <c r="G1922" t="inlineStr">
        <is>
          <t>creative</t>
        </is>
      </c>
      <c r="H1922" t="inlineStr">
        <is>
          <t>yes</t>
        </is>
      </c>
      <c r="I1922" t="inlineStr"/>
      <c r="J1922" t="inlineStr"/>
      <c r="K1922" t="inlineStr"/>
      <c r="L1922" t="inlineStr"/>
      <c r="M1922" t="inlineStr"/>
      <c r="N1922" t="inlineStr"/>
    </row>
    <row r="1923">
      <c r="A1923" t="inlineStr">
        <is>
          <t>ae-abu-dhabi</t>
        </is>
      </c>
      <c r="B1923" t="inlineStr">
        <is>
          <t>Abu Dhabi</t>
        </is>
      </c>
      <c r="C1923" t="inlineStr">
        <is>
          <t>United Arab Emirates</t>
        </is>
      </c>
      <c r="D1923" t="inlineStr">
        <is>
          <t>Middle East</t>
        </is>
      </c>
      <c r="E1923" t="inlineStr">
        <is>
          <t>investment_signal_raw</t>
        </is>
      </c>
      <c r="F1923" t="inlineStr">
        <is>
          <t>Investment signal raw</t>
        </is>
      </c>
      <c r="G1923" t="inlineStr">
        <is>
          <t>creative</t>
        </is>
      </c>
      <c r="H1923" t="inlineStr">
        <is>
          <t>yes</t>
        </is>
      </c>
      <c r="I1923" t="inlineStr"/>
      <c r="J1923" t="inlineStr"/>
      <c r="K1923" t="inlineStr"/>
      <c r="L1923" t="inlineStr"/>
      <c r="M1923" t="inlineStr"/>
      <c r="N1923" t="inlineStr"/>
    </row>
    <row r="1924">
      <c r="A1924" t="inlineStr">
        <is>
          <t>ae-abu-dhabi</t>
        </is>
      </c>
      <c r="B1924" t="inlineStr">
        <is>
          <t>Abu Dhabi</t>
        </is>
      </c>
      <c r="C1924" t="inlineStr">
        <is>
          <t>United Arab Emirates</t>
        </is>
      </c>
      <c r="D1924" t="inlineStr">
        <is>
          <t>Middle East</t>
        </is>
      </c>
      <c r="E1924" t="inlineStr">
        <is>
          <t>administrative_investment_friction_raw</t>
        </is>
      </c>
      <c r="F1924" t="inlineStr">
        <is>
          <t>Administrative investment friction raw</t>
        </is>
      </c>
      <c r="G1924" t="inlineStr">
        <is>
          <t>creative</t>
        </is>
      </c>
      <c r="H1924" t="inlineStr">
        <is>
          <t>yes</t>
        </is>
      </c>
      <c r="I1924" t="inlineStr"/>
      <c r="J1924" t="inlineStr"/>
      <c r="K1924" t="inlineStr"/>
      <c r="L1924" t="inlineStr"/>
      <c r="M1924" t="inlineStr"/>
      <c r="N1924" t="inlineStr"/>
    </row>
    <row r="1925">
      <c r="A1925" t="inlineStr">
        <is>
          <t>ae-abu-dhabi</t>
        </is>
      </c>
      <c r="B1925" t="inlineStr">
        <is>
          <t>Abu Dhabi</t>
        </is>
      </c>
      <c r="C1925" t="inlineStr">
        <is>
          <t>United Arab Emirates</t>
        </is>
      </c>
      <c r="D1925" t="inlineStr">
        <is>
          <t>Middle East</t>
        </is>
      </c>
      <c r="E1925" t="inlineStr">
        <is>
          <t>visitor_flow_context_raw</t>
        </is>
      </c>
      <c r="F1925" t="inlineStr">
        <is>
          <t>Visitor flow context raw</t>
        </is>
      </c>
      <c r="G1925" t="inlineStr">
        <is>
          <t>creative</t>
        </is>
      </c>
      <c r="H1925" t="inlineStr">
        <is>
          <t>no</t>
        </is>
      </c>
      <c r="I1925" t="inlineStr"/>
      <c r="J1925" t="inlineStr"/>
      <c r="K1925" t="inlineStr"/>
      <c r="L1925" t="inlineStr"/>
      <c r="M1925" t="inlineStr"/>
      <c r="N1925" t="inlineStr"/>
    </row>
    <row r="1926">
      <c r="A1926" t="inlineStr">
        <is>
          <t>qa-doha</t>
        </is>
      </c>
      <c r="B1926" t="inlineStr">
        <is>
          <t>Doha</t>
        </is>
      </c>
      <c r="C1926" t="inlineStr">
        <is>
          <t>Qatar</t>
        </is>
      </c>
      <c r="D1926" t="inlineStr">
        <is>
          <t>Middle East</t>
        </is>
      </c>
      <c r="E1926" t="inlineStr">
        <is>
          <t>gross_income</t>
        </is>
      </c>
      <c r="F1926" t="inlineStr">
        <is>
          <t>Gross income</t>
        </is>
      </c>
      <c r="G1926" t="inlineStr">
        <is>
          <t>pressure</t>
        </is>
      </c>
      <c r="H1926" t="inlineStr">
        <is>
          <t>yes</t>
        </is>
      </c>
      <c r="I1926" t="inlineStr"/>
      <c r="J1926" t="inlineStr"/>
      <c r="K1926" t="inlineStr"/>
      <c r="L1926" t="inlineStr"/>
      <c r="M1926" t="inlineStr"/>
      <c r="N1926" t="inlineStr"/>
    </row>
    <row r="1927">
      <c r="A1927" t="inlineStr">
        <is>
          <t>qa-doha</t>
        </is>
      </c>
      <c r="B1927" t="inlineStr">
        <is>
          <t>Doha</t>
        </is>
      </c>
      <c r="C1927" t="inlineStr">
        <is>
          <t>Qatar</t>
        </is>
      </c>
      <c r="D1927" t="inlineStr">
        <is>
          <t>Middle East</t>
        </is>
      </c>
      <c r="E1927" t="inlineStr">
        <is>
          <t>rent</t>
        </is>
      </c>
      <c r="F1927" t="inlineStr">
        <is>
          <t>Rent</t>
        </is>
      </c>
      <c r="G1927" t="inlineStr">
        <is>
          <t>pressure</t>
        </is>
      </c>
      <c r="H1927" t="inlineStr">
        <is>
          <t>yes</t>
        </is>
      </c>
      <c r="I1927" t="inlineStr"/>
      <c r="J1927" t="inlineStr"/>
      <c r="K1927" t="inlineStr"/>
      <c r="L1927" t="inlineStr"/>
      <c r="M1927" t="inlineStr"/>
      <c r="N1927" t="inlineStr"/>
    </row>
    <row r="1928">
      <c r="A1928" t="inlineStr">
        <is>
          <t>qa-doha</t>
        </is>
      </c>
      <c r="B1928" t="inlineStr">
        <is>
          <t>Doha</t>
        </is>
      </c>
      <c r="C1928" t="inlineStr">
        <is>
          <t>Qatar</t>
        </is>
      </c>
      <c r="D1928" t="inlineStr">
        <is>
          <t>Middle East</t>
        </is>
      </c>
      <c r="E1928" t="inlineStr">
        <is>
          <t>utilities</t>
        </is>
      </c>
      <c r="F1928" t="inlineStr">
        <is>
          <t>Utilities</t>
        </is>
      </c>
      <c r="G1928" t="inlineStr">
        <is>
          <t>pressure</t>
        </is>
      </c>
      <c r="H1928" t="inlineStr">
        <is>
          <t>yes</t>
        </is>
      </c>
      <c r="I1928" t="inlineStr"/>
      <c r="J1928" t="inlineStr"/>
      <c r="K1928" t="inlineStr"/>
      <c r="L1928" t="inlineStr"/>
      <c r="M1928" t="inlineStr"/>
      <c r="N1928" t="inlineStr"/>
    </row>
    <row r="1929">
      <c r="A1929" t="inlineStr">
        <is>
          <t>qa-doha</t>
        </is>
      </c>
      <c r="B1929" t="inlineStr">
        <is>
          <t>Doha</t>
        </is>
      </c>
      <c r="C1929" t="inlineStr">
        <is>
          <t>Qatar</t>
        </is>
      </c>
      <c r="D1929" t="inlineStr">
        <is>
          <t>Middle East</t>
        </is>
      </c>
      <c r="E1929" t="inlineStr">
        <is>
          <t>transit_cost</t>
        </is>
      </c>
      <c r="F1929" t="inlineStr">
        <is>
          <t>Transit cost</t>
        </is>
      </c>
      <c r="G1929" t="inlineStr">
        <is>
          <t>pressure</t>
        </is>
      </c>
      <c r="H1929" t="inlineStr">
        <is>
          <t>yes</t>
        </is>
      </c>
      <c r="I1929" t="inlineStr"/>
      <c r="J1929" t="inlineStr"/>
      <c r="K1929" t="inlineStr"/>
      <c r="L1929" t="inlineStr"/>
      <c r="M1929" t="inlineStr"/>
      <c r="N1929" t="inlineStr"/>
    </row>
    <row r="1930">
      <c r="A1930" t="inlineStr">
        <is>
          <t>qa-doha</t>
        </is>
      </c>
      <c r="B1930" t="inlineStr">
        <is>
          <t>Doha</t>
        </is>
      </c>
      <c r="C1930" t="inlineStr">
        <is>
          <t>Qatar</t>
        </is>
      </c>
      <c r="D1930" t="inlineStr">
        <is>
          <t>Middle East</t>
        </is>
      </c>
      <c r="E1930" t="inlineStr">
        <is>
          <t>internet_cost</t>
        </is>
      </c>
      <c r="F1930" t="inlineStr">
        <is>
          <t>Internet cost</t>
        </is>
      </c>
      <c r="G1930" t="inlineStr">
        <is>
          <t>pressure</t>
        </is>
      </c>
      <c r="H1930" t="inlineStr">
        <is>
          <t>yes</t>
        </is>
      </c>
      <c r="I1930" t="inlineStr"/>
      <c r="J1930" t="inlineStr"/>
      <c r="K1930" t="inlineStr"/>
      <c r="L1930" t="inlineStr"/>
      <c r="M1930" t="inlineStr"/>
      <c r="N1930" t="inlineStr"/>
    </row>
    <row r="1931">
      <c r="A1931" t="inlineStr">
        <is>
          <t>qa-doha</t>
        </is>
      </c>
      <c r="B1931" t="inlineStr">
        <is>
          <t>Doha</t>
        </is>
      </c>
      <c r="C1931" t="inlineStr">
        <is>
          <t>Qatar</t>
        </is>
      </c>
      <c r="D1931" t="inlineStr">
        <is>
          <t>Middle East</t>
        </is>
      </c>
      <c r="E1931" t="inlineStr">
        <is>
          <t>food_cost</t>
        </is>
      </c>
      <c r="F1931" t="inlineStr">
        <is>
          <t>Food cost</t>
        </is>
      </c>
      <c r="G1931" t="inlineStr">
        <is>
          <t>pressure</t>
        </is>
      </c>
      <c r="H1931" t="inlineStr">
        <is>
          <t>yes</t>
        </is>
      </c>
      <c r="I1931" t="inlineStr"/>
      <c r="J1931" t="inlineStr"/>
      <c r="K1931" t="inlineStr"/>
      <c r="L1931" t="inlineStr"/>
      <c r="M1931" t="inlineStr"/>
      <c r="N1931" t="inlineStr"/>
    </row>
    <row r="1932">
      <c r="A1932" t="inlineStr">
        <is>
          <t>qa-doha</t>
        </is>
      </c>
      <c r="B1932" t="inlineStr">
        <is>
          <t>Doha</t>
        </is>
      </c>
      <c r="C1932" t="inlineStr">
        <is>
          <t>Qatar</t>
        </is>
      </c>
      <c r="D1932" t="inlineStr">
        <is>
          <t>Middle East</t>
        </is>
      </c>
      <c r="E1932" t="inlineStr">
        <is>
          <t>housing_burden_raw</t>
        </is>
      </c>
      <c r="F1932" t="inlineStr">
        <is>
          <t>Housing burden raw</t>
        </is>
      </c>
      <c r="G1932" t="inlineStr">
        <is>
          <t>pressure</t>
        </is>
      </c>
      <c r="H1932" t="inlineStr">
        <is>
          <t>yes</t>
        </is>
      </c>
      <c r="I1932" t="inlineStr"/>
      <c r="J1932" t="inlineStr"/>
      <c r="K1932" t="inlineStr"/>
      <c r="L1932" t="inlineStr"/>
      <c r="M1932" t="inlineStr"/>
      <c r="N1932" t="inlineStr"/>
    </row>
    <row r="1933">
      <c r="A1933" t="inlineStr">
        <is>
          <t>qa-doha</t>
        </is>
      </c>
      <c r="B1933" t="inlineStr">
        <is>
          <t>Doha</t>
        </is>
      </c>
      <c r="C1933" t="inlineStr">
        <is>
          <t>Qatar</t>
        </is>
      </c>
      <c r="D1933" t="inlineStr">
        <is>
          <t>Middle East</t>
        </is>
      </c>
      <c r="E1933" t="inlineStr">
        <is>
          <t>household_debt_burden_raw</t>
        </is>
      </c>
      <c r="F1933" t="inlineStr">
        <is>
          <t>Household debt burden raw</t>
        </is>
      </c>
      <c r="G1933" t="inlineStr">
        <is>
          <t>pressure</t>
        </is>
      </c>
      <c r="H1933" t="inlineStr">
        <is>
          <t>yes</t>
        </is>
      </c>
      <c r="I1933" t="inlineStr"/>
      <c r="J1933" t="inlineStr"/>
      <c r="K1933" t="inlineStr"/>
      <c r="L1933" t="inlineStr"/>
      <c r="M1933" t="inlineStr"/>
      <c r="N1933" t="inlineStr"/>
    </row>
    <row r="1934">
      <c r="A1934" t="inlineStr">
        <is>
          <t>qa-doha</t>
        </is>
      </c>
      <c r="B1934" t="inlineStr">
        <is>
          <t>Doha</t>
        </is>
      </c>
      <c r="C1934" t="inlineStr">
        <is>
          <t>Qatar</t>
        </is>
      </c>
      <c r="D1934" t="inlineStr">
        <is>
          <t>Middle East</t>
        </is>
      </c>
      <c r="E1934" t="inlineStr">
        <is>
          <t>working_time_pressure_raw</t>
        </is>
      </c>
      <c r="F1934" t="inlineStr">
        <is>
          <t>Working time pressure raw</t>
        </is>
      </c>
      <c r="G1934" t="inlineStr">
        <is>
          <t>pressure</t>
        </is>
      </c>
      <c r="H1934" t="inlineStr">
        <is>
          <t>yes</t>
        </is>
      </c>
      <c r="I1934" t="inlineStr"/>
      <c r="J1934" t="inlineStr"/>
      <c r="K1934" t="inlineStr"/>
      <c r="L1934" t="inlineStr"/>
      <c r="M1934" t="inlineStr"/>
      <c r="N1934" t="inlineStr"/>
    </row>
    <row r="1935">
      <c r="A1935" t="inlineStr">
        <is>
          <t>qa-doha</t>
        </is>
      </c>
      <c r="B1935" t="inlineStr">
        <is>
          <t>Doha</t>
        </is>
      </c>
      <c r="C1935" t="inlineStr">
        <is>
          <t>Qatar</t>
        </is>
      </c>
      <c r="D1935" t="inlineStr">
        <is>
          <t>Middle East</t>
        </is>
      </c>
      <c r="E1935" t="inlineStr">
        <is>
          <t>suicide_mental_strain_raw</t>
        </is>
      </c>
      <c r="F1935" t="inlineStr">
        <is>
          <t>Suicide or mental strain raw</t>
        </is>
      </c>
      <c r="G1935" t="inlineStr">
        <is>
          <t>pressure</t>
        </is>
      </c>
      <c r="H1935" t="inlineStr">
        <is>
          <t>yes</t>
        </is>
      </c>
      <c r="I1935" t="inlineStr"/>
      <c r="J1935" t="inlineStr"/>
      <c r="K1935" t="inlineStr"/>
      <c r="L1935" t="inlineStr"/>
      <c r="M1935" t="inlineStr"/>
      <c r="N1935" t="inlineStr"/>
    </row>
    <row r="1936">
      <c r="A1936" t="inlineStr">
        <is>
          <t>qa-doha</t>
        </is>
      </c>
      <c r="B1936" t="inlineStr">
        <is>
          <t>Doha</t>
        </is>
      </c>
      <c r="C1936" t="inlineStr">
        <is>
          <t>Qatar</t>
        </is>
      </c>
      <c r="D1936" t="inlineStr">
        <is>
          <t>Middle East</t>
        </is>
      </c>
      <c r="E1936" t="inlineStr">
        <is>
          <t>personal_safety_raw</t>
        </is>
      </c>
      <c r="F1936" t="inlineStr">
        <is>
          <t>Personal safety raw</t>
        </is>
      </c>
      <c r="G1936" t="inlineStr">
        <is>
          <t>viability</t>
        </is>
      </c>
      <c r="H1936" t="inlineStr">
        <is>
          <t>yes</t>
        </is>
      </c>
      <c r="I1936" t="inlineStr"/>
      <c r="J1936" t="inlineStr"/>
      <c r="K1936" t="inlineStr"/>
      <c r="L1936" t="inlineStr"/>
      <c r="M1936" t="inlineStr"/>
      <c r="N1936" t="inlineStr"/>
    </row>
    <row r="1937">
      <c r="A1937" t="inlineStr">
        <is>
          <t>qa-doha</t>
        </is>
      </c>
      <c r="B1937" t="inlineStr">
        <is>
          <t>Doha</t>
        </is>
      </c>
      <c r="C1937" t="inlineStr">
        <is>
          <t>Qatar</t>
        </is>
      </c>
      <c r="D1937" t="inlineStr">
        <is>
          <t>Middle East</t>
        </is>
      </c>
      <c r="E1937" t="inlineStr">
        <is>
          <t>transit_access_commute_raw</t>
        </is>
      </c>
      <c r="F1937" t="inlineStr">
        <is>
          <t>Transit access and commute raw</t>
        </is>
      </c>
      <c r="G1937" t="inlineStr">
        <is>
          <t>viability</t>
        </is>
      </c>
      <c r="H1937" t="inlineStr">
        <is>
          <t>yes</t>
        </is>
      </c>
      <c r="I1937" t="inlineStr"/>
      <c r="J1937" t="inlineStr"/>
      <c r="K1937" t="inlineStr"/>
      <c r="L1937" t="inlineStr"/>
      <c r="M1937" t="inlineStr"/>
      <c r="N1937" t="inlineStr"/>
    </row>
    <row r="1938">
      <c r="A1938" t="inlineStr">
        <is>
          <t>qa-doha</t>
        </is>
      </c>
      <c r="B1938" t="inlineStr">
        <is>
          <t>Doha</t>
        </is>
      </c>
      <c r="C1938" t="inlineStr">
        <is>
          <t>Qatar</t>
        </is>
      </c>
      <c r="D1938" t="inlineStr">
        <is>
          <t>Middle East</t>
        </is>
      </c>
      <c r="E1938" t="inlineStr">
        <is>
          <t>clean_air_raw</t>
        </is>
      </c>
      <c r="F1938" t="inlineStr">
        <is>
          <t>Clean air raw</t>
        </is>
      </c>
      <c r="G1938" t="inlineStr">
        <is>
          <t>viability</t>
        </is>
      </c>
      <c r="H1938" t="inlineStr">
        <is>
          <t>yes</t>
        </is>
      </c>
      <c r="I1938" t="inlineStr"/>
      <c r="J1938" t="inlineStr"/>
      <c r="K1938" t="inlineStr"/>
      <c r="L1938" t="inlineStr"/>
      <c r="M1938" t="inlineStr"/>
      <c r="N1938" t="inlineStr"/>
    </row>
    <row r="1939">
      <c r="A1939" t="inlineStr">
        <is>
          <t>qa-doha</t>
        </is>
      </c>
      <c r="B1939" t="inlineStr">
        <is>
          <t>Doha</t>
        </is>
      </c>
      <c r="C1939" t="inlineStr">
        <is>
          <t>Qatar</t>
        </is>
      </c>
      <c r="D1939" t="inlineStr">
        <is>
          <t>Middle East</t>
        </is>
      </c>
      <c r="E1939" t="inlineStr">
        <is>
          <t>water_sanitation_utility_raw</t>
        </is>
      </c>
      <c r="F1939" t="inlineStr">
        <is>
          <t>Water, sanitation, and utility raw</t>
        </is>
      </c>
      <c r="G1939" t="inlineStr">
        <is>
          <t>viability</t>
        </is>
      </c>
      <c r="H1939" t="inlineStr">
        <is>
          <t>yes</t>
        </is>
      </c>
      <c r="I1939" t="inlineStr"/>
      <c r="J1939" t="inlineStr"/>
      <c r="K1939" t="inlineStr"/>
      <c r="L1939" t="inlineStr"/>
      <c r="M1939" t="inlineStr"/>
      <c r="N1939" t="inlineStr"/>
    </row>
    <row r="1940">
      <c r="A1940" t="inlineStr">
        <is>
          <t>qa-doha</t>
        </is>
      </c>
      <c r="B1940" t="inlineStr">
        <is>
          <t>Doha</t>
        </is>
      </c>
      <c r="C1940" t="inlineStr">
        <is>
          <t>Qatar</t>
        </is>
      </c>
      <c r="D1940" t="inlineStr">
        <is>
          <t>Middle East</t>
        </is>
      </c>
      <c r="E1940" t="inlineStr">
        <is>
          <t>digital_infrastructure_raw</t>
        </is>
      </c>
      <c r="F1940" t="inlineStr">
        <is>
          <t>Digital infrastructure raw</t>
        </is>
      </c>
      <c r="G1940" t="inlineStr">
        <is>
          <t>viability</t>
        </is>
      </c>
      <c r="H1940" t="inlineStr">
        <is>
          <t>yes</t>
        </is>
      </c>
      <c r="I1940" t="inlineStr"/>
      <c r="J1940" t="inlineStr"/>
      <c r="K1940" t="inlineStr"/>
      <c r="L1940" t="inlineStr"/>
      <c r="M1940" t="inlineStr"/>
      <c r="N1940" t="inlineStr"/>
    </row>
    <row r="1941">
      <c r="A1941" t="inlineStr">
        <is>
          <t>qa-doha</t>
        </is>
      </c>
      <c r="B1941" t="inlineStr">
        <is>
          <t>Doha</t>
        </is>
      </c>
      <c r="C1941" t="inlineStr">
        <is>
          <t>Qatar</t>
        </is>
      </c>
      <c r="D1941" t="inlineStr">
        <is>
          <t>Middle East</t>
        </is>
      </c>
      <c r="E1941" t="inlineStr">
        <is>
          <t>healthcare_quality_raw</t>
        </is>
      </c>
      <c r="F1941" t="inlineStr">
        <is>
          <t>Healthcare quality raw</t>
        </is>
      </c>
      <c r="G1941" t="inlineStr">
        <is>
          <t>capability</t>
        </is>
      </c>
      <c r="H1941" t="inlineStr">
        <is>
          <t>yes</t>
        </is>
      </c>
      <c r="I1941" t="inlineStr"/>
      <c r="J1941" t="inlineStr"/>
      <c r="K1941" t="inlineStr"/>
      <c r="L1941" t="inlineStr"/>
      <c r="M1941" t="inlineStr"/>
      <c r="N1941" t="inlineStr"/>
    </row>
    <row r="1942">
      <c r="A1942" t="inlineStr">
        <is>
          <t>qa-doha</t>
        </is>
      </c>
      <c r="B1942" t="inlineStr">
        <is>
          <t>Doha</t>
        </is>
      </c>
      <c r="C1942" t="inlineStr">
        <is>
          <t>Qatar</t>
        </is>
      </c>
      <c r="D1942" t="inlineStr">
        <is>
          <t>Middle East</t>
        </is>
      </c>
      <c r="E1942" t="inlineStr">
        <is>
          <t>education_quality_raw</t>
        </is>
      </c>
      <c r="F1942" t="inlineStr">
        <is>
          <t>Education quality raw</t>
        </is>
      </c>
      <c r="G1942" t="inlineStr">
        <is>
          <t>capability</t>
        </is>
      </c>
      <c r="H1942" t="inlineStr">
        <is>
          <t>yes</t>
        </is>
      </c>
      <c r="I1942" t="inlineStr"/>
      <c r="J1942" t="inlineStr"/>
      <c r="K1942" t="inlineStr"/>
      <c r="L1942" t="inlineStr"/>
      <c r="M1942" t="inlineStr"/>
      <c r="N1942" t="inlineStr"/>
    </row>
    <row r="1943">
      <c r="A1943" t="inlineStr">
        <is>
          <t>qa-doha</t>
        </is>
      </c>
      <c r="B1943" t="inlineStr">
        <is>
          <t>Doha</t>
        </is>
      </c>
      <c r="C1943" t="inlineStr">
        <is>
          <t>Qatar</t>
        </is>
      </c>
      <c r="D1943" t="inlineStr">
        <is>
          <t>Middle East</t>
        </is>
      </c>
      <c r="E1943" t="inlineStr">
        <is>
          <t>equal_opportunity_raw</t>
        </is>
      </c>
      <c r="F1943" t="inlineStr">
        <is>
          <t>Equal opportunity raw</t>
        </is>
      </c>
      <c r="G1943" t="inlineStr">
        <is>
          <t>capability</t>
        </is>
      </c>
      <c r="H1943" t="inlineStr">
        <is>
          <t>yes</t>
        </is>
      </c>
      <c r="I1943" t="inlineStr"/>
      <c r="J1943" t="inlineStr"/>
      <c r="K1943" t="inlineStr"/>
      <c r="L1943" t="inlineStr"/>
      <c r="M1943" t="inlineStr"/>
      <c r="N1943" t="inlineStr"/>
    </row>
    <row r="1944">
      <c r="A1944" t="inlineStr">
        <is>
          <t>qa-doha</t>
        </is>
      </c>
      <c r="B1944" t="inlineStr">
        <is>
          <t>Doha</t>
        </is>
      </c>
      <c r="C1944" t="inlineStr">
        <is>
          <t>Qatar</t>
        </is>
      </c>
      <c r="D1944" t="inlineStr">
        <is>
          <t>Middle East</t>
        </is>
      </c>
      <c r="E1944" t="inlineStr">
        <is>
          <t>hospitality_belonging_raw</t>
        </is>
      </c>
      <c r="F1944" t="inlineStr">
        <is>
          <t>Hospitality and belonging raw</t>
        </is>
      </c>
      <c r="G1944" t="inlineStr">
        <is>
          <t>community</t>
        </is>
      </c>
      <c r="H1944" t="inlineStr">
        <is>
          <t>yes</t>
        </is>
      </c>
      <c r="I1944" t="inlineStr"/>
      <c r="J1944" t="inlineStr"/>
      <c r="K1944" t="inlineStr"/>
      <c r="L1944" t="inlineStr"/>
      <c r="M1944" t="inlineStr"/>
      <c r="N1944" t="inlineStr"/>
    </row>
    <row r="1945">
      <c r="A1945" t="inlineStr">
        <is>
          <t>qa-doha</t>
        </is>
      </c>
      <c r="B1945" t="inlineStr">
        <is>
          <t>Doha</t>
        </is>
      </c>
      <c r="C1945" t="inlineStr">
        <is>
          <t>Qatar</t>
        </is>
      </c>
      <c r="D1945" t="inlineStr">
        <is>
          <t>Middle East</t>
        </is>
      </c>
      <c r="E1945" t="inlineStr">
        <is>
          <t>tolerance_pluralism_raw</t>
        </is>
      </c>
      <c r="F1945" t="inlineStr">
        <is>
          <t>Tolerance and pluralism raw</t>
        </is>
      </c>
      <c r="G1945" t="inlineStr">
        <is>
          <t>community</t>
        </is>
      </c>
      <c r="H1945" t="inlineStr">
        <is>
          <t>yes</t>
        </is>
      </c>
      <c r="I1945" t="inlineStr"/>
      <c r="J1945" t="inlineStr"/>
      <c r="K1945" t="inlineStr"/>
      <c r="L1945" t="inlineStr"/>
      <c r="M1945" t="inlineStr"/>
      <c r="N1945" t="inlineStr"/>
    </row>
    <row r="1946">
      <c r="A1946" t="inlineStr">
        <is>
          <t>qa-doha</t>
        </is>
      </c>
      <c r="B1946" t="inlineStr">
        <is>
          <t>Doha</t>
        </is>
      </c>
      <c r="C1946" t="inlineStr">
        <is>
          <t>Qatar</t>
        </is>
      </c>
      <c r="D1946" t="inlineStr">
        <is>
          <t>Middle East</t>
        </is>
      </c>
      <c r="E1946" t="inlineStr">
        <is>
          <t>cultural_public_life_raw</t>
        </is>
      </c>
      <c r="F1946" t="inlineStr">
        <is>
          <t>Cultural public life raw</t>
        </is>
      </c>
      <c r="G1946" t="inlineStr">
        <is>
          <t>community</t>
        </is>
      </c>
      <c r="H1946" t="inlineStr">
        <is>
          <t>yes</t>
        </is>
      </c>
      <c r="I1946" t="inlineStr"/>
      <c r="J1946" t="inlineStr"/>
      <c r="K1946" t="inlineStr"/>
      <c r="L1946" t="inlineStr"/>
      <c r="M1946" t="inlineStr"/>
      <c r="N1946" t="inlineStr"/>
    </row>
    <row r="1947">
      <c r="A1947" t="inlineStr">
        <is>
          <t>qa-doha</t>
        </is>
      </c>
      <c r="B1947" t="inlineStr">
        <is>
          <t>Doha</t>
        </is>
      </c>
      <c r="C1947" t="inlineStr">
        <is>
          <t>Qatar</t>
        </is>
      </c>
      <c r="D1947" t="inlineStr">
        <is>
          <t>Middle East</t>
        </is>
      </c>
      <c r="E1947" t="inlineStr">
        <is>
          <t>entrepreneurial_dynamism_raw</t>
        </is>
      </c>
      <c r="F1947" t="inlineStr">
        <is>
          <t>Entrepreneurial dynamism raw</t>
        </is>
      </c>
      <c r="G1947" t="inlineStr">
        <is>
          <t>creative</t>
        </is>
      </c>
      <c r="H1947" t="inlineStr">
        <is>
          <t>yes</t>
        </is>
      </c>
      <c r="I1947" t="inlineStr"/>
      <c r="J1947" t="inlineStr"/>
      <c r="K1947" t="inlineStr"/>
      <c r="L1947" t="inlineStr"/>
      <c r="M1947" t="inlineStr"/>
      <c r="N1947" t="inlineStr"/>
    </row>
    <row r="1948">
      <c r="A1948" t="inlineStr">
        <is>
          <t>qa-doha</t>
        </is>
      </c>
      <c r="B1948" t="inlineStr">
        <is>
          <t>Doha</t>
        </is>
      </c>
      <c r="C1948" t="inlineStr">
        <is>
          <t>Qatar</t>
        </is>
      </c>
      <c r="D1948" t="inlineStr">
        <is>
          <t>Middle East</t>
        </is>
      </c>
      <c r="E1948" t="inlineStr">
        <is>
          <t>innovation_research_intensity_raw</t>
        </is>
      </c>
      <c r="F1948" t="inlineStr">
        <is>
          <t>Innovation and research raw</t>
        </is>
      </c>
      <c r="G1948" t="inlineStr">
        <is>
          <t>creative</t>
        </is>
      </c>
      <c r="H1948" t="inlineStr">
        <is>
          <t>yes</t>
        </is>
      </c>
      <c r="I1948" t="inlineStr"/>
      <c r="J1948" t="inlineStr"/>
      <c r="K1948" t="inlineStr"/>
      <c r="L1948" t="inlineStr"/>
      <c r="M1948" t="inlineStr"/>
      <c r="N1948" t="inlineStr"/>
    </row>
    <row r="1949">
      <c r="A1949" t="inlineStr">
        <is>
          <t>qa-doha</t>
        </is>
      </c>
      <c r="B1949" t="inlineStr">
        <is>
          <t>Doha</t>
        </is>
      </c>
      <c r="C1949" t="inlineStr">
        <is>
          <t>Qatar</t>
        </is>
      </c>
      <c r="D1949" t="inlineStr">
        <is>
          <t>Middle East</t>
        </is>
      </c>
      <c r="E1949" t="inlineStr">
        <is>
          <t>investment_signal_raw</t>
        </is>
      </c>
      <c r="F1949" t="inlineStr">
        <is>
          <t>Investment signal raw</t>
        </is>
      </c>
      <c r="G1949" t="inlineStr">
        <is>
          <t>creative</t>
        </is>
      </c>
      <c r="H1949" t="inlineStr">
        <is>
          <t>yes</t>
        </is>
      </c>
      <c r="I1949" t="inlineStr"/>
      <c r="J1949" t="inlineStr"/>
      <c r="K1949" t="inlineStr"/>
      <c r="L1949" t="inlineStr"/>
      <c r="M1949" t="inlineStr"/>
      <c r="N1949" t="inlineStr"/>
    </row>
    <row r="1950">
      <c r="A1950" t="inlineStr">
        <is>
          <t>qa-doha</t>
        </is>
      </c>
      <c r="B1950" t="inlineStr">
        <is>
          <t>Doha</t>
        </is>
      </c>
      <c r="C1950" t="inlineStr">
        <is>
          <t>Qatar</t>
        </is>
      </c>
      <c r="D1950" t="inlineStr">
        <is>
          <t>Middle East</t>
        </is>
      </c>
      <c r="E1950" t="inlineStr">
        <is>
          <t>administrative_investment_friction_raw</t>
        </is>
      </c>
      <c r="F1950" t="inlineStr">
        <is>
          <t>Administrative investment friction raw</t>
        </is>
      </c>
      <c r="G1950" t="inlineStr">
        <is>
          <t>creative</t>
        </is>
      </c>
      <c r="H1950" t="inlineStr">
        <is>
          <t>yes</t>
        </is>
      </c>
      <c r="I1950" t="inlineStr"/>
      <c r="J1950" t="inlineStr"/>
      <c r="K1950" t="inlineStr"/>
      <c r="L1950" t="inlineStr"/>
      <c r="M1950" t="inlineStr"/>
      <c r="N1950" t="inlineStr"/>
    </row>
    <row r="1951">
      <c r="A1951" t="inlineStr">
        <is>
          <t>qa-doha</t>
        </is>
      </c>
      <c r="B1951" t="inlineStr">
        <is>
          <t>Doha</t>
        </is>
      </c>
      <c r="C1951" t="inlineStr">
        <is>
          <t>Qatar</t>
        </is>
      </c>
      <c r="D1951" t="inlineStr">
        <is>
          <t>Middle East</t>
        </is>
      </c>
      <c r="E1951" t="inlineStr">
        <is>
          <t>visitor_flow_context_raw</t>
        </is>
      </c>
      <c r="F1951" t="inlineStr">
        <is>
          <t>Visitor flow context raw</t>
        </is>
      </c>
      <c r="G1951" t="inlineStr">
        <is>
          <t>creative</t>
        </is>
      </c>
      <c r="H1951" t="inlineStr">
        <is>
          <t>no</t>
        </is>
      </c>
      <c r="I1951" t="inlineStr"/>
      <c r="J1951" t="inlineStr"/>
      <c r="K1951" t="inlineStr"/>
      <c r="L1951" t="inlineStr"/>
      <c r="M1951" t="inlineStr"/>
      <c r="N1951" t="inlineStr"/>
    </row>
    <row r="1952">
      <c r="A1952" t="inlineStr">
        <is>
          <t>sa-riyadh</t>
        </is>
      </c>
      <c r="B1952" t="inlineStr">
        <is>
          <t>Riyadh</t>
        </is>
      </c>
      <c r="C1952" t="inlineStr">
        <is>
          <t>Saudi Arabia</t>
        </is>
      </c>
      <c r="D1952" t="inlineStr">
        <is>
          <t>Middle East</t>
        </is>
      </c>
      <c r="E1952" t="inlineStr">
        <is>
          <t>gross_income</t>
        </is>
      </c>
      <c r="F1952" t="inlineStr">
        <is>
          <t>Gross income</t>
        </is>
      </c>
      <c r="G1952" t="inlineStr">
        <is>
          <t>pressure</t>
        </is>
      </c>
      <c r="H1952" t="inlineStr">
        <is>
          <t>yes</t>
        </is>
      </c>
      <c r="I1952" t="inlineStr"/>
      <c r="J1952" t="inlineStr"/>
      <c r="K1952" t="inlineStr"/>
      <c r="L1952" t="inlineStr"/>
      <c r="M1952" t="inlineStr"/>
      <c r="N1952" t="inlineStr"/>
    </row>
    <row r="1953">
      <c r="A1953" t="inlineStr">
        <is>
          <t>sa-riyadh</t>
        </is>
      </c>
      <c r="B1953" t="inlineStr">
        <is>
          <t>Riyadh</t>
        </is>
      </c>
      <c r="C1953" t="inlineStr">
        <is>
          <t>Saudi Arabia</t>
        </is>
      </c>
      <c r="D1953" t="inlineStr">
        <is>
          <t>Middle East</t>
        </is>
      </c>
      <c r="E1953" t="inlineStr">
        <is>
          <t>rent</t>
        </is>
      </c>
      <c r="F1953" t="inlineStr">
        <is>
          <t>Rent</t>
        </is>
      </c>
      <c r="G1953" t="inlineStr">
        <is>
          <t>pressure</t>
        </is>
      </c>
      <c r="H1953" t="inlineStr">
        <is>
          <t>yes</t>
        </is>
      </c>
      <c r="I1953" t="inlineStr"/>
      <c r="J1953" t="inlineStr"/>
      <c r="K1953" t="inlineStr"/>
      <c r="L1953" t="inlineStr"/>
      <c r="M1953" t="inlineStr"/>
      <c r="N1953" t="inlineStr"/>
    </row>
    <row r="1954">
      <c r="A1954" t="inlineStr">
        <is>
          <t>sa-riyadh</t>
        </is>
      </c>
      <c r="B1954" t="inlineStr">
        <is>
          <t>Riyadh</t>
        </is>
      </c>
      <c r="C1954" t="inlineStr">
        <is>
          <t>Saudi Arabia</t>
        </is>
      </c>
      <c r="D1954" t="inlineStr">
        <is>
          <t>Middle East</t>
        </is>
      </c>
      <c r="E1954" t="inlineStr">
        <is>
          <t>utilities</t>
        </is>
      </c>
      <c r="F1954" t="inlineStr">
        <is>
          <t>Utilities</t>
        </is>
      </c>
      <c r="G1954" t="inlineStr">
        <is>
          <t>pressure</t>
        </is>
      </c>
      <c r="H1954" t="inlineStr">
        <is>
          <t>yes</t>
        </is>
      </c>
      <c r="I1954" t="inlineStr"/>
      <c r="J1954" t="inlineStr"/>
      <c r="K1954" t="inlineStr"/>
      <c r="L1954" t="inlineStr"/>
      <c r="M1954" t="inlineStr"/>
      <c r="N1954" t="inlineStr"/>
    </row>
    <row r="1955">
      <c r="A1955" t="inlineStr">
        <is>
          <t>sa-riyadh</t>
        </is>
      </c>
      <c r="B1955" t="inlineStr">
        <is>
          <t>Riyadh</t>
        </is>
      </c>
      <c r="C1955" t="inlineStr">
        <is>
          <t>Saudi Arabia</t>
        </is>
      </c>
      <c r="D1955" t="inlineStr">
        <is>
          <t>Middle East</t>
        </is>
      </c>
      <c r="E1955" t="inlineStr">
        <is>
          <t>transit_cost</t>
        </is>
      </c>
      <c r="F1955" t="inlineStr">
        <is>
          <t>Transit cost</t>
        </is>
      </c>
      <c r="G1955" t="inlineStr">
        <is>
          <t>pressure</t>
        </is>
      </c>
      <c r="H1955" t="inlineStr">
        <is>
          <t>yes</t>
        </is>
      </c>
      <c r="I1955" t="inlineStr"/>
      <c r="J1955" t="inlineStr"/>
      <c r="K1955" t="inlineStr"/>
      <c r="L1955" t="inlineStr"/>
      <c r="M1955" t="inlineStr"/>
      <c r="N1955" t="inlineStr"/>
    </row>
    <row r="1956">
      <c r="A1956" t="inlineStr">
        <is>
          <t>sa-riyadh</t>
        </is>
      </c>
      <c r="B1956" t="inlineStr">
        <is>
          <t>Riyadh</t>
        </is>
      </c>
      <c r="C1956" t="inlineStr">
        <is>
          <t>Saudi Arabia</t>
        </is>
      </c>
      <c r="D1956" t="inlineStr">
        <is>
          <t>Middle East</t>
        </is>
      </c>
      <c r="E1956" t="inlineStr">
        <is>
          <t>internet_cost</t>
        </is>
      </c>
      <c r="F1956" t="inlineStr">
        <is>
          <t>Internet cost</t>
        </is>
      </c>
      <c r="G1956" t="inlineStr">
        <is>
          <t>pressure</t>
        </is>
      </c>
      <c r="H1956" t="inlineStr">
        <is>
          <t>yes</t>
        </is>
      </c>
      <c r="I1956" t="inlineStr"/>
      <c r="J1956" t="inlineStr"/>
      <c r="K1956" t="inlineStr"/>
      <c r="L1956" t="inlineStr"/>
      <c r="M1956" t="inlineStr"/>
      <c r="N1956" t="inlineStr"/>
    </row>
    <row r="1957">
      <c r="A1957" t="inlineStr">
        <is>
          <t>sa-riyadh</t>
        </is>
      </c>
      <c r="B1957" t="inlineStr">
        <is>
          <t>Riyadh</t>
        </is>
      </c>
      <c r="C1957" t="inlineStr">
        <is>
          <t>Saudi Arabia</t>
        </is>
      </c>
      <c r="D1957" t="inlineStr">
        <is>
          <t>Middle East</t>
        </is>
      </c>
      <c r="E1957" t="inlineStr">
        <is>
          <t>food_cost</t>
        </is>
      </c>
      <c r="F1957" t="inlineStr">
        <is>
          <t>Food cost</t>
        </is>
      </c>
      <c r="G1957" t="inlineStr">
        <is>
          <t>pressure</t>
        </is>
      </c>
      <c r="H1957" t="inlineStr">
        <is>
          <t>yes</t>
        </is>
      </c>
      <c r="I1957" t="inlineStr"/>
      <c r="J1957" t="inlineStr"/>
      <c r="K1957" t="inlineStr"/>
      <c r="L1957" t="inlineStr"/>
      <c r="M1957" t="inlineStr"/>
      <c r="N1957" t="inlineStr"/>
    </row>
    <row r="1958">
      <c r="A1958" t="inlineStr">
        <is>
          <t>sa-riyadh</t>
        </is>
      </c>
      <c r="B1958" t="inlineStr">
        <is>
          <t>Riyadh</t>
        </is>
      </c>
      <c r="C1958" t="inlineStr">
        <is>
          <t>Saudi Arabia</t>
        </is>
      </c>
      <c r="D1958" t="inlineStr">
        <is>
          <t>Middle East</t>
        </is>
      </c>
      <c r="E1958" t="inlineStr">
        <is>
          <t>housing_burden_raw</t>
        </is>
      </c>
      <c r="F1958" t="inlineStr">
        <is>
          <t>Housing burden raw</t>
        </is>
      </c>
      <c r="G1958" t="inlineStr">
        <is>
          <t>pressure</t>
        </is>
      </c>
      <c r="H1958" t="inlineStr">
        <is>
          <t>yes</t>
        </is>
      </c>
      <c r="I1958" t="inlineStr"/>
      <c r="J1958" t="inlineStr"/>
      <c r="K1958" t="inlineStr"/>
      <c r="L1958" t="inlineStr"/>
      <c r="M1958" t="inlineStr"/>
      <c r="N1958" t="inlineStr"/>
    </row>
    <row r="1959">
      <c r="A1959" t="inlineStr">
        <is>
          <t>sa-riyadh</t>
        </is>
      </c>
      <c r="B1959" t="inlineStr">
        <is>
          <t>Riyadh</t>
        </is>
      </c>
      <c r="C1959" t="inlineStr">
        <is>
          <t>Saudi Arabia</t>
        </is>
      </c>
      <c r="D1959" t="inlineStr">
        <is>
          <t>Middle East</t>
        </is>
      </c>
      <c r="E1959" t="inlineStr">
        <is>
          <t>household_debt_burden_raw</t>
        </is>
      </c>
      <c r="F1959" t="inlineStr">
        <is>
          <t>Household debt burden raw</t>
        </is>
      </c>
      <c r="G1959" t="inlineStr">
        <is>
          <t>pressure</t>
        </is>
      </c>
      <c r="H1959" t="inlineStr">
        <is>
          <t>yes</t>
        </is>
      </c>
      <c r="I1959" t="inlineStr"/>
      <c r="J1959" t="inlineStr"/>
      <c r="K1959" t="inlineStr"/>
      <c r="L1959" t="inlineStr"/>
      <c r="M1959" t="inlineStr"/>
      <c r="N1959" t="inlineStr"/>
    </row>
    <row r="1960">
      <c r="A1960" t="inlineStr">
        <is>
          <t>sa-riyadh</t>
        </is>
      </c>
      <c r="B1960" t="inlineStr">
        <is>
          <t>Riyadh</t>
        </is>
      </c>
      <c r="C1960" t="inlineStr">
        <is>
          <t>Saudi Arabia</t>
        </is>
      </c>
      <c r="D1960" t="inlineStr">
        <is>
          <t>Middle East</t>
        </is>
      </c>
      <c r="E1960" t="inlineStr">
        <is>
          <t>working_time_pressure_raw</t>
        </is>
      </c>
      <c r="F1960" t="inlineStr">
        <is>
          <t>Working time pressure raw</t>
        </is>
      </c>
      <c r="G1960" t="inlineStr">
        <is>
          <t>pressure</t>
        </is>
      </c>
      <c r="H1960" t="inlineStr">
        <is>
          <t>yes</t>
        </is>
      </c>
      <c r="I1960" t="inlineStr"/>
      <c r="J1960" t="inlineStr"/>
      <c r="K1960" t="inlineStr"/>
      <c r="L1960" t="inlineStr"/>
      <c r="M1960" t="inlineStr"/>
      <c r="N1960" t="inlineStr"/>
    </row>
    <row r="1961">
      <c r="A1961" t="inlineStr">
        <is>
          <t>sa-riyadh</t>
        </is>
      </c>
      <c r="B1961" t="inlineStr">
        <is>
          <t>Riyadh</t>
        </is>
      </c>
      <c r="C1961" t="inlineStr">
        <is>
          <t>Saudi Arabia</t>
        </is>
      </c>
      <c r="D1961" t="inlineStr">
        <is>
          <t>Middle East</t>
        </is>
      </c>
      <c r="E1961" t="inlineStr">
        <is>
          <t>suicide_mental_strain_raw</t>
        </is>
      </c>
      <c r="F1961" t="inlineStr">
        <is>
          <t>Suicide or mental strain raw</t>
        </is>
      </c>
      <c r="G1961" t="inlineStr">
        <is>
          <t>pressure</t>
        </is>
      </c>
      <c r="H1961" t="inlineStr">
        <is>
          <t>yes</t>
        </is>
      </c>
      <c r="I1961" t="inlineStr"/>
      <c r="J1961" t="inlineStr"/>
      <c r="K1961" t="inlineStr"/>
      <c r="L1961" t="inlineStr"/>
      <c r="M1961" t="inlineStr"/>
      <c r="N1961" t="inlineStr"/>
    </row>
    <row r="1962">
      <c r="A1962" t="inlineStr">
        <is>
          <t>sa-riyadh</t>
        </is>
      </c>
      <c r="B1962" t="inlineStr">
        <is>
          <t>Riyadh</t>
        </is>
      </c>
      <c r="C1962" t="inlineStr">
        <is>
          <t>Saudi Arabia</t>
        </is>
      </c>
      <c r="D1962" t="inlineStr">
        <is>
          <t>Middle East</t>
        </is>
      </c>
      <c r="E1962" t="inlineStr">
        <is>
          <t>personal_safety_raw</t>
        </is>
      </c>
      <c r="F1962" t="inlineStr">
        <is>
          <t>Personal safety raw</t>
        </is>
      </c>
      <c r="G1962" t="inlineStr">
        <is>
          <t>viability</t>
        </is>
      </c>
      <c r="H1962" t="inlineStr">
        <is>
          <t>yes</t>
        </is>
      </c>
      <c r="I1962" t="inlineStr"/>
      <c r="J1962" t="inlineStr"/>
      <c r="K1962" t="inlineStr"/>
      <c r="L1962" t="inlineStr"/>
      <c r="M1962" t="inlineStr"/>
      <c r="N1962" t="inlineStr"/>
    </row>
    <row r="1963">
      <c r="A1963" t="inlineStr">
        <is>
          <t>sa-riyadh</t>
        </is>
      </c>
      <c r="B1963" t="inlineStr">
        <is>
          <t>Riyadh</t>
        </is>
      </c>
      <c r="C1963" t="inlineStr">
        <is>
          <t>Saudi Arabia</t>
        </is>
      </c>
      <c r="D1963" t="inlineStr">
        <is>
          <t>Middle East</t>
        </is>
      </c>
      <c r="E1963" t="inlineStr">
        <is>
          <t>transit_access_commute_raw</t>
        </is>
      </c>
      <c r="F1963" t="inlineStr">
        <is>
          <t>Transit access and commute raw</t>
        </is>
      </c>
      <c r="G1963" t="inlineStr">
        <is>
          <t>viability</t>
        </is>
      </c>
      <c r="H1963" t="inlineStr">
        <is>
          <t>yes</t>
        </is>
      </c>
      <c r="I1963" t="inlineStr"/>
      <c r="J1963" t="inlineStr"/>
      <c r="K1963" t="inlineStr"/>
      <c r="L1963" t="inlineStr"/>
      <c r="M1963" t="inlineStr"/>
      <c r="N1963" t="inlineStr"/>
    </row>
    <row r="1964">
      <c r="A1964" t="inlineStr">
        <is>
          <t>sa-riyadh</t>
        </is>
      </c>
      <c r="B1964" t="inlineStr">
        <is>
          <t>Riyadh</t>
        </is>
      </c>
      <c r="C1964" t="inlineStr">
        <is>
          <t>Saudi Arabia</t>
        </is>
      </c>
      <c r="D1964" t="inlineStr">
        <is>
          <t>Middle East</t>
        </is>
      </c>
      <c r="E1964" t="inlineStr">
        <is>
          <t>clean_air_raw</t>
        </is>
      </c>
      <c r="F1964" t="inlineStr">
        <is>
          <t>Clean air raw</t>
        </is>
      </c>
      <c r="G1964" t="inlineStr">
        <is>
          <t>viability</t>
        </is>
      </c>
      <c r="H1964" t="inlineStr">
        <is>
          <t>yes</t>
        </is>
      </c>
      <c r="I1964" t="inlineStr"/>
      <c r="J1964" t="inlineStr"/>
      <c r="K1964" t="inlineStr"/>
      <c r="L1964" t="inlineStr"/>
      <c r="M1964" t="inlineStr"/>
      <c r="N1964" t="inlineStr"/>
    </row>
    <row r="1965">
      <c r="A1965" t="inlineStr">
        <is>
          <t>sa-riyadh</t>
        </is>
      </c>
      <c r="B1965" t="inlineStr">
        <is>
          <t>Riyadh</t>
        </is>
      </c>
      <c r="C1965" t="inlineStr">
        <is>
          <t>Saudi Arabia</t>
        </is>
      </c>
      <c r="D1965" t="inlineStr">
        <is>
          <t>Middle East</t>
        </is>
      </c>
      <c r="E1965" t="inlineStr">
        <is>
          <t>water_sanitation_utility_raw</t>
        </is>
      </c>
      <c r="F1965" t="inlineStr">
        <is>
          <t>Water, sanitation, and utility raw</t>
        </is>
      </c>
      <c r="G1965" t="inlineStr">
        <is>
          <t>viability</t>
        </is>
      </c>
      <c r="H1965" t="inlineStr">
        <is>
          <t>yes</t>
        </is>
      </c>
      <c r="I1965" t="inlineStr"/>
      <c r="J1965" t="inlineStr"/>
      <c r="K1965" t="inlineStr"/>
      <c r="L1965" t="inlineStr"/>
      <c r="M1965" t="inlineStr"/>
      <c r="N1965" t="inlineStr"/>
    </row>
    <row r="1966">
      <c r="A1966" t="inlineStr">
        <is>
          <t>sa-riyadh</t>
        </is>
      </c>
      <c r="B1966" t="inlineStr">
        <is>
          <t>Riyadh</t>
        </is>
      </c>
      <c r="C1966" t="inlineStr">
        <is>
          <t>Saudi Arabia</t>
        </is>
      </c>
      <c r="D1966" t="inlineStr">
        <is>
          <t>Middle East</t>
        </is>
      </c>
      <c r="E1966" t="inlineStr">
        <is>
          <t>digital_infrastructure_raw</t>
        </is>
      </c>
      <c r="F1966" t="inlineStr">
        <is>
          <t>Digital infrastructure raw</t>
        </is>
      </c>
      <c r="G1966" t="inlineStr">
        <is>
          <t>viability</t>
        </is>
      </c>
      <c r="H1966" t="inlineStr">
        <is>
          <t>yes</t>
        </is>
      </c>
      <c r="I1966" t="inlineStr"/>
      <c r="J1966" t="inlineStr"/>
      <c r="K1966" t="inlineStr"/>
      <c r="L1966" t="inlineStr"/>
      <c r="M1966" t="inlineStr"/>
      <c r="N1966" t="inlineStr"/>
    </row>
    <row r="1967">
      <c r="A1967" t="inlineStr">
        <is>
          <t>sa-riyadh</t>
        </is>
      </c>
      <c r="B1967" t="inlineStr">
        <is>
          <t>Riyadh</t>
        </is>
      </c>
      <c r="C1967" t="inlineStr">
        <is>
          <t>Saudi Arabia</t>
        </is>
      </c>
      <c r="D1967" t="inlineStr">
        <is>
          <t>Middle East</t>
        </is>
      </c>
      <c r="E1967" t="inlineStr">
        <is>
          <t>healthcare_quality_raw</t>
        </is>
      </c>
      <c r="F1967" t="inlineStr">
        <is>
          <t>Healthcare quality raw</t>
        </is>
      </c>
      <c r="G1967" t="inlineStr">
        <is>
          <t>capability</t>
        </is>
      </c>
      <c r="H1967" t="inlineStr">
        <is>
          <t>yes</t>
        </is>
      </c>
      <c r="I1967" t="inlineStr"/>
      <c r="J1967" t="inlineStr"/>
      <c r="K1967" t="inlineStr"/>
      <c r="L1967" t="inlineStr"/>
      <c r="M1967" t="inlineStr"/>
      <c r="N1967" t="inlineStr"/>
    </row>
    <row r="1968">
      <c r="A1968" t="inlineStr">
        <is>
          <t>sa-riyadh</t>
        </is>
      </c>
      <c r="B1968" t="inlineStr">
        <is>
          <t>Riyadh</t>
        </is>
      </c>
      <c r="C1968" t="inlineStr">
        <is>
          <t>Saudi Arabia</t>
        </is>
      </c>
      <c r="D1968" t="inlineStr">
        <is>
          <t>Middle East</t>
        </is>
      </c>
      <c r="E1968" t="inlineStr">
        <is>
          <t>education_quality_raw</t>
        </is>
      </c>
      <c r="F1968" t="inlineStr">
        <is>
          <t>Education quality raw</t>
        </is>
      </c>
      <c r="G1968" t="inlineStr">
        <is>
          <t>capability</t>
        </is>
      </c>
      <c r="H1968" t="inlineStr">
        <is>
          <t>yes</t>
        </is>
      </c>
      <c r="I1968" t="inlineStr"/>
      <c r="J1968" t="inlineStr"/>
      <c r="K1968" t="inlineStr"/>
      <c r="L1968" t="inlineStr"/>
      <c r="M1968" t="inlineStr"/>
      <c r="N1968" t="inlineStr"/>
    </row>
    <row r="1969">
      <c r="A1969" t="inlineStr">
        <is>
          <t>sa-riyadh</t>
        </is>
      </c>
      <c r="B1969" t="inlineStr">
        <is>
          <t>Riyadh</t>
        </is>
      </c>
      <c r="C1969" t="inlineStr">
        <is>
          <t>Saudi Arabia</t>
        </is>
      </c>
      <c r="D1969" t="inlineStr">
        <is>
          <t>Middle East</t>
        </is>
      </c>
      <c r="E1969" t="inlineStr">
        <is>
          <t>equal_opportunity_raw</t>
        </is>
      </c>
      <c r="F1969" t="inlineStr">
        <is>
          <t>Equal opportunity raw</t>
        </is>
      </c>
      <c r="G1969" t="inlineStr">
        <is>
          <t>capability</t>
        </is>
      </c>
      <c r="H1969" t="inlineStr">
        <is>
          <t>yes</t>
        </is>
      </c>
      <c r="I1969" t="inlineStr"/>
      <c r="J1969" t="inlineStr"/>
      <c r="K1969" t="inlineStr"/>
      <c r="L1969" t="inlineStr"/>
      <c r="M1969" t="inlineStr"/>
      <c r="N1969" t="inlineStr"/>
    </row>
    <row r="1970">
      <c r="A1970" t="inlineStr">
        <is>
          <t>sa-riyadh</t>
        </is>
      </c>
      <c r="B1970" t="inlineStr">
        <is>
          <t>Riyadh</t>
        </is>
      </c>
      <c r="C1970" t="inlineStr">
        <is>
          <t>Saudi Arabia</t>
        </is>
      </c>
      <c r="D1970" t="inlineStr">
        <is>
          <t>Middle East</t>
        </is>
      </c>
      <c r="E1970" t="inlineStr">
        <is>
          <t>hospitality_belonging_raw</t>
        </is>
      </c>
      <c r="F1970" t="inlineStr">
        <is>
          <t>Hospitality and belonging raw</t>
        </is>
      </c>
      <c r="G1970" t="inlineStr">
        <is>
          <t>community</t>
        </is>
      </c>
      <c r="H1970" t="inlineStr">
        <is>
          <t>yes</t>
        </is>
      </c>
      <c r="I1970" t="inlineStr"/>
      <c r="J1970" t="inlineStr"/>
      <c r="K1970" t="inlineStr"/>
      <c r="L1970" t="inlineStr"/>
      <c r="M1970" t="inlineStr"/>
      <c r="N1970" t="inlineStr"/>
    </row>
    <row r="1971">
      <c r="A1971" t="inlineStr">
        <is>
          <t>sa-riyadh</t>
        </is>
      </c>
      <c r="B1971" t="inlineStr">
        <is>
          <t>Riyadh</t>
        </is>
      </c>
      <c r="C1971" t="inlineStr">
        <is>
          <t>Saudi Arabia</t>
        </is>
      </c>
      <c r="D1971" t="inlineStr">
        <is>
          <t>Middle East</t>
        </is>
      </c>
      <c r="E1971" t="inlineStr">
        <is>
          <t>tolerance_pluralism_raw</t>
        </is>
      </c>
      <c r="F1971" t="inlineStr">
        <is>
          <t>Tolerance and pluralism raw</t>
        </is>
      </c>
      <c r="G1971" t="inlineStr">
        <is>
          <t>community</t>
        </is>
      </c>
      <c r="H1971" t="inlineStr">
        <is>
          <t>yes</t>
        </is>
      </c>
      <c r="I1971" t="inlineStr"/>
      <c r="J1971" t="inlineStr"/>
      <c r="K1971" t="inlineStr"/>
      <c r="L1971" t="inlineStr"/>
      <c r="M1971" t="inlineStr"/>
      <c r="N1971" t="inlineStr"/>
    </row>
    <row r="1972">
      <c r="A1972" t="inlineStr">
        <is>
          <t>sa-riyadh</t>
        </is>
      </c>
      <c r="B1972" t="inlineStr">
        <is>
          <t>Riyadh</t>
        </is>
      </c>
      <c r="C1972" t="inlineStr">
        <is>
          <t>Saudi Arabia</t>
        </is>
      </c>
      <c r="D1972" t="inlineStr">
        <is>
          <t>Middle East</t>
        </is>
      </c>
      <c r="E1972" t="inlineStr">
        <is>
          <t>cultural_public_life_raw</t>
        </is>
      </c>
      <c r="F1972" t="inlineStr">
        <is>
          <t>Cultural public life raw</t>
        </is>
      </c>
      <c r="G1972" t="inlineStr">
        <is>
          <t>community</t>
        </is>
      </c>
      <c r="H1972" t="inlineStr">
        <is>
          <t>yes</t>
        </is>
      </c>
      <c r="I1972" t="inlineStr"/>
      <c r="J1972" t="inlineStr"/>
      <c r="K1972" t="inlineStr"/>
      <c r="L1972" t="inlineStr"/>
      <c r="M1972" t="inlineStr"/>
      <c r="N1972" t="inlineStr"/>
    </row>
    <row r="1973">
      <c r="A1973" t="inlineStr">
        <is>
          <t>sa-riyadh</t>
        </is>
      </c>
      <c r="B1973" t="inlineStr">
        <is>
          <t>Riyadh</t>
        </is>
      </c>
      <c r="C1973" t="inlineStr">
        <is>
          <t>Saudi Arabia</t>
        </is>
      </c>
      <c r="D1973" t="inlineStr">
        <is>
          <t>Middle East</t>
        </is>
      </c>
      <c r="E1973" t="inlineStr">
        <is>
          <t>entrepreneurial_dynamism_raw</t>
        </is>
      </c>
      <c r="F1973" t="inlineStr">
        <is>
          <t>Entrepreneurial dynamism raw</t>
        </is>
      </c>
      <c r="G1973" t="inlineStr">
        <is>
          <t>creative</t>
        </is>
      </c>
      <c r="H1973" t="inlineStr">
        <is>
          <t>yes</t>
        </is>
      </c>
      <c r="I1973" t="inlineStr"/>
      <c r="J1973" t="inlineStr"/>
      <c r="K1973" t="inlineStr"/>
      <c r="L1973" t="inlineStr"/>
      <c r="M1973" t="inlineStr"/>
      <c r="N1973" t="inlineStr"/>
    </row>
    <row r="1974">
      <c r="A1974" t="inlineStr">
        <is>
          <t>sa-riyadh</t>
        </is>
      </c>
      <c r="B1974" t="inlineStr">
        <is>
          <t>Riyadh</t>
        </is>
      </c>
      <c r="C1974" t="inlineStr">
        <is>
          <t>Saudi Arabia</t>
        </is>
      </c>
      <c r="D1974" t="inlineStr">
        <is>
          <t>Middle East</t>
        </is>
      </c>
      <c r="E1974" t="inlineStr">
        <is>
          <t>innovation_research_intensity_raw</t>
        </is>
      </c>
      <c r="F1974" t="inlineStr">
        <is>
          <t>Innovation and research raw</t>
        </is>
      </c>
      <c r="G1974" t="inlineStr">
        <is>
          <t>creative</t>
        </is>
      </c>
      <c r="H1974" t="inlineStr">
        <is>
          <t>yes</t>
        </is>
      </c>
      <c r="I1974" t="inlineStr"/>
      <c r="J1974" t="inlineStr"/>
      <c r="K1974" t="inlineStr"/>
      <c r="L1974" t="inlineStr"/>
      <c r="M1974" t="inlineStr"/>
      <c r="N1974" t="inlineStr"/>
    </row>
    <row r="1975">
      <c r="A1975" t="inlineStr">
        <is>
          <t>sa-riyadh</t>
        </is>
      </c>
      <c r="B1975" t="inlineStr">
        <is>
          <t>Riyadh</t>
        </is>
      </c>
      <c r="C1975" t="inlineStr">
        <is>
          <t>Saudi Arabia</t>
        </is>
      </c>
      <c r="D1975" t="inlineStr">
        <is>
          <t>Middle East</t>
        </is>
      </c>
      <c r="E1975" t="inlineStr">
        <is>
          <t>investment_signal_raw</t>
        </is>
      </c>
      <c r="F1975" t="inlineStr">
        <is>
          <t>Investment signal raw</t>
        </is>
      </c>
      <c r="G1975" t="inlineStr">
        <is>
          <t>creative</t>
        </is>
      </c>
      <c r="H1975" t="inlineStr">
        <is>
          <t>yes</t>
        </is>
      </c>
      <c r="I1975" t="inlineStr"/>
      <c r="J1975" t="inlineStr"/>
      <c r="K1975" t="inlineStr"/>
      <c r="L1975" t="inlineStr"/>
      <c r="M1975" t="inlineStr"/>
      <c r="N1975" t="inlineStr"/>
    </row>
    <row r="1976">
      <c r="A1976" t="inlineStr">
        <is>
          <t>sa-riyadh</t>
        </is>
      </c>
      <c r="B1976" t="inlineStr">
        <is>
          <t>Riyadh</t>
        </is>
      </c>
      <c r="C1976" t="inlineStr">
        <is>
          <t>Saudi Arabia</t>
        </is>
      </c>
      <c r="D1976" t="inlineStr">
        <is>
          <t>Middle East</t>
        </is>
      </c>
      <c r="E1976" t="inlineStr">
        <is>
          <t>administrative_investment_friction_raw</t>
        </is>
      </c>
      <c r="F1976" t="inlineStr">
        <is>
          <t>Administrative investment friction raw</t>
        </is>
      </c>
      <c r="G1976" t="inlineStr">
        <is>
          <t>creative</t>
        </is>
      </c>
      <c r="H1976" t="inlineStr">
        <is>
          <t>yes</t>
        </is>
      </c>
      <c r="I1976" t="inlineStr"/>
      <c r="J1976" t="inlineStr"/>
      <c r="K1976" t="inlineStr"/>
      <c r="L1976" t="inlineStr"/>
      <c r="M1976" t="inlineStr"/>
      <c r="N1976" t="inlineStr"/>
    </row>
    <row r="1977">
      <c r="A1977" t="inlineStr">
        <is>
          <t>sa-riyadh</t>
        </is>
      </c>
      <c r="B1977" t="inlineStr">
        <is>
          <t>Riyadh</t>
        </is>
      </c>
      <c r="C1977" t="inlineStr">
        <is>
          <t>Saudi Arabia</t>
        </is>
      </c>
      <c r="D1977" t="inlineStr">
        <is>
          <t>Middle East</t>
        </is>
      </c>
      <c r="E1977" t="inlineStr">
        <is>
          <t>visitor_flow_context_raw</t>
        </is>
      </c>
      <c r="F1977" t="inlineStr">
        <is>
          <t>Visitor flow context raw</t>
        </is>
      </c>
      <c r="G1977" t="inlineStr">
        <is>
          <t>creative</t>
        </is>
      </c>
      <c r="H1977" t="inlineStr">
        <is>
          <t>no</t>
        </is>
      </c>
      <c r="I1977" t="inlineStr"/>
      <c r="J1977" t="inlineStr"/>
      <c r="K1977" t="inlineStr"/>
      <c r="L1977" t="inlineStr"/>
      <c r="M1977" t="inlineStr"/>
      <c r="N1977" t="inlineStr"/>
    </row>
    <row r="1978">
      <c r="A1978" t="inlineStr">
        <is>
          <t>il-tel-aviv</t>
        </is>
      </c>
      <c r="B1978" t="inlineStr">
        <is>
          <t>Tel Aviv</t>
        </is>
      </c>
      <c r="C1978" t="inlineStr">
        <is>
          <t>Israel</t>
        </is>
      </c>
      <c r="D1978" t="inlineStr">
        <is>
          <t>Middle East</t>
        </is>
      </c>
      <c r="E1978" t="inlineStr">
        <is>
          <t>gross_income</t>
        </is>
      </c>
      <c r="F1978" t="inlineStr">
        <is>
          <t>Gross income</t>
        </is>
      </c>
      <c r="G1978" t="inlineStr">
        <is>
          <t>pressure</t>
        </is>
      </c>
      <c r="H1978" t="inlineStr">
        <is>
          <t>yes</t>
        </is>
      </c>
      <c r="I1978" t="inlineStr"/>
      <c r="J1978" t="inlineStr"/>
      <c r="K1978" t="inlineStr"/>
      <c r="L1978" t="inlineStr"/>
      <c r="M1978" t="inlineStr"/>
      <c r="N1978" t="inlineStr"/>
    </row>
    <row r="1979">
      <c r="A1979" t="inlineStr">
        <is>
          <t>il-tel-aviv</t>
        </is>
      </c>
      <c r="B1979" t="inlineStr">
        <is>
          <t>Tel Aviv</t>
        </is>
      </c>
      <c r="C1979" t="inlineStr">
        <is>
          <t>Israel</t>
        </is>
      </c>
      <c r="D1979" t="inlineStr">
        <is>
          <t>Middle East</t>
        </is>
      </c>
      <c r="E1979" t="inlineStr">
        <is>
          <t>rent</t>
        </is>
      </c>
      <c r="F1979" t="inlineStr">
        <is>
          <t>Rent</t>
        </is>
      </c>
      <c r="G1979" t="inlineStr">
        <is>
          <t>pressure</t>
        </is>
      </c>
      <c r="H1979" t="inlineStr">
        <is>
          <t>yes</t>
        </is>
      </c>
      <c r="I1979" t="inlineStr"/>
      <c r="J1979" t="inlineStr"/>
      <c r="K1979" t="inlineStr"/>
      <c r="L1979" t="inlineStr"/>
      <c r="M1979" t="inlineStr"/>
      <c r="N1979" t="inlineStr"/>
    </row>
    <row r="1980">
      <c r="A1980" t="inlineStr">
        <is>
          <t>il-tel-aviv</t>
        </is>
      </c>
      <c r="B1980" t="inlineStr">
        <is>
          <t>Tel Aviv</t>
        </is>
      </c>
      <c r="C1980" t="inlineStr">
        <is>
          <t>Israel</t>
        </is>
      </c>
      <c r="D1980" t="inlineStr">
        <is>
          <t>Middle East</t>
        </is>
      </c>
      <c r="E1980" t="inlineStr">
        <is>
          <t>utilities</t>
        </is>
      </c>
      <c r="F1980" t="inlineStr">
        <is>
          <t>Utilities</t>
        </is>
      </c>
      <c r="G1980" t="inlineStr">
        <is>
          <t>pressure</t>
        </is>
      </c>
      <c r="H1980" t="inlineStr">
        <is>
          <t>yes</t>
        </is>
      </c>
      <c r="I1980" t="inlineStr"/>
      <c r="J1980" t="inlineStr"/>
      <c r="K1980" t="inlineStr"/>
      <c r="L1980" t="inlineStr"/>
      <c r="M1980" t="inlineStr"/>
      <c r="N1980" t="inlineStr"/>
    </row>
    <row r="1981">
      <c r="A1981" t="inlineStr">
        <is>
          <t>il-tel-aviv</t>
        </is>
      </c>
      <c r="B1981" t="inlineStr">
        <is>
          <t>Tel Aviv</t>
        </is>
      </c>
      <c r="C1981" t="inlineStr">
        <is>
          <t>Israel</t>
        </is>
      </c>
      <c r="D1981" t="inlineStr">
        <is>
          <t>Middle East</t>
        </is>
      </c>
      <c r="E1981" t="inlineStr">
        <is>
          <t>transit_cost</t>
        </is>
      </c>
      <c r="F1981" t="inlineStr">
        <is>
          <t>Transit cost</t>
        </is>
      </c>
      <c r="G1981" t="inlineStr">
        <is>
          <t>pressure</t>
        </is>
      </c>
      <c r="H1981" t="inlineStr">
        <is>
          <t>yes</t>
        </is>
      </c>
      <c r="I1981" t="inlineStr"/>
      <c r="J1981" t="inlineStr"/>
      <c r="K1981" t="inlineStr"/>
      <c r="L1981" t="inlineStr"/>
      <c r="M1981" t="inlineStr"/>
      <c r="N1981" t="inlineStr"/>
    </row>
    <row r="1982">
      <c r="A1982" t="inlineStr">
        <is>
          <t>il-tel-aviv</t>
        </is>
      </c>
      <c r="B1982" t="inlineStr">
        <is>
          <t>Tel Aviv</t>
        </is>
      </c>
      <c r="C1982" t="inlineStr">
        <is>
          <t>Israel</t>
        </is>
      </c>
      <c r="D1982" t="inlineStr">
        <is>
          <t>Middle East</t>
        </is>
      </c>
      <c r="E1982" t="inlineStr">
        <is>
          <t>internet_cost</t>
        </is>
      </c>
      <c r="F1982" t="inlineStr">
        <is>
          <t>Internet cost</t>
        </is>
      </c>
      <c r="G1982" t="inlineStr">
        <is>
          <t>pressure</t>
        </is>
      </c>
      <c r="H1982" t="inlineStr">
        <is>
          <t>yes</t>
        </is>
      </c>
      <c r="I1982" t="inlineStr"/>
      <c r="J1982" t="inlineStr"/>
      <c r="K1982" t="inlineStr"/>
      <c r="L1982" t="inlineStr"/>
      <c r="M1982" t="inlineStr"/>
      <c r="N1982" t="inlineStr"/>
    </row>
    <row r="1983">
      <c r="A1983" t="inlineStr">
        <is>
          <t>il-tel-aviv</t>
        </is>
      </c>
      <c r="B1983" t="inlineStr">
        <is>
          <t>Tel Aviv</t>
        </is>
      </c>
      <c r="C1983" t="inlineStr">
        <is>
          <t>Israel</t>
        </is>
      </c>
      <c r="D1983" t="inlineStr">
        <is>
          <t>Middle East</t>
        </is>
      </c>
      <c r="E1983" t="inlineStr">
        <is>
          <t>food_cost</t>
        </is>
      </c>
      <c r="F1983" t="inlineStr">
        <is>
          <t>Food cost</t>
        </is>
      </c>
      <c r="G1983" t="inlineStr">
        <is>
          <t>pressure</t>
        </is>
      </c>
      <c r="H1983" t="inlineStr">
        <is>
          <t>yes</t>
        </is>
      </c>
      <c r="I1983" t="inlineStr"/>
      <c r="J1983" t="inlineStr"/>
      <c r="K1983" t="inlineStr"/>
      <c r="L1983" t="inlineStr"/>
      <c r="M1983" t="inlineStr"/>
      <c r="N1983" t="inlineStr"/>
    </row>
    <row r="1984">
      <c r="A1984" t="inlineStr">
        <is>
          <t>il-tel-aviv</t>
        </is>
      </c>
      <c r="B1984" t="inlineStr">
        <is>
          <t>Tel Aviv</t>
        </is>
      </c>
      <c r="C1984" t="inlineStr">
        <is>
          <t>Israel</t>
        </is>
      </c>
      <c r="D1984" t="inlineStr">
        <is>
          <t>Middle East</t>
        </is>
      </c>
      <c r="E1984" t="inlineStr">
        <is>
          <t>housing_burden_raw</t>
        </is>
      </c>
      <c r="F1984" t="inlineStr">
        <is>
          <t>Housing burden raw</t>
        </is>
      </c>
      <c r="G1984" t="inlineStr">
        <is>
          <t>pressure</t>
        </is>
      </c>
      <c r="H1984" t="inlineStr">
        <is>
          <t>yes</t>
        </is>
      </c>
      <c r="I1984" t="inlineStr"/>
      <c r="J1984" t="inlineStr"/>
      <c r="K1984" t="inlineStr"/>
      <c r="L1984" t="inlineStr"/>
      <c r="M1984" t="inlineStr"/>
      <c r="N1984" t="inlineStr"/>
    </row>
    <row r="1985">
      <c r="A1985" t="inlineStr">
        <is>
          <t>il-tel-aviv</t>
        </is>
      </c>
      <c r="B1985" t="inlineStr">
        <is>
          <t>Tel Aviv</t>
        </is>
      </c>
      <c r="C1985" t="inlineStr">
        <is>
          <t>Israel</t>
        </is>
      </c>
      <c r="D1985" t="inlineStr">
        <is>
          <t>Middle East</t>
        </is>
      </c>
      <c r="E1985" t="inlineStr">
        <is>
          <t>household_debt_burden_raw</t>
        </is>
      </c>
      <c r="F1985" t="inlineStr">
        <is>
          <t>Household debt burden raw</t>
        </is>
      </c>
      <c r="G1985" t="inlineStr">
        <is>
          <t>pressure</t>
        </is>
      </c>
      <c r="H1985" t="inlineStr">
        <is>
          <t>yes</t>
        </is>
      </c>
      <c r="I1985" t="inlineStr"/>
      <c r="J1985" t="inlineStr"/>
      <c r="K1985" t="inlineStr"/>
      <c r="L1985" t="inlineStr"/>
      <c r="M1985" t="inlineStr"/>
      <c r="N1985" t="inlineStr"/>
    </row>
    <row r="1986">
      <c r="A1986" t="inlineStr">
        <is>
          <t>il-tel-aviv</t>
        </is>
      </c>
      <c r="B1986" t="inlineStr">
        <is>
          <t>Tel Aviv</t>
        </is>
      </c>
      <c r="C1986" t="inlineStr">
        <is>
          <t>Israel</t>
        </is>
      </c>
      <c r="D1986" t="inlineStr">
        <is>
          <t>Middle East</t>
        </is>
      </c>
      <c r="E1986" t="inlineStr">
        <is>
          <t>working_time_pressure_raw</t>
        </is>
      </c>
      <c r="F1986" t="inlineStr">
        <is>
          <t>Working time pressure raw</t>
        </is>
      </c>
      <c r="G1986" t="inlineStr">
        <is>
          <t>pressure</t>
        </is>
      </c>
      <c r="H1986" t="inlineStr">
        <is>
          <t>yes</t>
        </is>
      </c>
      <c r="I1986" t="inlineStr"/>
      <c r="J1986" t="inlineStr"/>
      <c r="K1986" t="inlineStr"/>
      <c r="L1986" t="inlineStr"/>
      <c r="M1986" t="inlineStr"/>
      <c r="N1986" t="inlineStr"/>
    </row>
    <row r="1987">
      <c r="A1987" t="inlineStr">
        <is>
          <t>il-tel-aviv</t>
        </is>
      </c>
      <c r="B1987" t="inlineStr">
        <is>
          <t>Tel Aviv</t>
        </is>
      </c>
      <c r="C1987" t="inlineStr">
        <is>
          <t>Israel</t>
        </is>
      </c>
      <c r="D1987" t="inlineStr">
        <is>
          <t>Middle East</t>
        </is>
      </c>
      <c r="E1987" t="inlineStr">
        <is>
          <t>suicide_mental_strain_raw</t>
        </is>
      </c>
      <c r="F1987" t="inlineStr">
        <is>
          <t>Suicide or mental strain raw</t>
        </is>
      </c>
      <c r="G1987" t="inlineStr">
        <is>
          <t>pressure</t>
        </is>
      </c>
      <c r="H1987" t="inlineStr">
        <is>
          <t>yes</t>
        </is>
      </c>
      <c r="I1987" t="inlineStr"/>
      <c r="J1987" t="inlineStr"/>
      <c r="K1987" t="inlineStr"/>
      <c r="L1987" t="inlineStr"/>
      <c r="M1987" t="inlineStr"/>
      <c r="N1987" t="inlineStr"/>
    </row>
    <row r="1988">
      <c r="A1988" t="inlineStr">
        <is>
          <t>il-tel-aviv</t>
        </is>
      </c>
      <c r="B1988" t="inlineStr">
        <is>
          <t>Tel Aviv</t>
        </is>
      </c>
      <c r="C1988" t="inlineStr">
        <is>
          <t>Israel</t>
        </is>
      </c>
      <c r="D1988" t="inlineStr">
        <is>
          <t>Middle East</t>
        </is>
      </c>
      <c r="E1988" t="inlineStr">
        <is>
          <t>personal_safety_raw</t>
        </is>
      </c>
      <c r="F1988" t="inlineStr">
        <is>
          <t>Personal safety raw</t>
        </is>
      </c>
      <c r="G1988" t="inlineStr">
        <is>
          <t>viability</t>
        </is>
      </c>
      <c r="H1988" t="inlineStr">
        <is>
          <t>yes</t>
        </is>
      </c>
      <c r="I1988" t="inlineStr"/>
      <c r="J1988" t="inlineStr"/>
      <c r="K1988" t="inlineStr"/>
      <c r="L1988" t="inlineStr"/>
      <c r="M1988" t="inlineStr"/>
      <c r="N1988" t="inlineStr"/>
    </row>
    <row r="1989">
      <c r="A1989" t="inlineStr">
        <is>
          <t>il-tel-aviv</t>
        </is>
      </c>
      <c r="B1989" t="inlineStr">
        <is>
          <t>Tel Aviv</t>
        </is>
      </c>
      <c r="C1989" t="inlineStr">
        <is>
          <t>Israel</t>
        </is>
      </c>
      <c r="D1989" t="inlineStr">
        <is>
          <t>Middle East</t>
        </is>
      </c>
      <c r="E1989" t="inlineStr">
        <is>
          <t>transit_access_commute_raw</t>
        </is>
      </c>
      <c r="F1989" t="inlineStr">
        <is>
          <t>Transit access and commute raw</t>
        </is>
      </c>
      <c r="G1989" t="inlineStr">
        <is>
          <t>viability</t>
        </is>
      </c>
      <c r="H1989" t="inlineStr">
        <is>
          <t>yes</t>
        </is>
      </c>
      <c r="I1989" t="inlineStr"/>
      <c r="J1989" t="inlineStr"/>
      <c r="K1989" t="inlineStr"/>
      <c r="L1989" t="inlineStr"/>
      <c r="M1989" t="inlineStr"/>
      <c r="N1989" t="inlineStr"/>
    </row>
    <row r="1990">
      <c r="A1990" t="inlineStr">
        <is>
          <t>il-tel-aviv</t>
        </is>
      </c>
      <c r="B1990" t="inlineStr">
        <is>
          <t>Tel Aviv</t>
        </is>
      </c>
      <c r="C1990" t="inlineStr">
        <is>
          <t>Israel</t>
        </is>
      </c>
      <c r="D1990" t="inlineStr">
        <is>
          <t>Middle East</t>
        </is>
      </c>
      <c r="E1990" t="inlineStr">
        <is>
          <t>clean_air_raw</t>
        </is>
      </c>
      <c r="F1990" t="inlineStr">
        <is>
          <t>Clean air raw</t>
        </is>
      </c>
      <c r="G1990" t="inlineStr">
        <is>
          <t>viability</t>
        </is>
      </c>
      <c r="H1990" t="inlineStr">
        <is>
          <t>yes</t>
        </is>
      </c>
      <c r="I1990" t="inlineStr"/>
      <c r="J1990" t="inlineStr"/>
      <c r="K1990" t="inlineStr"/>
      <c r="L1990" t="inlineStr"/>
      <c r="M1990" t="inlineStr"/>
      <c r="N1990" t="inlineStr"/>
    </row>
    <row r="1991">
      <c r="A1991" t="inlineStr">
        <is>
          <t>il-tel-aviv</t>
        </is>
      </c>
      <c r="B1991" t="inlineStr">
        <is>
          <t>Tel Aviv</t>
        </is>
      </c>
      <c r="C1991" t="inlineStr">
        <is>
          <t>Israel</t>
        </is>
      </c>
      <c r="D1991" t="inlineStr">
        <is>
          <t>Middle East</t>
        </is>
      </c>
      <c r="E1991" t="inlineStr">
        <is>
          <t>water_sanitation_utility_raw</t>
        </is>
      </c>
      <c r="F1991" t="inlineStr">
        <is>
          <t>Water, sanitation, and utility raw</t>
        </is>
      </c>
      <c r="G1991" t="inlineStr">
        <is>
          <t>viability</t>
        </is>
      </c>
      <c r="H1991" t="inlineStr">
        <is>
          <t>yes</t>
        </is>
      </c>
      <c r="I1991" t="inlineStr"/>
      <c r="J1991" t="inlineStr"/>
      <c r="K1991" t="inlineStr"/>
      <c r="L1991" t="inlineStr"/>
      <c r="M1991" t="inlineStr"/>
      <c r="N1991" t="inlineStr"/>
    </row>
    <row r="1992">
      <c r="A1992" t="inlineStr">
        <is>
          <t>il-tel-aviv</t>
        </is>
      </c>
      <c r="B1992" t="inlineStr">
        <is>
          <t>Tel Aviv</t>
        </is>
      </c>
      <c r="C1992" t="inlineStr">
        <is>
          <t>Israel</t>
        </is>
      </c>
      <c r="D1992" t="inlineStr">
        <is>
          <t>Middle East</t>
        </is>
      </c>
      <c r="E1992" t="inlineStr">
        <is>
          <t>digital_infrastructure_raw</t>
        </is>
      </c>
      <c r="F1992" t="inlineStr">
        <is>
          <t>Digital infrastructure raw</t>
        </is>
      </c>
      <c r="G1992" t="inlineStr">
        <is>
          <t>viability</t>
        </is>
      </c>
      <c r="H1992" t="inlineStr">
        <is>
          <t>yes</t>
        </is>
      </c>
      <c r="I1992" t="inlineStr"/>
      <c r="J1992" t="inlineStr"/>
      <c r="K1992" t="inlineStr"/>
      <c r="L1992" t="inlineStr"/>
      <c r="M1992" t="inlineStr"/>
      <c r="N1992" t="inlineStr"/>
    </row>
    <row r="1993">
      <c r="A1993" t="inlineStr">
        <is>
          <t>il-tel-aviv</t>
        </is>
      </c>
      <c r="B1993" t="inlineStr">
        <is>
          <t>Tel Aviv</t>
        </is>
      </c>
      <c r="C1993" t="inlineStr">
        <is>
          <t>Israel</t>
        </is>
      </c>
      <c r="D1993" t="inlineStr">
        <is>
          <t>Middle East</t>
        </is>
      </c>
      <c r="E1993" t="inlineStr">
        <is>
          <t>healthcare_quality_raw</t>
        </is>
      </c>
      <c r="F1993" t="inlineStr">
        <is>
          <t>Healthcare quality raw</t>
        </is>
      </c>
      <c r="G1993" t="inlineStr">
        <is>
          <t>capability</t>
        </is>
      </c>
      <c r="H1993" t="inlineStr">
        <is>
          <t>yes</t>
        </is>
      </c>
      <c r="I1993" t="inlineStr"/>
      <c r="J1993" t="inlineStr"/>
      <c r="K1993" t="inlineStr"/>
      <c r="L1993" t="inlineStr"/>
      <c r="M1993" t="inlineStr"/>
      <c r="N1993" t="inlineStr"/>
    </row>
    <row r="1994">
      <c r="A1994" t="inlineStr">
        <is>
          <t>il-tel-aviv</t>
        </is>
      </c>
      <c r="B1994" t="inlineStr">
        <is>
          <t>Tel Aviv</t>
        </is>
      </c>
      <c r="C1994" t="inlineStr">
        <is>
          <t>Israel</t>
        </is>
      </c>
      <c r="D1994" t="inlineStr">
        <is>
          <t>Middle East</t>
        </is>
      </c>
      <c r="E1994" t="inlineStr">
        <is>
          <t>education_quality_raw</t>
        </is>
      </c>
      <c r="F1994" t="inlineStr">
        <is>
          <t>Education quality raw</t>
        </is>
      </c>
      <c r="G1994" t="inlineStr">
        <is>
          <t>capability</t>
        </is>
      </c>
      <c r="H1994" t="inlineStr">
        <is>
          <t>yes</t>
        </is>
      </c>
      <c r="I1994" t="inlineStr"/>
      <c r="J1994" t="inlineStr"/>
      <c r="K1994" t="inlineStr"/>
      <c r="L1994" t="inlineStr"/>
      <c r="M1994" t="inlineStr"/>
      <c r="N1994" t="inlineStr"/>
    </row>
    <row r="1995">
      <c r="A1995" t="inlineStr">
        <is>
          <t>il-tel-aviv</t>
        </is>
      </c>
      <c r="B1995" t="inlineStr">
        <is>
          <t>Tel Aviv</t>
        </is>
      </c>
      <c r="C1995" t="inlineStr">
        <is>
          <t>Israel</t>
        </is>
      </c>
      <c r="D1995" t="inlineStr">
        <is>
          <t>Middle East</t>
        </is>
      </c>
      <c r="E1995" t="inlineStr">
        <is>
          <t>equal_opportunity_raw</t>
        </is>
      </c>
      <c r="F1995" t="inlineStr">
        <is>
          <t>Equal opportunity raw</t>
        </is>
      </c>
      <c r="G1995" t="inlineStr">
        <is>
          <t>capability</t>
        </is>
      </c>
      <c r="H1995" t="inlineStr">
        <is>
          <t>yes</t>
        </is>
      </c>
      <c r="I1995" t="inlineStr"/>
      <c r="J1995" t="inlineStr"/>
      <c r="K1995" t="inlineStr"/>
      <c r="L1995" t="inlineStr"/>
      <c r="M1995" t="inlineStr"/>
      <c r="N1995" t="inlineStr"/>
    </row>
    <row r="1996">
      <c r="A1996" t="inlineStr">
        <is>
          <t>il-tel-aviv</t>
        </is>
      </c>
      <c r="B1996" t="inlineStr">
        <is>
          <t>Tel Aviv</t>
        </is>
      </c>
      <c r="C1996" t="inlineStr">
        <is>
          <t>Israel</t>
        </is>
      </c>
      <c r="D1996" t="inlineStr">
        <is>
          <t>Middle East</t>
        </is>
      </c>
      <c r="E1996" t="inlineStr">
        <is>
          <t>hospitality_belonging_raw</t>
        </is>
      </c>
      <c r="F1996" t="inlineStr">
        <is>
          <t>Hospitality and belonging raw</t>
        </is>
      </c>
      <c r="G1996" t="inlineStr">
        <is>
          <t>community</t>
        </is>
      </c>
      <c r="H1996" t="inlineStr">
        <is>
          <t>yes</t>
        </is>
      </c>
      <c r="I1996" t="inlineStr"/>
      <c r="J1996" t="inlineStr"/>
      <c r="K1996" t="inlineStr"/>
      <c r="L1996" t="inlineStr"/>
      <c r="M1996" t="inlineStr"/>
      <c r="N1996" t="inlineStr"/>
    </row>
    <row r="1997">
      <c r="A1997" t="inlineStr">
        <is>
          <t>il-tel-aviv</t>
        </is>
      </c>
      <c r="B1997" t="inlineStr">
        <is>
          <t>Tel Aviv</t>
        </is>
      </c>
      <c r="C1997" t="inlineStr">
        <is>
          <t>Israel</t>
        </is>
      </c>
      <c r="D1997" t="inlineStr">
        <is>
          <t>Middle East</t>
        </is>
      </c>
      <c r="E1997" t="inlineStr">
        <is>
          <t>tolerance_pluralism_raw</t>
        </is>
      </c>
      <c r="F1997" t="inlineStr">
        <is>
          <t>Tolerance and pluralism raw</t>
        </is>
      </c>
      <c r="G1997" t="inlineStr">
        <is>
          <t>community</t>
        </is>
      </c>
      <c r="H1997" t="inlineStr">
        <is>
          <t>yes</t>
        </is>
      </c>
      <c r="I1997" t="inlineStr"/>
      <c r="J1997" t="inlineStr"/>
      <c r="K1997" t="inlineStr"/>
      <c r="L1997" t="inlineStr"/>
      <c r="M1997" t="inlineStr"/>
      <c r="N1997" t="inlineStr"/>
    </row>
    <row r="1998">
      <c r="A1998" t="inlineStr">
        <is>
          <t>il-tel-aviv</t>
        </is>
      </c>
      <c r="B1998" t="inlineStr">
        <is>
          <t>Tel Aviv</t>
        </is>
      </c>
      <c r="C1998" t="inlineStr">
        <is>
          <t>Israel</t>
        </is>
      </c>
      <c r="D1998" t="inlineStr">
        <is>
          <t>Middle East</t>
        </is>
      </c>
      <c r="E1998" t="inlineStr">
        <is>
          <t>cultural_public_life_raw</t>
        </is>
      </c>
      <c r="F1998" t="inlineStr">
        <is>
          <t>Cultural public life raw</t>
        </is>
      </c>
      <c r="G1998" t="inlineStr">
        <is>
          <t>community</t>
        </is>
      </c>
      <c r="H1998" t="inlineStr">
        <is>
          <t>yes</t>
        </is>
      </c>
      <c r="I1998" t="inlineStr"/>
      <c r="J1998" t="inlineStr"/>
      <c r="K1998" t="inlineStr"/>
      <c r="L1998" t="inlineStr"/>
      <c r="M1998" t="inlineStr"/>
      <c r="N1998" t="inlineStr"/>
    </row>
    <row r="1999">
      <c r="A1999" t="inlineStr">
        <is>
          <t>il-tel-aviv</t>
        </is>
      </c>
      <c r="B1999" t="inlineStr">
        <is>
          <t>Tel Aviv</t>
        </is>
      </c>
      <c r="C1999" t="inlineStr">
        <is>
          <t>Israel</t>
        </is>
      </c>
      <c r="D1999" t="inlineStr">
        <is>
          <t>Middle East</t>
        </is>
      </c>
      <c r="E1999" t="inlineStr">
        <is>
          <t>entrepreneurial_dynamism_raw</t>
        </is>
      </c>
      <c r="F1999" t="inlineStr">
        <is>
          <t>Entrepreneurial dynamism raw</t>
        </is>
      </c>
      <c r="G1999" t="inlineStr">
        <is>
          <t>creative</t>
        </is>
      </c>
      <c r="H1999" t="inlineStr">
        <is>
          <t>yes</t>
        </is>
      </c>
      <c r="I1999" t="inlineStr"/>
      <c r="J1999" t="inlineStr"/>
      <c r="K1999" t="inlineStr"/>
      <c r="L1999" t="inlineStr"/>
      <c r="M1999" t="inlineStr"/>
      <c r="N1999" t="inlineStr"/>
    </row>
    <row r="2000">
      <c r="A2000" t="inlineStr">
        <is>
          <t>il-tel-aviv</t>
        </is>
      </c>
      <c r="B2000" t="inlineStr">
        <is>
          <t>Tel Aviv</t>
        </is>
      </c>
      <c r="C2000" t="inlineStr">
        <is>
          <t>Israel</t>
        </is>
      </c>
      <c r="D2000" t="inlineStr">
        <is>
          <t>Middle East</t>
        </is>
      </c>
      <c r="E2000" t="inlineStr">
        <is>
          <t>innovation_research_intensity_raw</t>
        </is>
      </c>
      <c r="F2000" t="inlineStr">
        <is>
          <t>Innovation and research raw</t>
        </is>
      </c>
      <c r="G2000" t="inlineStr">
        <is>
          <t>creative</t>
        </is>
      </c>
      <c r="H2000" t="inlineStr">
        <is>
          <t>yes</t>
        </is>
      </c>
      <c r="I2000" t="inlineStr"/>
      <c r="J2000" t="inlineStr"/>
      <c r="K2000" t="inlineStr"/>
      <c r="L2000" t="inlineStr"/>
      <c r="M2000" t="inlineStr"/>
      <c r="N2000" t="inlineStr"/>
    </row>
    <row r="2001">
      <c r="A2001" t="inlineStr">
        <is>
          <t>il-tel-aviv</t>
        </is>
      </c>
      <c r="B2001" t="inlineStr">
        <is>
          <t>Tel Aviv</t>
        </is>
      </c>
      <c r="C2001" t="inlineStr">
        <is>
          <t>Israel</t>
        </is>
      </c>
      <c r="D2001" t="inlineStr">
        <is>
          <t>Middle East</t>
        </is>
      </c>
      <c r="E2001" t="inlineStr">
        <is>
          <t>investment_signal_raw</t>
        </is>
      </c>
      <c r="F2001" t="inlineStr">
        <is>
          <t>Investment signal raw</t>
        </is>
      </c>
      <c r="G2001" t="inlineStr">
        <is>
          <t>creative</t>
        </is>
      </c>
      <c r="H2001" t="inlineStr">
        <is>
          <t>yes</t>
        </is>
      </c>
      <c r="I2001" t="inlineStr"/>
      <c r="J2001" t="inlineStr"/>
      <c r="K2001" t="inlineStr"/>
      <c r="L2001" t="inlineStr"/>
      <c r="M2001" t="inlineStr"/>
      <c r="N2001" t="inlineStr"/>
    </row>
    <row r="2002">
      <c r="A2002" t="inlineStr">
        <is>
          <t>il-tel-aviv</t>
        </is>
      </c>
      <c r="B2002" t="inlineStr">
        <is>
          <t>Tel Aviv</t>
        </is>
      </c>
      <c r="C2002" t="inlineStr">
        <is>
          <t>Israel</t>
        </is>
      </c>
      <c r="D2002" t="inlineStr">
        <is>
          <t>Middle East</t>
        </is>
      </c>
      <c r="E2002" t="inlineStr">
        <is>
          <t>administrative_investment_friction_raw</t>
        </is>
      </c>
      <c r="F2002" t="inlineStr">
        <is>
          <t>Administrative investment friction raw</t>
        </is>
      </c>
      <c r="G2002" t="inlineStr">
        <is>
          <t>creative</t>
        </is>
      </c>
      <c r="H2002" t="inlineStr">
        <is>
          <t>yes</t>
        </is>
      </c>
      <c r="I2002" t="inlineStr"/>
      <c r="J2002" t="inlineStr"/>
      <c r="K2002" t="inlineStr"/>
      <c r="L2002" t="inlineStr"/>
      <c r="M2002" t="inlineStr"/>
      <c r="N2002" t="inlineStr"/>
    </row>
    <row r="2003">
      <c r="A2003" t="inlineStr">
        <is>
          <t>il-tel-aviv</t>
        </is>
      </c>
      <c r="B2003" t="inlineStr">
        <is>
          <t>Tel Aviv</t>
        </is>
      </c>
      <c r="C2003" t="inlineStr">
        <is>
          <t>Israel</t>
        </is>
      </c>
      <c r="D2003" t="inlineStr">
        <is>
          <t>Middle East</t>
        </is>
      </c>
      <c r="E2003" t="inlineStr">
        <is>
          <t>visitor_flow_context_raw</t>
        </is>
      </c>
      <c r="F2003" t="inlineStr">
        <is>
          <t>Visitor flow context raw</t>
        </is>
      </c>
      <c r="G2003" t="inlineStr">
        <is>
          <t>creative</t>
        </is>
      </c>
      <c r="H2003" t="inlineStr">
        <is>
          <t>no</t>
        </is>
      </c>
      <c r="I2003" t="inlineStr"/>
      <c r="J2003" t="inlineStr"/>
      <c r="K2003" t="inlineStr"/>
      <c r="L2003" t="inlineStr"/>
      <c r="M2003" t="inlineStr"/>
      <c r="N2003" t="inlineStr"/>
    </row>
    <row r="2004">
      <c r="A2004" t="inlineStr">
        <is>
          <t>om-muscat</t>
        </is>
      </c>
      <c r="B2004" t="inlineStr">
        <is>
          <t>Muscat</t>
        </is>
      </c>
      <c r="C2004" t="inlineStr">
        <is>
          <t>Oman</t>
        </is>
      </c>
      <c r="D2004" t="inlineStr">
        <is>
          <t>Middle East</t>
        </is>
      </c>
      <c r="E2004" t="inlineStr">
        <is>
          <t>gross_income</t>
        </is>
      </c>
      <c r="F2004" t="inlineStr">
        <is>
          <t>Gross income</t>
        </is>
      </c>
      <c r="G2004" t="inlineStr">
        <is>
          <t>pressure</t>
        </is>
      </c>
      <c r="H2004" t="inlineStr">
        <is>
          <t>yes</t>
        </is>
      </c>
      <c r="I2004" t="inlineStr"/>
      <c r="J2004" t="inlineStr"/>
      <c r="K2004" t="inlineStr"/>
      <c r="L2004" t="inlineStr"/>
      <c r="M2004" t="inlineStr"/>
      <c r="N2004" t="inlineStr"/>
    </row>
    <row r="2005">
      <c r="A2005" t="inlineStr">
        <is>
          <t>om-muscat</t>
        </is>
      </c>
      <c r="B2005" t="inlineStr">
        <is>
          <t>Muscat</t>
        </is>
      </c>
      <c r="C2005" t="inlineStr">
        <is>
          <t>Oman</t>
        </is>
      </c>
      <c r="D2005" t="inlineStr">
        <is>
          <t>Middle East</t>
        </is>
      </c>
      <c r="E2005" t="inlineStr">
        <is>
          <t>rent</t>
        </is>
      </c>
      <c r="F2005" t="inlineStr">
        <is>
          <t>Rent</t>
        </is>
      </c>
      <c r="G2005" t="inlineStr">
        <is>
          <t>pressure</t>
        </is>
      </c>
      <c r="H2005" t="inlineStr">
        <is>
          <t>yes</t>
        </is>
      </c>
      <c r="I2005" t="inlineStr"/>
      <c r="J2005" t="inlineStr"/>
      <c r="K2005" t="inlineStr"/>
      <c r="L2005" t="inlineStr"/>
      <c r="M2005" t="inlineStr"/>
      <c r="N2005" t="inlineStr"/>
    </row>
    <row r="2006">
      <c r="A2006" t="inlineStr">
        <is>
          <t>om-muscat</t>
        </is>
      </c>
      <c r="B2006" t="inlineStr">
        <is>
          <t>Muscat</t>
        </is>
      </c>
      <c r="C2006" t="inlineStr">
        <is>
          <t>Oman</t>
        </is>
      </c>
      <c r="D2006" t="inlineStr">
        <is>
          <t>Middle East</t>
        </is>
      </c>
      <c r="E2006" t="inlineStr">
        <is>
          <t>utilities</t>
        </is>
      </c>
      <c r="F2006" t="inlineStr">
        <is>
          <t>Utilities</t>
        </is>
      </c>
      <c r="G2006" t="inlineStr">
        <is>
          <t>pressure</t>
        </is>
      </c>
      <c r="H2006" t="inlineStr">
        <is>
          <t>yes</t>
        </is>
      </c>
      <c r="I2006" t="inlineStr"/>
      <c r="J2006" t="inlineStr"/>
      <c r="K2006" t="inlineStr"/>
      <c r="L2006" t="inlineStr"/>
      <c r="M2006" t="inlineStr"/>
      <c r="N2006" t="inlineStr"/>
    </row>
    <row r="2007">
      <c r="A2007" t="inlineStr">
        <is>
          <t>om-muscat</t>
        </is>
      </c>
      <c r="B2007" t="inlineStr">
        <is>
          <t>Muscat</t>
        </is>
      </c>
      <c r="C2007" t="inlineStr">
        <is>
          <t>Oman</t>
        </is>
      </c>
      <c r="D2007" t="inlineStr">
        <is>
          <t>Middle East</t>
        </is>
      </c>
      <c r="E2007" t="inlineStr">
        <is>
          <t>transit_cost</t>
        </is>
      </c>
      <c r="F2007" t="inlineStr">
        <is>
          <t>Transit cost</t>
        </is>
      </c>
      <c r="G2007" t="inlineStr">
        <is>
          <t>pressure</t>
        </is>
      </c>
      <c r="H2007" t="inlineStr">
        <is>
          <t>yes</t>
        </is>
      </c>
      <c r="I2007" t="inlineStr"/>
      <c r="J2007" t="inlineStr"/>
      <c r="K2007" t="inlineStr"/>
      <c r="L2007" t="inlineStr"/>
      <c r="M2007" t="inlineStr"/>
      <c r="N2007" t="inlineStr"/>
    </row>
    <row r="2008">
      <c r="A2008" t="inlineStr">
        <is>
          <t>om-muscat</t>
        </is>
      </c>
      <c r="B2008" t="inlineStr">
        <is>
          <t>Muscat</t>
        </is>
      </c>
      <c r="C2008" t="inlineStr">
        <is>
          <t>Oman</t>
        </is>
      </c>
      <c r="D2008" t="inlineStr">
        <is>
          <t>Middle East</t>
        </is>
      </c>
      <c r="E2008" t="inlineStr">
        <is>
          <t>internet_cost</t>
        </is>
      </c>
      <c r="F2008" t="inlineStr">
        <is>
          <t>Internet cost</t>
        </is>
      </c>
      <c r="G2008" t="inlineStr">
        <is>
          <t>pressure</t>
        </is>
      </c>
      <c r="H2008" t="inlineStr">
        <is>
          <t>yes</t>
        </is>
      </c>
      <c r="I2008" t="inlineStr"/>
      <c r="J2008" t="inlineStr"/>
      <c r="K2008" t="inlineStr"/>
      <c r="L2008" t="inlineStr"/>
      <c r="M2008" t="inlineStr"/>
      <c r="N2008" t="inlineStr"/>
    </row>
    <row r="2009">
      <c r="A2009" t="inlineStr">
        <is>
          <t>om-muscat</t>
        </is>
      </c>
      <c r="B2009" t="inlineStr">
        <is>
          <t>Muscat</t>
        </is>
      </c>
      <c r="C2009" t="inlineStr">
        <is>
          <t>Oman</t>
        </is>
      </c>
      <c r="D2009" t="inlineStr">
        <is>
          <t>Middle East</t>
        </is>
      </c>
      <c r="E2009" t="inlineStr">
        <is>
          <t>food_cost</t>
        </is>
      </c>
      <c r="F2009" t="inlineStr">
        <is>
          <t>Food cost</t>
        </is>
      </c>
      <c r="G2009" t="inlineStr">
        <is>
          <t>pressure</t>
        </is>
      </c>
      <c r="H2009" t="inlineStr">
        <is>
          <t>yes</t>
        </is>
      </c>
      <c r="I2009" t="inlineStr"/>
      <c r="J2009" t="inlineStr"/>
      <c r="K2009" t="inlineStr"/>
      <c r="L2009" t="inlineStr"/>
      <c r="M2009" t="inlineStr"/>
      <c r="N2009" t="inlineStr"/>
    </row>
    <row r="2010">
      <c r="A2010" t="inlineStr">
        <is>
          <t>om-muscat</t>
        </is>
      </c>
      <c r="B2010" t="inlineStr">
        <is>
          <t>Muscat</t>
        </is>
      </c>
      <c r="C2010" t="inlineStr">
        <is>
          <t>Oman</t>
        </is>
      </c>
      <c r="D2010" t="inlineStr">
        <is>
          <t>Middle East</t>
        </is>
      </c>
      <c r="E2010" t="inlineStr">
        <is>
          <t>housing_burden_raw</t>
        </is>
      </c>
      <c r="F2010" t="inlineStr">
        <is>
          <t>Housing burden raw</t>
        </is>
      </c>
      <c r="G2010" t="inlineStr">
        <is>
          <t>pressure</t>
        </is>
      </c>
      <c r="H2010" t="inlineStr">
        <is>
          <t>yes</t>
        </is>
      </c>
      <c r="I2010" t="inlineStr"/>
      <c r="J2010" t="inlineStr"/>
      <c r="K2010" t="inlineStr"/>
      <c r="L2010" t="inlineStr"/>
      <c r="M2010" t="inlineStr"/>
      <c r="N2010" t="inlineStr"/>
    </row>
    <row r="2011">
      <c r="A2011" t="inlineStr">
        <is>
          <t>om-muscat</t>
        </is>
      </c>
      <c r="B2011" t="inlineStr">
        <is>
          <t>Muscat</t>
        </is>
      </c>
      <c r="C2011" t="inlineStr">
        <is>
          <t>Oman</t>
        </is>
      </c>
      <c r="D2011" t="inlineStr">
        <is>
          <t>Middle East</t>
        </is>
      </c>
      <c r="E2011" t="inlineStr">
        <is>
          <t>household_debt_burden_raw</t>
        </is>
      </c>
      <c r="F2011" t="inlineStr">
        <is>
          <t>Household debt burden raw</t>
        </is>
      </c>
      <c r="G2011" t="inlineStr">
        <is>
          <t>pressure</t>
        </is>
      </c>
      <c r="H2011" t="inlineStr">
        <is>
          <t>yes</t>
        </is>
      </c>
      <c r="I2011" t="inlineStr"/>
      <c r="J2011" t="inlineStr"/>
      <c r="K2011" t="inlineStr"/>
      <c r="L2011" t="inlineStr"/>
      <c r="M2011" t="inlineStr"/>
      <c r="N2011" t="inlineStr"/>
    </row>
    <row r="2012">
      <c r="A2012" t="inlineStr">
        <is>
          <t>om-muscat</t>
        </is>
      </c>
      <c r="B2012" t="inlineStr">
        <is>
          <t>Muscat</t>
        </is>
      </c>
      <c r="C2012" t="inlineStr">
        <is>
          <t>Oman</t>
        </is>
      </c>
      <c r="D2012" t="inlineStr">
        <is>
          <t>Middle East</t>
        </is>
      </c>
      <c r="E2012" t="inlineStr">
        <is>
          <t>working_time_pressure_raw</t>
        </is>
      </c>
      <c r="F2012" t="inlineStr">
        <is>
          <t>Working time pressure raw</t>
        </is>
      </c>
      <c r="G2012" t="inlineStr">
        <is>
          <t>pressure</t>
        </is>
      </c>
      <c r="H2012" t="inlineStr">
        <is>
          <t>yes</t>
        </is>
      </c>
      <c r="I2012" t="inlineStr"/>
      <c r="J2012" t="inlineStr"/>
      <c r="K2012" t="inlineStr"/>
      <c r="L2012" t="inlineStr"/>
      <c r="M2012" t="inlineStr"/>
      <c r="N2012" t="inlineStr"/>
    </row>
    <row r="2013">
      <c r="A2013" t="inlineStr">
        <is>
          <t>om-muscat</t>
        </is>
      </c>
      <c r="B2013" t="inlineStr">
        <is>
          <t>Muscat</t>
        </is>
      </c>
      <c r="C2013" t="inlineStr">
        <is>
          <t>Oman</t>
        </is>
      </c>
      <c r="D2013" t="inlineStr">
        <is>
          <t>Middle East</t>
        </is>
      </c>
      <c r="E2013" t="inlineStr">
        <is>
          <t>suicide_mental_strain_raw</t>
        </is>
      </c>
      <c r="F2013" t="inlineStr">
        <is>
          <t>Suicide or mental strain raw</t>
        </is>
      </c>
      <c r="G2013" t="inlineStr">
        <is>
          <t>pressure</t>
        </is>
      </c>
      <c r="H2013" t="inlineStr">
        <is>
          <t>yes</t>
        </is>
      </c>
      <c r="I2013" t="inlineStr"/>
      <c r="J2013" t="inlineStr"/>
      <c r="K2013" t="inlineStr"/>
      <c r="L2013" t="inlineStr"/>
      <c r="M2013" t="inlineStr"/>
      <c r="N2013" t="inlineStr"/>
    </row>
    <row r="2014">
      <c r="A2014" t="inlineStr">
        <is>
          <t>om-muscat</t>
        </is>
      </c>
      <c r="B2014" t="inlineStr">
        <is>
          <t>Muscat</t>
        </is>
      </c>
      <c r="C2014" t="inlineStr">
        <is>
          <t>Oman</t>
        </is>
      </c>
      <c r="D2014" t="inlineStr">
        <is>
          <t>Middle East</t>
        </is>
      </c>
      <c r="E2014" t="inlineStr">
        <is>
          <t>personal_safety_raw</t>
        </is>
      </c>
      <c r="F2014" t="inlineStr">
        <is>
          <t>Personal safety raw</t>
        </is>
      </c>
      <c r="G2014" t="inlineStr">
        <is>
          <t>viability</t>
        </is>
      </c>
      <c r="H2014" t="inlineStr">
        <is>
          <t>yes</t>
        </is>
      </c>
      <c r="I2014" t="inlineStr"/>
      <c r="J2014" t="inlineStr"/>
      <c r="K2014" t="inlineStr"/>
      <c r="L2014" t="inlineStr"/>
      <c r="M2014" t="inlineStr"/>
      <c r="N2014" t="inlineStr"/>
    </row>
    <row r="2015">
      <c r="A2015" t="inlineStr">
        <is>
          <t>om-muscat</t>
        </is>
      </c>
      <c r="B2015" t="inlineStr">
        <is>
          <t>Muscat</t>
        </is>
      </c>
      <c r="C2015" t="inlineStr">
        <is>
          <t>Oman</t>
        </is>
      </c>
      <c r="D2015" t="inlineStr">
        <is>
          <t>Middle East</t>
        </is>
      </c>
      <c r="E2015" t="inlineStr">
        <is>
          <t>transit_access_commute_raw</t>
        </is>
      </c>
      <c r="F2015" t="inlineStr">
        <is>
          <t>Transit access and commute raw</t>
        </is>
      </c>
      <c r="G2015" t="inlineStr">
        <is>
          <t>viability</t>
        </is>
      </c>
      <c r="H2015" t="inlineStr">
        <is>
          <t>yes</t>
        </is>
      </c>
      <c r="I2015" t="inlineStr"/>
      <c r="J2015" t="inlineStr"/>
      <c r="K2015" t="inlineStr"/>
      <c r="L2015" t="inlineStr"/>
      <c r="M2015" t="inlineStr"/>
      <c r="N2015" t="inlineStr"/>
    </row>
    <row r="2016">
      <c r="A2016" t="inlineStr">
        <is>
          <t>om-muscat</t>
        </is>
      </c>
      <c r="B2016" t="inlineStr">
        <is>
          <t>Muscat</t>
        </is>
      </c>
      <c r="C2016" t="inlineStr">
        <is>
          <t>Oman</t>
        </is>
      </c>
      <c r="D2016" t="inlineStr">
        <is>
          <t>Middle East</t>
        </is>
      </c>
      <c r="E2016" t="inlineStr">
        <is>
          <t>clean_air_raw</t>
        </is>
      </c>
      <c r="F2016" t="inlineStr">
        <is>
          <t>Clean air raw</t>
        </is>
      </c>
      <c r="G2016" t="inlineStr">
        <is>
          <t>viability</t>
        </is>
      </c>
      <c r="H2016" t="inlineStr">
        <is>
          <t>yes</t>
        </is>
      </c>
      <c r="I2016" t="inlineStr"/>
      <c r="J2016" t="inlineStr"/>
      <c r="K2016" t="inlineStr"/>
      <c r="L2016" t="inlineStr"/>
      <c r="M2016" t="inlineStr"/>
      <c r="N2016" t="inlineStr"/>
    </row>
    <row r="2017">
      <c r="A2017" t="inlineStr">
        <is>
          <t>om-muscat</t>
        </is>
      </c>
      <c r="B2017" t="inlineStr">
        <is>
          <t>Muscat</t>
        </is>
      </c>
      <c r="C2017" t="inlineStr">
        <is>
          <t>Oman</t>
        </is>
      </c>
      <c r="D2017" t="inlineStr">
        <is>
          <t>Middle East</t>
        </is>
      </c>
      <c r="E2017" t="inlineStr">
        <is>
          <t>water_sanitation_utility_raw</t>
        </is>
      </c>
      <c r="F2017" t="inlineStr">
        <is>
          <t>Water, sanitation, and utility raw</t>
        </is>
      </c>
      <c r="G2017" t="inlineStr">
        <is>
          <t>viability</t>
        </is>
      </c>
      <c r="H2017" t="inlineStr">
        <is>
          <t>yes</t>
        </is>
      </c>
      <c r="I2017" t="inlineStr"/>
      <c r="J2017" t="inlineStr"/>
      <c r="K2017" t="inlineStr"/>
      <c r="L2017" t="inlineStr"/>
      <c r="M2017" t="inlineStr"/>
      <c r="N2017" t="inlineStr"/>
    </row>
    <row r="2018">
      <c r="A2018" t="inlineStr">
        <is>
          <t>om-muscat</t>
        </is>
      </c>
      <c r="B2018" t="inlineStr">
        <is>
          <t>Muscat</t>
        </is>
      </c>
      <c r="C2018" t="inlineStr">
        <is>
          <t>Oman</t>
        </is>
      </c>
      <c r="D2018" t="inlineStr">
        <is>
          <t>Middle East</t>
        </is>
      </c>
      <c r="E2018" t="inlineStr">
        <is>
          <t>digital_infrastructure_raw</t>
        </is>
      </c>
      <c r="F2018" t="inlineStr">
        <is>
          <t>Digital infrastructure raw</t>
        </is>
      </c>
      <c r="G2018" t="inlineStr">
        <is>
          <t>viability</t>
        </is>
      </c>
      <c r="H2018" t="inlineStr">
        <is>
          <t>yes</t>
        </is>
      </c>
      <c r="I2018" t="inlineStr"/>
      <c r="J2018" t="inlineStr"/>
      <c r="K2018" t="inlineStr"/>
      <c r="L2018" t="inlineStr"/>
      <c r="M2018" t="inlineStr"/>
      <c r="N2018" t="inlineStr"/>
    </row>
    <row r="2019">
      <c r="A2019" t="inlineStr">
        <is>
          <t>om-muscat</t>
        </is>
      </c>
      <c r="B2019" t="inlineStr">
        <is>
          <t>Muscat</t>
        </is>
      </c>
      <c r="C2019" t="inlineStr">
        <is>
          <t>Oman</t>
        </is>
      </c>
      <c r="D2019" t="inlineStr">
        <is>
          <t>Middle East</t>
        </is>
      </c>
      <c r="E2019" t="inlineStr">
        <is>
          <t>healthcare_quality_raw</t>
        </is>
      </c>
      <c r="F2019" t="inlineStr">
        <is>
          <t>Healthcare quality raw</t>
        </is>
      </c>
      <c r="G2019" t="inlineStr">
        <is>
          <t>capability</t>
        </is>
      </c>
      <c r="H2019" t="inlineStr">
        <is>
          <t>yes</t>
        </is>
      </c>
      <c r="I2019" t="inlineStr"/>
      <c r="J2019" t="inlineStr"/>
      <c r="K2019" t="inlineStr"/>
      <c r="L2019" t="inlineStr"/>
      <c r="M2019" t="inlineStr"/>
      <c r="N2019" t="inlineStr"/>
    </row>
    <row r="2020">
      <c r="A2020" t="inlineStr">
        <is>
          <t>om-muscat</t>
        </is>
      </c>
      <c r="B2020" t="inlineStr">
        <is>
          <t>Muscat</t>
        </is>
      </c>
      <c r="C2020" t="inlineStr">
        <is>
          <t>Oman</t>
        </is>
      </c>
      <c r="D2020" t="inlineStr">
        <is>
          <t>Middle East</t>
        </is>
      </c>
      <c r="E2020" t="inlineStr">
        <is>
          <t>education_quality_raw</t>
        </is>
      </c>
      <c r="F2020" t="inlineStr">
        <is>
          <t>Education quality raw</t>
        </is>
      </c>
      <c r="G2020" t="inlineStr">
        <is>
          <t>capability</t>
        </is>
      </c>
      <c r="H2020" t="inlineStr">
        <is>
          <t>yes</t>
        </is>
      </c>
      <c r="I2020" t="inlineStr"/>
      <c r="J2020" t="inlineStr"/>
      <c r="K2020" t="inlineStr"/>
      <c r="L2020" t="inlineStr"/>
      <c r="M2020" t="inlineStr"/>
      <c r="N2020" t="inlineStr"/>
    </row>
    <row r="2021">
      <c r="A2021" t="inlineStr">
        <is>
          <t>om-muscat</t>
        </is>
      </c>
      <c r="B2021" t="inlineStr">
        <is>
          <t>Muscat</t>
        </is>
      </c>
      <c r="C2021" t="inlineStr">
        <is>
          <t>Oman</t>
        </is>
      </c>
      <c r="D2021" t="inlineStr">
        <is>
          <t>Middle East</t>
        </is>
      </c>
      <c r="E2021" t="inlineStr">
        <is>
          <t>equal_opportunity_raw</t>
        </is>
      </c>
      <c r="F2021" t="inlineStr">
        <is>
          <t>Equal opportunity raw</t>
        </is>
      </c>
      <c r="G2021" t="inlineStr">
        <is>
          <t>capability</t>
        </is>
      </c>
      <c r="H2021" t="inlineStr">
        <is>
          <t>yes</t>
        </is>
      </c>
      <c r="I2021" t="inlineStr"/>
      <c r="J2021" t="inlineStr"/>
      <c r="K2021" t="inlineStr"/>
      <c r="L2021" t="inlineStr"/>
      <c r="M2021" t="inlineStr"/>
      <c r="N2021" t="inlineStr"/>
    </row>
    <row r="2022">
      <c r="A2022" t="inlineStr">
        <is>
          <t>om-muscat</t>
        </is>
      </c>
      <c r="B2022" t="inlineStr">
        <is>
          <t>Muscat</t>
        </is>
      </c>
      <c r="C2022" t="inlineStr">
        <is>
          <t>Oman</t>
        </is>
      </c>
      <c r="D2022" t="inlineStr">
        <is>
          <t>Middle East</t>
        </is>
      </c>
      <c r="E2022" t="inlineStr">
        <is>
          <t>hospitality_belonging_raw</t>
        </is>
      </c>
      <c r="F2022" t="inlineStr">
        <is>
          <t>Hospitality and belonging raw</t>
        </is>
      </c>
      <c r="G2022" t="inlineStr">
        <is>
          <t>community</t>
        </is>
      </c>
      <c r="H2022" t="inlineStr">
        <is>
          <t>yes</t>
        </is>
      </c>
      <c r="I2022" t="inlineStr"/>
      <c r="J2022" t="inlineStr"/>
      <c r="K2022" t="inlineStr"/>
      <c r="L2022" t="inlineStr"/>
      <c r="M2022" t="inlineStr"/>
      <c r="N2022" t="inlineStr"/>
    </row>
    <row r="2023">
      <c r="A2023" t="inlineStr">
        <is>
          <t>om-muscat</t>
        </is>
      </c>
      <c r="B2023" t="inlineStr">
        <is>
          <t>Muscat</t>
        </is>
      </c>
      <c r="C2023" t="inlineStr">
        <is>
          <t>Oman</t>
        </is>
      </c>
      <c r="D2023" t="inlineStr">
        <is>
          <t>Middle East</t>
        </is>
      </c>
      <c r="E2023" t="inlineStr">
        <is>
          <t>tolerance_pluralism_raw</t>
        </is>
      </c>
      <c r="F2023" t="inlineStr">
        <is>
          <t>Tolerance and pluralism raw</t>
        </is>
      </c>
      <c r="G2023" t="inlineStr">
        <is>
          <t>community</t>
        </is>
      </c>
      <c r="H2023" t="inlineStr">
        <is>
          <t>yes</t>
        </is>
      </c>
      <c r="I2023" t="inlineStr"/>
      <c r="J2023" t="inlineStr"/>
      <c r="K2023" t="inlineStr"/>
      <c r="L2023" t="inlineStr"/>
      <c r="M2023" t="inlineStr"/>
      <c r="N2023" t="inlineStr"/>
    </row>
    <row r="2024">
      <c r="A2024" t="inlineStr">
        <is>
          <t>om-muscat</t>
        </is>
      </c>
      <c r="B2024" t="inlineStr">
        <is>
          <t>Muscat</t>
        </is>
      </c>
      <c r="C2024" t="inlineStr">
        <is>
          <t>Oman</t>
        </is>
      </c>
      <c r="D2024" t="inlineStr">
        <is>
          <t>Middle East</t>
        </is>
      </c>
      <c r="E2024" t="inlineStr">
        <is>
          <t>cultural_public_life_raw</t>
        </is>
      </c>
      <c r="F2024" t="inlineStr">
        <is>
          <t>Cultural public life raw</t>
        </is>
      </c>
      <c r="G2024" t="inlineStr">
        <is>
          <t>community</t>
        </is>
      </c>
      <c r="H2024" t="inlineStr">
        <is>
          <t>yes</t>
        </is>
      </c>
      <c r="I2024" t="inlineStr"/>
      <c r="J2024" t="inlineStr"/>
      <c r="K2024" t="inlineStr"/>
      <c r="L2024" t="inlineStr"/>
      <c r="M2024" t="inlineStr"/>
      <c r="N2024" t="inlineStr"/>
    </row>
    <row r="2025">
      <c r="A2025" t="inlineStr">
        <is>
          <t>om-muscat</t>
        </is>
      </c>
      <c r="B2025" t="inlineStr">
        <is>
          <t>Muscat</t>
        </is>
      </c>
      <c r="C2025" t="inlineStr">
        <is>
          <t>Oman</t>
        </is>
      </c>
      <c r="D2025" t="inlineStr">
        <is>
          <t>Middle East</t>
        </is>
      </c>
      <c r="E2025" t="inlineStr">
        <is>
          <t>entrepreneurial_dynamism_raw</t>
        </is>
      </c>
      <c r="F2025" t="inlineStr">
        <is>
          <t>Entrepreneurial dynamism raw</t>
        </is>
      </c>
      <c r="G2025" t="inlineStr">
        <is>
          <t>creative</t>
        </is>
      </c>
      <c r="H2025" t="inlineStr">
        <is>
          <t>yes</t>
        </is>
      </c>
      <c r="I2025" t="inlineStr"/>
      <c r="J2025" t="inlineStr"/>
      <c r="K2025" t="inlineStr"/>
      <c r="L2025" t="inlineStr"/>
      <c r="M2025" t="inlineStr"/>
      <c r="N2025" t="inlineStr"/>
    </row>
    <row r="2026">
      <c r="A2026" t="inlineStr">
        <is>
          <t>om-muscat</t>
        </is>
      </c>
      <c r="B2026" t="inlineStr">
        <is>
          <t>Muscat</t>
        </is>
      </c>
      <c r="C2026" t="inlineStr">
        <is>
          <t>Oman</t>
        </is>
      </c>
      <c r="D2026" t="inlineStr">
        <is>
          <t>Middle East</t>
        </is>
      </c>
      <c r="E2026" t="inlineStr">
        <is>
          <t>innovation_research_intensity_raw</t>
        </is>
      </c>
      <c r="F2026" t="inlineStr">
        <is>
          <t>Innovation and research raw</t>
        </is>
      </c>
      <c r="G2026" t="inlineStr">
        <is>
          <t>creative</t>
        </is>
      </c>
      <c r="H2026" t="inlineStr">
        <is>
          <t>yes</t>
        </is>
      </c>
      <c r="I2026" t="inlineStr"/>
      <c r="J2026" t="inlineStr"/>
      <c r="K2026" t="inlineStr"/>
      <c r="L2026" t="inlineStr"/>
      <c r="M2026" t="inlineStr"/>
      <c r="N2026" t="inlineStr"/>
    </row>
    <row r="2027">
      <c r="A2027" t="inlineStr">
        <is>
          <t>om-muscat</t>
        </is>
      </c>
      <c r="B2027" t="inlineStr">
        <is>
          <t>Muscat</t>
        </is>
      </c>
      <c r="C2027" t="inlineStr">
        <is>
          <t>Oman</t>
        </is>
      </c>
      <c r="D2027" t="inlineStr">
        <is>
          <t>Middle East</t>
        </is>
      </c>
      <c r="E2027" t="inlineStr">
        <is>
          <t>investment_signal_raw</t>
        </is>
      </c>
      <c r="F2027" t="inlineStr">
        <is>
          <t>Investment signal raw</t>
        </is>
      </c>
      <c r="G2027" t="inlineStr">
        <is>
          <t>creative</t>
        </is>
      </c>
      <c r="H2027" t="inlineStr">
        <is>
          <t>yes</t>
        </is>
      </c>
      <c r="I2027" t="inlineStr"/>
      <c r="J2027" t="inlineStr"/>
      <c r="K2027" t="inlineStr"/>
      <c r="L2027" t="inlineStr"/>
      <c r="M2027" t="inlineStr"/>
      <c r="N2027" t="inlineStr"/>
    </row>
    <row r="2028">
      <c r="A2028" t="inlineStr">
        <is>
          <t>om-muscat</t>
        </is>
      </c>
      <c r="B2028" t="inlineStr">
        <is>
          <t>Muscat</t>
        </is>
      </c>
      <c r="C2028" t="inlineStr">
        <is>
          <t>Oman</t>
        </is>
      </c>
      <c r="D2028" t="inlineStr">
        <is>
          <t>Middle East</t>
        </is>
      </c>
      <c r="E2028" t="inlineStr">
        <is>
          <t>administrative_investment_friction_raw</t>
        </is>
      </c>
      <c r="F2028" t="inlineStr">
        <is>
          <t>Administrative investment friction raw</t>
        </is>
      </c>
      <c r="G2028" t="inlineStr">
        <is>
          <t>creative</t>
        </is>
      </c>
      <c r="H2028" t="inlineStr">
        <is>
          <t>yes</t>
        </is>
      </c>
      <c r="I2028" t="inlineStr"/>
      <c r="J2028" t="inlineStr"/>
      <c r="K2028" t="inlineStr"/>
      <c r="L2028" t="inlineStr"/>
      <c r="M2028" t="inlineStr"/>
      <c r="N2028" t="inlineStr"/>
    </row>
    <row r="2029">
      <c r="A2029" t="inlineStr">
        <is>
          <t>om-muscat</t>
        </is>
      </c>
      <c r="B2029" t="inlineStr">
        <is>
          <t>Muscat</t>
        </is>
      </c>
      <c r="C2029" t="inlineStr">
        <is>
          <t>Oman</t>
        </is>
      </c>
      <c r="D2029" t="inlineStr">
        <is>
          <t>Middle East</t>
        </is>
      </c>
      <c r="E2029" t="inlineStr">
        <is>
          <t>visitor_flow_context_raw</t>
        </is>
      </c>
      <c r="F2029" t="inlineStr">
        <is>
          <t>Visitor flow context raw</t>
        </is>
      </c>
      <c r="G2029" t="inlineStr">
        <is>
          <t>creative</t>
        </is>
      </c>
      <c r="H2029" t="inlineStr">
        <is>
          <t>no</t>
        </is>
      </c>
      <c r="I2029" t="inlineStr"/>
      <c r="J2029" t="inlineStr"/>
      <c r="K2029" t="inlineStr"/>
      <c r="L2029" t="inlineStr"/>
      <c r="M2029" t="inlineStr"/>
      <c r="N2029" t="inlineStr"/>
    </row>
    <row r="2030">
      <c r="A2030" t="inlineStr">
        <is>
          <t>bh-manama</t>
        </is>
      </c>
      <c r="B2030" t="inlineStr">
        <is>
          <t>Manama</t>
        </is>
      </c>
      <c r="C2030" t="inlineStr">
        <is>
          <t>Bahrain</t>
        </is>
      </c>
      <c r="D2030" t="inlineStr">
        <is>
          <t>Middle East</t>
        </is>
      </c>
      <c r="E2030" t="inlineStr">
        <is>
          <t>gross_income</t>
        </is>
      </c>
      <c r="F2030" t="inlineStr">
        <is>
          <t>Gross income</t>
        </is>
      </c>
      <c r="G2030" t="inlineStr">
        <is>
          <t>pressure</t>
        </is>
      </c>
      <c r="H2030" t="inlineStr">
        <is>
          <t>yes</t>
        </is>
      </c>
      <c r="I2030" t="inlineStr"/>
      <c r="J2030" t="inlineStr"/>
      <c r="K2030" t="inlineStr"/>
      <c r="L2030" t="inlineStr"/>
      <c r="M2030" t="inlineStr"/>
      <c r="N2030" t="inlineStr"/>
    </row>
    <row r="2031">
      <c r="A2031" t="inlineStr">
        <is>
          <t>bh-manama</t>
        </is>
      </c>
      <c r="B2031" t="inlineStr">
        <is>
          <t>Manama</t>
        </is>
      </c>
      <c r="C2031" t="inlineStr">
        <is>
          <t>Bahrain</t>
        </is>
      </c>
      <c r="D2031" t="inlineStr">
        <is>
          <t>Middle East</t>
        </is>
      </c>
      <c r="E2031" t="inlineStr">
        <is>
          <t>rent</t>
        </is>
      </c>
      <c r="F2031" t="inlineStr">
        <is>
          <t>Rent</t>
        </is>
      </c>
      <c r="G2031" t="inlineStr">
        <is>
          <t>pressure</t>
        </is>
      </c>
      <c r="H2031" t="inlineStr">
        <is>
          <t>yes</t>
        </is>
      </c>
      <c r="I2031" t="inlineStr"/>
      <c r="J2031" t="inlineStr"/>
      <c r="K2031" t="inlineStr"/>
      <c r="L2031" t="inlineStr"/>
      <c r="M2031" t="inlineStr"/>
      <c r="N2031" t="inlineStr"/>
    </row>
    <row r="2032">
      <c r="A2032" t="inlineStr">
        <is>
          <t>bh-manama</t>
        </is>
      </c>
      <c r="B2032" t="inlineStr">
        <is>
          <t>Manama</t>
        </is>
      </c>
      <c r="C2032" t="inlineStr">
        <is>
          <t>Bahrain</t>
        </is>
      </c>
      <c r="D2032" t="inlineStr">
        <is>
          <t>Middle East</t>
        </is>
      </c>
      <c r="E2032" t="inlineStr">
        <is>
          <t>utilities</t>
        </is>
      </c>
      <c r="F2032" t="inlineStr">
        <is>
          <t>Utilities</t>
        </is>
      </c>
      <c r="G2032" t="inlineStr">
        <is>
          <t>pressure</t>
        </is>
      </c>
      <c r="H2032" t="inlineStr">
        <is>
          <t>yes</t>
        </is>
      </c>
      <c r="I2032" t="inlineStr"/>
      <c r="J2032" t="inlineStr"/>
      <c r="K2032" t="inlineStr"/>
      <c r="L2032" t="inlineStr"/>
      <c r="M2032" t="inlineStr"/>
      <c r="N2032" t="inlineStr"/>
    </row>
    <row r="2033">
      <c r="A2033" t="inlineStr">
        <is>
          <t>bh-manama</t>
        </is>
      </c>
      <c r="B2033" t="inlineStr">
        <is>
          <t>Manama</t>
        </is>
      </c>
      <c r="C2033" t="inlineStr">
        <is>
          <t>Bahrain</t>
        </is>
      </c>
      <c r="D2033" t="inlineStr">
        <is>
          <t>Middle East</t>
        </is>
      </c>
      <c r="E2033" t="inlineStr">
        <is>
          <t>transit_cost</t>
        </is>
      </c>
      <c r="F2033" t="inlineStr">
        <is>
          <t>Transit cost</t>
        </is>
      </c>
      <c r="G2033" t="inlineStr">
        <is>
          <t>pressure</t>
        </is>
      </c>
      <c r="H2033" t="inlineStr">
        <is>
          <t>yes</t>
        </is>
      </c>
      <c r="I2033" t="inlineStr"/>
      <c r="J2033" t="inlineStr"/>
      <c r="K2033" t="inlineStr"/>
      <c r="L2033" t="inlineStr"/>
      <c r="M2033" t="inlineStr"/>
      <c r="N2033" t="inlineStr"/>
    </row>
    <row r="2034">
      <c r="A2034" t="inlineStr">
        <is>
          <t>bh-manama</t>
        </is>
      </c>
      <c r="B2034" t="inlineStr">
        <is>
          <t>Manama</t>
        </is>
      </c>
      <c r="C2034" t="inlineStr">
        <is>
          <t>Bahrain</t>
        </is>
      </c>
      <c r="D2034" t="inlineStr">
        <is>
          <t>Middle East</t>
        </is>
      </c>
      <c r="E2034" t="inlineStr">
        <is>
          <t>internet_cost</t>
        </is>
      </c>
      <c r="F2034" t="inlineStr">
        <is>
          <t>Internet cost</t>
        </is>
      </c>
      <c r="G2034" t="inlineStr">
        <is>
          <t>pressure</t>
        </is>
      </c>
      <c r="H2034" t="inlineStr">
        <is>
          <t>yes</t>
        </is>
      </c>
      <c r="I2034" t="inlineStr"/>
      <c r="J2034" t="inlineStr"/>
      <c r="K2034" t="inlineStr"/>
      <c r="L2034" t="inlineStr"/>
      <c r="M2034" t="inlineStr"/>
      <c r="N2034" t="inlineStr"/>
    </row>
    <row r="2035">
      <c r="A2035" t="inlineStr">
        <is>
          <t>bh-manama</t>
        </is>
      </c>
      <c r="B2035" t="inlineStr">
        <is>
          <t>Manama</t>
        </is>
      </c>
      <c r="C2035" t="inlineStr">
        <is>
          <t>Bahrain</t>
        </is>
      </c>
      <c r="D2035" t="inlineStr">
        <is>
          <t>Middle East</t>
        </is>
      </c>
      <c r="E2035" t="inlineStr">
        <is>
          <t>food_cost</t>
        </is>
      </c>
      <c r="F2035" t="inlineStr">
        <is>
          <t>Food cost</t>
        </is>
      </c>
      <c r="G2035" t="inlineStr">
        <is>
          <t>pressure</t>
        </is>
      </c>
      <c r="H2035" t="inlineStr">
        <is>
          <t>yes</t>
        </is>
      </c>
      <c r="I2035" t="inlineStr"/>
      <c r="J2035" t="inlineStr"/>
      <c r="K2035" t="inlineStr"/>
      <c r="L2035" t="inlineStr"/>
      <c r="M2035" t="inlineStr"/>
      <c r="N2035" t="inlineStr"/>
    </row>
    <row r="2036">
      <c r="A2036" t="inlineStr">
        <is>
          <t>bh-manama</t>
        </is>
      </c>
      <c r="B2036" t="inlineStr">
        <is>
          <t>Manama</t>
        </is>
      </c>
      <c r="C2036" t="inlineStr">
        <is>
          <t>Bahrain</t>
        </is>
      </c>
      <c r="D2036" t="inlineStr">
        <is>
          <t>Middle East</t>
        </is>
      </c>
      <c r="E2036" t="inlineStr">
        <is>
          <t>housing_burden_raw</t>
        </is>
      </c>
      <c r="F2036" t="inlineStr">
        <is>
          <t>Housing burden raw</t>
        </is>
      </c>
      <c r="G2036" t="inlineStr">
        <is>
          <t>pressure</t>
        </is>
      </c>
      <c r="H2036" t="inlineStr">
        <is>
          <t>yes</t>
        </is>
      </c>
      <c r="I2036" t="inlineStr"/>
      <c r="J2036" t="inlineStr"/>
      <c r="K2036" t="inlineStr"/>
      <c r="L2036" t="inlineStr"/>
      <c r="M2036" t="inlineStr"/>
      <c r="N2036" t="inlineStr"/>
    </row>
    <row r="2037">
      <c r="A2037" t="inlineStr">
        <is>
          <t>bh-manama</t>
        </is>
      </c>
      <c r="B2037" t="inlineStr">
        <is>
          <t>Manama</t>
        </is>
      </c>
      <c r="C2037" t="inlineStr">
        <is>
          <t>Bahrain</t>
        </is>
      </c>
      <c r="D2037" t="inlineStr">
        <is>
          <t>Middle East</t>
        </is>
      </c>
      <c r="E2037" t="inlineStr">
        <is>
          <t>household_debt_burden_raw</t>
        </is>
      </c>
      <c r="F2037" t="inlineStr">
        <is>
          <t>Household debt burden raw</t>
        </is>
      </c>
      <c r="G2037" t="inlineStr">
        <is>
          <t>pressure</t>
        </is>
      </c>
      <c r="H2037" t="inlineStr">
        <is>
          <t>yes</t>
        </is>
      </c>
      <c r="I2037" t="inlineStr"/>
      <c r="J2037" t="inlineStr"/>
      <c r="K2037" t="inlineStr"/>
      <c r="L2037" t="inlineStr"/>
      <c r="M2037" t="inlineStr"/>
      <c r="N2037" t="inlineStr"/>
    </row>
    <row r="2038">
      <c r="A2038" t="inlineStr">
        <is>
          <t>bh-manama</t>
        </is>
      </c>
      <c r="B2038" t="inlineStr">
        <is>
          <t>Manama</t>
        </is>
      </c>
      <c r="C2038" t="inlineStr">
        <is>
          <t>Bahrain</t>
        </is>
      </c>
      <c r="D2038" t="inlineStr">
        <is>
          <t>Middle East</t>
        </is>
      </c>
      <c r="E2038" t="inlineStr">
        <is>
          <t>working_time_pressure_raw</t>
        </is>
      </c>
      <c r="F2038" t="inlineStr">
        <is>
          <t>Working time pressure raw</t>
        </is>
      </c>
      <c r="G2038" t="inlineStr">
        <is>
          <t>pressure</t>
        </is>
      </c>
      <c r="H2038" t="inlineStr">
        <is>
          <t>yes</t>
        </is>
      </c>
      <c r="I2038" t="inlineStr"/>
      <c r="J2038" t="inlineStr"/>
      <c r="K2038" t="inlineStr"/>
      <c r="L2038" t="inlineStr"/>
      <c r="M2038" t="inlineStr"/>
      <c r="N2038" t="inlineStr"/>
    </row>
    <row r="2039">
      <c r="A2039" t="inlineStr">
        <is>
          <t>bh-manama</t>
        </is>
      </c>
      <c r="B2039" t="inlineStr">
        <is>
          <t>Manama</t>
        </is>
      </c>
      <c r="C2039" t="inlineStr">
        <is>
          <t>Bahrain</t>
        </is>
      </c>
      <c r="D2039" t="inlineStr">
        <is>
          <t>Middle East</t>
        </is>
      </c>
      <c r="E2039" t="inlineStr">
        <is>
          <t>suicide_mental_strain_raw</t>
        </is>
      </c>
      <c r="F2039" t="inlineStr">
        <is>
          <t>Suicide or mental strain raw</t>
        </is>
      </c>
      <c r="G2039" t="inlineStr">
        <is>
          <t>pressure</t>
        </is>
      </c>
      <c r="H2039" t="inlineStr">
        <is>
          <t>yes</t>
        </is>
      </c>
      <c r="I2039" t="inlineStr"/>
      <c r="J2039" t="inlineStr"/>
      <c r="K2039" t="inlineStr"/>
      <c r="L2039" t="inlineStr"/>
      <c r="M2039" t="inlineStr"/>
      <c r="N2039" t="inlineStr"/>
    </row>
    <row r="2040">
      <c r="A2040" t="inlineStr">
        <is>
          <t>bh-manama</t>
        </is>
      </c>
      <c r="B2040" t="inlineStr">
        <is>
          <t>Manama</t>
        </is>
      </c>
      <c r="C2040" t="inlineStr">
        <is>
          <t>Bahrain</t>
        </is>
      </c>
      <c r="D2040" t="inlineStr">
        <is>
          <t>Middle East</t>
        </is>
      </c>
      <c r="E2040" t="inlineStr">
        <is>
          <t>personal_safety_raw</t>
        </is>
      </c>
      <c r="F2040" t="inlineStr">
        <is>
          <t>Personal safety raw</t>
        </is>
      </c>
      <c r="G2040" t="inlineStr">
        <is>
          <t>viability</t>
        </is>
      </c>
      <c r="H2040" t="inlineStr">
        <is>
          <t>yes</t>
        </is>
      </c>
      <c r="I2040" t="inlineStr"/>
      <c r="J2040" t="inlineStr"/>
      <c r="K2040" t="inlineStr"/>
      <c r="L2040" t="inlineStr"/>
      <c r="M2040" t="inlineStr"/>
      <c r="N2040" t="inlineStr"/>
    </row>
    <row r="2041">
      <c r="A2041" t="inlineStr">
        <is>
          <t>bh-manama</t>
        </is>
      </c>
      <c r="B2041" t="inlineStr">
        <is>
          <t>Manama</t>
        </is>
      </c>
      <c r="C2041" t="inlineStr">
        <is>
          <t>Bahrain</t>
        </is>
      </c>
      <c r="D2041" t="inlineStr">
        <is>
          <t>Middle East</t>
        </is>
      </c>
      <c r="E2041" t="inlineStr">
        <is>
          <t>transit_access_commute_raw</t>
        </is>
      </c>
      <c r="F2041" t="inlineStr">
        <is>
          <t>Transit access and commute raw</t>
        </is>
      </c>
      <c r="G2041" t="inlineStr">
        <is>
          <t>viability</t>
        </is>
      </c>
      <c r="H2041" t="inlineStr">
        <is>
          <t>yes</t>
        </is>
      </c>
      <c r="I2041" t="inlineStr"/>
      <c r="J2041" t="inlineStr"/>
      <c r="K2041" t="inlineStr"/>
      <c r="L2041" t="inlineStr"/>
      <c r="M2041" t="inlineStr"/>
      <c r="N2041" t="inlineStr"/>
    </row>
    <row r="2042">
      <c r="A2042" t="inlineStr">
        <is>
          <t>bh-manama</t>
        </is>
      </c>
      <c r="B2042" t="inlineStr">
        <is>
          <t>Manama</t>
        </is>
      </c>
      <c r="C2042" t="inlineStr">
        <is>
          <t>Bahrain</t>
        </is>
      </c>
      <c r="D2042" t="inlineStr">
        <is>
          <t>Middle East</t>
        </is>
      </c>
      <c r="E2042" t="inlineStr">
        <is>
          <t>clean_air_raw</t>
        </is>
      </c>
      <c r="F2042" t="inlineStr">
        <is>
          <t>Clean air raw</t>
        </is>
      </c>
      <c r="G2042" t="inlineStr">
        <is>
          <t>viability</t>
        </is>
      </c>
      <c r="H2042" t="inlineStr">
        <is>
          <t>yes</t>
        </is>
      </c>
      <c r="I2042" t="inlineStr"/>
      <c r="J2042" t="inlineStr"/>
      <c r="K2042" t="inlineStr"/>
      <c r="L2042" t="inlineStr"/>
      <c r="M2042" t="inlineStr"/>
      <c r="N2042" t="inlineStr"/>
    </row>
    <row r="2043">
      <c r="A2043" t="inlineStr">
        <is>
          <t>bh-manama</t>
        </is>
      </c>
      <c r="B2043" t="inlineStr">
        <is>
          <t>Manama</t>
        </is>
      </c>
      <c r="C2043" t="inlineStr">
        <is>
          <t>Bahrain</t>
        </is>
      </c>
      <c r="D2043" t="inlineStr">
        <is>
          <t>Middle East</t>
        </is>
      </c>
      <c r="E2043" t="inlineStr">
        <is>
          <t>water_sanitation_utility_raw</t>
        </is>
      </c>
      <c r="F2043" t="inlineStr">
        <is>
          <t>Water, sanitation, and utility raw</t>
        </is>
      </c>
      <c r="G2043" t="inlineStr">
        <is>
          <t>viability</t>
        </is>
      </c>
      <c r="H2043" t="inlineStr">
        <is>
          <t>yes</t>
        </is>
      </c>
      <c r="I2043" t="inlineStr"/>
      <c r="J2043" t="inlineStr"/>
      <c r="K2043" t="inlineStr"/>
      <c r="L2043" t="inlineStr"/>
      <c r="M2043" t="inlineStr"/>
      <c r="N2043" t="inlineStr"/>
    </row>
    <row r="2044">
      <c r="A2044" t="inlineStr">
        <is>
          <t>bh-manama</t>
        </is>
      </c>
      <c r="B2044" t="inlineStr">
        <is>
          <t>Manama</t>
        </is>
      </c>
      <c r="C2044" t="inlineStr">
        <is>
          <t>Bahrain</t>
        </is>
      </c>
      <c r="D2044" t="inlineStr">
        <is>
          <t>Middle East</t>
        </is>
      </c>
      <c r="E2044" t="inlineStr">
        <is>
          <t>digital_infrastructure_raw</t>
        </is>
      </c>
      <c r="F2044" t="inlineStr">
        <is>
          <t>Digital infrastructure raw</t>
        </is>
      </c>
      <c r="G2044" t="inlineStr">
        <is>
          <t>viability</t>
        </is>
      </c>
      <c r="H2044" t="inlineStr">
        <is>
          <t>yes</t>
        </is>
      </c>
      <c r="I2044" t="inlineStr"/>
      <c r="J2044" t="inlineStr"/>
      <c r="K2044" t="inlineStr"/>
      <c r="L2044" t="inlineStr"/>
      <c r="M2044" t="inlineStr"/>
      <c r="N2044" t="inlineStr"/>
    </row>
    <row r="2045">
      <c r="A2045" t="inlineStr">
        <is>
          <t>bh-manama</t>
        </is>
      </c>
      <c r="B2045" t="inlineStr">
        <is>
          <t>Manama</t>
        </is>
      </c>
      <c r="C2045" t="inlineStr">
        <is>
          <t>Bahrain</t>
        </is>
      </c>
      <c r="D2045" t="inlineStr">
        <is>
          <t>Middle East</t>
        </is>
      </c>
      <c r="E2045" t="inlineStr">
        <is>
          <t>healthcare_quality_raw</t>
        </is>
      </c>
      <c r="F2045" t="inlineStr">
        <is>
          <t>Healthcare quality raw</t>
        </is>
      </c>
      <c r="G2045" t="inlineStr">
        <is>
          <t>capability</t>
        </is>
      </c>
      <c r="H2045" t="inlineStr">
        <is>
          <t>yes</t>
        </is>
      </c>
      <c r="I2045" t="inlineStr"/>
      <c r="J2045" t="inlineStr"/>
      <c r="K2045" t="inlineStr"/>
      <c r="L2045" t="inlineStr"/>
      <c r="M2045" t="inlineStr"/>
      <c r="N2045" t="inlineStr"/>
    </row>
    <row r="2046">
      <c r="A2046" t="inlineStr">
        <is>
          <t>bh-manama</t>
        </is>
      </c>
      <c r="B2046" t="inlineStr">
        <is>
          <t>Manama</t>
        </is>
      </c>
      <c r="C2046" t="inlineStr">
        <is>
          <t>Bahrain</t>
        </is>
      </c>
      <c r="D2046" t="inlineStr">
        <is>
          <t>Middle East</t>
        </is>
      </c>
      <c r="E2046" t="inlineStr">
        <is>
          <t>education_quality_raw</t>
        </is>
      </c>
      <c r="F2046" t="inlineStr">
        <is>
          <t>Education quality raw</t>
        </is>
      </c>
      <c r="G2046" t="inlineStr">
        <is>
          <t>capability</t>
        </is>
      </c>
      <c r="H2046" t="inlineStr">
        <is>
          <t>yes</t>
        </is>
      </c>
      <c r="I2046" t="inlineStr"/>
      <c r="J2046" t="inlineStr"/>
      <c r="K2046" t="inlineStr"/>
      <c r="L2046" t="inlineStr"/>
      <c r="M2046" t="inlineStr"/>
      <c r="N2046" t="inlineStr"/>
    </row>
    <row r="2047">
      <c r="A2047" t="inlineStr">
        <is>
          <t>bh-manama</t>
        </is>
      </c>
      <c r="B2047" t="inlineStr">
        <is>
          <t>Manama</t>
        </is>
      </c>
      <c r="C2047" t="inlineStr">
        <is>
          <t>Bahrain</t>
        </is>
      </c>
      <c r="D2047" t="inlineStr">
        <is>
          <t>Middle East</t>
        </is>
      </c>
      <c r="E2047" t="inlineStr">
        <is>
          <t>equal_opportunity_raw</t>
        </is>
      </c>
      <c r="F2047" t="inlineStr">
        <is>
          <t>Equal opportunity raw</t>
        </is>
      </c>
      <c r="G2047" t="inlineStr">
        <is>
          <t>capability</t>
        </is>
      </c>
      <c r="H2047" t="inlineStr">
        <is>
          <t>yes</t>
        </is>
      </c>
      <c r="I2047" t="inlineStr"/>
      <c r="J2047" t="inlineStr"/>
      <c r="K2047" t="inlineStr"/>
      <c r="L2047" t="inlineStr"/>
      <c r="M2047" t="inlineStr"/>
      <c r="N2047" t="inlineStr"/>
    </row>
    <row r="2048">
      <c r="A2048" t="inlineStr">
        <is>
          <t>bh-manama</t>
        </is>
      </c>
      <c r="B2048" t="inlineStr">
        <is>
          <t>Manama</t>
        </is>
      </c>
      <c r="C2048" t="inlineStr">
        <is>
          <t>Bahrain</t>
        </is>
      </c>
      <c r="D2048" t="inlineStr">
        <is>
          <t>Middle East</t>
        </is>
      </c>
      <c r="E2048" t="inlineStr">
        <is>
          <t>hospitality_belonging_raw</t>
        </is>
      </c>
      <c r="F2048" t="inlineStr">
        <is>
          <t>Hospitality and belonging raw</t>
        </is>
      </c>
      <c r="G2048" t="inlineStr">
        <is>
          <t>community</t>
        </is>
      </c>
      <c r="H2048" t="inlineStr">
        <is>
          <t>yes</t>
        </is>
      </c>
      <c r="I2048" t="inlineStr"/>
      <c r="J2048" t="inlineStr"/>
      <c r="K2048" t="inlineStr"/>
      <c r="L2048" t="inlineStr"/>
      <c r="M2048" t="inlineStr"/>
      <c r="N2048" t="inlineStr"/>
    </row>
    <row r="2049">
      <c r="A2049" t="inlineStr">
        <is>
          <t>bh-manama</t>
        </is>
      </c>
      <c r="B2049" t="inlineStr">
        <is>
          <t>Manama</t>
        </is>
      </c>
      <c r="C2049" t="inlineStr">
        <is>
          <t>Bahrain</t>
        </is>
      </c>
      <c r="D2049" t="inlineStr">
        <is>
          <t>Middle East</t>
        </is>
      </c>
      <c r="E2049" t="inlineStr">
        <is>
          <t>tolerance_pluralism_raw</t>
        </is>
      </c>
      <c r="F2049" t="inlineStr">
        <is>
          <t>Tolerance and pluralism raw</t>
        </is>
      </c>
      <c r="G2049" t="inlineStr">
        <is>
          <t>community</t>
        </is>
      </c>
      <c r="H2049" t="inlineStr">
        <is>
          <t>yes</t>
        </is>
      </c>
      <c r="I2049" t="inlineStr"/>
      <c r="J2049" t="inlineStr"/>
      <c r="K2049" t="inlineStr"/>
      <c r="L2049" t="inlineStr"/>
      <c r="M2049" t="inlineStr"/>
      <c r="N2049" t="inlineStr"/>
    </row>
    <row r="2050">
      <c r="A2050" t="inlineStr">
        <is>
          <t>bh-manama</t>
        </is>
      </c>
      <c r="B2050" t="inlineStr">
        <is>
          <t>Manama</t>
        </is>
      </c>
      <c r="C2050" t="inlineStr">
        <is>
          <t>Bahrain</t>
        </is>
      </c>
      <c r="D2050" t="inlineStr">
        <is>
          <t>Middle East</t>
        </is>
      </c>
      <c r="E2050" t="inlineStr">
        <is>
          <t>cultural_public_life_raw</t>
        </is>
      </c>
      <c r="F2050" t="inlineStr">
        <is>
          <t>Cultural public life raw</t>
        </is>
      </c>
      <c r="G2050" t="inlineStr">
        <is>
          <t>community</t>
        </is>
      </c>
      <c r="H2050" t="inlineStr">
        <is>
          <t>yes</t>
        </is>
      </c>
      <c r="I2050" t="inlineStr"/>
      <c r="J2050" t="inlineStr"/>
      <c r="K2050" t="inlineStr"/>
      <c r="L2050" t="inlineStr"/>
      <c r="M2050" t="inlineStr"/>
      <c r="N2050" t="inlineStr"/>
    </row>
    <row r="2051">
      <c r="A2051" t="inlineStr">
        <is>
          <t>bh-manama</t>
        </is>
      </c>
      <c r="B2051" t="inlineStr">
        <is>
          <t>Manama</t>
        </is>
      </c>
      <c r="C2051" t="inlineStr">
        <is>
          <t>Bahrain</t>
        </is>
      </c>
      <c r="D2051" t="inlineStr">
        <is>
          <t>Middle East</t>
        </is>
      </c>
      <c r="E2051" t="inlineStr">
        <is>
          <t>entrepreneurial_dynamism_raw</t>
        </is>
      </c>
      <c r="F2051" t="inlineStr">
        <is>
          <t>Entrepreneurial dynamism raw</t>
        </is>
      </c>
      <c r="G2051" t="inlineStr">
        <is>
          <t>creative</t>
        </is>
      </c>
      <c r="H2051" t="inlineStr">
        <is>
          <t>yes</t>
        </is>
      </c>
      <c r="I2051" t="inlineStr"/>
      <c r="J2051" t="inlineStr"/>
      <c r="K2051" t="inlineStr"/>
      <c r="L2051" t="inlineStr"/>
      <c r="M2051" t="inlineStr"/>
      <c r="N2051" t="inlineStr"/>
    </row>
    <row r="2052">
      <c r="A2052" t="inlineStr">
        <is>
          <t>bh-manama</t>
        </is>
      </c>
      <c r="B2052" t="inlineStr">
        <is>
          <t>Manama</t>
        </is>
      </c>
      <c r="C2052" t="inlineStr">
        <is>
          <t>Bahrain</t>
        </is>
      </c>
      <c r="D2052" t="inlineStr">
        <is>
          <t>Middle East</t>
        </is>
      </c>
      <c r="E2052" t="inlineStr">
        <is>
          <t>innovation_research_intensity_raw</t>
        </is>
      </c>
      <c r="F2052" t="inlineStr">
        <is>
          <t>Innovation and research raw</t>
        </is>
      </c>
      <c r="G2052" t="inlineStr">
        <is>
          <t>creative</t>
        </is>
      </c>
      <c r="H2052" t="inlineStr">
        <is>
          <t>yes</t>
        </is>
      </c>
      <c r="I2052" t="inlineStr"/>
      <c r="J2052" t="inlineStr"/>
      <c r="K2052" t="inlineStr"/>
      <c r="L2052" t="inlineStr"/>
      <c r="M2052" t="inlineStr"/>
      <c r="N2052" t="inlineStr"/>
    </row>
    <row r="2053">
      <c r="A2053" t="inlineStr">
        <is>
          <t>bh-manama</t>
        </is>
      </c>
      <c r="B2053" t="inlineStr">
        <is>
          <t>Manama</t>
        </is>
      </c>
      <c r="C2053" t="inlineStr">
        <is>
          <t>Bahrain</t>
        </is>
      </c>
      <c r="D2053" t="inlineStr">
        <is>
          <t>Middle East</t>
        </is>
      </c>
      <c r="E2053" t="inlineStr">
        <is>
          <t>investment_signal_raw</t>
        </is>
      </c>
      <c r="F2053" t="inlineStr">
        <is>
          <t>Investment signal raw</t>
        </is>
      </c>
      <c r="G2053" t="inlineStr">
        <is>
          <t>creative</t>
        </is>
      </c>
      <c r="H2053" t="inlineStr">
        <is>
          <t>yes</t>
        </is>
      </c>
      <c r="I2053" t="inlineStr"/>
      <c r="J2053" t="inlineStr"/>
      <c r="K2053" t="inlineStr"/>
      <c r="L2053" t="inlineStr"/>
      <c r="M2053" t="inlineStr"/>
      <c r="N2053" t="inlineStr"/>
    </row>
    <row r="2054">
      <c r="A2054" t="inlineStr">
        <is>
          <t>bh-manama</t>
        </is>
      </c>
      <c r="B2054" t="inlineStr">
        <is>
          <t>Manama</t>
        </is>
      </c>
      <c r="C2054" t="inlineStr">
        <is>
          <t>Bahrain</t>
        </is>
      </c>
      <c r="D2054" t="inlineStr">
        <is>
          <t>Middle East</t>
        </is>
      </c>
      <c r="E2054" t="inlineStr">
        <is>
          <t>administrative_investment_friction_raw</t>
        </is>
      </c>
      <c r="F2054" t="inlineStr">
        <is>
          <t>Administrative investment friction raw</t>
        </is>
      </c>
      <c r="G2054" t="inlineStr">
        <is>
          <t>creative</t>
        </is>
      </c>
      <c r="H2054" t="inlineStr">
        <is>
          <t>yes</t>
        </is>
      </c>
      <c r="I2054" t="inlineStr"/>
      <c r="J2054" t="inlineStr"/>
      <c r="K2054" t="inlineStr"/>
      <c r="L2054" t="inlineStr"/>
      <c r="M2054" t="inlineStr"/>
      <c r="N2054" t="inlineStr"/>
    </row>
    <row r="2055">
      <c r="A2055" t="inlineStr">
        <is>
          <t>bh-manama</t>
        </is>
      </c>
      <c r="B2055" t="inlineStr">
        <is>
          <t>Manama</t>
        </is>
      </c>
      <c r="C2055" t="inlineStr">
        <is>
          <t>Bahrain</t>
        </is>
      </c>
      <c r="D2055" t="inlineStr">
        <is>
          <t>Middle East</t>
        </is>
      </c>
      <c r="E2055" t="inlineStr">
        <is>
          <t>visitor_flow_context_raw</t>
        </is>
      </c>
      <c r="F2055" t="inlineStr">
        <is>
          <t>Visitor flow context raw</t>
        </is>
      </c>
      <c r="G2055" t="inlineStr">
        <is>
          <t>creative</t>
        </is>
      </c>
      <c r="H2055" t="inlineStr">
        <is>
          <t>no</t>
        </is>
      </c>
      <c r="I2055" t="inlineStr"/>
      <c r="J2055" t="inlineStr"/>
      <c r="K2055" t="inlineStr"/>
      <c r="L2055" t="inlineStr"/>
      <c r="M2055" t="inlineStr"/>
      <c r="N2055" t="inlineStr"/>
    </row>
    <row r="2056">
      <c r="A2056" t="inlineStr">
        <is>
          <t>sa-jeddah</t>
        </is>
      </c>
      <c r="B2056" t="inlineStr">
        <is>
          <t>Jeddah</t>
        </is>
      </c>
      <c r="C2056" t="inlineStr">
        <is>
          <t>Saudi Arabia</t>
        </is>
      </c>
      <c r="D2056" t="inlineStr">
        <is>
          <t>Middle East</t>
        </is>
      </c>
      <c r="E2056" t="inlineStr">
        <is>
          <t>gross_income</t>
        </is>
      </c>
      <c r="F2056" t="inlineStr">
        <is>
          <t>Gross income</t>
        </is>
      </c>
      <c r="G2056" t="inlineStr">
        <is>
          <t>pressure</t>
        </is>
      </c>
      <c r="H2056" t="inlineStr">
        <is>
          <t>yes</t>
        </is>
      </c>
      <c r="I2056" t="inlineStr"/>
      <c r="J2056" t="inlineStr"/>
      <c r="K2056" t="inlineStr"/>
      <c r="L2056" t="inlineStr"/>
      <c r="M2056" t="inlineStr"/>
      <c r="N2056" t="inlineStr"/>
    </row>
    <row r="2057">
      <c r="A2057" t="inlineStr">
        <is>
          <t>sa-jeddah</t>
        </is>
      </c>
      <c r="B2057" t="inlineStr">
        <is>
          <t>Jeddah</t>
        </is>
      </c>
      <c r="C2057" t="inlineStr">
        <is>
          <t>Saudi Arabia</t>
        </is>
      </c>
      <c r="D2057" t="inlineStr">
        <is>
          <t>Middle East</t>
        </is>
      </c>
      <c r="E2057" t="inlineStr">
        <is>
          <t>rent</t>
        </is>
      </c>
      <c r="F2057" t="inlineStr">
        <is>
          <t>Rent</t>
        </is>
      </c>
      <c r="G2057" t="inlineStr">
        <is>
          <t>pressure</t>
        </is>
      </c>
      <c r="H2057" t="inlineStr">
        <is>
          <t>yes</t>
        </is>
      </c>
      <c r="I2057" t="inlineStr"/>
      <c r="J2057" t="inlineStr"/>
      <c r="K2057" t="inlineStr"/>
      <c r="L2057" t="inlineStr"/>
      <c r="M2057" t="inlineStr"/>
      <c r="N2057" t="inlineStr"/>
    </row>
    <row r="2058">
      <c r="A2058" t="inlineStr">
        <is>
          <t>sa-jeddah</t>
        </is>
      </c>
      <c r="B2058" t="inlineStr">
        <is>
          <t>Jeddah</t>
        </is>
      </c>
      <c r="C2058" t="inlineStr">
        <is>
          <t>Saudi Arabia</t>
        </is>
      </c>
      <c r="D2058" t="inlineStr">
        <is>
          <t>Middle East</t>
        </is>
      </c>
      <c r="E2058" t="inlineStr">
        <is>
          <t>utilities</t>
        </is>
      </c>
      <c r="F2058" t="inlineStr">
        <is>
          <t>Utilities</t>
        </is>
      </c>
      <c r="G2058" t="inlineStr">
        <is>
          <t>pressure</t>
        </is>
      </c>
      <c r="H2058" t="inlineStr">
        <is>
          <t>yes</t>
        </is>
      </c>
      <c r="I2058" t="inlineStr"/>
      <c r="J2058" t="inlineStr"/>
      <c r="K2058" t="inlineStr"/>
      <c r="L2058" t="inlineStr"/>
      <c r="M2058" t="inlineStr"/>
      <c r="N2058" t="inlineStr"/>
    </row>
    <row r="2059">
      <c r="A2059" t="inlineStr">
        <is>
          <t>sa-jeddah</t>
        </is>
      </c>
      <c r="B2059" t="inlineStr">
        <is>
          <t>Jeddah</t>
        </is>
      </c>
      <c r="C2059" t="inlineStr">
        <is>
          <t>Saudi Arabia</t>
        </is>
      </c>
      <c r="D2059" t="inlineStr">
        <is>
          <t>Middle East</t>
        </is>
      </c>
      <c r="E2059" t="inlineStr">
        <is>
          <t>transit_cost</t>
        </is>
      </c>
      <c r="F2059" t="inlineStr">
        <is>
          <t>Transit cost</t>
        </is>
      </c>
      <c r="G2059" t="inlineStr">
        <is>
          <t>pressure</t>
        </is>
      </c>
      <c r="H2059" t="inlineStr">
        <is>
          <t>yes</t>
        </is>
      </c>
      <c r="I2059" t="inlineStr"/>
      <c r="J2059" t="inlineStr"/>
      <c r="K2059" t="inlineStr"/>
      <c r="L2059" t="inlineStr"/>
      <c r="M2059" t="inlineStr"/>
      <c r="N2059" t="inlineStr"/>
    </row>
    <row r="2060">
      <c r="A2060" t="inlineStr">
        <is>
          <t>sa-jeddah</t>
        </is>
      </c>
      <c r="B2060" t="inlineStr">
        <is>
          <t>Jeddah</t>
        </is>
      </c>
      <c r="C2060" t="inlineStr">
        <is>
          <t>Saudi Arabia</t>
        </is>
      </c>
      <c r="D2060" t="inlineStr">
        <is>
          <t>Middle East</t>
        </is>
      </c>
      <c r="E2060" t="inlineStr">
        <is>
          <t>internet_cost</t>
        </is>
      </c>
      <c r="F2060" t="inlineStr">
        <is>
          <t>Internet cost</t>
        </is>
      </c>
      <c r="G2060" t="inlineStr">
        <is>
          <t>pressure</t>
        </is>
      </c>
      <c r="H2060" t="inlineStr">
        <is>
          <t>yes</t>
        </is>
      </c>
      <c r="I2060" t="inlineStr"/>
      <c r="J2060" t="inlineStr"/>
      <c r="K2060" t="inlineStr"/>
      <c r="L2060" t="inlineStr"/>
      <c r="M2060" t="inlineStr"/>
      <c r="N2060" t="inlineStr"/>
    </row>
    <row r="2061">
      <c r="A2061" t="inlineStr">
        <is>
          <t>sa-jeddah</t>
        </is>
      </c>
      <c r="B2061" t="inlineStr">
        <is>
          <t>Jeddah</t>
        </is>
      </c>
      <c r="C2061" t="inlineStr">
        <is>
          <t>Saudi Arabia</t>
        </is>
      </c>
      <c r="D2061" t="inlineStr">
        <is>
          <t>Middle East</t>
        </is>
      </c>
      <c r="E2061" t="inlineStr">
        <is>
          <t>food_cost</t>
        </is>
      </c>
      <c r="F2061" t="inlineStr">
        <is>
          <t>Food cost</t>
        </is>
      </c>
      <c r="G2061" t="inlineStr">
        <is>
          <t>pressure</t>
        </is>
      </c>
      <c r="H2061" t="inlineStr">
        <is>
          <t>yes</t>
        </is>
      </c>
      <c r="I2061" t="inlineStr"/>
      <c r="J2061" t="inlineStr"/>
      <c r="K2061" t="inlineStr"/>
      <c r="L2061" t="inlineStr"/>
      <c r="M2061" t="inlineStr"/>
      <c r="N2061" t="inlineStr"/>
    </row>
    <row r="2062">
      <c r="A2062" t="inlineStr">
        <is>
          <t>sa-jeddah</t>
        </is>
      </c>
      <c r="B2062" t="inlineStr">
        <is>
          <t>Jeddah</t>
        </is>
      </c>
      <c r="C2062" t="inlineStr">
        <is>
          <t>Saudi Arabia</t>
        </is>
      </c>
      <c r="D2062" t="inlineStr">
        <is>
          <t>Middle East</t>
        </is>
      </c>
      <c r="E2062" t="inlineStr">
        <is>
          <t>housing_burden_raw</t>
        </is>
      </c>
      <c r="F2062" t="inlineStr">
        <is>
          <t>Housing burden raw</t>
        </is>
      </c>
      <c r="G2062" t="inlineStr">
        <is>
          <t>pressure</t>
        </is>
      </c>
      <c r="H2062" t="inlineStr">
        <is>
          <t>yes</t>
        </is>
      </c>
      <c r="I2062" t="inlineStr"/>
      <c r="J2062" t="inlineStr"/>
      <c r="K2062" t="inlineStr"/>
      <c r="L2062" t="inlineStr"/>
      <c r="M2062" t="inlineStr"/>
      <c r="N2062" t="inlineStr"/>
    </row>
    <row r="2063">
      <c r="A2063" t="inlineStr">
        <is>
          <t>sa-jeddah</t>
        </is>
      </c>
      <c r="B2063" t="inlineStr">
        <is>
          <t>Jeddah</t>
        </is>
      </c>
      <c r="C2063" t="inlineStr">
        <is>
          <t>Saudi Arabia</t>
        </is>
      </c>
      <c r="D2063" t="inlineStr">
        <is>
          <t>Middle East</t>
        </is>
      </c>
      <c r="E2063" t="inlineStr">
        <is>
          <t>household_debt_burden_raw</t>
        </is>
      </c>
      <c r="F2063" t="inlineStr">
        <is>
          <t>Household debt burden raw</t>
        </is>
      </c>
      <c r="G2063" t="inlineStr">
        <is>
          <t>pressure</t>
        </is>
      </c>
      <c r="H2063" t="inlineStr">
        <is>
          <t>yes</t>
        </is>
      </c>
      <c r="I2063" t="inlineStr"/>
      <c r="J2063" t="inlineStr"/>
      <c r="K2063" t="inlineStr"/>
      <c r="L2063" t="inlineStr"/>
      <c r="M2063" t="inlineStr"/>
      <c r="N2063" t="inlineStr"/>
    </row>
    <row r="2064">
      <c r="A2064" t="inlineStr">
        <is>
          <t>sa-jeddah</t>
        </is>
      </c>
      <c r="B2064" t="inlineStr">
        <is>
          <t>Jeddah</t>
        </is>
      </c>
      <c r="C2064" t="inlineStr">
        <is>
          <t>Saudi Arabia</t>
        </is>
      </c>
      <c r="D2064" t="inlineStr">
        <is>
          <t>Middle East</t>
        </is>
      </c>
      <c r="E2064" t="inlineStr">
        <is>
          <t>working_time_pressure_raw</t>
        </is>
      </c>
      <c r="F2064" t="inlineStr">
        <is>
          <t>Working time pressure raw</t>
        </is>
      </c>
      <c r="G2064" t="inlineStr">
        <is>
          <t>pressure</t>
        </is>
      </c>
      <c r="H2064" t="inlineStr">
        <is>
          <t>yes</t>
        </is>
      </c>
      <c r="I2064" t="inlineStr"/>
      <c r="J2064" t="inlineStr"/>
      <c r="K2064" t="inlineStr"/>
      <c r="L2064" t="inlineStr"/>
      <c r="M2064" t="inlineStr"/>
      <c r="N2064" t="inlineStr"/>
    </row>
    <row r="2065">
      <c r="A2065" t="inlineStr">
        <is>
          <t>sa-jeddah</t>
        </is>
      </c>
      <c r="B2065" t="inlineStr">
        <is>
          <t>Jeddah</t>
        </is>
      </c>
      <c r="C2065" t="inlineStr">
        <is>
          <t>Saudi Arabia</t>
        </is>
      </c>
      <c r="D2065" t="inlineStr">
        <is>
          <t>Middle East</t>
        </is>
      </c>
      <c r="E2065" t="inlineStr">
        <is>
          <t>suicide_mental_strain_raw</t>
        </is>
      </c>
      <c r="F2065" t="inlineStr">
        <is>
          <t>Suicide or mental strain raw</t>
        </is>
      </c>
      <c r="G2065" t="inlineStr">
        <is>
          <t>pressure</t>
        </is>
      </c>
      <c r="H2065" t="inlineStr">
        <is>
          <t>yes</t>
        </is>
      </c>
      <c r="I2065" t="inlineStr"/>
      <c r="J2065" t="inlineStr"/>
      <c r="K2065" t="inlineStr"/>
      <c r="L2065" t="inlineStr"/>
      <c r="M2065" t="inlineStr"/>
      <c r="N2065" t="inlineStr"/>
    </row>
    <row r="2066">
      <c r="A2066" t="inlineStr">
        <is>
          <t>sa-jeddah</t>
        </is>
      </c>
      <c r="B2066" t="inlineStr">
        <is>
          <t>Jeddah</t>
        </is>
      </c>
      <c r="C2066" t="inlineStr">
        <is>
          <t>Saudi Arabia</t>
        </is>
      </c>
      <c r="D2066" t="inlineStr">
        <is>
          <t>Middle East</t>
        </is>
      </c>
      <c r="E2066" t="inlineStr">
        <is>
          <t>personal_safety_raw</t>
        </is>
      </c>
      <c r="F2066" t="inlineStr">
        <is>
          <t>Personal safety raw</t>
        </is>
      </c>
      <c r="G2066" t="inlineStr">
        <is>
          <t>viability</t>
        </is>
      </c>
      <c r="H2066" t="inlineStr">
        <is>
          <t>yes</t>
        </is>
      </c>
      <c r="I2066" t="inlineStr"/>
      <c r="J2066" t="inlineStr"/>
      <c r="K2066" t="inlineStr"/>
      <c r="L2066" t="inlineStr"/>
      <c r="M2066" t="inlineStr"/>
      <c r="N2066" t="inlineStr"/>
    </row>
    <row r="2067">
      <c r="A2067" t="inlineStr">
        <is>
          <t>sa-jeddah</t>
        </is>
      </c>
      <c r="B2067" t="inlineStr">
        <is>
          <t>Jeddah</t>
        </is>
      </c>
      <c r="C2067" t="inlineStr">
        <is>
          <t>Saudi Arabia</t>
        </is>
      </c>
      <c r="D2067" t="inlineStr">
        <is>
          <t>Middle East</t>
        </is>
      </c>
      <c r="E2067" t="inlineStr">
        <is>
          <t>transit_access_commute_raw</t>
        </is>
      </c>
      <c r="F2067" t="inlineStr">
        <is>
          <t>Transit access and commute raw</t>
        </is>
      </c>
      <c r="G2067" t="inlineStr">
        <is>
          <t>viability</t>
        </is>
      </c>
      <c r="H2067" t="inlineStr">
        <is>
          <t>yes</t>
        </is>
      </c>
      <c r="I2067" t="inlineStr"/>
      <c r="J2067" t="inlineStr"/>
      <c r="K2067" t="inlineStr"/>
      <c r="L2067" t="inlineStr"/>
      <c r="M2067" t="inlineStr"/>
      <c r="N2067" t="inlineStr"/>
    </row>
    <row r="2068">
      <c r="A2068" t="inlineStr">
        <is>
          <t>sa-jeddah</t>
        </is>
      </c>
      <c r="B2068" t="inlineStr">
        <is>
          <t>Jeddah</t>
        </is>
      </c>
      <c r="C2068" t="inlineStr">
        <is>
          <t>Saudi Arabia</t>
        </is>
      </c>
      <c r="D2068" t="inlineStr">
        <is>
          <t>Middle East</t>
        </is>
      </c>
      <c r="E2068" t="inlineStr">
        <is>
          <t>clean_air_raw</t>
        </is>
      </c>
      <c r="F2068" t="inlineStr">
        <is>
          <t>Clean air raw</t>
        </is>
      </c>
      <c r="G2068" t="inlineStr">
        <is>
          <t>viability</t>
        </is>
      </c>
      <c r="H2068" t="inlineStr">
        <is>
          <t>yes</t>
        </is>
      </c>
      <c r="I2068" t="inlineStr"/>
      <c r="J2068" t="inlineStr"/>
      <c r="K2068" t="inlineStr"/>
      <c r="L2068" t="inlineStr"/>
      <c r="M2068" t="inlineStr"/>
      <c r="N2068" t="inlineStr"/>
    </row>
    <row r="2069">
      <c r="A2069" t="inlineStr">
        <is>
          <t>sa-jeddah</t>
        </is>
      </c>
      <c r="B2069" t="inlineStr">
        <is>
          <t>Jeddah</t>
        </is>
      </c>
      <c r="C2069" t="inlineStr">
        <is>
          <t>Saudi Arabia</t>
        </is>
      </c>
      <c r="D2069" t="inlineStr">
        <is>
          <t>Middle East</t>
        </is>
      </c>
      <c r="E2069" t="inlineStr">
        <is>
          <t>water_sanitation_utility_raw</t>
        </is>
      </c>
      <c r="F2069" t="inlineStr">
        <is>
          <t>Water, sanitation, and utility raw</t>
        </is>
      </c>
      <c r="G2069" t="inlineStr">
        <is>
          <t>viability</t>
        </is>
      </c>
      <c r="H2069" t="inlineStr">
        <is>
          <t>yes</t>
        </is>
      </c>
      <c r="I2069" t="inlineStr"/>
      <c r="J2069" t="inlineStr"/>
      <c r="K2069" t="inlineStr"/>
      <c r="L2069" t="inlineStr"/>
      <c r="M2069" t="inlineStr"/>
      <c r="N2069" t="inlineStr"/>
    </row>
    <row r="2070">
      <c r="A2070" t="inlineStr">
        <is>
          <t>sa-jeddah</t>
        </is>
      </c>
      <c r="B2070" t="inlineStr">
        <is>
          <t>Jeddah</t>
        </is>
      </c>
      <c r="C2070" t="inlineStr">
        <is>
          <t>Saudi Arabia</t>
        </is>
      </c>
      <c r="D2070" t="inlineStr">
        <is>
          <t>Middle East</t>
        </is>
      </c>
      <c r="E2070" t="inlineStr">
        <is>
          <t>digital_infrastructure_raw</t>
        </is>
      </c>
      <c r="F2070" t="inlineStr">
        <is>
          <t>Digital infrastructure raw</t>
        </is>
      </c>
      <c r="G2070" t="inlineStr">
        <is>
          <t>viability</t>
        </is>
      </c>
      <c r="H2070" t="inlineStr">
        <is>
          <t>yes</t>
        </is>
      </c>
      <c r="I2070" t="inlineStr"/>
      <c r="J2070" t="inlineStr"/>
      <c r="K2070" t="inlineStr"/>
      <c r="L2070" t="inlineStr"/>
      <c r="M2070" t="inlineStr"/>
      <c r="N2070" t="inlineStr"/>
    </row>
    <row r="2071">
      <c r="A2071" t="inlineStr">
        <is>
          <t>sa-jeddah</t>
        </is>
      </c>
      <c r="B2071" t="inlineStr">
        <is>
          <t>Jeddah</t>
        </is>
      </c>
      <c r="C2071" t="inlineStr">
        <is>
          <t>Saudi Arabia</t>
        </is>
      </c>
      <c r="D2071" t="inlineStr">
        <is>
          <t>Middle East</t>
        </is>
      </c>
      <c r="E2071" t="inlineStr">
        <is>
          <t>healthcare_quality_raw</t>
        </is>
      </c>
      <c r="F2071" t="inlineStr">
        <is>
          <t>Healthcare quality raw</t>
        </is>
      </c>
      <c r="G2071" t="inlineStr">
        <is>
          <t>capability</t>
        </is>
      </c>
      <c r="H2071" t="inlineStr">
        <is>
          <t>yes</t>
        </is>
      </c>
      <c r="I2071" t="inlineStr"/>
      <c r="J2071" t="inlineStr"/>
      <c r="K2071" t="inlineStr"/>
      <c r="L2071" t="inlineStr"/>
      <c r="M2071" t="inlineStr"/>
      <c r="N2071" t="inlineStr"/>
    </row>
    <row r="2072">
      <c r="A2072" t="inlineStr">
        <is>
          <t>sa-jeddah</t>
        </is>
      </c>
      <c r="B2072" t="inlineStr">
        <is>
          <t>Jeddah</t>
        </is>
      </c>
      <c r="C2072" t="inlineStr">
        <is>
          <t>Saudi Arabia</t>
        </is>
      </c>
      <c r="D2072" t="inlineStr">
        <is>
          <t>Middle East</t>
        </is>
      </c>
      <c r="E2072" t="inlineStr">
        <is>
          <t>education_quality_raw</t>
        </is>
      </c>
      <c r="F2072" t="inlineStr">
        <is>
          <t>Education quality raw</t>
        </is>
      </c>
      <c r="G2072" t="inlineStr">
        <is>
          <t>capability</t>
        </is>
      </c>
      <c r="H2072" t="inlineStr">
        <is>
          <t>yes</t>
        </is>
      </c>
      <c r="I2072" t="inlineStr"/>
      <c r="J2072" t="inlineStr"/>
      <c r="K2072" t="inlineStr"/>
      <c r="L2072" t="inlineStr"/>
      <c r="M2072" t="inlineStr"/>
      <c r="N2072" t="inlineStr"/>
    </row>
    <row r="2073">
      <c r="A2073" t="inlineStr">
        <is>
          <t>sa-jeddah</t>
        </is>
      </c>
      <c r="B2073" t="inlineStr">
        <is>
          <t>Jeddah</t>
        </is>
      </c>
      <c r="C2073" t="inlineStr">
        <is>
          <t>Saudi Arabia</t>
        </is>
      </c>
      <c r="D2073" t="inlineStr">
        <is>
          <t>Middle East</t>
        </is>
      </c>
      <c r="E2073" t="inlineStr">
        <is>
          <t>equal_opportunity_raw</t>
        </is>
      </c>
      <c r="F2073" t="inlineStr">
        <is>
          <t>Equal opportunity raw</t>
        </is>
      </c>
      <c r="G2073" t="inlineStr">
        <is>
          <t>capability</t>
        </is>
      </c>
      <c r="H2073" t="inlineStr">
        <is>
          <t>yes</t>
        </is>
      </c>
      <c r="I2073" t="inlineStr"/>
      <c r="J2073" t="inlineStr"/>
      <c r="K2073" t="inlineStr"/>
      <c r="L2073" t="inlineStr"/>
      <c r="M2073" t="inlineStr"/>
      <c r="N2073" t="inlineStr"/>
    </row>
    <row r="2074">
      <c r="A2074" t="inlineStr">
        <is>
          <t>sa-jeddah</t>
        </is>
      </c>
      <c r="B2074" t="inlineStr">
        <is>
          <t>Jeddah</t>
        </is>
      </c>
      <c r="C2074" t="inlineStr">
        <is>
          <t>Saudi Arabia</t>
        </is>
      </c>
      <c r="D2074" t="inlineStr">
        <is>
          <t>Middle East</t>
        </is>
      </c>
      <c r="E2074" t="inlineStr">
        <is>
          <t>hospitality_belonging_raw</t>
        </is>
      </c>
      <c r="F2074" t="inlineStr">
        <is>
          <t>Hospitality and belonging raw</t>
        </is>
      </c>
      <c r="G2074" t="inlineStr">
        <is>
          <t>community</t>
        </is>
      </c>
      <c r="H2074" t="inlineStr">
        <is>
          <t>yes</t>
        </is>
      </c>
      <c r="I2074" t="inlineStr"/>
      <c r="J2074" t="inlineStr"/>
      <c r="K2074" t="inlineStr"/>
      <c r="L2074" t="inlineStr"/>
      <c r="M2074" t="inlineStr"/>
      <c r="N2074" t="inlineStr"/>
    </row>
    <row r="2075">
      <c r="A2075" t="inlineStr">
        <is>
          <t>sa-jeddah</t>
        </is>
      </c>
      <c r="B2075" t="inlineStr">
        <is>
          <t>Jeddah</t>
        </is>
      </c>
      <c r="C2075" t="inlineStr">
        <is>
          <t>Saudi Arabia</t>
        </is>
      </c>
      <c r="D2075" t="inlineStr">
        <is>
          <t>Middle East</t>
        </is>
      </c>
      <c r="E2075" t="inlineStr">
        <is>
          <t>tolerance_pluralism_raw</t>
        </is>
      </c>
      <c r="F2075" t="inlineStr">
        <is>
          <t>Tolerance and pluralism raw</t>
        </is>
      </c>
      <c r="G2075" t="inlineStr">
        <is>
          <t>community</t>
        </is>
      </c>
      <c r="H2075" t="inlineStr">
        <is>
          <t>yes</t>
        </is>
      </c>
      <c r="I2075" t="inlineStr"/>
      <c r="J2075" t="inlineStr"/>
      <c r="K2075" t="inlineStr"/>
      <c r="L2075" t="inlineStr"/>
      <c r="M2075" t="inlineStr"/>
      <c r="N2075" t="inlineStr"/>
    </row>
    <row r="2076">
      <c r="A2076" t="inlineStr">
        <is>
          <t>sa-jeddah</t>
        </is>
      </c>
      <c r="B2076" t="inlineStr">
        <is>
          <t>Jeddah</t>
        </is>
      </c>
      <c r="C2076" t="inlineStr">
        <is>
          <t>Saudi Arabia</t>
        </is>
      </c>
      <c r="D2076" t="inlineStr">
        <is>
          <t>Middle East</t>
        </is>
      </c>
      <c r="E2076" t="inlineStr">
        <is>
          <t>cultural_public_life_raw</t>
        </is>
      </c>
      <c r="F2076" t="inlineStr">
        <is>
          <t>Cultural public life raw</t>
        </is>
      </c>
      <c r="G2076" t="inlineStr">
        <is>
          <t>community</t>
        </is>
      </c>
      <c r="H2076" t="inlineStr">
        <is>
          <t>yes</t>
        </is>
      </c>
      <c r="I2076" t="inlineStr"/>
      <c r="J2076" t="inlineStr"/>
      <c r="K2076" t="inlineStr"/>
      <c r="L2076" t="inlineStr"/>
      <c r="M2076" t="inlineStr"/>
      <c r="N2076" t="inlineStr"/>
    </row>
    <row r="2077">
      <c r="A2077" t="inlineStr">
        <is>
          <t>sa-jeddah</t>
        </is>
      </c>
      <c r="B2077" t="inlineStr">
        <is>
          <t>Jeddah</t>
        </is>
      </c>
      <c r="C2077" t="inlineStr">
        <is>
          <t>Saudi Arabia</t>
        </is>
      </c>
      <c r="D2077" t="inlineStr">
        <is>
          <t>Middle East</t>
        </is>
      </c>
      <c r="E2077" t="inlineStr">
        <is>
          <t>entrepreneurial_dynamism_raw</t>
        </is>
      </c>
      <c r="F2077" t="inlineStr">
        <is>
          <t>Entrepreneurial dynamism raw</t>
        </is>
      </c>
      <c r="G2077" t="inlineStr">
        <is>
          <t>creative</t>
        </is>
      </c>
      <c r="H2077" t="inlineStr">
        <is>
          <t>yes</t>
        </is>
      </c>
      <c r="I2077" t="inlineStr"/>
      <c r="J2077" t="inlineStr"/>
      <c r="K2077" t="inlineStr"/>
      <c r="L2077" t="inlineStr"/>
      <c r="M2077" t="inlineStr"/>
      <c r="N2077" t="inlineStr"/>
    </row>
    <row r="2078">
      <c r="A2078" t="inlineStr">
        <is>
          <t>sa-jeddah</t>
        </is>
      </c>
      <c r="B2078" t="inlineStr">
        <is>
          <t>Jeddah</t>
        </is>
      </c>
      <c r="C2078" t="inlineStr">
        <is>
          <t>Saudi Arabia</t>
        </is>
      </c>
      <c r="D2078" t="inlineStr">
        <is>
          <t>Middle East</t>
        </is>
      </c>
      <c r="E2078" t="inlineStr">
        <is>
          <t>innovation_research_intensity_raw</t>
        </is>
      </c>
      <c r="F2078" t="inlineStr">
        <is>
          <t>Innovation and research raw</t>
        </is>
      </c>
      <c r="G2078" t="inlineStr">
        <is>
          <t>creative</t>
        </is>
      </c>
      <c r="H2078" t="inlineStr">
        <is>
          <t>yes</t>
        </is>
      </c>
      <c r="I2078" t="inlineStr"/>
      <c r="J2078" t="inlineStr"/>
      <c r="K2078" t="inlineStr"/>
      <c r="L2078" t="inlineStr"/>
      <c r="M2078" t="inlineStr"/>
      <c r="N2078" t="inlineStr"/>
    </row>
    <row r="2079">
      <c r="A2079" t="inlineStr">
        <is>
          <t>sa-jeddah</t>
        </is>
      </c>
      <c r="B2079" t="inlineStr">
        <is>
          <t>Jeddah</t>
        </is>
      </c>
      <c r="C2079" t="inlineStr">
        <is>
          <t>Saudi Arabia</t>
        </is>
      </c>
      <c r="D2079" t="inlineStr">
        <is>
          <t>Middle East</t>
        </is>
      </c>
      <c r="E2079" t="inlineStr">
        <is>
          <t>investment_signal_raw</t>
        </is>
      </c>
      <c r="F2079" t="inlineStr">
        <is>
          <t>Investment signal raw</t>
        </is>
      </c>
      <c r="G2079" t="inlineStr">
        <is>
          <t>creative</t>
        </is>
      </c>
      <c r="H2079" t="inlineStr">
        <is>
          <t>yes</t>
        </is>
      </c>
      <c r="I2079" t="inlineStr"/>
      <c r="J2079" t="inlineStr"/>
      <c r="K2079" t="inlineStr"/>
      <c r="L2079" t="inlineStr"/>
      <c r="M2079" t="inlineStr"/>
      <c r="N2079" t="inlineStr"/>
    </row>
    <row r="2080">
      <c r="A2080" t="inlineStr">
        <is>
          <t>sa-jeddah</t>
        </is>
      </c>
      <c r="B2080" t="inlineStr">
        <is>
          <t>Jeddah</t>
        </is>
      </c>
      <c r="C2080" t="inlineStr">
        <is>
          <t>Saudi Arabia</t>
        </is>
      </c>
      <c r="D2080" t="inlineStr">
        <is>
          <t>Middle East</t>
        </is>
      </c>
      <c r="E2080" t="inlineStr">
        <is>
          <t>administrative_investment_friction_raw</t>
        </is>
      </c>
      <c r="F2080" t="inlineStr">
        <is>
          <t>Administrative investment friction raw</t>
        </is>
      </c>
      <c r="G2080" t="inlineStr">
        <is>
          <t>creative</t>
        </is>
      </c>
      <c r="H2080" t="inlineStr">
        <is>
          <t>yes</t>
        </is>
      </c>
      <c r="I2080" t="inlineStr"/>
      <c r="J2080" t="inlineStr"/>
      <c r="K2080" t="inlineStr"/>
      <c r="L2080" t="inlineStr"/>
      <c r="M2080" t="inlineStr"/>
      <c r="N2080" t="inlineStr"/>
    </row>
    <row r="2081">
      <c r="A2081" t="inlineStr">
        <is>
          <t>sa-jeddah</t>
        </is>
      </c>
      <c r="B2081" t="inlineStr">
        <is>
          <t>Jeddah</t>
        </is>
      </c>
      <c r="C2081" t="inlineStr">
        <is>
          <t>Saudi Arabia</t>
        </is>
      </c>
      <c r="D2081" t="inlineStr">
        <is>
          <t>Middle East</t>
        </is>
      </c>
      <c r="E2081" t="inlineStr">
        <is>
          <t>visitor_flow_context_raw</t>
        </is>
      </c>
      <c r="F2081" t="inlineStr">
        <is>
          <t>Visitor flow context raw</t>
        </is>
      </c>
      <c r="G2081" t="inlineStr">
        <is>
          <t>creative</t>
        </is>
      </c>
      <c r="H2081" t="inlineStr">
        <is>
          <t>no</t>
        </is>
      </c>
      <c r="I2081" t="inlineStr"/>
      <c r="J2081" t="inlineStr"/>
      <c r="K2081" t="inlineStr"/>
      <c r="L2081" t="inlineStr"/>
      <c r="M2081" t="inlineStr"/>
      <c r="N2081" t="inlineStr"/>
    </row>
    <row r="2082">
      <c r="A2082" t="inlineStr">
        <is>
          <t>kw-kuwait-city</t>
        </is>
      </c>
      <c r="B2082" t="inlineStr">
        <is>
          <t>Kuwait City</t>
        </is>
      </c>
      <c r="C2082" t="inlineStr">
        <is>
          <t>Kuwait</t>
        </is>
      </c>
      <c r="D2082" t="inlineStr">
        <is>
          <t>Middle East</t>
        </is>
      </c>
      <c r="E2082" t="inlineStr">
        <is>
          <t>gross_income</t>
        </is>
      </c>
      <c r="F2082" t="inlineStr">
        <is>
          <t>Gross income</t>
        </is>
      </c>
      <c r="G2082" t="inlineStr">
        <is>
          <t>pressure</t>
        </is>
      </c>
      <c r="H2082" t="inlineStr">
        <is>
          <t>yes</t>
        </is>
      </c>
      <c r="I2082" t="inlineStr"/>
      <c r="J2082" t="inlineStr"/>
      <c r="K2082" t="inlineStr"/>
      <c r="L2082" t="inlineStr"/>
      <c r="M2082" t="inlineStr"/>
      <c r="N2082" t="inlineStr"/>
    </row>
    <row r="2083">
      <c r="A2083" t="inlineStr">
        <is>
          <t>kw-kuwait-city</t>
        </is>
      </c>
      <c r="B2083" t="inlineStr">
        <is>
          <t>Kuwait City</t>
        </is>
      </c>
      <c r="C2083" t="inlineStr">
        <is>
          <t>Kuwait</t>
        </is>
      </c>
      <c r="D2083" t="inlineStr">
        <is>
          <t>Middle East</t>
        </is>
      </c>
      <c r="E2083" t="inlineStr">
        <is>
          <t>rent</t>
        </is>
      </c>
      <c r="F2083" t="inlineStr">
        <is>
          <t>Rent</t>
        </is>
      </c>
      <c r="G2083" t="inlineStr">
        <is>
          <t>pressure</t>
        </is>
      </c>
      <c r="H2083" t="inlineStr">
        <is>
          <t>yes</t>
        </is>
      </c>
      <c r="I2083" t="inlineStr"/>
      <c r="J2083" t="inlineStr"/>
      <c r="K2083" t="inlineStr"/>
      <c r="L2083" t="inlineStr"/>
      <c r="M2083" t="inlineStr"/>
      <c r="N2083" t="inlineStr"/>
    </row>
    <row r="2084">
      <c r="A2084" t="inlineStr">
        <is>
          <t>kw-kuwait-city</t>
        </is>
      </c>
      <c r="B2084" t="inlineStr">
        <is>
          <t>Kuwait City</t>
        </is>
      </c>
      <c r="C2084" t="inlineStr">
        <is>
          <t>Kuwait</t>
        </is>
      </c>
      <c r="D2084" t="inlineStr">
        <is>
          <t>Middle East</t>
        </is>
      </c>
      <c r="E2084" t="inlineStr">
        <is>
          <t>utilities</t>
        </is>
      </c>
      <c r="F2084" t="inlineStr">
        <is>
          <t>Utilities</t>
        </is>
      </c>
      <c r="G2084" t="inlineStr">
        <is>
          <t>pressure</t>
        </is>
      </c>
      <c r="H2084" t="inlineStr">
        <is>
          <t>yes</t>
        </is>
      </c>
      <c r="I2084" t="inlineStr"/>
      <c r="J2084" t="inlineStr"/>
      <c r="K2084" t="inlineStr"/>
      <c r="L2084" t="inlineStr"/>
      <c r="M2084" t="inlineStr"/>
      <c r="N2084" t="inlineStr"/>
    </row>
    <row r="2085">
      <c r="A2085" t="inlineStr">
        <is>
          <t>kw-kuwait-city</t>
        </is>
      </c>
      <c r="B2085" t="inlineStr">
        <is>
          <t>Kuwait City</t>
        </is>
      </c>
      <c r="C2085" t="inlineStr">
        <is>
          <t>Kuwait</t>
        </is>
      </c>
      <c r="D2085" t="inlineStr">
        <is>
          <t>Middle East</t>
        </is>
      </c>
      <c r="E2085" t="inlineStr">
        <is>
          <t>transit_cost</t>
        </is>
      </c>
      <c r="F2085" t="inlineStr">
        <is>
          <t>Transit cost</t>
        </is>
      </c>
      <c r="G2085" t="inlineStr">
        <is>
          <t>pressure</t>
        </is>
      </c>
      <c r="H2085" t="inlineStr">
        <is>
          <t>yes</t>
        </is>
      </c>
      <c r="I2085" t="inlineStr"/>
      <c r="J2085" t="inlineStr"/>
      <c r="K2085" t="inlineStr"/>
      <c r="L2085" t="inlineStr"/>
      <c r="M2085" t="inlineStr"/>
      <c r="N2085" t="inlineStr"/>
    </row>
    <row r="2086">
      <c r="A2086" t="inlineStr">
        <is>
          <t>kw-kuwait-city</t>
        </is>
      </c>
      <c r="B2086" t="inlineStr">
        <is>
          <t>Kuwait City</t>
        </is>
      </c>
      <c r="C2086" t="inlineStr">
        <is>
          <t>Kuwait</t>
        </is>
      </c>
      <c r="D2086" t="inlineStr">
        <is>
          <t>Middle East</t>
        </is>
      </c>
      <c r="E2086" t="inlineStr">
        <is>
          <t>internet_cost</t>
        </is>
      </c>
      <c r="F2086" t="inlineStr">
        <is>
          <t>Internet cost</t>
        </is>
      </c>
      <c r="G2086" t="inlineStr">
        <is>
          <t>pressure</t>
        </is>
      </c>
      <c r="H2086" t="inlineStr">
        <is>
          <t>yes</t>
        </is>
      </c>
      <c r="I2086" t="inlineStr"/>
      <c r="J2086" t="inlineStr"/>
      <c r="K2086" t="inlineStr"/>
      <c r="L2086" t="inlineStr"/>
      <c r="M2086" t="inlineStr"/>
      <c r="N2086" t="inlineStr"/>
    </row>
    <row r="2087">
      <c r="A2087" t="inlineStr">
        <is>
          <t>kw-kuwait-city</t>
        </is>
      </c>
      <c r="B2087" t="inlineStr">
        <is>
          <t>Kuwait City</t>
        </is>
      </c>
      <c r="C2087" t="inlineStr">
        <is>
          <t>Kuwait</t>
        </is>
      </c>
      <c r="D2087" t="inlineStr">
        <is>
          <t>Middle East</t>
        </is>
      </c>
      <c r="E2087" t="inlineStr">
        <is>
          <t>food_cost</t>
        </is>
      </c>
      <c r="F2087" t="inlineStr">
        <is>
          <t>Food cost</t>
        </is>
      </c>
      <c r="G2087" t="inlineStr">
        <is>
          <t>pressure</t>
        </is>
      </c>
      <c r="H2087" t="inlineStr">
        <is>
          <t>yes</t>
        </is>
      </c>
      <c r="I2087" t="inlineStr"/>
      <c r="J2087" t="inlineStr"/>
      <c r="K2087" t="inlineStr"/>
      <c r="L2087" t="inlineStr"/>
      <c r="M2087" t="inlineStr"/>
      <c r="N2087" t="inlineStr"/>
    </row>
    <row r="2088">
      <c r="A2088" t="inlineStr">
        <is>
          <t>kw-kuwait-city</t>
        </is>
      </c>
      <c r="B2088" t="inlineStr">
        <is>
          <t>Kuwait City</t>
        </is>
      </c>
      <c r="C2088" t="inlineStr">
        <is>
          <t>Kuwait</t>
        </is>
      </c>
      <c r="D2088" t="inlineStr">
        <is>
          <t>Middle East</t>
        </is>
      </c>
      <c r="E2088" t="inlineStr">
        <is>
          <t>housing_burden_raw</t>
        </is>
      </c>
      <c r="F2088" t="inlineStr">
        <is>
          <t>Housing burden raw</t>
        </is>
      </c>
      <c r="G2088" t="inlineStr">
        <is>
          <t>pressure</t>
        </is>
      </c>
      <c r="H2088" t="inlineStr">
        <is>
          <t>yes</t>
        </is>
      </c>
      <c r="I2088" t="inlineStr"/>
      <c r="J2088" t="inlineStr"/>
      <c r="K2088" t="inlineStr"/>
      <c r="L2088" t="inlineStr"/>
      <c r="M2088" t="inlineStr"/>
      <c r="N2088" t="inlineStr"/>
    </row>
    <row r="2089">
      <c r="A2089" t="inlineStr">
        <is>
          <t>kw-kuwait-city</t>
        </is>
      </c>
      <c r="B2089" t="inlineStr">
        <is>
          <t>Kuwait City</t>
        </is>
      </c>
      <c r="C2089" t="inlineStr">
        <is>
          <t>Kuwait</t>
        </is>
      </c>
      <c r="D2089" t="inlineStr">
        <is>
          <t>Middle East</t>
        </is>
      </c>
      <c r="E2089" t="inlineStr">
        <is>
          <t>household_debt_burden_raw</t>
        </is>
      </c>
      <c r="F2089" t="inlineStr">
        <is>
          <t>Household debt burden raw</t>
        </is>
      </c>
      <c r="G2089" t="inlineStr">
        <is>
          <t>pressure</t>
        </is>
      </c>
      <c r="H2089" t="inlineStr">
        <is>
          <t>yes</t>
        </is>
      </c>
      <c r="I2089" t="inlineStr"/>
      <c r="J2089" t="inlineStr"/>
      <c r="K2089" t="inlineStr"/>
      <c r="L2089" t="inlineStr"/>
      <c r="M2089" t="inlineStr"/>
      <c r="N2089" t="inlineStr"/>
    </row>
    <row r="2090">
      <c r="A2090" t="inlineStr">
        <is>
          <t>kw-kuwait-city</t>
        </is>
      </c>
      <c r="B2090" t="inlineStr">
        <is>
          <t>Kuwait City</t>
        </is>
      </c>
      <c r="C2090" t="inlineStr">
        <is>
          <t>Kuwait</t>
        </is>
      </c>
      <c r="D2090" t="inlineStr">
        <is>
          <t>Middle East</t>
        </is>
      </c>
      <c r="E2090" t="inlineStr">
        <is>
          <t>working_time_pressure_raw</t>
        </is>
      </c>
      <c r="F2090" t="inlineStr">
        <is>
          <t>Working time pressure raw</t>
        </is>
      </c>
      <c r="G2090" t="inlineStr">
        <is>
          <t>pressure</t>
        </is>
      </c>
      <c r="H2090" t="inlineStr">
        <is>
          <t>yes</t>
        </is>
      </c>
      <c r="I2090" t="inlineStr"/>
      <c r="J2090" t="inlineStr"/>
      <c r="K2090" t="inlineStr"/>
      <c r="L2090" t="inlineStr"/>
      <c r="M2090" t="inlineStr"/>
      <c r="N2090" t="inlineStr"/>
    </row>
    <row r="2091">
      <c r="A2091" t="inlineStr">
        <is>
          <t>kw-kuwait-city</t>
        </is>
      </c>
      <c r="B2091" t="inlineStr">
        <is>
          <t>Kuwait City</t>
        </is>
      </c>
      <c r="C2091" t="inlineStr">
        <is>
          <t>Kuwait</t>
        </is>
      </c>
      <c r="D2091" t="inlineStr">
        <is>
          <t>Middle East</t>
        </is>
      </c>
      <c r="E2091" t="inlineStr">
        <is>
          <t>suicide_mental_strain_raw</t>
        </is>
      </c>
      <c r="F2091" t="inlineStr">
        <is>
          <t>Suicide or mental strain raw</t>
        </is>
      </c>
      <c r="G2091" t="inlineStr">
        <is>
          <t>pressure</t>
        </is>
      </c>
      <c r="H2091" t="inlineStr">
        <is>
          <t>yes</t>
        </is>
      </c>
      <c r="I2091" t="inlineStr"/>
      <c r="J2091" t="inlineStr"/>
      <c r="K2091" t="inlineStr"/>
      <c r="L2091" t="inlineStr"/>
      <c r="M2091" t="inlineStr"/>
      <c r="N2091" t="inlineStr"/>
    </row>
    <row r="2092">
      <c r="A2092" t="inlineStr">
        <is>
          <t>kw-kuwait-city</t>
        </is>
      </c>
      <c r="B2092" t="inlineStr">
        <is>
          <t>Kuwait City</t>
        </is>
      </c>
      <c r="C2092" t="inlineStr">
        <is>
          <t>Kuwait</t>
        </is>
      </c>
      <c r="D2092" t="inlineStr">
        <is>
          <t>Middle East</t>
        </is>
      </c>
      <c r="E2092" t="inlineStr">
        <is>
          <t>personal_safety_raw</t>
        </is>
      </c>
      <c r="F2092" t="inlineStr">
        <is>
          <t>Personal safety raw</t>
        </is>
      </c>
      <c r="G2092" t="inlineStr">
        <is>
          <t>viability</t>
        </is>
      </c>
      <c r="H2092" t="inlineStr">
        <is>
          <t>yes</t>
        </is>
      </c>
      <c r="I2092" t="inlineStr"/>
      <c r="J2092" t="inlineStr"/>
      <c r="K2092" t="inlineStr"/>
      <c r="L2092" t="inlineStr"/>
      <c r="M2092" t="inlineStr"/>
      <c r="N2092" t="inlineStr"/>
    </row>
    <row r="2093">
      <c r="A2093" t="inlineStr">
        <is>
          <t>kw-kuwait-city</t>
        </is>
      </c>
      <c r="B2093" t="inlineStr">
        <is>
          <t>Kuwait City</t>
        </is>
      </c>
      <c r="C2093" t="inlineStr">
        <is>
          <t>Kuwait</t>
        </is>
      </c>
      <c r="D2093" t="inlineStr">
        <is>
          <t>Middle East</t>
        </is>
      </c>
      <c r="E2093" t="inlineStr">
        <is>
          <t>transit_access_commute_raw</t>
        </is>
      </c>
      <c r="F2093" t="inlineStr">
        <is>
          <t>Transit access and commute raw</t>
        </is>
      </c>
      <c r="G2093" t="inlineStr">
        <is>
          <t>viability</t>
        </is>
      </c>
      <c r="H2093" t="inlineStr">
        <is>
          <t>yes</t>
        </is>
      </c>
      <c r="I2093" t="inlineStr"/>
      <c r="J2093" t="inlineStr"/>
      <c r="K2093" t="inlineStr"/>
      <c r="L2093" t="inlineStr"/>
      <c r="M2093" t="inlineStr"/>
      <c r="N2093" t="inlineStr"/>
    </row>
    <row r="2094">
      <c r="A2094" t="inlineStr">
        <is>
          <t>kw-kuwait-city</t>
        </is>
      </c>
      <c r="B2094" t="inlineStr">
        <is>
          <t>Kuwait City</t>
        </is>
      </c>
      <c r="C2094" t="inlineStr">
        <is>
          <t>Kuwait</t>
        </is>
      </c>
      <c r="D2094" t="inlineStr">
        <is>
          <t>Middle East</t>
        </is>
      </c>
      <c r="E2094" t="inlineStr">
        <is>
          <t>clean_air_raw</t>
        </is>
      </c>
      <c r="F2094" t="inlineStr">
        <is>
          <t>Clean air raw</t>
        </is>
      </c>
      <c r="G2094" t="inlineStr">
        <is>
          <t>viability</t>
        </is>
      </c>
      <c r="H2094" t="inlineStr">
        <is>
          <t>yes</t>
        </is>
      </c>
      <c r="I2094" t="inlineStr"/>
      <c r="J2094" t="inlineStr"/>
      <c r="K2094" t="inlineStr"/>
      <c r="L2094" t="inlineStr"/>
      <c r="M2094" t="inlineStr"/>
      <c r="N2094" t="inlineStr"/>
    </row>
    <row r="2095">
      <c r="A2095" t="inlineStr">
        <is>
          <t>kw-kuwait-city</t>
        </is>
      </c>
      <c r="B2095" t="inlineStr">
        <is>
          <t>Kuwait City</t>
        </is>
      </c>
      <c r="C2095" t="inlineStr">
        <is>
          <t>Kuwait</t>
        </is>
      </c>
      <c r="D2095" t="inlineStr">
        <is>
          <t>Middle East</t>
        </is>
      </c>
      <c r="E2095" t="inlineStr">
        <is>
          <t>water_sanitation_utility_raw</t>
        </is>
      </c>
      <c r="F2095" t="inlineStr">
        <is>
          <t>Water, sanitation, and utility raw</t>
        </is>
      </c>
      <c r="G2095" t="inlineStr">
        <is>
          <t>viability</t>
        </is>
      </c>
      <c r="H2095" t="inlineStr">
        <is>
          <t>yes</t>
        </is>
      </c>
      <c r="I2095" t="inlineStr"/>
      <c r="J2095" t="inlineStr"/>
      <c r="K2095" t="inlineStr"/>
      <c r="L2095" t="inlineStr"/>
      <c r="M2095" t="inlineStr"/>
      <c r="N2095" t="inlineStr"/>
    </row>
    <row r="2096">
      <c r="A2096" t="inlineStr">
        <is>
          <t>kw-kuwait-city</t>
        </is>
      </c>
      <c r="B2096" t="inlineStr">
        <is>
          <t>Kuwait City</t>
        </is>
      </c>
      <c r="C2096" t="inlineStr">
        <is>
          <t>Kuwait</t>
        </is>
      </c>
      <c r="D2096" t="inlineStr">
        <is>
          <t>Middle East</t>
        </is>
      </c>
      <c r="E2096" t="inlineStr">
        <is>
          <t>digital_infrastructure_raw</t>
        </is>
      </c>
      <c r="F2096" t="inlineStr">
        <is>
          <t>Digital infrastructure raw</t>
        </is>
      </c>
      <c r="G2096" t="inlineStr">
        <is>
          <t>viability</t>
        </is>
      </c>
      <c r="H2096" t="inlineStr">
        <is>
          <t>yes</t>
        </is>
      </c>
      <c r="I2096" t="inlineStr"/>
      <c r="J2096" t="inlineStr"/>
      <c r="K2096" t="inlineStr"/>
      <c r="L2096" t="inlineStr"/>
      <c r="M2096" t="inlineStr"/>
      <c r="N2096" t="inlineStr"/>
    </row>
    <row r="2097">
      <c r="A2097" t="inlineStr">
        <is>
          <t>kw-kuwait-city</t>
        </is>
      </c>
      <c r="B2097" t="inlineStr">
        <is>
          <t>Kuwait City</t>
        </is>
      </c>
      <c r="C2097" t="inlineStr">
        <is>
          <t>Kuwait</t>
        </is>
      </c>
      <c r="D2097" t="inlineStr">
        <is>
          <t>Middle East</t>
        </is>
      </c>
      <c r="E2097" t="inlineStr">
        <is>
          <t>healthcare_quality_raw</t>
        </is>
      </c>
      <c r="F2097" t="inlineStr">
        <is>
          <t>Healthcare quality raw</t>
        </is>
      </c>
      <c r="G2097" t="inlineStr">
        <is>
          <t>capability</t>
        </is>
      </c>
      <c r="H2097" t="inlineStr">
        <is>
          <t>yes</t>
        </is>
      </c>
      <c r="I2097" t="inlineStr"/>
      <c r="J2097" t="inlineStr"/>
      <c r="K2097" t="inlineStr"/>
      <c r="L2097" t="inlineStr"/>
      <c r="M2097" t="inlineStr"/>
      <c r="N2097" t="inlineStr"/>
    </row>
    <row r="2098">
      <c r="A2098" t="inlineStr">
        <is>
          <t>kw-kuwait-city</t>
        </is>
      </c>
      <c r="B2098" t="inlineStr">
        <is>
          <t>Kuwait City</t>
        </is>
      </c>
      <c r="C2098" t="inlineStr">
        <is>
          <t>Kuwait</t>
        </is>
      </c>
      <c r="D2098" t="inlineStr">
        <is>
          <t>Middle East</t>
        </is>
      </c>
      <c r="E2098" t="inlineStr">
        <is>
          <t>education_quality_raw</t>
        </is>
      </c>
      <c r="F2098" t="inlineStr">
        <is>
          <t>Education quality raw</t>
        </is>
      </c>
      <c r="G2098" t="inlineStr">
        <is>
          <t>capability</t>
        </is>
      </c>
      <c r="H2098" t="inlineStr">
        <is>
          <t>yes</t>
        </is>
      </c>
      <c r="I2098" t="inlineStr"/>
      <c r="J2098" t="inlineStr"/>
      <c r="K2098" t="inlineStr"/>
      <c r="L2098" t="inlineStr"/>
      <c r="M2098" t="inlineStr"/>
      <c r="N2098" t="inlineStr"/>
    </row>
    <row r="2099">
      <c r="A2099" t="inlineStr">
        <is>
          <t>kw-kuwait-city</t>
        </is>
      </c>
      <c r="B2099" t="inlineStr">
        <is>
          <t>Kuwait City</t>
        </is>
      </c>
      <c r="C2099" t="inlineStr">
        <is>
          <t>Kuwait</t>
        </is>
      </c>
      <c r="D2099" t="inlineStr">
        <is>
          <t>Middle East</t>
        </is>
      </c>
      <c r="E2099" t="inlineStr">
        <is>
          <t>equal_opportunity_raw</t>
        </is>
      </c>
      <c r="F2099" t="inlineStr">
        <is>
          <t>Equal opportunity raw</t>
        </is>
      </c>
      <c r="G2099" t="inlineStr">
        <is>
          <t>capability</t>
        </is>
      </c>
      <c r="H2099" t="inlineStr">
        <is>
          <t>yes</t>
        </is>
      </c>
      <c r="I2099" t="inlineStr"/>
      <c r="J2099" t="inlineStr"/>
      <c r="K2099" t="inlineStr"/>
      <c r="L2099" t="inlineStr"/>
      <c r="M2099" t="inlineStr"/>
      <c r="N2099" t="inlineStr"/>
    </row>
    <row r="2100">
      <c r="A2100" t="inlineStr">
        <is>
          <t>kw-kuwait-city</t>
        </is>
      </c>
      <c r="B2100" t="inlineStr">
        <is>
          <t>Kuwait City</t>
        </is>
      </c>
      <c r="C2100" t="inlineStr">
        <is>
          <t>Kuwait</t>
        </is>
      </c>
      <c r="D2100" t="inlineStr">
        <is>
          <t>Middle East</t>
        </is>
      </c>
      <c r="E2100" t="inlineStr">
        <is>
          <t>hospitality_belonging_raw</t>
        </is>
      </c>
      <c r="F2100" t="inlineStr">
        <is>
          <t>Hospitality and belonging raw</t>
        </is>
      </c>
      <c r="G2100" t="inlineStr">
        <is>
          <t>community</t>
        </is>
      </c>
      <c r="H2100" t="inlineStr">
        <is>
          <t>yes</t>
        </is>
      </c>
      <c r="I2100" t="inlineStr"/>
      <c r="J2100" t="inlineStr"/>
      <c r="K2100" t="inlineStr"/>
      <c r="L2100" t="inlineStr"/>
      <c r="M2100" t="inlineStr"/>
      <c r="N2100" t="inlineStr"/>
    </row>
    <row r="2101">
      <c r="A2101" t="inlineStr">
        <is>
          <t>kw-kuwait-city</t>
        </is>
      </c>
      <c r="B2101" t="inlineStr">
        <is>
          <t>Kuwait City</t>
        </is>
      </c>
      <c r="C2101" t="inlineStr">
        <is>
          <t>Kuwait</t>
        </is>
      </c>
      <c r="D2101" t="inlineStr">
        <is>
          <t>Middle East</t>
        </is>
      </c>
      <c r="E2101" t="inlineStr">
        <is>
          <t>tolerance_pluralism_raw</t>
        </is>
      </c>
      <c r="F2101" t="inlineStr">
        <is>
          <t>Tolerance and pluralism raw</t>
        </is>
      </c>
      <c r="G2101" t="inlineStr">
        <is>
          <t>community</t>
        </is>
      </c>
      <c r="H2101" t="inlineStr">
        <is>
          <t>yes</t>
        </is>
      </c>
      <c r="I2101" t="inlineStr"/>
      <c r="J2101" t="inlineStr"/>
      <c r="K2101" t="inlineStr"/>
      <c r="L2101" t="inlineStr"/>
      <c r="M2101" t="inlineStr"/>
      <c r="N2101" t="inlineStr"/>
    </row>
    <row r="2102">
      <c r="A2102" t="inlineStr">
        <is>
          <t>kw-kuwait-city</t>
        </is>
      </c>
      <c r="B2102" t="inlineStr">
        <is>
          <t>Kuwait City</t>
        </is>
      </c>
      <c r="C2102" t="inlineStr">
        <is>
          <t>Kuwait</t>
        </is>
      </c>
      <c r="D2102" t="inlineStr">
        <is>
          <t>Middle East</t>
        </is>
      </c>
      <c r="E2102" t="inlineStr">
        <is>
          <t>cultural_public_life_raw</t>
        </is>
      </c>
      <c r="F2102" t="inlineStr">
        <is>
          <t>Cultural public life raw</t>
        </is>
      </c>
      <c r="G2102" t="inlineStr">
        <is>
          <t>community</t>
        </is>
      </c>
      <c r="H2102" t="inlineStr">
        <is>
          <t>yes</t>
        </is>
      </c>
      <c r="I2102" t="inlineStr"/>
      <c r="J2102" t="inlineStr"/>
      <c r="K2102" t="inlineStr"/>
      <c r="L2102" t="inlineStr"/>
      <c r="M2102" t="inlineStr"/>
      <c r="N2102" t="inlineStr"/>
    </row>
    <row r="2103">
      <c r="A2103" t="inlineStr">
        <is>
          <t>kw-kuwait-city</t>
        </is>
      </c>
      <c r="B2103" t="inlineStr">
        <is>
          <t>Kuwait City</t>
        </is>
      </c>
      <c r="C2103" t="inlineStr">
        <is>
          <t>Kuwait</t>
        </is>
      </c>
      <c r="D2103" t="inlineStr">
        <is>
          <t>Middle East</t>
        </is>
      </c>
      <c r="E2103" t="inlineStr">
        <is>
          <t>entrepreneurial_dynamism_raw</t>
        </is>
      </c>
      <c r="F2103" t="inlineStr">
        <is>
          <t>Entrepreneurial dynamism raw</t>
        </is>
      </c>
      <c r="G2103" t="inlineStr">
        <is>
          <t>creative</t>
        </is>
      </c>
      <c r="H2103" t="inlineStr">
        <is>
          <t>yes</t>
        </is>
      </c>
      <c r="I2103" t="inlineStr"/>
      <c r="J2103" t="inlineStr"/>
      <c r="K2103" t="inlineStr"/>
      <c r="L2103" t="inlineStr"/>
      <c r="M2103" t="inlineStr"/>
      <c r="N2103" t="inlineStr"/>
    </row>
    <row r="2104">
      <c r="A2104" t="inlineStr">
        <is>
          <t>kw-kuwait-city</t>
        </is>
      </c>
      <c r="B2104" t="inlineStr">
        <is>
          <t>Kuwait City</t>
        </is>
      </c>
      <c r="C2104" t="inlineStr">
        <is>
          <t>Kuwait</t>
        </is>
      </c>
      <c r="D2104" t="inlineStr">
        <is>
          <t>Middle East</t>
        </is>
      </c>
      <c r="E2104" t="inlineStr">
        <is>
          <t>innovation_research_intensity_raw</t>
        </is>
      </c>
      <c r="F2104" t="inlineStr">
        <is>
          <t>Innovation and research raw</t>
        </is>
      </c>
      <c r="G2104" t="inlineStr">
        <is>
          <t>creative</t>
        </is>
      </c>
      <c r="H2104" t="inlineStr">
        <is>
          <t>yes</t>
        </is>
      </c>
      <c r="I2104" t="inlineStr"/>
      <c r="J2104" t="inlineStr"/>
      <c r="K2104" t="inlineStr"/>
      <c r="L2104" t="inlineStr"/>
      <c r="M2104" t="inlineStr"/>
      <c r="N2104" t="inlineStr"/>
    </row>
    <row r="2105">
      <c r="A2105" t="inlineStr">
        <is>
          <t>kw-kuwait-city</t>
        </is>
      </c>
      <c r="B2105" t="inlineStr">
        <is>
          <t>Kuwait City</t>
        </is>
      </c>
      <c r="C2105" t="inlineStr">
        <is>
          <t>Kuwait</t>
        </is>
      </c>
      <c r="D2105" t="inlineStr">
        <is>
          <t>Middle East</t>
        </is>
      </c>
      <c r="E2105" t="inlineStr">
        <is>
          <t>investment_signal_raw</t>
        </is>
      </c>
      <c r="F2105" t="inlineStr">
        <is>
          <t>Investment signal raw</t>
        </is>
      </c>
      <c r="G2105" t="inlineStr">
        <is>
          <t>creative</t>
        </is>
      </c>
      <c r="H2105" t="inlineStr">
        <is>
          <t>yes</t>
        </is>
      </c>
      <c r="I2105" t="inlineStr"/>
      <c r="J2105" t="inlineStr"/>
      <c r="K2105" t="inlineStr"/>
      <c r="L2105" t="inlineStr"/>
      <c r="M2105" t="inlineStr"/>
      <c r="N2105" t="inlineStr"/>
    </row>
    <row r="2106">
      <c r="A2106" t="inlineStr">
        <is>
          <t>kw-kuwait-city</t>
        </is>
      </c>
      <c r="B2106" t="inlineStr">
        <is>
          <t>Kuwait City</t>
        </is>
      </c>
      <c r="C2106" t="inlineStr">
        <is>
          <t>Kuwait</t>
        </is>
      </c>
      <c r="D2106" t="inlineStr">
        <is>
          <t>Middle East</t>
        </is>
      </c>
      <c r="E2106" t="inlineStr">
        <is>
          <t>administrative_investment_friction_raw</t>
        </is>
      </c>
      <c r="F2106" t="inlineStr">
        <is>
          <t>Administrative investment friction raw</t>
        </is>
      </c>
      <c r="G2106" t="inlineStr">
        <is>
          <t>creative</t>
        </is>
      </c>
      <c r="H2106" t="inlineStr">
        <is>
          <t>yes</t>
        </is>
      </c>
      <c r="I2106" t="inlineStr"/>
      <c r="J2106" t="inlineStr"/>
      <c r="K2106" t="inlineStr"/>
      <c r="L2106" t="inlineStr"/>
      <c r="M2106" t="inlineStr"/>
      <c r="N2106" t="inlineStr"/>
    </row>
    <row r="2107">
      <c r="A2107" t="inlineStr">
        <is>
          <t>kw-kuwait-city</t>
        </is>
      </c>
      <c r="B2107" t="inlineStr">
        <is>
          <t>Kuwait City</t>
        </is>
      </c>
      <c r="C2107" t="inlineStr">
        <is>
          <t>Kuwait</t>
        </is>
      </c>
      <c r="D2107" t="inlineStr">
        <is>
          <t>Middle East</t>
        </is>
      </c>
      <c r="E2107" t="inlineStr">
        <is>
          <t>visitor_flow_context_raw</t>
        </is>
      </c>
      <c r="F2107" t="inlineStr">
        <is>
          <t>Visitor flow context raw</t>
        </is>
      </c>
      <c r="G2107" t="inlineStr">
        <is>
          <t>creative</t>
        </is>
      </c>
      <c r="H2107" t="inlineStr">
        <is>
          <t>no</t>
        </is>
      </c>
      <c r="I2107" t="inlineStr"/>
      <c r="J2107" t="inlineStr"/>
      <c r="K2107" t="inlineStr"/>
      <c r="L2107" t="inlineStr"/>
      <c r="M2107" t="inlineStr"/>
      <c r="N2107" t="inlineStr"/>
    </row>
    <row r="2108">
      <c r="A2108" t="inlineStr">
        <is>
          <t>jo-amman</t>
        </is>
      </c>
      <c r="B2108" t="inlineStr">
        <is>
          <t>Amman</t>
        </is>
      </c>
      <c r="C2108" t="inlineStr">
        <is>
          <t>Jordan</t>
        </is>
      </c>
      <c r="D2108" t="inlineStr">
        <is>
          <t>Middle East</t>
        </is>
      </c>
      <c r="E2108" t="inlineStr">
        <is>
          <t>gross_income</t>
        </is>
      </c>
      <c r="F2108" t="inlineStr">
        <is>
          <t>Gross income</t>
        </is>
      </c>
      <c r="G2108" t="inlineStr">
        <is>
          <t>pressure</t>
        </is>
      </c>
      <c r="H2108" t="inlineStr">
        <is>
          <t>yes</t>
        </is>
      </c>
      <c r="I2108" t="inlineStr"/>
      <c r="J2108" t="inlineStr"/>
      <c r="K2108" t="inlineStr"/>
      <c r="L2108" t="inlineStr"/>
      <c r="M2108" t="inlineStr"/>
      <c r="N2108" t="inlineStr"/>
    </row>
    <row r="2109">
      <c r="A2109" t="inlineStr">
        <is>
          <t>jo-amman</t>
        </is>
      </c>
      <c r="B2109" t="inlineStr">
        <is>
          <t>Amman</t>
        </is>
      </c>
      <c r="C2109" t="inlineStr">
        <is>
          <t>Jordan</t>
        </is>
      </c>
      <c r="D2109" t="inlineStr">
        <is>
          <t>Middle East</t>
        </is>
      </c>
      <c r="E2109" t="inlineStr">
        <is>
          <t>rent</t>
        </is>
      </c>
      <c r="F2109" t="inlineStr">
        <is>
          <t>Rent</t>
        </is>
      </c>
      <c r="G2109" t="inlineStr">
        <is>
          <t>pressure</t>
        </is>
      </c>
      <c r="H2109" t="inlineStr">
        <is>
          <t>yes</t>
        </is>
      </c>
      <c r="I2109" t="inlineStr"/>
      <c r="J2109" t="inlineStr"/>
      <c r="K2109" t="inlineStr"/>
      <c r="L2109" t="inlineStr"/>
      <c r="M2109" t="inlineStr"/>
      <c r="N2109" t="inlineStr"/>
    </row>
    <row r="2110">
      <c r="A2110" t="inlineStr">
        <is>
          <t>jo-amman</t>
        </is>
      </c>
      <c r="B2110" t="inlineStr">
        <is>
          <t>Amman</t>
        </is>
      </c>
      <c r="C2110" t="inlineStr">
        <is>
          <t>Jordan</t>
        </is>
      </c>
      <c r="D2110" t="inlineStr">
        <is>
          <t>Middle East</t>
        </is>
      </c>
      <c r="E2110" t="inlineStr">
        <is>
          <t>utilities</t>
        </is>
      </c>
      <c r="F2110" t="inlineStr">
        <is>
          <t>Utilities</t>
        </is>
      </c>
      <c r="G2110" t="inlineStr">
        <is>
          <t>pressure</t>
        </is>
      </c>
      <c r="H2110" t="inlineStr">
        <is>
          <t>yes</t>
        </is>
      </c>
      <c r="I2110" t="inlineStr"/>
      <c r="J2110" t="inlineStr"/>
      <c r="K2110" t="inlineStr"/>
      <c r="L2110" t="inlineStr"/>
      <c r="M2110" t="inlineStr"/>
      <c r="N2110" t="inlineStr"/>
    </row>
    <row r="2111">
      <c r="A2111" t="inlineStr">
        <is>
          <t>jo-amman</t>
        </is>
      </c>
      <c r="B2111" t="inlineStr">
        <is>
          <t>Amman</t>
        </is>
      </c>
      <c r="C2111" t="inlineStr">
        <is>
          <t>Jordan</t>
        </is>
      </c>
      <c r="D2111" t="inlineStr">
        <is>
          <t>Middle East</t>
        </is>
      </c>
      <c r="E2111" t="inlineStr">
        <is>
          <t>transit_cost</t>
        </is>
      </c>
      <c r="F2111" t="inlineStr">
        <is>
          <t>Transit cost</t>
        </is>
      </c>
      <c r="G2111" t="inlineStr">
        <is>
          <t>pressure</t>
        </is>
      </c>
      <c r="H2111" t="inlineStr">
        <is>
          <t>yes</t>
        </is>
      </c>
      <c r="I2111" t="inlineStr"/>
      <c r="J2111" t="inlineStr"/>
      <c r="K2111" t="inlineStr"/>
      <c r="L2111" t="inlineStr"/>
      <c r="M2111" t="inlineStr"/>
      <c r="N2111" t="inlineStr"/>
    </row>
    <row r="2112">
      <c r="A2112" t="inlineStr">
        <is>
          <t>jo-amman</t>
        </is>
      </c>
      <c r="B2112" t="inlineStr">
        <is>
          <t>Amman</t>
        </is>
      </c>
      <c r="C2112" t="inlineStr">
        <is>
          <t>Jordan</t>
        </is>
      </c>
      <c r="D2112" t="inlineStr">
        <is>
          <t>Middle East</t>
        </is>
      </c>
      <c r="E2112" t="inlineStr">
        <is>
          <t>internet_cost</t>
        </is>
      </c>
      <c r="F2112" t="inlineStr">
        <is>
          <t>Internet cost</t>
        </is>
      </c>
      <c r="G2112" t="inlineStr">
        <is>
          <t>pressure</t>
        </is>
      </c>
      <c r="H2112" t="inlineStr">
        <is>
          <t>yes</t>
        </is>
      </c>
      <c r="I2112" t="inlineStr"/>
      <c r="J2112" t="inlineStr"/>
      <c r="K2112" t="inlineStr"/>
      <c r="L2112" t="inlineStr"/>
      <c r="M2112" t="inlineStr"/>
      <c r="N2112" t="inlineStr"/>
    </row>
    <row r="2113">
      <c r="A2113" t="inlineStr">
        <is>
          <t>jo-amman</t>
        </is>
      </c>
      <c r="B2113" t="inlineStr">
        <is>
          <t>Amman</t>
        </is>
      </c>
      <c r="C2113" t="inlineStr">
        <is>
          <t>Jordan</t>
        </is>
      </c>
      <c r="D2113" t="inlineStr">
        <is>
          <t>Middle East</t>
        </is>
      </c>
      <c r="E2113" t="inlineStr">
        <is>
          <t>food_cost</t>
        </is>
      </c>
      <c r="F2113" t="inlineStr">
        <is>
          <t>Food cost</t>
        </is>
      </c>
      <c r="G2113" t="inlineStr">
        <is>
          <t>pressure</t>
        </is>
      </c>
      <c r="H2113" t="inlineStr">
        <is>
          <t>yes</t>
        </is>
      </c>
      <c r="I2113" t="inlineStr"/>
      <c r="J2113" t="inlineStr"/>
      <c r="K2113" t="inlineStr"/>
      <c r="L2113" t="inlineStr"/>
      <c r="M2113" t="inlineStr"/>
      <c r="N2113" t="inlineStr"/>
    </row>
    <row r="2114">
      <c r="A2114" t="inlineStr">
        <is>
          <t>jo-amman</t>
        </is>
      </c>
      <c r="B2114" t="inlineStr">
        <is>
          <t>Amman</t>
        </is>
      </c>
      <c r="C2114" t="inlineStr">
        <is>
          <t>Jordan</t>
        </is>
      </c>
      <c r="D2114" t="inlineStr">
        <is>
          <t>Middle East</t>
        </is>
      </c>
      <c r="E2114" t="inlineStr">
        <is>
          <t>housing_burden_raw</t>
        </is>
      </c>
      <c r="F2114" t="inlineStr">
        <is>
          <t>Housing burden raw</t>
        </is>
      </c>
      <c r="G2114" t="inlineStr">
        <is>
          <t>pressure</t>
        </is>
      </c>
      <c r="H2114" t="inlineStr">
        <is>
          <t>yes</t>
        </is>
      </c>
      <c r="I2114" t="inlineStr"/>
      <c r="J2114" t="inlineStr"/>
      <c r="K2114" t="inlineStr"/>
      <c r="L2114" t="inlineStr"/>
      <c r="M2114" t="inlineStr"/>
      <c r="N2114" t="inlineStr"/>
    </row>
    <row r="2115">
      <c r="A2115" t="inlineStr">
        <is>
          <t>jo-amman</t>
        </is>
      </c>
      <c r="B2115" t="inlineStr">
        <is>
          <t>Amman</t>
        </is>
      </c>
      <c r="C2115" t="inlineStr">
        <is>
          <t>Jordan</t>
        </is>
      </c>
      <c r="D2115" t="inlineStr">
        <is>
          <t>Middle East</t>
        </is>
      </c>
      <c r="E2115" t="inlineStr">
        <is>
          <t>household_debt_burden_raw</t>
        </is>
      </c>
      <c r="F2115" t="inlineStr">
        <is>
          <t>Household debt burden raw</t>
        </is>
      </c>
      <c r="G2115" t="inlineStr">
        <is>
          <t>pressure</t>
        </is>
      </c>
      <c r="H2115" t="inlineStr">
        <is>
          <t>yes</t>
        </is>
      </c>
      <c r="I2115" t="inlineStr"/>
      <c r="J2115" t="inlineStr"/>
      <c r="K2115" t="inlineStr"/>
      <c r="L2115" t="inlineStr"/>
      <c r="M2115" t="inlineStr"/>
      <c r="N2115" t="inlineStr"/>
    </row>
    <row r="2116">
      <c r="A2116" t="inlineStr">
        <is>
          <t>jo-amman</t>
        </is>
      </c>
      <c r="B2116" t="inlineStr">
        <is>
          <t>Amman</t>
        </is>
      </c>
      <c r="C2116" t="inlineStr">
        <is>
          <t>Jordan</t>
        </is>
      </c>
      <c r="D2116" t="inlineStr">
        <is>
          <t>Middle East</t>
        </is>
      </c>
      <c r="E2116" t="inlineStr">
        <is>
          <t>working_time_pressure_raw</t>
        </is>
      </c>
      <c r="F2116" t="inlineStr">
        <is>
          <t>Working time pressure raw</t>
        </is>
      </c>
      <c r="G2116" t="inlineStr">
        <is>
          <t>pressure</t>
        </is>
      </c>
      <c r="H2116" t="inlineStr">
        <is>
          <t>yes</t>
        </is>
      </c>
      <c r="I2116" t="inlineStr"/>
      <c r="J2116" t="inlineStr"/>
      <c r="K2116" t="inlineStr"/>
      <c r="L2116" t="inlineStr"/>
      <c r="M2116" t="inlineStr"/>
      <c r="N2116" t="inlineStr"/>
    </row>
    <row r="2117">
      <c r="A2117" t="inlineStr">
        <is>
          <t>jo-amman</t>
        </is>
      </c>
      <c r="B2117" t="inlineStr">
        <is>
          <t>Amman</t>
        </is>
      </c>
      <c r="C2117" t="inlineStr">
        <is>
          <t>Jordan</t>
        </is>
      </c>
      <c r="D2117" t="inlineStr">
        <is>
          <t>Middle East</t>
        </is>
      </c>
      <c r="E2117" t="inlineStr">
        <is>
          <t>suicide_mental_strain_raw</t>
        </is>
      </c>
      <c r="F2117" t="inlineStr">
        <is>
          <t>Suicide or mental strain raw</t>
        </is>
      </c>
      <c r="G2117" t="inlineStr">
        <is>
          <t>pressure</t>
        </is>
      </c>
      <c r="H2117" t="inlineStr">
        <is>
          <t>yes</t>
        </is>
      </c>
      <c r="I2117" t="inlineStr"/>
      <c r="J2117" t="inlineStr"/>
      <c r="K2117" t="inlineStr"/>
      <c r="L2117" t="inlineStr"/>
      <c r="M2117" t="inlineStr"/>
      <c r="N2117" t="inlineStr"/>
    </row>
    <row r="2118">
      <c r="A2118" t="inlineStr">
        <is>
          <t>jo-amman</t>
        </is>
      </c>
      <c r="B2118" t="inlineStr">
        <is>
          <t>Amman</t>
        </is>
      </c>
      <c r="C2118" t="inlineStr">
        <is>
          <t>Jordan</t>
        </is>
      </c>
      <c r="D2118" t="inlineStr">
        <is>
          <t>Middle East</t>
        </is>
      </c>
      <c r="E2118" t="inlineStr">
        <is>
          <t>personal_safety_raw</t>
        </is>
      </c>
      <c r="F2118" t="inlineStr">
        <is>
          <t>Personal safety raw</t>
        </is>
      </c>
      <c r="G2118" t="inlineStr">
        <is>
          <t>viability</t>
        </is>
      </c>
      <c r="H2118" t="inlineStr">
        <is>
          <t>yes</t>
        </is>
      </c>
      <c r="I2118" t="inlineStr"/>
      <c r="J2118" t="inlineStr"/>
      <c r="K2118" t="inlineStr"/>
      <c r="L2118" t="inlineStr"/>
      <c r="M2118" t="inlineStr"/>
      <c r="N2118" t="inlineStr"/>
    </row>
    <row r="2119">
      <c r="A2119" t="inlineStr">
        <is>
          <t>jo-amman</t>
        </is>
      </c>
      <c r="B2119" t="inlineStr">
        <is>
          <t>Amman</t>
        </is>
      </c>
      <c r="C2119" t="inlineStr">
        <is>
          <t>Jordan</t>
        </is>
      </c>
      <c r="D2119" t="inlineStr">
        <is>
          <t>Middle East</t>
        </is>
      </c>
      <c r="E2119" t="inlineStr">
        <is>
          <t>transit_access_commute_raw</t>
        </is>
      </c>
      <c r="F2119" t="inlineStr">
        <is>
          <t>Transit access and commute raw</t>
        </is>
      </c>
      <c r="G2119" t="inlineStr">
        <is>
          <t>viability</t>
        </is>
      </c>
      <c r="H2119" t="inlineStr">
        <is>
          <t>yes</t>
        </is>
      </c>
      <c r="I2119" t="inlineStr"/>
      <c r="J2119" t="inlineStr"/>
      <c r="K2119" t="inlineStr"/>
      <c r="L2119" t="inlineStr"/>
      <c r="M2119" t="inlineStr"/>
      <c r="N2119" t="inlineStr"/>
    </row>
    <row r="2120">
      <c r="A2120" t="inlineStr">
        <is>
          <t>jo-amman</t>
        </is>
      </c>
      <c r="B2120" t="inlineStr">
        <is>
          <t>Amman</t>
        </is>
      </c>
      <c r="C2120" t="inlineStr">
        <is>
          <t>Jordan</t>
        </is>
      </c>
      <c r="D2120" t="inlineStr">
        <is>
          <t>Middle East</t>
        </is>
      </c>
      <c r="E2120" t="inlineStr">
        <is>
          <t>clean_air_raw</t>
        </is>
      </c>
      <c r="F2120" t="inlineStr">
        <is>
          <t>Clean air raw</t>
        </is>
      </c>
      <c r="G2120" t="inlineStr">
        <is>
          <t>viability</t>
        </is>
      </c>
      <c r="H2120" t="inlineStr">
        <is>
          <t>yes</t>
        </is>
      </c>
      <c r="I2120" t="inlineStr"/>
      <c r="J2120" t="inlineStr"/>
      <c r="K2120" t="inlineStr"/>
      <c r="L2120" t="inlineStr"/>
      <c r="M2120" t="inlineStr"/>
      <c r="N2120" t="inlineStr"/>
    </row>
    <row r="2121">
      <c r="A2121" t="inlineStr">
        <is>
          <t>jo-amman</t>
        </is>
      </c>
      <c r="B2121" t="inlineStr">
        <is>
          <t>Amman</t>
        </is>
      </c>
      <c r="C2121" t="inlineStr">
        <is>
          <t>Jordan</t>
        </is>
      </c>
      <c r="D2121" t="inlineStr">
        <is>
          <t>Middle East</t>
        </is>
      </c>
      <c r="E2121" t="inlineStr">
        <is>
          <t>water_sanitation_utility_raw</t>
        </is>
      </c>
      <c r="F2121" t="inlineStr">
        <is>
          <t>Water, sanitation, and utility raw</t>
        </is>
      </c>
      <c r="G2121" t="inlineStr">
        <is>
          <t>viability</t>
        </is>
      </c>
      <c r="H2121" t="inlineStr">
        <is>
          <t>yes</t>
        </is>
      </c>
      <c r="I2121" t="inlineStr"/>
      <c r="J2121" t="inlineStr"/>
      <c r="K2121" t="inlineStr"/>
      <c r="L2121" t="inlineStr"/>
      <c r="M2121" t="inlineStr"/>
      <c r="N2121" t="inlineStr"/>
    </row>
    <row r="2122">
      <c r="A2122" t="inlineStr">
        <is>
          <t>jo-amman</t>
        </is>
      </c>
      <c r="B2122" t="inlineStr">
        <is>
          <t>Amman</t>
        </is>
      </c>
      <c r="C2122" t="inlineStr">
        <is>
          <t>Jordan</t>
        </is>
      </c>
      <c r="D2122" t="inlineStr">
        <is>
          <t>Middle East</t>
        </is>
      </c>
      <c r="E2122" t="inlineStr">
        <is>
          <t>digital_infrastructure_raw</t>
        </is>
      </c>
      <c r="F2122" t="inlineStr">
        <is>
          <t>Digital infrastructure raw</t>
        </is>
      </c>
      <c r="G2122" t="inlineStr">
        <is>
          <t>viability</t>
        </is>
      </c>
      <c r="H2122" t="inlineStr">
        <is>
          <t>yes</t>
        </is>
      </c>
      <c r="I2122" t="inlineStr"/>
      <c r="J2122" t="inlineStr"/>
      <c r="K2122" t="inlineStr"/>
      <c r="L2122" t="inlineStr"/>
      <c r="M2122" t="inlineStr"/>
      <c r="N2122" t="inlineStr"/>
    </row>
    <row r="2123">
      <c r="A2123" t="inlineStr">
        <is>
          <t>jo-amman</t>
        </is>
      </c>
      <c r="B2123" t="inlineStr">
        <is>
          <t>Amman</t>
        </is>
      </c>
      <c r="C2123" t="inlineStr">
        <is>
          <t>Jordan</t>
        </is>
      </c>
      <c r="D2123" t="inlineStr">
        <is>
          <t>Middle East</t>
        </is>
      </c>
      <c r="E2123" t="inlineStr">
        <is>
          <t>healthcare_quality_raw</t>
        </is>
      </c>
      <c r="F2123" t="inlineStr">
        <is>
          <t>Healthcare quality raw</t>
        </is>
      </c>
      <c r="G2123" t="inlineStr">
        <is>
          <t>capability</t>
        </is>
      </c>
      <c r="H2123" t="inlineStr">
        <is>
          <t>yes</t>
        </is>
      </c>
      <c r="I2123" t="inlineStr"/>
      <c r="J2123" t="inlineStr"/>
      <c r="K2123" t="inlineStr"/>
      <c r="L2123" t="inlineStr"/>
      <c r="M2123" t="inlineStr"/>
      <c r="N2123" t="inlineStr"/>
    </row>
    <row r="2124">
      <c r="A2124" t="inlineStr">
        <is>
          <t>jo-amman</t>
        </is>
      </c>
      <c r="B2124" t="inlineStr">
        <is>
          <t>Amman</t>
        </is>
      </c>
      <c r="C2124" t="inlineStr">
        <is>
          <t>Jordan</t>
        </is>
      </c>
      <c r="D2124" t="inlineStr">
        <is>
          <t>Middle East</t>
        </is>
      </c>
      <c r="E2124" t="inlineStr">
        <is>
          <t>education_quality_raw</t>
        </is>
      </c>
      <c r="F2124" t="inlineStr">
        <is>
          <t>Education quality raw</t>
        </is>
      </c>
      <c r="G2124" t="inlineStr">
        <is>
          <t>capability</t>
        </is>
      </c>
      <c r="H2124" t="inlineStr">
        <is>
          <t>yes</t>
        </is>
      </c>
      <c r="I2124" t="inlineStr"/>
      <c r="J2124" t="inlineStr"/>
      <c r="K2124" t="inlineStr"/>
      <c r="L2124" t="inlineStr"/>
      <c r="M2124" t="inlineStr"/>
      <c r="N2124" t="inlineStr"/>
    </row>
    <row r="2125">
      <c r="A2125" t="inlineStr">
        <is>
          <t>jo-amman</t>
        </is>
      </c>
      <c r="B2125" t="inlineStr">
        <is>
          <t>Amman</t>
        </is>
      </c>
      <c r="C2125" t="inlineStr">
        <is>
          <t>Jordan</t>
        </is>
      </c>
      <c r="D2125" t="inlineStr">
        <is>
          <t>Middle East</t>
        </is>
      </c>
      <c r="E2125" t="inlineStr">
        <is>
          <t>equal_opportunity_raw</t>
        </is>
      </c>
      <c r="F2125" t="inlineStr">
        <is>
          <t>Equal opportunity raw</t>
        </is>
      </c>
      <c r="G2125" t="inlineStr">
        <is>
          <t>capability</t>
        </is>
      </c>
      <c r="H2125" t="inlineStr">
        <is>
          <t>yes</t>
        </is>
      </c>
      <c r="I2125" t="inlineStr"/>
      <c r="J2125" t="inlineStr"/>
      <c r="K2125" t="inlineStr"/>
      <c r="L2125" t="inlineStr"/>
      <c r="M2125" t="inlineStr"/>
      <c r="N2125" t="inlineStr"/>
    </row>
    <row r="2126">
      <c r="A2126" t="inlineStr">
        <is>
          <t>jo-amman</t>
        </is>
      </c>
      <c r="B2126" t="inlineStr">
        <is>
          <t>Amman</t>
        </is>
      </c>
      <c r="C2126" t="inlineStr">
        <is>
          <t>Jordan</t>
        </is>
      </c>
      <c r="D2126" t="inlineStr">
        <is>
          <t>Middle East</t>
        </is>
      </c>
      <c r="E2126" t="inlineStr">
        <is>
          <t>hospitality_belonging_raw</t>
        </is>
      </c>
      <c r="F2126" t="inlineStr">
        <is>
          <t>Hospitality and belonging raw</t>
        </is>
      </c>
      <c r="G2126" t="inlineStr">
        <is>
          <t>community</t>
        </is>
      </c>
      <c r="H2126" t="inlineStr">
        <is>
          <t>yes</t>
        </is>
      </c>
      <c r="I2126" t="inlineStr"/>
      <c r="J2126" t="inlineStr"/>
      <c r="K2126" t="inlineStr"/>
      <c r="L2126" t="inlineStr"/>
      <c r="M2126" t="inlineStr"/>
      <c r="N2126" t="inlineStr"/>
    </row>
    <row r="2127">
      <c r="A2127" t="inlineStr">
        <is>
          <t>jo-amman</t>
        </is>
      </c>
      <c r="B2127" t="inlineStr">
        <is>
          <t>Amman</t>
        </is>
      </c>
      <c r="C2127" t="inlineStr">
        <is>
          <t>Jordan</t>
        </is>
      </c>
      <c r="D2127" t="inlineStr">
        <is>
          <t>Middle East</t>
        </is>
      </c>
      <c r="E2127" t="inlineStr">
        <is>
          <t>tolerance_pluralism_raw</t>
        </is>
      </c>
      <c r="F2127" t="inlineStr">
        <is>
          <t>Tolerance and pluralism raw</t>
        </is>
      </c>
      <c r="G2127" t="inlineStr">
        <is>
          <t>community</t>
        </is>
      </c>
      <c r="H2127" t="inlineStr">
        <is>
          <t>yes</t>
        </is>
      </c>
      <c r="I2127" t="inlineStr"/>
      <c r="J2127" t="inlineStr"/>
      <c r="K2127" t="inlineStr"/>
      <c r="L2127" t="inlineStr"/>
      <c r="M2127" t="inlineStr"/>
      <c r="N2127" t="inlineStr"/>
    </row>
    <row r="2128">
      <c r="A2128" t="inlineStr">
        <is>
          <t>jo-amman</t>
        </is>
      </c>
      <c r="B2128" t="inlineStr">
        <is>
          <t>Amman</t>
        </is>
      </c>
      <c r="C2128" t="inlineStr">
        <is>
          <t>Jordan</t>
        </is>
      </c>
      <c r="D2128" t="inlineStr">
        <is>
          <t>Middle East</t>
        </is>
      </c>
      <c r="E2128" t="inlineStr">
        <is>
          <t>cultural_public_life_raw</t>
        </is>
      </c>
      <c r="F2128" t="inlineStr">
        <is>
          <t>Cultural public life raw</t>
        </is>
      </c>
      <c r="G2128" t="inlineStr">
        <is>
          <t>community</t>
        </is>
      </c>
      <c r="H2128" t="inlineStr">
        <is>
          <t>yes</t>
        </is>
      </c>
      <c r="I2128" t="inlineStr"/>
      <c r="J2128" t="inlineStr"/>
      <c r="K2128" t="inlineStr"/>
      <c r="L2128" t="inlineStr"/>
      <c r="M2128" t="inlineStr"/>
      <c r="N2128" t="inlineStr"/>
    </row>
    <row r="2129">
      <c r="A2129" t="inlineStr">
        <is>
          <t>jo-amman</t>
        </is>
      </c>
      <c r="B2129" t="inlineStr">
        <is>
          <t>Amman</t>
        </is>
      </c>
      <c r="C2129" t="inlineStr">
        <is>
          <t>Jordan</t>
        </is>
      </c>
      <c r="D2129" t="inlineStr">
        <is>
          <t>Middle East</t>
        </is>
      </c>
      <c r="E2129" t="inlineStr">
        <is>
          <t>entrepreneurial_dynamism_raw</t>
        </is>
      </c>
      <c r="F2129" t="inlineStr">
        <is>
          <t>Entrepreneurial dynamism raw</t>
        </is>
      </c>
      <c r="G2129" t="inlineStr">
        <is>
          <t>creative</t>
        </is>
      </c>
      <c r="H2129" t="inlineStr">
        <is>
          <t>yes</t>
        </is>
      </c>
      <c r="I2129" t="inlineStr"/>
      <c r="J2129" t="inlineStr"/>
      <c r="K2129" t="inlineStr"/>
      <c r="L2129" t="inlineStr"/>
      <c r="M2129" t="inlineStr"/>
      <c r="N2129" t="inlineStr"/>
    </row>
    <row r="2130">
      <c r="A2130" t="inlineStr">
        <is>
          <t>jo-amman</t>
        </is>
      </c>
      <c r="B2130" t="inlineStr">
        <is>
          <t>Amman</t>
        </is>
      </c>
      <c r="C2130" t="inlineStr">
        <is>
          <t>Jordan</t>
        </is>
      </c>
      <c r="D2130" t="inlineStr">
        <is>
          <t>Middle East</t>
        </is>
      </c>
      <c r="E2130" t="inlineStr">
        <is>
          <t>innovation_research_intensity_raw</t>
        </is>
      </c>
      <c r="F2130" t="inlineStr">
        <is>
          <t>Innovation and research raw</t>
        </is>
      </c>
      <c r="G2130" t="inlineStr">
        <is>
          <t>creative</t>
        </is>
      </c>
      <c r="H2130" t="inlineStr">
        <is>
          <t>yes</t>
        </is>
      </c>
      <c r="I2130" t="inlineStr"/>
      <c r="J2130" t="inlineStr"/>
      <c r="K2130" t="inlineStr"/>
      <c r="L2130" t="inlineStr"/>
      <c r="M2130" t="inlineStr"/>
      <c r="N2130" t="inlineStr"/>
    </row>
    <row r="2131">
      <c r="A2131" t="inlineStr">
        <is>
          <t>jo-amman</t>
        </is>
      </c>
      <c r="B2131" t="inlineStr">
        <is>
          <t>Amman</t>
        </is>
      </c>
      <c r="C2131" t="inlineStr">
        <is>
          <t>Jordan</t>
        </is>
      </c>
      <c r="D2131" t="inlineStr">
        <is>
          <t>Middle East</t>
        </is>
      </c>
      <c r="E2131" t="inlineStr">
        <is>
          <t>investment_signal_raw</t>
        </is>
      </c>
      <c r="F2131" t="inlineStr">
        <is>
          <t>Investment signal raw</t>
        </is>
      </c>
      <c r="G2131" t="inlineStr">
        <is>
          <t>creative</t>
        </is>
      </c>
      <c r="H2131" t="inlineStr">
        <is>
          <t>yes</t>
        </is>
      </c>
      <c r="I2131" t="inlineStr"/>
      <c r="J2131" t="inlineStr"/>
      <c r="K2131" t="inlineStr"/>
      <c r="L2131" t="inlineStr"/>
      <c r="M2131" t="inlineStr"/>
      <c r="N2131" t="inlineStr"/>
    </row>
    <row r="2132">
      <c r="A2132" t="inlineStr">
        <is>
          <t>jo-amman</t>
        </is>
      </c>
      <c r="B2132" t="inlineStr">
        <is>
          <t>Amman</t>
        </is>
      </c>
      <c r="C2132" t="inlineStr">
        <is>
          <t>Jordan</t>
        </is>
      </c>
      <c r="D2132" t="inlineStr">
        <is>
          <t>Middle East</t>
        </is>
      </c>
      <c r="E2132" t="inlineStr">
        <is>
          <t>administrative_investment_friction_raw</t>
        </is>
      </c>
      <c r="F2132" t="inlineStr">
        <is>
          <t>Administrative investment friction raw</t>
        </is>
      </c>
      <c r="G2132" t="inlineStr">
        <is>
          <t>creative</t>
        </is>
      </c>
      <c r="H2132" t="inlineStr">
        <is>
          <t>yes</t>
        </is>
      </c>
      <c r="I2132" t="inlineStr"/>
      <c r="J2132" t="inlineStr"/>
      <c r="K2132" t="inlineStr"/>
      <c r="L2132" t="inlineStr"/>
      <c r="M2132" t="inlineStr"/>
      <c r="N2132" t="inlineStr"/>
    </row>
    <row r="2133">
      <c r="A2133" t="inlineStr">
        <is>
          <t>jo-amman</t>
        </is>
      </c>
      <c r="B2133" t="inlineStr">
        <is>
          <t>Amman</t>
        </is>
      </c>
      <c r="C2133" t="inlineStr">
        <is>
          <t>Jordan</t>
        </is>
      </c>
      <c r="D2133" t="inlineStr">
        <is>
          <t>Middle East</t>
        </is>
      </c>
      <c r="E2133" t="inlineStr">
        <is>
          <t>visitor_flow_context_raw</t>
        </is>
      </c>
      <c r="F2133" t="inlineStr">
        <is>
          <t>Visitor flow context raw</t>
        </is>
      </c>
      <c r="G2133" t="inlineStr">
        <is>
          <t>creative</t>
        </is>
      </c>
      <c r="H2133" t="inlineStr">
        <is>
          <t>no</t>
        </is>
      </c>
      <c r="I2133" t="inlineStr"/>
      <c r="J2133" t="inlineStr"/>
      <c r="K2133" t="inlineStr"/>
      <c r="L2133" t="inlineStr"/>
      <c r="M2133" t="inlineStr"/>
      <c r="N2133" t="inlineStr"/>
    </row>
    <row r="2134">
      <c r="A2134" t="inlineStr">
        <is>
          <t>za-cape-town</t>
        </is>
      </c>
      <c r="B2134" t="inlineStr">
        <is>
          <t>Cape Town</t>
        </is>
      </c>
      <c r="C2134" t="inlineStr">
        <is>
          <t>South Africa</t>
        </is>
      </c>
      <c r="D2134" t="inlineStr">
        <is>
          <t>Africa</t>
        </is>
      </c>
      <c r="E2134" t="inlineStr">
        <is>
          <t>gross_income</t>
        </is>
      </c>
      <c r="F2134" t="inlineStr">
        <is>
          <t>Gross income</t>
        </is>
      </c>
      <c r="G2134" t="inlineStr">
        <is>
          <t>pressure</t>
        </is>
      </c>
      <c r="H2134" t="inlineStr">
        <is>
          <t>yes</t>
        </is>
      </c>
      <c r="I2134" t="inlineStr"/>
      <c r="J2134" t="inlineStr"/>
      <c r="K2134" t="inlineStr"/>
      <c r="L2134" t="inlineStr"/>
      <c r="M2134" t="inlineStr"/>
      <c r="N2134" t="inlineStr"/>
    </row>
    <row r="2135">
      <c r="A2135" t="inlineStr">
        <is>
          <t>za-cape-town</t>
        </is>
      </c>
      <c r="B2135" t="inlineStr">
        <is>
          <t>Cape Town</t>
        </is>
      </c>
      <c r="C2135" t="inlineStr">
        <is>
          <t>South Africa</t>
        </is>
      </c>
      <c r="D2135" t="inlineStr">
        <is>
          <t>Africa</t>
        </is>
      </c>
      <c r="E2135" t="inlineStr">
        <is>
          <t>rent</t>
        </is>
      </c>
      <c r="F2135" t="inlineStr">
        <is>
          <t>Rent</t>
        </is>
      </c>
      <c r="G2135" t="inlineStr">
        <is>
          <t>pressure</t>
        </is>
      </c>
      <c r="H2135" t="inlineStr">
        <is>
          <t>yes</t>
        </is>
      </c>
      <c r="I2135" t="inlineStr"/>
      <c r="J2135" t="inlineStr"/>
      <c r="K2135" t="inlineStr"/>
      <c r="L2135" t="inlineStr"/>
      <c r="M2135" t="inlineStr"/>
      <c r="N2135" t="inlineStr"/>
    </row>
    <row r="2136">
      <c r="A2136" t="inlineStr">
        <is>
          <t>za-cape-town</t>
        </is>
      </c>
      <c r="B2136" t="inlineStr">
        <is>
          <t>Cape Town</t>
        </is>
      </c>
      <c r="C2136" t="inlineStr">
        <is>
          <t>South Africa</t>
        </is>
      </c>
      <c r="D2136" t="inlineStr">
        <is>
          <t>Africa</t>
        </is>
      </c>
      <c r="E2136" t="inlineStr">
        <is>
          <t>utilities</t>
        </is>
      </c>
      <c r="F2136" t="inlineStr">
        <is>
          <t>Utilities</t>
        </is>
      </c>
      <c r="G2136" t="inlineStr">
        <is>
          <t>pressure</t>
        </is>
      </c>
      <c r="H2136" t="inlineStr">
        <is>
          <t>yes</t>
        </is>
      </c>
      <c r="I2136" t="inlineStr"/>
      <c r="J2136" t="inlineStr"/>
      <c r="K2136" t="inlineStr"/>
      <c r="L2136" t="inlineStr"/>
      <c r="M2136" t="inlineStr"/>
      <c r="N2136" t="inlineStr"/>
    </row>
    <row r="2137">
      <c r="A2137" t="inlineStr">
        <is>
          <t>za-cape-town</t>
        </is>
      </c>
      <c r="B2137" t="inlineStr">
        <is>
          <t>Cape Town</t>
        </is>
      </c>
      <c r="C2137" t="inlineStr">
        <is>
          <t>South Africa</t>
        </is>
      </c>
      <c r="D2137" t="inlineStr">
        <is>
          <t>Africa</t>
        </is>
      </c>
      <c r="E2137" t="inlineStr">
        <is>
          <t>transit_cost</t>
        </is>
      </c>
      <c r="F2137" t="inlineStr">
        <is>
          <t>Transit cost</t>
        </is>
      </c>
      <c r="G2137" t="inlineStr">
        <is>
          <t>pressure</t>
        </is>
      </c>
      <c r="H2137" t="inlineStr">
        <is>
          <t>yes</t>
        </is>
      </c>
      <c r="I2137" t="inlineStr"/>
      <c r="J2137" t="inlineStr"/>
      <c r="K2137" t="inlineStr"/>
      <c r="L2137" t="inlineStr"/>
      <c r="M2137" t="inlineStr"/>
      <c r="N2137" t="inlineStr"/>
    </row>
    <row r="2138">
      <c r="A2138" t="inlineStr">
        <is>
          <t>za-cape-town</t>
        </is>
      </c>
      <c r="B2138" t="inlineStr">
        <is>
          <t>Cape Town</t>
        </is>
      </c>
      <c r="C2138" t="inlineStr">
        <is>
          <t>South Africa</t>
        </is>
      </c>
      <c r="D2138" t="inlineStr">
        <is>
          <t>Africa</t>
        </is>
      </c>
      <c r="E2138" t="inlineStr">
        <is>
          <t>internet_cost</t>
        </is>
      </c>
      <c r="F2138" t="inlineStr">
        <is>
          <t>Internet cost</t>
        </is>
      </c>
      <c r="G2138" t="inlineStr">
        <is>
          <t>pressure</t>
        </is>
      </c>
      <c r="H2138" t="inlineStr">
        <is>
          <t>yes</t>
        </is>
      </c>
      <c r="I2138" t="inlineStr"/>
      <c r="J2138" t="inlineStr"/>
      <c r="K2138" t="inlineStr"/>
      <c r="L2138" t="inlineStr"/>
      <c r="M2138" t="inlineStr"/>
      <c r="N2138" t="inlineStr"/>
    </row>
    <row r="2139">
      <c r="A2139" t="inlineStr">
        <is>
          <t>za-cape-town</t>
        </is>
      </c>
      <c r="B2139" t="inlineStr">
        <is>
          <t>Cape Town</t>
        </is>
      </c>
      <c r="C2139" t="inlineStr">
        <is>
          <t>South Africa</t>
        </is>
      </c>
      <c r="D2139" t="inlineStr">
        <is>
          <t>Africa</t>
        </is>
      </c>
      <c r="E2139" t="inlineStr">
        <is>
          <t>food_cost</t>
        </is>
      </c>
      <c r="F2139" t="inlineStr">
        <is>
          <t>Food cost</t>
        </is>
      </c>
      <c r="G2139" t="inlineStr">
        <is>
          <t>pressure</t>
        </is>
      </c>
      <c r="H2139" t="inlineStr">
        <is>
          <t>yes</t>
        </is>
      </c>
      <c r="I2139" t="inlineStr"/>
      <c r="J2139" t="inlineStr"/>
      <c r="K2139" t="inlineStr"/>
      <c r="L2139" t="inlineStr"/>
      <c r="M2139" t="inlineStr"/>
      <c r="N2139" t="inlineStr"/>
    </row>
    <row r="2140">
      <c r="A2140" t="inlineStr">
        <is>
          <t>za-cape-town</t>
        </is>
      </c>
      <c r="B2140" t="inlineStr">
        <is>
          <t>Cape Town</t>
        </is>
      </c>
      <c r="C2140" t="inlineStr">
        <is>
          <t>South Africa</t>
        </is>
      </c>
      <c r="D2140" t="inlineStr">
        <is>
          <t>Africa</t>
        </is>
      </c>
      <c r="E2140" t="inlineStr">
        <is>
          <t>housing_burden_raw</t>
        </is>
      </c>
      <c r="F2140" t="inlineStr">
        <is>
          <t>Housing burden raw</t>
        </is>
      </c>
      <c r="G2140" t="inlineStr">
        <is>
          <t>pressure</t>
        </is>
      </c>
      <c r="H2140" t="inlineStr">
        <is>
          <t>yes</t>
        </is>
      </c>
      <c r="I2140" t="inlineStr"/>
      <c r="J2140" t="inlineStr"/>
      <c r="K2140" t="inlineStr"/>
      <c r="L2140" t="inlineStr"/>
      <c r="M2140" t="inlineStr"/>
      <c r="N2140" t="inlineStr"/>
    </row>
    <row r="2141">
      <c r="A2141" t="inlineStr">
        <is>
          <t>za-cape-town</t>
        </is>
      </c>
      <c r="B2141" t="inlineStr">
        <is>
          <t>Cape Town</t>
        </is>
      </c>
      <c r="C2141" t="inlineStr">
        <is>
          <t>South Africa</t>
        </is>
      </c>
      <c r="D2141" t="inlineStr">
        <is>
          <t>Africa</t>
        </is>
      </c>
      <c r="E2141" t="inlineStr">
        <is>
          <t>household_debt_burden_raw</t>
        </is>
      </c>
      <c r="F2141" t="inlineStr">
        <is>
          <t>Household debt burden raw</t>
        </is>
      </c>
      <c r="G2141" t="inlineStr">
        <is>
          <t>pressure</t>
        </is>
      </c>
      <c r="H2141" t="inlineStr">
        <is>
          <t>yes</t>
        </is>
      </c>
      <c r="I2141" t="inlineStr"/>
      <c r="J2141" t="inlineStr"/>
      <c r="K2141" t="inlineStr"/>
      <c r="L2141" t="inlineStr"/>
      <c r="M2141" t="inlineStr"/>
      <c r="N2141" t="inlineStr"/>
    </row>
    <row r="2142">
      <c r="A2142" t="inlineStr">
        <is>
          <t>za-cape-town</t>
        </is>
      </c>
      <c r="B2142" t="inlineStr">
        <is>
          <t>Cape Town</t>
        </is>
      </c>
      <c r="C2142" t="inlineStr">
        <is>
          <t>South Africa</t>
        </is>
      </c>
      <c r="D2142" t="inlineStr">
        <is>
          <t>Africa</t>
        </is>
      </c>
      <c r="E2142" t="inlineStr">
        <is>
          <t>working_time_pressure_raw</t>
        </is>
      </c>
      <c r="F2142" t="inlineStr">
        <is>
          <t>Working time pressure raw</t>
        </is>
      </c>
      <c r="G2142" t="inlineStr">
        <is>
          <t>pressure</t>
        </is>
      </c>
      <c r="H2142" t="inlineStr">
        <is>
          <t>yes</t>
        </is>
      </c>
      <c r="I2142" t="inlineStr"/>
      <c r="J2142" t="inlineStr"/>
      <c r="K2142" t="inlineStr"/>
      <c r="L2142" t="inlineStr"/>
      <c r="M2142" t="inlineStr"/>
      <c r="N2142" t="inlineStr"/>
    </row>
    <row r="2143">
      <c r="A2143" t="inlineStr">
        <is>
          <t>za-cape-town</t>
        </is>
      </c>
      <c r="B2143" t="inlineStr">
        <is>
          <t>Cape Town</t>
        </is>
      </c>
      <c r="C2143" t="inlineStr">
        <is>
          <t>South Africa</t>
        </is>
      </c>
      <c r="D2143" t="inlineStr">
        <is>
          <t>Africa</t>
        </is>
      </c>
      <c r="E2143" t="inlineStr">
        <is>
          <t>suicide_mental_strain_raw</t>
        </is>
      </c>
      <c r="F2143" t="inlineStr">
        <is>
          <t>Suicide or mental strain raw</t>
        </is>
      </c>
      <c r="G2143" t="inlineStr">
        <is>
          <t>pressure</t>
        </is>
      </c>
      <c r="H2143" t="inlineStr">
        <is>
          <t>yes</t>
        </is>
      </c>
      <c r="I2143" t="inlineStr"/>
      <c r="J2143" t="inlineStr"/>
      <c r="K2143" t="inlineStr"/>
      <c r="L2143" t="inlineStr"/>
      <c r="M2143" t="inlineStr"/>
      <c r="N2143" t="inlineStr"/>
    </row>
    <row r="2144">
      <c r="A2144" t="inlineStr">
        <is>
          <t>za-cape-town</t>
        </is>
      </c>
      <c r="B2144" t="inlineStr">
        <is>
          <t>Cape Town</t>
        </is>
      </c>
      <c r="C2144" t="inlineStr">
        <is>
          <t>South Africa</t>
        </is>
      </c>
      <c r="D2144" t="inlineStr">
        <is>
          <t>Africa</t>
        </is>
      </c>
      <c r="E2144" t="inlineStr">
        <is>
          <t>personal_safety_raw</t>
        </is>
      </c>
      <c r="F2144" t="inlineStr">
        <is>
          <t>Personal safety raw</t>
        </is>
      </c>
      <c r="G2144" t="inlineStr">
        <is>
          <t>viability</t>
        </is>
      </c>
      <c r="H2144" t="inlineStr">
        <is>
          <t>yes</t>
        </is>
      </c>
      <c r="I2144" t="inlineStr"/>
      <c r="J2144" t="inlineStr"/>
      <c r="K2144" t="inlineStr"/>
      <c r="L2144" t="inlineStr"/>
      <c r="M2144" t="inlineStr"/>
      <c r="N2144" t="inlineStr"/>
    </row>
    <row r="2145">
      <c r="A2145" t="inlineStr">
        <is>
          <t>za-cape-town</t>
        </is>
      </c>
      <c r="B2145" t="inlineStr">
        <is>
          <t>Cape Town</t>
        </is>
      </c>
      <c r="C2145" t="inlineStr">
        <is>
          <t>South Africa</t>
        </is>
      </c>
      <c r="D2145" t="inlineStr">
        <is>
          <t>Africa</t>
        </is>
      </c>
      <c r="E2145" t="inlineStr">
        <is>
          <t>transit_access_commute_raw</t>
        </is>
      </c>
      <c r="F2145" t="inlineStr">
        <is>
          <t>Transit access and commute raw</t>
        </is>
      </c>
      <c r="G2145" t="inlineStr">
        <is>
          <t>viability</t>
        </is>
      </c>
      <c r="H2145" t="inlineStr">
        <is>
          <t>yes</t>
        </is>
      </c>
      <c r="I2145" t="inlineStr"/>
      <c r="J2145" t="inlineStr"/>
      <c r="K2145" t="inlineStr"/>
      <c r="L2145" t="inlineStr"/>
      <c r="M2145" t="inlineStr"/>
      <c r="N2145" t="inlineStr"/>
    </row>
    <row r="2146">
      <c r="A2146" t="inlineStr">
        <is>
          <t>za-cape-town</t>
        </is>
      </c>
      <c r="B2146" t="inlineStr">
        <is>
          <t>Cape Town</t>
        </is>
      </c>
      <c r="C2146" t="inlineStr">
        <is>
          <t>South Africa</t>
        </is>
      </c>
      <c r="D2146" t="inlineStr">
        <is>
          <t>Africa</t>
        </is>
      </c>
      <c r="E2146" t="inlineStr">
        <is>
          <t>clean_air_raw</t>
        </is>
      </c>
      <c r="F2146" t="inlineStr">
        <is>
          <t>Clean air raw</t>
        </is>
      </c>
      <c r="G2146" t="inlineStr">
        <is>
          <t>viability</t>
        </is>
      </c>
      <c r="H2146" t="inlineStr">
        <is>
          <t>yes</t>
        </is>
      </c>
      <c r="I2146" t="inlineStr"/>
      <c r="J2146" t="inlineStr"/>
      <c r="K2146" t="inlineStr"/>
      <c r="L2146" t="inlineStr"/>
      <c r="M2146" t="inlineStr"/>
      <c r="N2146" t="inlineStr"/>
    </row>
    <row r="2147">
      <c r="A2147" t="inlineStr">
        <is>
          <t>za-cape-town</t>
        </is>
      </c>
      <c r="B2147" t="inlineStr">
        <is>
          <t>Cape Town</t>
        </is>
      </c>
      <c r="C2147" t="inlineStr">
        <is>
          <t>South Africa</t>
        </is>
      </c>
      <c r="D2147" t="inlineStr">
        <is>
          <t>Africa</t>
        </is>
      </c>
      <c r="E2147" t="inlineStr">
        <is>
          <t>water_sanitation_utility_raw</t>
        </is>
      </c>
      <c r="F2147" t="inlineStr">
        <is>
          <t>Water, sanitation, and utility raw</t>
        </is>
      </c>
      <c r="G2147" t="inlineStr">
        <is>
          <t>viability</t>
        </is>
      </c>
      <c r="H2147" t="inlineStr">
        <is>
          <t>yes</t>
        </is>
      </c>
      <c r="I2147" t="inlineStr"/>
      <c r="J2147" t="inlineStr"/>
      <c r="K2147" t="inlineStr"/>
      <c r="L2147" t="inlineStr"/>
      <c r="M2147" t="inlineStr"/>
      <c r="N2147" t="inlineStr"/>
    </row>
    <row r="2148">
      <c r="A2148" t="inlineStr">
        <is>
          <t>za-cape-town</t>
        </is>
      </c>
      <c r="B2148" t="inlineStr">
        <is>
          <t>Cape Town</t>
        </is>
      </c>
      <c r="C2148" t="inlineStr">
        <is>
          <t>South Africa</t>
        </is>
      </c>
      <c r="D2148" t="inlineStr">
        <is>
          <t>Africa</t>
        </is>
      </c>
      <c r="E2148" t="inlineStr">
        <is>
          <t>digital_infrastructure_raw</t>
        </is>
      </c>
      <c r="F2148" t="inlineStr">
        <is>
          <t>Digital infrastructure raw</t>
        </is>
      </c>
      <c r="G2148" t="inlineStr">
        <is>
          <t>viability</t>
        </is>
      </c>
      <c r="H2148" t="inlineStr">
        <is>
          <t>yes</t>
        </is>
      </c>
      <c r="I2148" t="inlineStr"/>
      <c r="J2148" t="inlineStr"/>
      <c r="K2148" t="inlineStr"/>
      <c r="L2148" t="inlineStr"/>
      <c r="M2148" t="inlineStr"/>
      <c r="N2148" t="inlineStr"/>
    </row>
    <row r="2149">
      <c r="A2149" t="inlineStr">
        <is>
          <t>za-cape-town</t>
        </is>
      </c>
      <c r="B2149" t="inlineStr">
        <is>
          <t>Cape Town</t>
        </is>
      </c>
      <c r="C2149" t="inlineStr">
        <is>
          <t>South Africa</t>
        </is>
      </c>
      <c r="D2149" t="inlineStr">
        <is>
          <t>Africa</t>
        </is>
      </c>
      <c r="E2149" t="inlineStr">
        <is>
          <t>healthcare_quality_raw</t>
        </is>
      </c>
      <c r="F2149" t="inlineStr">
        <is>
          <t>Healthcare quality raw</t>
        </is>
      </c>
      <c r="G2149" t="inlineStr">
        <is>
          <t>capability</t>
        </is>
      </c>
      <c r="H2149" t="inlineStr">
        <is>
          <t>yes</t>
        </is>
      </c>
      <c r="I2149" t="inlineStr"/>
      <c r="J2149" t="inlineStr"/>
      <c r="K2149" t="inlineStr"/>
      <c r="L2149" t="inlineStr"/>
      <c r="M2149" t="inlineStr"/>
      <c r="N2149" t="inlineStr"/>
    </row>
    <row r="2150">
      <c r="A2150" t="inlineStr">
        <is>
          <t>za-cape-town</t>
        </is>
      </c>
      <c r="B2150" t="inlineStr">
        <is>
          <t>Cape Town</t>
        </is>
      </c>
      <c r="C2150" t="inlineStr">
        <is>
          <t>South Africa</t>
        </is>
      </c>
      <c r="D2150" t="inlineStr">
        <is>
          <t>Africa</t>
        </is>
      </c>
      <c r="E2150" t="inlineStr">
        <is>
          <t>education_quality_raw</t>
        </is>
      </c>
      <c r="F2150" t="inlineStr">
        <is>
          <t>Education quality raw</t>
        </is>
      </c>
      <c r="G2150" t="inlineStr">
        <is>
          <t>capability</t>
        </is>
      </c>
      <c r="H2150" t="inlineStr">
        <is>
          <t>yes</t>
        </is>
      </c>
      <c r="I2150" t="inlineStr"/>
      <c r="J2150" t="inlineStr"/>
      <c r="K2150" t="inlineStr"/>
      <c r="L2150" t="inlineStr"/>
      <c r="M2150" t="inlineStr"/>
      <c r="N2150" t="inlineStr"/>
    </row>
    <row r="2151">
      <c r="A2151" t="inlineStr">
        <is>
          <t>za-cape-town</t>
        </is>
      </c>
      <c r="B2151" t="inlineStr">
        <is>
          <t>Cape Town</t>
        </is>
      </c>
      <c r="C2151" t="inlineStr">
        <is>
          <t>South Africa</t>
        </is>
      </c>
      <c r="D2151" t="inlineStr">
        <is>
          <t>Africa</t>
        </is>
      </c>
      <c r="E2151" t="inlineStr">
        <is>
          <t>equal_opportunity_raw</t>
        </is>
      </c>
      <c r="F2151" t="inlineStr">
        <is>
          <t>Equal opportunity raw</t>
        </is>
      </c>
      <c r="G2151" t="inlineStr">
        <is>
          <t>capability</t>
        </is>
      </c>
      <c r="H2151" t="inlineStr">
        <is>
          <t>yes</t>
        </is>
      </c>
      <c r="I2151" t="inlineStr"/>
      <c r="J2151" t="inlineStr"/>
      <c r="K2151" t="inlineStr"/>
      <c r="L2151" t="inlineStr"/>
      <c r="M2151" t="inlineStr"/>
      <c r="N2151" t="inlineStr"/>
    </row>
    <row r="2152">
      <c r="A2152" t="inlineStr">
        <is>
          <t>za-cape-town</t>
        </is>
      </c>
      <c r="B2152" t="inlineStr">
        <is>
          <t>Cape Town</t>
        </is>
      </c>
      <c r="C2152" t="inlineStr">
        <is>
          <t>South Africa</t>
        </is>
      </c>
      <c r="D2152" t="inlineStr">
        <is>
          <t>Africa</t>
        </is>
      </c>
      <c r="E2152" t="inlineStr">
        <is>
          <t>hospitality_belonging_raw</t>
        </is>
      </c>
      <c r="F2152" t="inlineStr">
        <is>
          <t>Hospitality and belonging raw</t>
        </is>
      </c>
      <c r="G2152" t="inlineStr">
        <is>
          <t>community</t>
        </is>
      </c>
      <c r="H2152" t="inlineStr">
        <is>
          <t>yes</t>
        </is>
      </c>
      <c r="I2152" t="inlineStr"/>
      <c r="J2152" t="inlineStr"/>
      <c r="K2152" t="inlineStr"/>
      <c r="L2152" t="inlineStr"/>
      <c r="M2152" t="inlineStr"/>
      <c r="N2152" t="inlineStr"/>
    </row>
    <row r="2153">
      <c r="A2153" t="inlineStr">
        <is>
          <t>za-cape-town</t>
        </is>
      </c>
      <c r="B2153" t="inlineStr">
        <is>
          <t>Cape Town</t>
        </is>
      </c>
      <c r="C2153" t="inlineStr">
        <is>
          <t>South Africa</t>
        </is>
      </c>
      <c r="D2153" t="inlineStr">
        <is>
          <t>Africa</t>
        </is>
      </c>
      <c r="E2153" t="inlineStr">
        <is>
          <t>tolerance_pluralism_raw</t>
        </is>
      </c>
      <c r="F2153" t="inlineStr">
        <is>
          <t>Tolerance and pluralism raw</t>
        </is>
      </c>
      <c r="G2153" t="inlineStr">
        <is>
          <t>community</t>
        </is>
      </c>
      <c r="H2153" t="inlineStr">
        <is>
          <t>yes</t>
        </is>
      </c>
      <c r="I2153" t="inlineStr"/>
      <c r="J2153" t="inlineStr"/>
      <c r="K2153" t="inlineStr"/>
      <c r="L2153" t="inlineStr"/>
      <c r="M2153" t="inlineStr"/>
      <c r="N2153" t="inlineStr"/>
    </row>
    <row r="2154">
      <c r="A2154" t="inlineStr">
        <is>
          <t>za-cape-town</t>
        </is>
      </c>
      <c r="B2154" t="inlineStr">
        <is>
          <t>Cape Town</t>
        </is>
      </c>
      <c r="C2154" t="inlineStr">
        <is>
          <t>South Africa</t>
        </is>
      </c>
      <c r="D2154" t="inlineStr">
        <is>
          <t>Africa</t>
        </is>
      </c>
      <c r="E2154" t="inlineStr">
        <is>
          <t>cultural_public_life_raw</t>
        </is>
      </c>
      <c r="F2154" t="inlineStr">
        <is>
          <t>Cultural public life raw</t>
        </is>
      </c>
      <c r="G2154" t="inlineStr">
        <is>
          <t>community</t>
        </is>
      </c>
      <c r="H2154" t="inlineStr">
        <is>
          <t>yes</t>
        </is>
      </c>
      <c r="I2154" t="inlineStr"/>
      <c r="J2154" t="inlineStr"/>
      <c r="K2154" t="inlineStr"/>
      <c r="L2154" t="inlineStr"/>
      <c r="M2154" t="inlineStr"/>
      <c r="N2154" t="inlineStr"/>
    </row>
    <row r="2155">
      <c r="A2155" t="inlineStr">
        <is>
          <t>za-cape-town</t>
        </is>
      </c>
      <c r="B2155" t="inlineStr">
        <is>
          <t>Cape Town</t>
        </is>
      </c>
      <c r="C2155" t="inlineStr">
        <is>
          <t>South Africa</t>
        </is>
      </c>
      <c r="D2155" t="inlineStr">
        <is>
          <t>Africa</t>
        </is>
      </c>
      <c r="E2155" t="inlineStr">
        <is>
          <t>entrepreneurial_dynamism_raw</t>
        </is>
      </c>
      <c r="F2155" t="inlineStr">
        <is>
          <t>Entrepreneurial dynamism raw</t>
        </is>
      </c>
      <c r="G2155" t="inlineStr">
        <is>
          <t>creative</t>
        </is>
      </c>
      <c r="H2155" t="inlineStr">
        <is>
          <t>yes</t>
        </is>
      </c>
      <c r="I2155" t="inlineStr"/>
      <c r="J2155" t="inlineStr"/>
      <c r="K2155" t="inlineStr"/>
      <c r="L2155" t="inlineStr"/>
      <c r="M2155" t="inlineStr"/>
      <c r="N2155" t="inlineStr"/>
    </row>
    <row r="2156">
      <c r="A2156" t="inlineStr">
        <is>
          <t>za-cape-town</t>
        </is>
      </c>
      <c r="B2156" t="inlineStr">
        <is>
          <t>Cape Town</t>
        </is>
      </c>
      <c r="C2156" t="inlineStr">
        <is>
          <t>South Africa</t>
        </is>
      </c>
      <c r="D2156" t="inlineStr">
        <is>
          <t>Africa</t>
        </is>
      </c>
      <c r="E2156" t="inlineStr">
        <is>
          <t>innovation_research_intensity_raw</t>
        </is>
      </c>
      <c r="F2156" t="inlineStr">
        <is>
          <t>Innovation and research raw</t>
        </is>
      </c>
      <c r="G2156" t="inlineStr">
        <is>
          <t>creative</t>
        </is>
      </c>
      <c r="H2156" t="inlineStr">
        <is>
          <t>yes</t>
        </is>
      </c>
      <c r="I2156" t="inlineStr"/>
      <c r="J2156" t="inlineStr"/>
      <c r="K2156" t="inlineStr"/>
      <c r="L2156" t="inlineStr"/>
      <c r="M2156" t="inlineStr"/>
      <c r="N2156" t="inlineStr"/>
    </row>
    <row r="2157">
      <c r="A2157" t="inlineStr">
        <is>
          <t>za-cape-town</t>
        </is>
      </c>
      <c r="B2157" t="inlineStr">
        <is>
          <t>Cape Town</t>
        </is>
      </c>
      <c r="C2157" t="inlineStr">
        <is>
          <t>South Africa</t>
        </is>
      </c>
      <c r="D2157" t="inlineStr">
        <is>
          <t>Africa</t>
        </is>
      </c>
      <c r="E2157" t="inlineStr">
        <is>
          <t>investment_signal_raw</t>
        </is>
      </c>
      <c r="F2157" t="inlineStr">
        <is>
          <t>Investment signal raw</t>
        </is>
      </c>
      <c r="G2157" t="inlineStr">
        <is>
          <t>creative</t>
        </is>
      </c>
      <c r="H2157" t="inlineStr">
        <is>
          <t>yes</t>
        </is>
      </c>
      <c r="I2157" t="inlineStr"/>
      <c r="J2157" t="inlineStr"/>
      <c r="K2157" t="inlineStr"/>
      <c r="L2157" t="inlineStr"/>
      <c r="M2157" t="inlineStr"/>
      <c r="N2157" t="inlineStr"/>
    </row>
    <row r="2158">
      <c r="A2158" t="inlineStr">
        <is>
          <t>za-cape-town</t>
        </is>
      </c>
      <c r="B2158" t="inlineStr">
        <is>
          <t>Cape Town</t>
        </is>
      </c>
      <c r="C2158" t="inlineStr">
        <is>
          <t>South Africa</t>
        </is>
      </c>
      <c r="D2158" t="inlineStr">
        <is>
          <t>Africa</t>
        </is>
      </c>
      <c r="E2158" t="inlineStr">
        <is>
          <t>administrative_investment_friction_raw</t>
        </is>
      </c>
      <c r="F2158" t="inlineStr">
        <is>
          <t>Administrative investment friction raw</t>
        </is>
      </c>
      <c r="G2158" t="inlineStr">
        <is>
          <t>creative</t>
        </is>
      </c>
      <c r="H2158" t="inlineStr">
        <is>
          <t>yes</t>
        </is>
      </c>
      <c r="I2158" t="inlineStr"/>
      <c r="J2158" t="inlineStr"/>
      <c r="K2158" t="inlineStr"/>
      <c r="L2158" t="inlineStr"/>
      <c r="M2158" t="inlineStr"/>
      <c r="N2158" t="inlineStr"/>
    </row>
    <row r="2159">
      <c r="A2159" t="inlineStr">
        <is>
          <t>za-cape-town</t>
        </is>
      </c>
      <c r="B2159" t="inlineStr">
        <is>
          <t>Cape Town</t>
        </is>
      </c>
      <c r="C2159" t="inlineStr">
        <is>
          <t>South Africa</t>
        </is>
      </c>
      <c r="D2159" t="inlineStr">
        <is>
          <t>Africa</t>
        </is>
      </c>
      <c r="E2159" t="inlineStr">
        <is>
          <t>visitor_flow_context_raw</t>
        </is>
      </c>
      <c r="F2159" t="inlineStr">
        <is>
          <t>Visitor flow context raw</t>
        </is>
      </c>
      <c r="G2159" t="inlineStr">
        <is>
          <t>creative</t>
        </is>
      </c>
      <c r="H2159" t="inlineStr">
        <is>
          <t>no</t>
        </is>
      </c>
      <c r="I2159" t="inlineStr"/>
      <c r="J2159" t="inlineStr"/>
      <c r="K2159" t="inlineStr"/>
      <c r="L2159" t="inlineStr"/>
      <c r="M2159" t="inlineStr"/>
      <c r="N2159" t="inlineStr"/>
    </row>
    <row r="2160">
      <c r="A2160" t="inlineStr">
        <is>
          <t>za-johannesburg</t>
        </is>
      </c>
      <c r="B2160" t="inlineStr">
        <is>
          <t>Johannesburg</t>
        </is>
      </c>
      <c r="C2160" t="inlineStr">
        <is>
          <t>South Africa</t>
        </is>
      </c>
      <c r="D2160" t="inlineStr">
        <is>
          <t>Africa</t>
        </is>
      </c>
      <c r="E2160" t="inlineStr">
        <is>
          <t>gross_income</t>
        </is>
      </c>
      <c r="F2160" t="inlineStr">
        <is>
          <t>Gross income</t>
        </is>
      </c>
      <c r="G2160" t="inlineStr">
        <is>
          <t>pressure</t>
        </is>
      </c>
      <c r="H2160" t="inlineStr">
        <is>
          <t>yes</t>
        </is>
      </c>
      <c r="I2160" t="inlineStr"/>
      <c r="J2160" t="inlineStr"/>
      <c r="K2160" t="inlineStr"/>
      <c r="L2160" t="inlineStr"/>
      <c r="M2160" t="inlineStr"/>
      <c r="N2160" t="inlineStr"/>
    </row>
    <row r="2161">
      <c r="A2161" t="inlineStr">
        <is>
          <t>za-johannesburg</t>
        </is>
      </c>
      <c r="B2161" t="inlineStr">
        <is>
          <t>Johannesburg</t>
        </is>
      </c>
      <c r="C2161" t="inlineStr">
        <is>
          <t>South Africa</t>
        </is>
      </c>
      <c r="D2161" t="inlineStr">
        <is>
          <t>Africa</t>
        </is>
      </c>
      <c r="E2161" t="inlineStr">
        <is>
          <t>rent</t>
        </is>
      </c>
      <c r="F2161" t="inlineStr">
        <is>
          <t>Rent</t>
        </is>
      </c>
      <c r="G2161" t="inlineStr">
        <is>
          <t>pressure</t>
        </is>
      </c>
      <c r="H2161" t="inlineStr">
        <is>
          <t>yes</t>
        </is>
      </c>
      <c r="I2161" t="inlineStr"/>
      <c r="J2161" t="inlineStr"/>
      <c r="K2161" t="inlineStr"/>
      <c r="L2161" t="inlineStr"/>
      <c r="M2161" t="inlineStr"/>
      <c r="N2161" t="inlineStr"/>
    </row>
    <row r="2162">
      <c r="A2162" t="inlineStr">
        <is>
          <t>za-johannesburg</t>
        </is>
      </c>
      <c r="B2162" t="inlineStr">
        <is>
          <t>Johannesburg</t>
        </is>
      </c>
      <c r="C2162" t="inlineStr">
        <is>
          <t>South Africa</t>
        </is>
      </c>
      <c r="D2162" t="inlineStr">
        <is>
          <t>Africa</t>
        </is>
      </c>
      <c r="E2162" t="inlineStr">
        <is>
          <t>utilities</t>
        </is>
      </c>
      <c r="F2162" t="inlineStr">
        <is>
          <t>Utilities</t>
        </is>
      </c>
      <c r="G2162" t="inlineStr">
        <is>
          <t>pressure</t>
        </is>
      </c>
      <c r="H2162" t="inlineStr">
        <is>
          <t>yes</t>
        </is>
      </c>
      <c r="I2162" t="inlineStr"/>
      <c r="J2162" t="inlineStr"/>
      <c r="K2162" t="inlineStr"/>
      <c r="L2162" t="inlineStr"/>
      <c r="M2162" t="inlineStr"/>
      <c r="N2162" t="inlineStr"/>
    </row>
    <row r="2163">
      <c r="A2163" t="inlineStr">
        <is>
          <t>za-johannesburg</t>
        </is>
      </c>
      <c r="B2163" t="inlineStr">
        <is>
          <t>Johannesburg</t>
        </is>
      </c>
      <c r="C2163" t="inlineStr">
        <is>
          <t>South Africa</t>
        </is>
      </c>
      <c r="D2163" t="inlineStr">
        <is>
          <t>Africa</t>
        </is>
      </c>
      <c r="E2163" t="inlineStr">
        <is>
          <t>transit_cost</t>
        </is>
      </c>
      <c r="F2163" t="inlineStr">
        <is>
          <t>Transit cost</t>
        </is>
      </c>
      <c r="G2163" t="inlineStr">
        <is>
          <t>pressure</t>
        </is>
      </c>
      <c r="H2163" t="inlineStr">
        <is>
          <t>yes</t>
        </is>
      </c>
      <c r="I2163" t="inlineStr"/>
      <c r="J2163" t="inlineStr"/>
      <c r="K2163" t="inlineStr"/>
      <c r="L2163" t="inlineStr"/>
      <c r="M2163" t="inlineStr"/>
      <c r="N2163" t="inlineStr"/>
    </row>
    <row r="2164">
      <c r="A2164" t="inlineStr">
        <is>
          <t>za-johannesburg</t>
        </is>
      </c>
      <c r="B2164" t="inlineStr">
        <is>
          <t>Johannesburg</t>
        </is>
      </c>
      <c r="C2164" t="inlineStr">
        <is>
          <t>South Africa</t>
        </is>
      </c>
      <c r="D2164" t="inlineStr">
        <is>
          <t>Africa</t>
        </is>
      </c>
      <c r="E2164" t="inlineStr">
        <is>
          <t>internet_cost</t>
        </is>
      </c>
      <c r="F2164" t="inlineStr">
        <is>
          <t>Internet cost</t>
        </is>
      </c>
      <c r="G2164" t="inlineStr">
        <is>
          <t>pressure</t>
        </is>
      </c>
      <c r="H2164" t="inlineStr">
        <is>
          <t>yes</t>
        </is>
      </c>
      <c r="I2164" t="inlineStr"/>
      <c r="J2164" t="inlineStr"/>
      <c r="K2164" t="inlineStr"/>
      <c r="L2164" t="inlineStr"/>
      <c r="M2164" t="inlineStr"/>
      <c r="N2164" t="inlineStr"/>
    </row>
    <row r="2165">
      <c r="A2165" t="inlineStr">
        <is>
          <t>za-johannesburg</t>
        </is>
      </c>
      <c r="B2165" t="inlineStr">
        <is>
          <t>Johannesburg</t>
        </is>
      </c>
      <c r="C2165" t="inlineStr">
        <is>
          <t>South Africa</t>
        </is>
      </c>
      <c r="D2165" t="inlineStr">
        <is>
          <t>Africa</t>
        </is>
      </c>
      <c r="E2165" t="inlineStr">
        <is>
          <t>food_cost</t>
        </is>
      </c>
      <c r="F2165" t="inlineStr">
        <is>
          <t>Food cost</t>
        </is>
      </c>
      <c r="G2165" t="inlineStr">
        <is>
          <t>pressure</t>
        </is>
      </c>
      <c r="H2165" t="inlineStr">
        <is>
          <t>yes</t>
        </is>
      </c>
      <c r="I2165" t="inlineStr"/>
      <c r="J2165" t="inlineStr"/>
      <c r="K2165" t="inlineStr"/>
      <c r="L2165" t="inlineStr"/>
      <c r="M2165" t="inlineStr"/>
      <c r="N2165" t="inlineStr"/>
    </row>
    <row r="2166">
      <c r="A2166" t="inlineStr">
        <is>
          <t>za-johannesburg</t>
        </is>
      </c>
      <c r="B2166" t="inlineStr">
        <is>
          <t>Johannesburg</t>
        </is>
      </c>
      <c r="C2166" t="inlineStr">
        <is>
          <t>South Africa</t>
        </is>
      </c>
      <c r="D2166" t="inlineStr">
        <is>
          <t>Africa</t>
        </is>
      </c>
      <c r="E2166" t="inlineStr">
        <is>
          <t>housing_burden_raw</t>
        </is>
      </c>
      <c r="F2166" t="inlineStr">
        <is>
          <t>Housing burden raw</t>
        </is>
      </c>
      <c r="G2166" t="inlineStr">
        <is>
          <t>pressure</t>
        </is>
      </c>
      <c r="H2166" t="inlineStr">
        <is>
          <t>yes</t>
        </is>
      </c>
      <c r="I2166" t="inlineStr"/>
      <c r="J2166" t="inlineStr"/>
      <c r="K2166" t="inlineStr"/>
      <c r="L2166" t="inlineStr"/>
      <c r="M2166" t="inlineStr"/>
      <c r="N2166" t="inlineStr"/>
    </row>
    <row r="2167">
      <c r="A2167" t="inlineStr">
        <is>
          <t>za-johannesburg</t>
        </is>
      </c>
      <c r="B2167" t="inlineStr">
        <is>
          <t>Johannesburg</t>
        </is>
      </c>
      <c r="C2167" t="inlineStr">
        <is>
          <t>South Africa</t>
        </is>
      </c>
      <c r="D2167" t="inlineStr">
        <is>
          <t>Africa</t>
        </is>
      </c>
      <c r="E2167" t="inlineStr">
        <is>
          <t>household_debt_burden_raw</t>
        </is>
      </c>
      <c r="F2167" t="inlineStr">
        <is>
          <t>Household debt burden raw</t>
        </is>
      </c>
      <c r="G2167" t="inlineStr">
        <is>
          <t>pressure</t>
        </is>
      </c>
      <c r="H2167" t="inlineStr">
        <is>
          <t>yes</t>
        </is>
      </c>
      <c r="I2167" t="inlineStr"/>
      <c r="J2167" t="inlineStr"/>
      <c r="K2167" t="inlineStr"/>
      <c r="L2167" t="inlineStr"/>
      <c r="M2167" t="inlineStr"/>
      <c r="N2167" t="inlineStr"/>
    </row>
    <row r="2168">
      <c r="A2168" t="inlineStr">
        <is>
          <t>za-johannesburg</t>
        </is>
      </c>
      <c r="B2168" t="inlineStr">
        <is>
          <t>Johannesburg</t>
        </is>
      </c>
      <c r="C2168" t="inlineStr">
        <is>
          <t>South Africa</t>
        </is>
      </c>
      <c r="D2168" t="inlineStr">
        <is>
          <t>Africa</t>
        </is>
      </c>
      <c r="E2168" t="inlineStr">
        <is>
          <t>working_time_pressure_raw</t>
        </is>
      </c>
      <c r="F2168" t="inlineStr">
        <is>
          <t>Working time pressure raw</t>
        </is>
      </c>
      <c r="G2168" t="inlineStr">
        <is>
          <t>pressure</t>
        </is>
      </c>
      <c r="H2168" t="inlineStr">
        <is>
          <t>yes</t>
        </is>
      </c>
      <c r="I2168" t="inlineStr"/>
      <c r="J2168" t="inlineStr"/>
      <c r="K2168" t="inlineStr"/>
      <c r="L2168" t="inlineStr"/>
      <c r="M2168" t="inlineStr"/>
      <c r="N2168" t="inlineStr"/>
    </row>
    <row r="2169">
      <c r="A2169" t="inlineStr">
        <is>
          <t>za-johannesburg</t>
        </is>
      </c>
      <c r="B2169" t="inlineStr">
        <is>
          <t>Johannesburg</t>
        </is>
      </c>
      <c r="C2169" t="inlineStr">
        <is>
          <t>South Africa</t>
        </is>
      </c>
      <c r="D2169" t="inlineStr">
        <is>
          <t>Africa</t>
        </is>
      </c>
      <c r="E2169" t="inlineStr">
        <is>
          <t>suicide_mental_strain_raw</t>
        </is>
      </c>
      <c r="F2169" t="inlineStr">
        <is>
          <t>Suicide or mental strain raw</t>
        </is>
      </c>
      <c r="G2169" t="inlineStr">
        <is>
          <t>pressure</t>
        </is>
      </c>
      <c r="H2169" t="inlineStr">
        <is>
          <t>yes</t>
        </is>
      </c>
      <c r="I2169" t="inlineStr"/>
      <c r="J2169" t="inlineStr"/>
      <c r="K2169" t="inlineStr"/>
      <c r="L2169" t="inlineStr"/>
      <c r="M2169" t="inlineStr"/>
      <c r="N2169" t="inlineStr"/>
    </row>
    <row r="2170">
      <c r="A2170" t="inlineStr">
        <is>
          <t>za-johannesburg</t>
        </is>
      </c>
      <c r="B2170" t="inlineStr">
        <is>
          <t>Johannesburg</t>
        </is>
      </c>
      <c r="C2170" t="inlineStr">
        <is>
          <t>South Africa</t>
        </is>
      </c>
      <c r="D2170" t="inlineStr">
        <is>
          <t>Africa</t>
        </is>
      </c>
      <c r="E2170" t="inlineStr">
        <is>
          <t>personal_safety_raw</t>
        </is>
      </c>
      <c r="F2170" t="inlineStr">
        <is>
          <t>Personal safety raw</t>
        </is>
      </c>
      <c r="G2170" t="inlineStr">
        <is>
          <t>viability</t>
        </is>
      </c>
      <c r="H2170" t="inlineStr">
        <is>
          <t>yes</t>
        </is>
      </c>
      <c r="I2170" t="inlineStr"/>
      <c r="J2170" t="inlineStr"/>
      <c r="K2170" t="inlineStr"/>
      <c r="L2170" t="inlineStr"/>
      <c r="M2170" t="inlineStr"/>
      <c r="N2170" t="inlineStr"/>
    </row>
    <row r="2171">
      <c r="A2171" t="inlineStr">
        <is>
          <t>za-johannesburg</t>
        </is>
      </c>
      <c r="B2171" t="inlineStr">
        <is>
          <t>Johannesburg</t>
        </is>
      </c>
      <c r="C2171" t="inlineStr">
        <is>
          <t>South Africa</t>
        </is>
      </c>
      <c r="D2171" t="inlineStr">
        <is>
          <t>Africa</t>
        </is>
      </c>
      <c r="E2171" t="inlineStr">
        <is>
          <t>transit_access_commute_raw</t>
        </is>
      </c>
      <c r="F2171" t="inlineStr">
        <is>
          <t>Transit access and commute raw</t>
        </is>
      </c>
      <c r="G2171" t="inlineStr">
        <is>
          <t>viability</t>
        </is>
      </c>
      <c r="H2171" t="inlineStr">
        <is>
          <t>yes</t>
        </is>
      </c>
      <c r="I2171" t="inlineStr"/>
      <c r="J2171" t="inlineStr"/>
      <c r="K2171" t="inlineStr"/>
      <c r="L2171" t="inlineStr"/>
      <c r="M2171" t="inlineStr"/>
      <c r="N2171" t="inlineStr"/>
    </row>
    <row r="2172">
      <c r="A2172" t="inlineStr">
        <is>
          <t>za-johannesburg</t>
        </is>
      </c>
      <c r="B2172" t="inlineStr">
        <is>
          <t>Johannesburg</t>
        </is>
      </c>
      <c r="C2172" t="inlineStr">
        <is>
          <t>South Africa</t>
        </is>
      </c>
      <c r="D2172" t="inlineStr">
        <is>
          <t>Africa</t>
        </is>
      </c>
      <c r="E2172" t="inlineStr">
        <is>
          <t>clean_air_raw</t>
        </is>
      </c>
      <c r="F2172" t="inlineStr">
        <is>
          <t>Clean air raw</t>
        </is>
      </c>
      <c r="G2172" t="inlineStr">
        <is>
          <t>viability</t>
        </is>
      </c>
      <c r="H2172" t="inlineStr">
        <is>
          <t>yes</t>
        </is>
      </c>
      <c r="I2172" t="inlineStr"/>
      <c r="J2172" t="inlineStr"/>
      <c r="K2172" t="inlineStr"/>
      <c r="L2172" t="inlineStr"/>
      <c r="M2172" t="inlineStr"/>
      <c r="N2172" t="inlineStr"/>
    </row>
    <row r="2173">
      <c r="A2173" t="inlineStr">
        <is>
          <t>za-johannesburg</t>
        </is>
      </c>
      <c r="B2173" t="inlineStr">
        <is>
          <t>Johannesburg</t>
        </is>
      </c>
      <c r="C2173" t="inlineStr">
        <is>
          <t>South Africa</t>
        </is>
      </c>
      <c r="D2173" t="inlineStr">
        <is>
          <t>Africa</t>
        </is>
      </c>
      <c r="E2173" t="inlineStr">
        <is>
          <t>water_sanitation_utility_raw</t>
        </is>
      </c>
      <c r="F2173" t="inlineStr">
        <is>
          <t>Water, sanitation, and utility raw</t>
        </is>
      </c>
      <c r="G2173" t="inlineStr">
        <is>
          <t>viability</t>
        </is>
      </c>
      <c r="H2173" t="inlineStr">
        <is>
          <t>yes</t>
        </is>
      </c>
      <c r="I2173" t="inlineStr"/>
      <c r="J2173" t="inlineStr"/>
      <c r="K2173" t="inlineStr"/>
      <c r="L2173" t="inlineStr"/>
      <c r="M2173" t="inlineStr"/>
      <c r="N2173" t="inlineStr"/>
    </row>
    <row r="2174">
      <c r="A2174" t="inlineStr">
        <is>
          <t>za-johannesburg</t>
        </is>
      </c>
      <c r="B2174" t="inlineStr">
        <is>
          <t>Johannesburg</t>
        </is>
      </c>
      <c r="C2174" t="inlineStr">
        <is>
          <t>South Africa</t>
        </is>
      </c>
      <c r="D2174" t="inlineStr">
        <is>
          <t>Africa</t>
        </is>
      </c>
      <c r="E2174" t="inlineStr">
        <is>
          <t>digital_infrastructure_raw</t>
        </is>
      </c>
      <c r="F2174" t="inlineStr">
        <is>
          <t>Digital infrastructure raw</t>
        </is>
      </c>
      <c r="G2174" t="inlineStr">
        <is>
          <t>viability</t>
        </is>
      </c>
      <c r="H2174" t="inlineStr">
        <is>
          <t>yes</t>
        </is>
      </c>
      <c r="I2174" t="inlineStr"/>
      <c r="J2174" t="inlineStr"/>
      <c r="K2174" t="inlineStr"/>
      <c r="L2174" t="inlineStr"/>
      <c r="M2174" t="inlineStr"/>
      <c r="N2174" t="inlineStr"/>
    </row>
    <row r="2175">
      <c r="A2175" t="inlineStr">
        <is>
          <t>za-johannesburg</t>
        </is>
      </c>
      <c r="B2175" t="inlineStr">
        <is>
          <t>Johannesburg</t>
        </is>
      </c>
      <c r="C2175" t="inlineStr">
        <is>
          <t>South Africa</t>
        </is>
      </c>
      <c r="D2175" t="inlineStr">
        <is>
          <t>Africa</t>
        </is>
      </c>
      <c r="E2175" t="inlineStr">
        <is>
          <t>healthcare_quality_raw</t>
        </is>
      </c>
      <c r="F2175" t="inlineStr">
        <is>
          <t>Healthcare quality raw</t>
        </is>
      </c>
      <c r="G2175" t="inlineStr">
        <is>
          <t>capability</t>
        </is>
      </c>
      <c r="H2175" t="inlineStr">
        <is>
          <t>yes</t>
        </is>
      </c>
      <c r="I2175" t="inlineStr"/>
      <c r="J2175" t="inlineStr"/>
      <c r="K2175" t="inlineStr"/>
      <c r="L2175" t="inlineStr"/>
      <c r="M2175" t="inlineStr"/>
      <c r="N2175" t="inlineStr"/>
    </row>
    <row r="2176">
      <c r="A2176" t="inlineStr">
        <is>
          <t>za-johannesburg</t>
        </is>
      </c>
      <c r="B2176" t="inlineStr">
        <is>
          <t>Johannesburg</t>
        </is>
      </c>
      <c r="C2176" t="inlineStr">
        <is>
          <t>South Africa</t>
        </is>
      </c>
      <c r="D2176" t="inlineStr">
        <is>
          <t>Africa</t>
        </is>
      </c>
      <c r="E2176" t="inlineStr">
        <is>
          <t>education_quality_raw</t>
        </is>
      </c>
      <c r="F2176" t="inlineStr">
        <is>
          <t>Education quality raw</t>
        </is>
      </c>
      <c r="G2176" t="inlineStr">
        <is>
          <t>capability</t>
        </is>
      </c>
      <c r="H2176" t="inlineStr">
        <is>
          <t>yes</t>
        </is>
      </c>
      <c r="I2176" t="inlineStr"/>
      <c r="J2176" t="inlineStr"/>
      <c r="K2176" t="inlineStr"/>
      <c r="L2176" t="inlineStr"/>
      <c r="M2176" t="inlineStr"/>
      <c r="N2176" t="inlineStr"/>
    </row>
    <row r="2177">
      <c r="A2177" t="inlineStr">
        <is>
          <t>za-johannesburg</t>
        </is>
      </c>
      <c r="B2177" t="inlineStr">
        <is>
          <t>Johannesburg</t>
        </is>
      </c>
      <c r="C2177" t="inlineStr">
        <is>
          <t>South Africa</t>
        </is>
      </c>
      <c r="D2177" t="inlineStr">
        <is>
          <t>Africa</t>
        </is>
      </c>
      <c r="E2177" t="inlineStr">
        <is>
          <t>equal_opportunity_raw</t>
        </is>
      </c>
      <c r="F2177" t="inlineStr">
        <is>
          <t>Equal opportunity raw</t>
        </is>
      </c>
      <c r="G2177" t="inlineStr">
        <is>
          <t>capability</t>
        </is>
      </c>
      <c r="H2177" t="inlineStr">
        <is>
          <t>yes</t>
        </is>
      </c>
      <c r="I2177" t="inlineStr"/>
      <c r="J2177" t="inlineStr"/>
      <c r="K2177" t="inlineStr"/>
      <c r="L2177" t="inlineStr"/>
      <c r="M2177" t="inlineStr"/>
      <c r="N2177" t="inlineStr"/>
    </row>
    <row r="2178">
      <c r="A2178" t="inlineStr">
        <is>
          <t>za-johannesburg</t>
        </is>
      </c>
      <c r="B2178" t="inlineStr">
        <is>
          <t>Johannesburg</t>
        </is>
      </c>
      <c r="C2178" t="inlineStr">
        <is>
          <t>South Africa</t>
        </is>
      </c>
      <c r="D2178" t="inlineStr">
        <is>
          <t>Africa</t>
        </is>
      </c>
      <c r="E2178" t="inlineStr">
        <is>
          <t>hospitality_belonging_raw</t>
        </is>
      </c>
      <c r="F2178" t="inlineStr">
        <is>
          <t>Hospitality and belonging raw</t>
        </is>
      </c>
      <c r="G2178" t="inlineStr">
        <is>
          <t>community</t>
        </is>
      </c>
      <c r="H2178" t="inlineStr">
        <is>
          <t>yes</t>
        </is>
      </c>
      <c r="I2178" t="inlineStr"/>
      <c r="J2178" t="inlineStr"/>
      <c r="K2178" t="inlineStr"/>
      <c r="L2178" t="inlineStr"/>
      <c r="M2178" t="inlineStr"/>
      <c r="N2178" t="inlineStr"/>
    </row>
    <row r="2179">
      <c r="A2179" t="inlineStr">
        <is>
          <t>za-johannesburg</t>
        </is>
      </c>
      <c r="B2179" t="inlineStr">
        <is>
          <t>Johannesburg</t>
        </is>
      </c>
      <c r="C2179" t="inlineStr">
        <is>
          <t>South Africa</t>
        </is>
      </c>
      <c r="D2179" t="inlineStr">
        <is>
          <t>Africa</t>
        </is>
      </c>
      <c r="E2179" t="inlineStr">
        <is>
          <t>tolerance_pluralism_raw</t>
        </is>
      </c>
      <c r="F2179" t="inlineStr">
        <is>
          <t>Tolerance and pluralism raw</t>
        </is>
      </c>
      <c r="G2179" t="inlineStr">
        <is>
          <t>community</t>
        </is>
      </c>
      <c r="H2179" t="inlineStr">
        <is>
          <t>yes</t>
        </is>
      </c>
      <c r="I2179" t="inlineStr"/>
      <c r="J2179" t="inlineStr"/>
      <c r="K2179" t="inlineStr"/>
      <c r="L2179" t="inlineStr"/>
      <c r="M2179" t="inlineStr"/>
      <c r="N2179" t="inlineStr"/>
    </row>
    <row r="2180">
      <c r="A2180" t="inlineStr">
        <is>
          <t>za-johannesburg</t>
        </is>
      </c>
      <c r="B2180" t="inlineStr">
        <is>
          <t>Johannesburg</t>
        </is>
      </c>
      <c r="C2180" t="inlineStr">
        <is>
          <t>South Africa</t>
        </is>
      </c>
      <c r="D2180" t="inlineStr">
        <is>
          <t>Africa</t>
        </is>
      </c>
      <c r="E2180" t="inlineStr">
        <is>
          <t>cultural_public_life_raw</t>
        </is>
      </c>
      <c r="F2180" t="inlineStr">
        <is>
          <t>Cultural public life raw</t>
        </is>
      </c>
      <c r="G2180" t="inlineStr">
        <is>
          <t>community</t>
        </is>
      </c>
      <c r="H2180" t="inlineStr">
        <is>
          <t>yes</t>
        </is>
      </c>
      <c r="I2180" t="inlineStr"/>
      <c r="J2180" t="inlineStr"/>
      <c r="K2180" t="inlineStr"/>
      <c r="L2180" t="inlineStr"/>
      <c r="M2180" t="inlineStr"/>
      <c r="N2180" t="inlineStr"/>
    </row>
    <row r="2181">
      <c r="A2181" t="inlineStr">
        <is>
          <t>za-johannesburg</t>
        </is>
      </c>
      <c r="B2181" t="inlineStr">
        <is>
          <t>Johannesburg</t>
        </is>
      </c>
      <c r="C2181" t="inlineStr">
        <is>
          <t>South Africa</t>
        </is>
      </c>
      <c r="D2181" t="inlineStr">
        <is>
          <t>Africa</t>
        </is>
      </c>
      <c r="E2181" t="inlineStr">
        <is>
          <t>entrepreneurial_dynamism_raw</t>
        </is>
      </c>
      <c r="F2181" t="inlineStr">
        <is>
          <t>Entrepreneurial dynamism raw</t>
        </is>
      </c>
      <c r="G2181" t="inlineStr">
        <is>
          <t>creative</t>
        </is>
      </c>
      <c r="H2181" t="inlineStr">
        <is>
          <t>yes</t>
        </is>
      </c>
      <c r="I2181" t="inlineStr"/>
      <c r="J2181" t="inlineStr"/>
      <c r="K2181" t="inlineStr"/>
      <c r="L2181" t="inlineStr"/>
      <c r="M2181" t="inlineStr"/>
      <c r="N2181" t="inlineStr"/>
    </row>
    <row r="2182">
      <c r="A2182" t="inlineStr">
        <is>
          <t>za-johannesburg</t>
        </is>
      </c>
      <c r="B2182" t="inlineStr">
        <is>
          <t>Johannesburg</t>
        </is>
      </c>
      <c r="C2182" t="inlineStr">
        <is>
          <t>South Africa</t>
        </is>
      </c>
      <c r="D2182" t="inlineStr">
        <is>
          <t>Africa</t>
        </is>
      </c>
      <c r="E2182" t="inlineStr">
        <is>
          <t>innovation_research_intensity_raw</t>
        </is>
      </c>
      <c r="F2182" t="inlineStr">
        <is>
          <t>Innovation and research raw</t>
        </is>
      </c>
      <c r="G2182" t="inlineStr">
        <is>
          <t>creative</t>
        </is>
      </c>
      <c r="H2182" t="inlineStr">
        <is>
          <t>yes</t>
        </is>
      </c>
      <c r="I2182" t="inlineStr"/>
      <c r="J2182" t="inlineStr"/>
      <c r="K2182" t="inlineStr"/>
      <c r="L2182" t="inlineStr"/>
      <c r="M2182" t="inlineStr"/>
      <c r="N2182" t="inlineStr"/>
    </row>
    <row r="2183">
      <c r="A2183" t="inlineStr">
        <is>
          <t>za-johannesburg</t>
        </is>
      </c>
      <c r="B2183" t="inlineStr">
        <is>
          <t>Johannesburg</t>
        </is>
      </c>
      <c r="C2183" t="inlineStr">
        <is>
          <t>South Africa</t>
        </is>
      </c>
      <c r="D2183" t="inlineStr">
        <is>
          <t>Africa</t>
        </is>
      </c>
      <c r="E2183" t="inlineStr">
        <is>
          <t>investment_signal_raw</t>
        </is>
      </c>
      <c r="F2183" t="inlineStr">
        <is>
          <t>Investment signal raw</t>
        </is>
      </c>
      <c r="G2183" t="inlineStr">
        <is>
          <t>creative</t>
        </is>
      </c>
      <c r="H2183" t="inlineStr">
        <is>
          <t>yes</t>
        </is>
      </c>
      <c r="I2183" t="inlineStr"/>
      <c r="J2183" t="inlineStr"/>
      <c r="K2183" t="inlineStr"/>
      <c r="L2183" t="inlineStr"/>
      <c r="M2183" t="inlineStr"/>
      <c r="N2183" t="inlineStr"/>
    </row>
    <row r="2184">
      <c r="A2184" t="inlineStr">
        <is>
          <t>za-johannesburg</t>
        </is>
      </c>
      <c r="B2184" t="inlineStr">
        <is>
          <t>Johannesburg</t>
        </is>
      </c>
      <c r="C2184" t="inlineStr">
        <is>
          <t>South Africa</t>
        </is>
      </c>
      <c r="D2184" t="inlineStr">
        <is>
          <t>Africa</t>
        </is>
      </c>
      <c r="E2184" t="inlineStr">
        <is>
          <t>administrative_investment_friction_raw</t>
        </is>
      </c>
      <c r="F2184" t="inlineStr">
        <is>
          <t>Administrative investment friction raw</t>
        </is>
      </c>
      <c r="G2184" t="inlineStr">
        <is>
          <t>creative</t>
        </is>
      </c>
      <c r="H2184" t="inlineStr">
        <is>
          <t>yes</t>
        </is>
      </c>
      <c r="I2184" t="inlineStr"/>
      <c r="J2184" t="inlineStr"/>
      <c r="K2184" t="inlineStr"/>
      <c r="L2184" t="inlineStr"/>
      <c r="M2184" t="inlineStr"/>
      <c r="N2184" t="inlineStr"/>
    </row>
    <row r="2185">
      <c r="A2185" t="inlineStr">
        <is>
          <t>za-johannesburg</t>
        </is>
      </c>
      <c r="B2185" t="inlineStr">
        <is>
          <t>Johannesburg</t>
        </is>
      </c>
      <c r="C2185" t="inlineStr">
        <is>
          <t>South Africa</t>
        </is>
      </c>
      <c r="D2185" t="inlineStr">
        <is>
          <t>Africa</t>
        </is>
      </c>
      <c r="E2185" t="inlineStr">
        <is>
          <t>visitor_flow_context_raw</t>
        </is>
      </c>
      <c r="F2185" t="inlineStr">
        <is>
          <t>Visitor flow context raw</t>
        </is>
      </c>
      <c r="G2185" t="inlineStr">
        <is>
          <t>creative</t>
        </is>
      </c>
      <c r="H2185" t="inlineStr">
        <is>
          <t>no</t>
        </is>
      </c>
      <c r="I2185" t="inlineStr"/>
      <c r="J2185" t="inlineStr"/>
      <c r="K2185" t="inlineStr"/>
      <c r="L2185" t="inlineStr"/>
      <c r="M2185" t="inlineStr"/>
      <c r="N2185" t="inlineStr"/>
    </row>
    <row r="2186">
      <c r="A2186" t="inlineStr">
        <is>
          <t>ke-nairobi</t>
        </is>
      </c>
      <c r="B2186" t="inlineStr">
        <is>
          <t>Nairobi</t>
        </is>
      </c>
      <c r="C2186" t="inlineStr">
        <is>
          <t>Kenya</t>
        </is>
      </c>
      <c r="D2186" t="inlineStr">
        <is>
          <t>Africa</t>
        </is>
      </c>
      <c r="E2186" t="inlineStr">
        <is>
          <t>gross_income</t>
        </is>
      </c>
      <c r="F2186" t="inlineStr">
        <is>
          <t>Gross income</t>
        </is>
      </c>
      <c r="G2186" t="inlineStr">
        <is>
          <t>pressure</t>
        </is>
      </c>
      <c r="H2186" t="inlineStr">
        <is>
          <t>yes</t>
        </is>
      </c>
      <c r="I2186" t="inlineStr"/>
      <c r="J2186" t="inlineStr"/>
      <c r="K2186" t="inlineStr"/>
      <c r="L2186" t="inlineStr"/>
      <c r="M2186" t="inlineStr"/>
      <c r="N2186" t="inlineStr"/>
    </row>
    <row r="2187">
      <c r="A2187" t="inlineStr">
        <is>
          <t>ke-nairobi</t>
        </is>
      </c>
      <c r="B2187" t="inlineStr">
        <is>
          <t>Nairobi</t>
        </is>
      </c>
      <c r="C2187" t="inlineStr">
        <is>
          <t>Kenya</t>
        </is>
      </c>
      <c r="D2187" t="inlineStr">
        <is>
          <t>Africa</t>
        </is>
      </c>
      <c r="E2187" t="inlineStr">
        <is>
          <t>rent</t>
        </is>
      </c>
      <c r="F2187" t="inlineStr">
        <is>
          <t>Rent</t>
        </is>
      </c>
      <c r="G2187" t="inlineStr">
        <is>
          <t>pressure</t>
        </is>
      </c>
      <c r="H2187" t="inlineStr">
        <is>
          <t>yes</t>
        </is>
      </c>
      <c r="I2187" t="inlineStr"/>
      <c r="J2187" t="inlineStr"/>
      <c r="K2187" t="inlineStr"/>
      <c r="L2187" t="inlineStr"/>
      <c r="M2187" t="inlineStr"/>
      <c r="N2187" t="inlineStr"/>
    </row>
    <row r="2188">
      <c r="A2188" t="inlineStr">
        <is>
          <t>ke-nairobi</t>
        </is>
      </c>
      <c r="B2188" t="inlineStr">
        <is>
          <t>Nairobi</t>
        </is>
      </c>
      <c r="C2188" t="inlineStr">
        <is>
          <t>Kenya</t>
        </is>
      </c>
      <c r="D2188" t="inlineStr">
        <is>
          <t>Africa</t>
        </is>
      </c>
      <c r="E2188" t="inlineStr">
        <is>
          <t>utilities</t>
        </is>
      </c>
      <c r="F2188" t="inlineStr">
        <is>
          <t>Utilities</t>
        </is>
      </c>
      <c r="G2188" t="inlineStr">
        <is>
          <t>pressure</t>
        </is>
      </c>
      <c r="H2188" t="inlineStr">
        <is>
          <t>yes</t>
        </is>
      </c>
      <c r="I2188" t="inlineStr"/>
      <c r="J2188" t="inlineStr"/>
      <c r="K2188" t="inlineStr"/>
      <c r="L2188" t="inlineStr"/>
      <c r="M2188" t="inlineStr"/>
      <c r="N2188" t="inlineStr"/>
    </row>
    <row r="2189">
      <c r="A2189" t="inlineStr">
        <is>
          <t>ke-nairobi</t>
        </is>
      </c>
      <c r="B2189" t="inlineStr">
        <is>
          <t>Nairobi</t>
        </is>
      </c>
      <c r="C2189" t="inlineStr">
        <is>
          <t>Kenya</t>
        </is>
      </c>
      <c r="D2189" t="inlineStr">
        <is>
          <t>Africa</t>
        </is>
      </c>
      <c r="E2189" t="inlineStr">
        <is>
          <t>transit_cost</t>
        </is>
      </c>
      <c r="F2189" t="inlineStr">
        <is>
          <t>Transit cost</t>
        </is>
      </c>
      <c r="G2189" t="inlineStr">
        <is>
          <t>pressure</t>
        </is>
      </c>
      <c r="H2189" t="inlineStr">
        <is>
          <t>yes</t>
        </is>
      </c>
      <c r="I2189" t="inlineStr"/>
      <c r="J2189" t="inlineStr"/>
      <c r="K2189" t="inlineStr"/>
      <c r="L2189" t="inlineStr"/>
      <c r="M2189" t="inlineStr"/>
      <c r="N2189" t="inlineStr"/>
    </row>
    <row r="2190">
      <c r="A2190" t="inlineStr">
        <is>
          <t>ke-nairobi</t>
        </is>
      </c>
      <c r="B2190" t="inlineStr">
        <is>
          <t>Nairobi</t>
        </is>
      </c>
      <c r="C2190" t="inlineStr">
        <is>
          <t>Kenya</t>
        </is>
      </c>
      <c r="D2190" t="inlineStr">
        <is>
          <t>Africa</t>
        </is>
      </c>
      <c r="E2190" t="inlineStr">
        <is>
          <t>internet_cost</t>
        </is>
      </c>
      <c r="F2190" t="inlineStr">
        <is>
          <t>Internet cost</t>
        </is>
      </c>
      <c r="G2190" t="inlineStr">
        <is>
          <t>pressure</t>
        </is>
      </c>
      <c r="H2190" t="inlineStr">
        <is>
          <t>yes</t>
        </is>
      </c>
      <c r="I2190" t="inlineStr"/>
      <c r="J2190" t="inlineStr"/>
      <c r="K2190" t="inlineStr"/>
      <c r="L2190" t="inlineStr"/>
      <c r="M2190" t="inlineStr"/>
      <c r="N2190" t="inlineStr"/>
    </row>
    <row r="2191">
      <c r="A2191" t="inlineStr">
        <is>
          <t>ke-nairobi</t>
        </is>
      </c>
      <c r="B2191" t="inlineStr">
        <is>
          <t>Nairobi</t>
        </is>
      </c>
      <c r="C2191" t="inlineStr">
        <is>
          <t>Kenya</t>
        </is>
      </c>
      <c r="D2191" t="inlineStr">
        <is>
          <t>Africa</t>
        </is>
      </c>
      <c r="E2191" t="inlineStr">
        <is>
          <t>food_cost</t>
        </is>
      </c>
      <c r="F2191" t="inlineStr">
        <is>
          <t>Food cost</t>
        </is>
      </c>
      <c r="G2191" t="inlineStr">
        <is>
          <t>pressure</t>
        </is>
      </c>
      <c r="H2191" t="inlineStr">
        <is>
          <t>yes</t>
        </is>
      </c>
      <c r="I2191" t="inlineStr"/>
      <c r="J2191" t="inlineStr"/>
      <c r="K2191" t="inlineStr"/>
      <c r="L2191" t="inlineStr"/>
      <c r="M2191" t="inlineStr"/>
      <c r="N2191" t="inlineStr"/>
    </row>
    <row r="2192">
      <c r="A2192" t="inlineStr">
        <is>
          <t>ke-nairobi</t>
        </is>
      </c>
      <c r="B2192" t="inlineStr">
        <is>
          <t>Nairobi</t>
        </is>
      </c>
      <c r="C2192" t="inlineStr">
        <is>
          <t>Kenya</t>
        </is>
      </c>
      <c r="D2192" t="inlineStr">
        <is>
          <t>Africa</t>
        </is>
      </c>
      <c r="E2192" t="inlineStr">
        <is>
          <t>housing_burden_raw</t>
        </is>
      </c>
      <c r="F2192" t="inlineStr">
        <is>
          <t>Housing burden raw</t>
        </is>
      </c>
      <c r="G2192" t="inlineStr">
        <is>
          <t>pressure</t>
        </is>
      </c>
      <c r="H2192" t="inlineStr">
        <is>
          <t>yes</t>
        </is>
      </c>
      <c r="I2192" t="inlineStr"/>
      <c r="J2192" t="inlineStr"/>
      <c r="K2192" t="inlineStr"/>
      <c r="L2192" t="inlineStr"/>
      <c r="M2192" t="inlineStr"/>
      <c r="N2192" t="inlineStr"/>
    </row>
    <row r="2193">
      <c r="A2193" t="inlineStr">
        <is>
          <t>ke-nairobi</t>
        </is>
      </c>
      <c r="B2193" t="inlineStr">
        <is>
          <t>Nairobi</t>
        </is>
      </c>
      <c r="C2193" t="inlineStr">
        <is>
          <t>Kenya</t>
        </is>
      </c>
      <c r="D2193" t="inlineStr">
        <is>
          <t>Africa</t>
        </is>
      </c>
      <c r="E2193" t="inlineStr">
        <is>
          <t>household_debt_burden_raw</t>
        </is>
      </c>
      <c r="F2193" t="inlineStr">
        <is>
          <t>Household debt burden raw</t>
        </is>
      </c>
      <c r="G2193" t="inlineStr">
        <is>
          <t>pressure</t>
        </is>
      </c>
      <c r="H2193" t="inlineStr">
        <is>
          <t>yes</t>
        </is>
      </c>
      <c r="I2193" t="inlineStr"/>
      <c r="J2193" t="inlineStr"/>
      <c r="K2193" t="inlineStr"/>
      <c r="L2193" t="inlineStr"/>
      <c r="M2193" t="inlineStr"/>
      <c r="N2193" t="inlineStr"/>
    </row>
    <row r="2194">
      <c r="A2194" t="inlineStr">
        <is>
          <t>ke-nairobi</t>
        </is>
      </c>
      <c r="B2194" t="inlineStr">
        <is>
          <t>Nairobi</t>
        </is>
      </c>
      <c r="C2194" t="inlineStr">
        <is>
          <t>Kenya</t>
        </is>
      </c>
      <c r="D2194" t="inlineStr">
        <is>
          <t>Africa</t>
        </is>
      </c>
      <c r="E2194" t="inlineStr">
        <is>
          <t>working_time_pressure_raw</t>
        </is>
      </c>
      <c r="F2194" t="inlineStr">
        <is>
          <t>Working time pressure raw</t>
        </is>
      </c>
      <c r="G2194" t="inlineStr">
        <is>
          <t>pressure</t>
        </is>
      </c>
      <c r="H2194" t="inlineStr">
        <is>
          <t>yes</t>
        </is>
      </c>
      <c r="I2194" t="inlineStr"/>
      <c r="J2194" t="inlineStr"/>
      <c r="K2194" t="inlineStr"/>
      <c r="L2194" t="inlineStr"/>
      <c r="M2194" t="inlineStr"/>
      <c r="N2194" t="inlineStr"/>
    </row>
    <row r="2195">
      <c r="A2195" t="inlineStr">
        <is>
          <t>ke-nairobi</t>
        </is>
      </c>
      <c r="B2195" t="inlineStr">
        <is>
          <t>Nairobi</t>
        </is>
      </c>
      <c r="C2195" t="inlineStr">
        <is>
          <t>Kenya</t>
        </is>
      </c>
      <c r="D2195" t="inlineStr">
        <is>
          <t>Africa</t>
        </is>
      </c>
      <c r="E2195" t="inlineStr">
        <is>
          <t>suicide_mental_strain_raw</t>
        </is>
      </c>
      <c r="F2195" t="inlineStr">
        <is>
          <t>Suicide or mental strain raw</t>
        </is>
      </c>
      <c r="G2195" t="inlineStr">
        <is>
          <t>pressure</t>
        </is>
      </c>
      <c r="H2195" t="inlineStr">
        <is>
          <t>yes</t>
        </is>
      </c>
      <c r="I2195" t="inlineStr"/>
      <c r="J2195" t="inlineStr"/>
      <c r="K2195" t="inlineStr"/>
      <c r="L2195" t="inlineStr"/>
      <c r="M2195" t="inlineStr"/>
      <c r="N2195" t="inlineStr"/>
    </row>
    <row r="2196">
      <c r="A2196" t="inlineStr">
        <is>
          <t>ke-nairobi</t>
        </is>
      </c>
      <c r="B2196" t="inlineStr">
        <is>
          <t>Nairobi</t>
        </is>
      </c>
      <c r="C2196" t="inlineStr">
        <is>
          <t>Kenya</t>
        </is>
      </c>
      <c r="D2196" t="inlineStr">
        <is>
          <t>Africa</t>
        </is>
      </c>
      <c r="E2196" t="inlineStr">
        <is>
          <t>personal_safety_raw</t>
        </is>
      </c>
      <c r="F2196" t="inlineStr">
        <is>
          <t>Personal safety raw</t>
        </is>
      </c>
      <c r="G2196" t="inlineStr">
        <is>
          <t>viability</t>
        </is>
      </c>
      <c r="H2196" t="inlineStr">
        <is>
          <t>yes</t>
        </is>
      </c>
      <c r="I2196" t="inlineStr"/>
      <c r="J2196" t="inlineStr"/>
      <c r="K2196" t="inlineStr"/>
      <c r="L2196" t="inlineStr"/>
      <c r="M2196" t="inlineStr"/>
      <c r="N2196" t="inlineStr"/>
    </row>
    <row r="2197">
      <c r="A2197" t="inlineStr">
        <is>
          <t>ke-nairobi</t>
        </is>
      </c>
      <c r="B2197" t="inlineStr">
        <is>
          <t>Nairobi</t>
        </is>
      </c>
      <c r="C2197" t="inlineStr">
        <is>
          <t>Kenya</t>
        </is>
      </c>
      <c r="D2197" t="inlineStr">
        <is>
          <t>Africa</t>
        </is>
      </c>
      <c r="E2197" t="inlineStr">
        <is>
          <t>transit_access_commute_raw</t>
        </is>
      </c>
      <c r="F2197" t="inlineStr">
        <is>
          <t>Transit access and commute raw</t>
        </is>
      </c>
      <c r="G2197" t="inlineStr">
        <is>
          <t>viability</t>
        </is>
      </c>
      <c r="H2197" t="inlineStr">
        <is>
          <t>yes</t>
        </is>
      </c>
      <c r="I2197" t="inlineStr"/>
      <c r="J2197" t="inlineStr"/>
      <c r="K2197" t="inlineStr"/>
      <c r="L2197" t="inlineStr"/>
      <c r="M2197" t="inlineStr"/>
      <c r="N2197" t="inlineStr"/>
    </row>
    <row r="2198">
      <c r="A2198" t="inlineStr">
        <is>
          <t>ke-nairobi</t>
        </is>
      </c>
      <c r="B2198" t="inlineStr">
        <is>
          <t>Nairobi</t>
        </is>
      </c>
      <c r="C2198" t="inlineStr">
        <is>
          <t>Kenya</t>
        </is>
      </c>
      <c r="D2198" t="inlineStr">
        <is>
          <t>Africa</t>
        </is>
      </c>
      <c r="E2198" t="inlineStr">
        <is>
          <t>clean_air_raw</t>
        </is>
      </c>
      <c r="F2198" t="inlineStr">
        <is>
          <t>Clean air raw</t>
        </is>
      </c>
      <c r="G2198" t="inlineStr">
        <is>
          <t>viability</t>
        </is>
      </c>
      <c r="H2198" t="inlineStr">
        <is>
          <t>yes</t>
        </is>
      </c>
      <c r="I2198" t="inlineStr"/>
      <c r="J2198" t="inlineStr"/>
      <c r="K2198" t="inlineStr"/>
      <c r="L2198" t="inlineStr"/>
      <c r="M2198" t="inlineStr"/>
      <c r="N2198" t="inlineStr"/>
    </row>
    <row r="2199">
      <c r="A2199" t="inlineStr">
        <is>
          <t>ke-nairobi</t>
        </is>
      </c>
      <c r="B2199" t="inlineStr">
        <is>
          <t>Nairobi</t>
        </is>
      </c>
      <c r="C2199" t="inlineStr">
        <is>
          <t>Kenya</t>
        </is>
      </c>
      <c r="D2199" t="inlineStr">
        <is>
          <t>Africa</t>
        </is>
      </c>
      <c r="E2199" t="inlineStr">
        <is>
          <t>water_sanitation_utility_raw</t>
        </is>
      </c>
      <c r="F2199" t="inlineStr">
        <is>
          <t>Water, sanitation, and utility raw</t>
        </is>
      </c>
      <c r="G2199" t="inlineStr">
        <is>
          <t>viability</t>
        </is>
      </c>
      <c r="H2199" t="inlineStr">
        <is>
          <t>yes</t>
        </is>
      </c>
      <c r="I2199" t="inlineStr"/>
      <c r="J2199" t="inlineStr"/>
      <c r="K2199" t="inlineStr"/>
      <c r="L2199" t="inlineStr"/>
      <c r="M2199" t="inlineStr"/>
      <c r="N2199" t="inlineStr"/>
    </row>
    <row r="2200">
      <c r="A2200" t="inlineStr">
        <is>
          <t>ke-nairobi</t>
        </is>
      </c>
      <c r="B2200" t="inlineStr">
        <is>
          <t>Nairobi</t>
        </is>
      </c>
      <c r="C2200" t="inlineStr">
        <is>
          <t>Kenya</t>
        </is>
      </c>
      <c r="D2200" t="inlineStr">
        <is>
          <t>Africa</t>
        </is>
      </c>
      <c r="E2200" t="inlineStr">
        <is>
          <t>digital_infrastructure_raw</t>
        </is>
      </c>
      <c r="F2200" t="inlineStr">
        <is>
          <t>Digital infrastructure raw</t>
        </is>
      </c>
      <c r="G2200" t="inlineStr">
        <is>
          <t>viability</t>
        </is>
      </c>
      <c r="H2200" t="inlineStr">
        <is>
          <t>yes</t>
        </is>
      </c>
      <c r="I2200" t="inlineStr"/>
      <c r="J2200" t="inlineStr"/>
      <c r="K2200" t="inlineStr"/>
      <c r="L2200" t="inlineStr"/>
      <c r="M2200" t="inlineStr"/>
      <c r="N2200" t="inlineStr"/>
    </row>
    <row r="2201">
      <c r="A2201" t="inlineStr">
        <is>
          <t>ke-nairobi</t>
        </is>
      </c>
      <c r="B2201" t="inlineStr">
        <is>
          <t>Nairobi</t>
        </is>
      </c>
      <c r="C2201" t="inlineStr">
        <is>
          <t>Kenya</t>
        </is>
      </c>
      <c r="D2201" t="inlineStr">
        <is>
          <t>Africa</t>
        </is>
      </c>
      <c r="E2201" t="inlineStr">
        <is>
          <t>healthcare_quality_raw</t>
        </is>
      </c>
      <c r="F2201" t="inlineStr">
        <is>
          <t>Healthcare quality raw</t>
        </is>
      </c>
      <c r="G2201" t="inlineStr">
        <is>
          <t>capability</t>
        </is>
      </c>
      <c r="H2201" t="inlineStr">
        <is>
          <t>yes</t>
        </is>
      </c>
      <c r="I2201" t="inlineStr"/>
      <c r="J2201" t="inlineStr"/>
      <c r="K2201" t="inlineStr"/>
      <c r="L2201" t="inlineStr"/>
      <c r="M2201" t="inlineStr"/>
      <c r="N2201" t="inlineStr"/>
    </row>
    <row r="2202">
      <c r="A2202" t="inlineStr">
        <is>
          <t>ke-nairobi</t>
        </is>
      </c>
      <c r="B2202" t="inlineStr">
        <is>
          <t>Nairobi</t>
        </is>
      </c>
      <c r="C2202" t="inlineStr">
        <is>
          <t>Kenya</t>
        </is>
      </c>
      <c r="D2202" t="inlineStr">
        <is>
          <t>Africa</t>
        </is>
      </c>
      <c r="E2202" t="inlineStr">
        <is>
          <t>education_quality_raw</t>
        </is>
      </c>
      <c r="F2202" t="inlineStr">
        <is>
          <t>Education quality raw</t>
        </is>
      </c>
      <c r="G2202" t="inlineStr">
        <is>
          <t>capability</t>
        </is>
      </c>
      <c r="H2202" t="inlineStr">
        <is>
          <t>yes</t>
        </is>
      </c>
      <c r="I2202" t="inlineStr"/>
      <c r="J2202" t="inlineStr"/>
      <c r="K2202" t="inlineStr"/>
      <c r="L2202" t="inlineStr"/>
      <c r="M2202" t="inlineStr"/>
      <c r="N2202" t="inlineStr"/>
    </row>
    <row r="2203">
      <c r="A2203" t="inlineStr">
        <is>
          <t>ke-nairobi</t>
        </is>
      </c>
      <c r="B2203" t="inlineStr">
        <is>
          <t>Nairobi</t>
        </is>
      </c>
      <c r="C2203" t="inlineStr">
        <is>
          <t>Kenya</t>
        </is>
      </c>
      <c r="D2203" t="inlineStr">
        <is>
          <t>Africa</t>
        </is>
      </c>
      <c r="E2203" t="inlineStr">
        <is>
          <t>equal_opportunity_raw</t>
        </is>
      </c>
      <c r="F2203" t="inlineStr">
        <is>
          <t>Equal opportunity raw</t>
        </is>
      </c>
      <c r="G2203" t="inlineStr">
        <is>
          <t>capability</t>
        </is>
      </c>
      <c r="H2203" t="inlineStr">
        <is>
          <t>yes</t>
        </is>
      </c>
      <c r="I2203" t="inlineStr"/>
      <c r="J2203" t="inlineStr"/>
      <c r="K2203" t="inlineStr"/>
      <c r="L2203" t="inlineStr"/>
      <c r="M2203" t="inlineStr"/>
      <c r="N2203" t="inlineStr"/>
    </row>
    <row r="2204">
      <c r="A2204" t="inlineStr">
        <is>
          <t>ke-nairobi</t>
        </is>
      </c>
      <c r="B2204" t="inlineStr">
        <is>
          <t>Nairobi</t>
        </is>
      </c>
      <c r="C2204" t="inlineStr">
        <is>
          <t>Kenya</t>
        </is>
      </c>
      <c r="D2204" t="inlineStr">
        <is>
          <t>Africa</t>
        </is>
      </c>
      <c r="E2204" t="inlineStr">
        <is>
          <t>hospitality_belonging_raw</t>
        </is>
      </c>
      <c r="F2204" t="inlineStr">
        <is>
          <t>Hospitality and belonging raw</t>
        </is>
      </c>
      <c r="G2204" t="inlineStr">
        <is>
          <t>community</t>
        </is>
      </c>
      <c r="H2204" t="inlineStr">
        <is>
          <t>yes</t>
        </is>
      </c>
      <c r="I2204" t="inlineStr"/>
      <c r="J2204" t="inlineStr"/>
      <c r="K2204" t="inlineStr"/>
      <c r="L2204" t="inlineStr"/>
      <c r="M2204" t="inlineStr"/>
      <c r="N2204" t="inlineStr"/>
    </row>
    <row r="2205">
      <c r="A2205" t="inlineStr">
        <is>
          <t>ke-nairobi</t>
        </is>
      </c>
      <c r="B2205" t="inlineStr">
        <is>
          <t>Nairobi</t>
        </is>
      </c>
      <c r="C2205" t="inlineStr">
        <is>
          <t>Kenya</t>
        </is>
      </c>
      <c r="D2205" t="inlineStr">
        <is>
          <t>Africa</t>
        </is>
      </c>
      <c r="E2205" t="inlineStr">
        <is>
          <t>tolerance_pluralism_raw</t>
        </is>
      </c>
      <c r="F2205" t="inlineStr">
        <is>
          <t>Tolerance and pluralism raw</t>
        </is>
      </c>
      <c r="G2205" t="inlineStr">
        <is>
          <t>community</t>
        </is>
      </c>
      <c r="H2205" t="inlineStr">
        <is>
          <t>yes</t>
        </is>
      </c>
      <c r="I2205" t="inlineStr"/>
      <c r="J2205" t="inlineStr"/>
      <c r="K2205" t="inlineStr"/>
      <c r="L2205" t="inlineStr"/>
      <c r="M2205" t="inlineStr"/>
      <c r="N2205" t="inlineStr"/>
    </row>
    <row r="2206">
      <c r="A2206" t="inlineStr">
        <is>
          <t>ke-nairobi</t>
        </is>
      </c>
      <c r="B2206" t="inlineStr">
        <is>
          <t>Nairobi</t>
        </is>
      </c>
      <c r="C2206" t="inlineStr">
        <is>
          <t>Kenya</t>
        </is>
      </c>
      <c r="D2206" t="inlineStr">
        <is>
          <t>Africa</t>
        </is>
      </c>
      <c r="E2206" t="inlineStr">
        <is>
          <t>cultural_public_life_raw</t>
        </is>
      </c>
      <c r="F2206" t="inlineStr">
        <is>
          <t>Cultural public life raw</t>
        </is>
      </c>
      <c r="G2206" t="inlineStr">
        <is>
          <t>community</t>
        </is>
      </c>
      <c r="H2206" t="inlineStr">
        <is>
          <t>yes</t>
        </is>
      </c>
      <c r="I2206" t="inlineStr"/>
      <c r="J2206" t="inlineStr"/>
      <c r="K2206" t="inlineStr"/>
      <c r="L2206" t="inlineStr"/>
      <c r="M2206" t="inlineStr"/>
      <c r="N2206" t="inlineStr"/>
    </row>
    <row r="2207">
      <c r="A2207" t="inlineStr">
        <is>
          <t>ke-nairobi</t>
        </is>
      </c>
      <c r="B2207" t="inlineStr">
        <is>
          <t>Nairobi</t>
        </is>
      </c>
      <c r="C2207" t="inlineStr">
        <is>
          <t>Kenya</t>
        </is>
      </c>
      <c r="D2207" t="inlineStr">
        <is>
          <t>Africa</t>
        </is>
      </c>
      <c r="E2207" t="inlineStr">
        <is>
          <t>entrepreneurial_dynamism_raw</t>
        </is>
      </c>
      <c r="F2207" t="inlineStr">
        <is>
          <t>Entrepreneurial dynamism raw</t>
        </is>
      </c>
      <c r="G2207" t="inlineStr">
        <is>
          <t>creative</t>
        </is>
      </c>
      <c r="H2207" t="inlineStr">
        <is>
          <t>yes</t>
        </is>
      </c>
      <c r="I2207" t="inlineStr"/>
      <c r="J2207" t="inlineStr"/>
      <c r="K2207" t="inlineStr"/>
      <c r="L2207" t="inlineStr"/>
      <c r="M2207" t="inlineStr"/>
      <c r="N2207" t="inlineStr"/>
    </row>
    <row r="2208">
      <c r="A2208" t="inlineStr">
        <is>
          <t>ke-nairobi</t>
        </is>
      </c>
      <c r="B2208" t="inlineStr">
        <is>
          <t>Nairobi</t>
        </is>
      </c>
      <c r="C2208" t="inlineStr">
        <is>
          <t>Kenya</t>
        </is>
      </c>
      <c r="D2208" t="inlineStr">
        <is>
          <t>Africa</t>
        </is>
      </c>
      <c r="E2208" t="inlineStr">
        <is>
          <t>innovation_research_intensity_raw</t>
        </is>
      </c>
      <c r="F2208" t="inlineStr">
        <is>
          <t>Innovation and research raw</t>
        </is>
      </c>
      <c r="G2208" t="inlineStr">
        <is>
          <t>creative</t>
        </is>
      </c>
      <c r="H2208" t="inlineStr">
        <is>
          <t>yes</t>
        </is>
      </c>
      <c r="I2208" t="inlineStr"/>
      <c r="J2208" t="inlineStr"/>
      <c r="K2208" t="inlineStr"/>
      <c r="L2208" t="inlineStr"/>
      <c r="M2208" t="inlineStr"/>
      <c r="N2208" t="inlineStr"/>
    </row>
    <row r="2209">
      <c r="A2209" t="inlineStr">
        <is>
          <t>ke-nairobi</t>
        </is>
      </c>
      <c r="B2209" t="inlineStr">
        <is>
          <t>Nairobi</t>
        </is>
      </c>
      <c r="C2209" t="inlineStr">
        <is>
          <t>Kenya</t>
        </is>
      </c>
      <c r="D2209" t="inlineStr">
        <is>
          <t>Africa</t>
        </is>
      </c>
      <c r="E2209" t="inlineStr">
        <is>
          <t>investment_signal_raw</t>
        </is>
      </c>
      <c r="F2209" t="inlineStr">
        <is>
          <t>Investment signal raw</t>
        </is>
      </c>
      <c r="G2209" t="inlineStr">
        <is>
          <t>creative</t>
        </is>
      </c>
      <c r="H2209" t="inlineStr">
        <is>
          <t>yes</t>
        </is>
      </c>
      <c r="I2209" t="inlineStr"/>
      <c r="J2209" t="inlineStr"/>
      <c r="K2209" t="inlineStr"/>
      <c r="L2209" t="inlineStr"/>
      <c r="M2209" t="inlineStr"/>
      <c r="N2209" t="inlineStr"/>
    </row>
    <row r="2210">
      <c r="A2210" t="inlineStr">
        <is>
          <t>ke-nairobi</t>
        </is>
      </c>
      <c r="B2210" t="inlineStr">
        <is>
          <t>Nairobi</t>
        </is>
      </c>
      <c r="C2210" t="inlineStr">
        <is>
          <t>Kenya</t>
        </is>
      </c>
      <c r="D2210" t="inlineStr">
        <is>
          <t>Africa</t>
        </is>
      </c>
      <c r="E2210" t="inlineStr">
        <is>
          <t>administrative_investment_friction_raw</t>
        </is>
      </c>
      <c r="F2210" t="inlineStr">
        <is>
          <t>Administrative investment friction raw</t>
        </is>
      </c>
      <c r="G2210" t="inlineStr">
        <is>
          <t>creative</t>
        </is>
      </c>
      <c r="H2210" t="inlineStr">
        <is>
          <t>yes</t>
        </is>
      </c>
      <c r="I2210" t="inlineStr"/>
      <c r="J2210" t="inlineStr"/>
      <c r="K2210" t="inlineStr"/>
      <c r="L2210" t="inlineStr"/>
      <c r="M2210" t="inlineStr"/>
      <c r="N2210" t="inlineStr"/>
    </row>
    <row r="2211">
      <c r="A2211" t="inlineStr">
        <is>
          <t>ke-nairobi</t>
        </is>
      </c>
      <c r="B2211" t="inlineStr">
        <is>
          <t>Nairobi</t>
        </is>
      </c>
      <c r="C2211" t="inlineStr">
        <is>
          <t>Kenya</t>
        </is>
      </c>
      <c r="D2211" t="inlineStr">
        <is>
          <t>Africa</t>
        </is>
      </c>
      <c r="E2211" t="inlineStr">
        <is>
          <t>visitor_flow_context_raw</t>
        </is>
      </c>
      <c r="F2211" t="inlineStr">
        <is>
          <t>Visitor flow context raw</t>
        </is>
      </c>
      <c r="G2211" t="inlineStr">
        <is>
          <t>creative</t>
        </is>
      </c>
      <c r="H2211" t="inlineStr">
        <is>
          <t>no</t>
        </is>
      </c>
      <c r="I2211" t="inlineStr"/>
      <c r="J2211" t="inlineStr"/>
      <c r="K2211" t="inlineStr"/>
      <c r="L2211" t="inlineStr"/>
      <c r="M2211" t="inlineStr"/>
      <c r="N2211" t="inlineStr"/>
    </row>
    <row r="2212">
      <c r="A2212" t="inlineStr">
        <is>
          <t>rw-kigali</t>
        </is>
      </c>
      <c r="B2212" t="inlineStr">
        <is>
          <t>Kigali</t>
        </is>
      </c>
      <c r="C2212" t="inlineStr">
        <is>
          <t>Rwanda</t>
        </is>
      </c>
      <c r="D2212" t="inlineStr">
        <is>
          <t>Africa</t>
        </is>
      </c>
      <c r="E2212" t="inlineStr">
        <is>
          <t>gross_income</t>
        </is>
      </c>
      <c r="F2212" t="inlineStr">
        <is>
          <t>Gross income</t>
        </is>
      </c>
      <c r="G2212" t="inlineStr">
        <is>
          <t>pressure</t>
        </is>
      </c>
      <c r="H2212" t="inlineStr">
        <is>
          <t>yes</t>
        </is>
      </c>
      <c r="I2212" t="inlineStr"/>
      <c r="J2212" t="inlineStr"/>
      <c r="K2212" t="inlineStr"/>
      <c r="L2212" t="inlineStr"/>
      <c r="M2212" t="inlineStr"/>
      <c r="N2212" t="inlineStr"/>
    </row>
    <row r="2213">
      <c r="A2213" t="inlineStr">
        <is>
          <t>rw-kigali</t>
        </is>
      </c>
      <c r="B2213" t="inlineStr">
        <is>
          <t>Kigali</t>
        </is>
      </c>
      <c r="C2213" t="inlineStr">
        <is>
          <t>Rwanda</t>
        </is>
      </c>
      <c r="D2213" t="inlineStr">
        <is>
          <t>Africa</t>
        </is>
      </c>
      <c r="E2213" t="inlineStr">
        <is>
          <t>rent</t>
        </is>
      </c>
      <c r="F2213" t="inlineStr">
        <is>
          <t>Rent</t>
        </is>
      </c>
      <c r="G2213" t="inlineStr">
        <is>
          <t>pressure</t>
        </is>
      </c>
      <c r="H2213" t="inlineStr">
        <is>
          <t>yes</t>
        </is>
      </c>
      <c r="I2213" t="inlineStr"/>
      <c r="J2213" t="inlineStr"/>
      <c r="K2213" t="inlineStr"/>
      <c r="L2213" t="inlineStr"/>
      <c r="M2213" t="inlineStr"/>
      <c r="N2213" t="inlineStr"/>
    </row>
    <row r="2214">
      <c r="A2214" t="inlineStr">
        <is>
          <t>rw-kigali</t>
        </is>
      </c>
      <c r="B2214" t="inlineStr">
        <is>
          <t>Kigali</t>
        </is>
      </c>
      <c r="C2214" t="inlineStr">
        <is>
          <t>Rwanda</t>
        </is>
      </c>
      <c r="D2214" t="inlineStr">
        <is>
          <t>Africa</t>
        </is>
      </c>
      <c r="E2214" t="inlineStr">
        <is>
          <t>utilities</t>
        </is>
      </c>
      <c r="F2214" t="inlineStr">
        <is>
          <t>Utilities</t>
        </is>
      </c>
      <c r="G2214" t="inlineStr">
        <is>
          <t>pressure</t>
        </is>
      </c>
      <c r="H2214" t="inlineStr">
        <is>
          <t>yes</t>
        </is>
      </c>
      <c r="I2214" t="inlineStr"/>
      <c r="J2214" t="inlineStr"/>
      <c r="K2214" t="inlineStr"/>
      <c r="L2214" t="inlineStr"/>
      <c r="M2214" t="inlineStr"/>
      <c r="N2214" t="inlineStr"/>
    </row>
    <row r="2215">
      <c r="A2215" t="inlineStr">
        <is>
          <t>rw-kigali</t>
        </is>
      </c>
      <c r="B2215" t="inlineStr">
        <is>
          <t>Kigali</t>
        </is>
      </c>
      <c r="C2215" t="inlineStr">
        <is>
          <t>Rwanda</t>
        </is>
      </c>
      <c r="D2215" t="inlineStr">
        <is>
          <t>Africa</t>
        </is>
      </c>
      <c r="E2215" t="inlineStr">
        <is>
          <t>transit_cost</t>
        </is>
      </c>
      <c r="F2215" t="inlineStr">
        <is>
          <t>Transit cost</t>
        </is>
      </c>
      <c r="G2215" t="inlineStr">
        <is>
          <t>pressure</t>
        </is>
      </c>
      <c r="H2215" t="inlineStr">
        <is>
          <t>yes</t>
        </is>
      </c>
      <c r="I2215" t="inlineStr"/>
      <c r="J2215" t="inlineStr"/>
      <c r="K2215" t="inlineStr"/>
      <c r="L2215" t="inlineStr"/>
      <c r="M2215" t="inlineStr"/>
      <c r="N2215" t="inlineStr"/>
    </row>
    <row r="2216">
      <c r="A2216" t="inlineStr">
        <is>
          <t>rw-kigali</t>
        </is>
      </c>
      <c r="B2216" t="inlineStr">
        <is>
          <t>Kigali</t>
        </is>
      </c>
      <c r="C2216" t="inlineStr">
        <is>
          <t>Rwanda</t>
        </is>
      </c>
      <c r="D2216" t="inlineStr">
        <is>
          <t>Africa</t>
        </is>
      </c>
      <c r="E2216" t="inlineStr">
        <is>
          <t>internet_cost</t>
        </is>
      </c>
      <c r="F2216" t="inlineStr">
        <is>
          <t>Internet cost</t>
        </is>
      </c>
      <c r="G2216" t="inlineStr">
        <is>
          <t>pressure</t>
        </is>
      </c>
      <c r="H2216" t="inlineStr">
        <is>
          <t>yes</t>
        </is>
      </c>
      <c r="I2216" t="inlineStr"/>
      <c r="J2216" t="inlineStr"/>
      <c r="K2216" t="inlineStr"/>
      <c r="L2216" t="inlineStr"/>
      <c r="M2216" t="inlineStr"/>
      <c r="N2216" t="inlineStr"/>
    </row>
    <row r="2217">
      <c r="A2217" t="inlineStr">
        <is>
          <t>rw-kigali</t>
        </is>
      </c>
      <c r="B2217" t="inlineStr">
        <is>
          <t>Kigali</t>
        </is>
      </c>
      <c r="C2217" t="inlineStr">
        <is>
          <t>Rwanda</t>
        </is>
      </c>
      <c r="D2217" t="inlineStr">
        <is>
          <t>Africa</t>
        </is>
      </c>
      <c r="E2217" t="inlineStr">
        <is>
          <t>food_cost</t>
        </is>
      </c>
      <c r="F2217" t="inlineStr">
        <is>
          <t>Food cost</t>
        </is>
      </c>
      <c r="G2217" t="inlineStr">
        <is>
          <t>pressure</t>
        </is>
      </c>
      <c r="H2217" t="inlineStr">
        <is>
          <t>yes</t>
        </is>
      </c>
      <c r="I2217" t="inlineStr"/>
      <c r="J2217" t="inlineStr"/>
      <c r="K2217" t="inlineStr"/>
      <c r="L2217" t="inlineStr"/>
      <c r="M2217" t="inlineStr"/>
      <c r="N2217" t="inlineStr"/>
    </row>
    <row r="2218">
      <c r="A2218" t="inlineStr">
        <is>
          <t>rw-kigali</t>
        </is>
      </c>
      <c r="B2218" t="inlineStr">
        <is>
          <t>Kigali</t>
        </is>
      </c>
      <c r="C2218" t="inlineStr">
        <is>
          <t>Rwanda</t>
        </is>
      </c>
      <c r="D2218" t="inlineStr">
        <is>
          <t>Africa</t>
        </is>
      </c>
      <c r="E2218" t="inlineStr">
        <is>
          <t>housing_burden_raw</t>
        </is>
      </c>
      <c r="F2218" t="inlineStr">
        <is>
          <t>Housing burden raw</t>
        </is>
      </c>
      <c r="G2218" t="inlineStr">
        <is>
          <t>pressure</t>
        </is>
      </c>
      <c r="H2218" t="inlineStr">
        <is>
          <t>yes</t>
        </is>
      </c>
      <c r="I2218" t="inlineStr"/>
      <c r="J2218" t="inlineStr"/>
      <c r="K2218" t="inlineStr"/>
      <c r="L2218" t="inlineStr"/>
      <c r="M2218" t="inlineStr"/>
      <c r="N2218" t="inlineStr"/>
    </row>
    <row r="2219">
      <c r="A2219" t="inlineStr">
        <is>
          <t>rw-kigali</t>
        </is>
      </c>
      <c r="B2219" t="inlineStr">
        <is>
          <t>Kigali</t>
        </is>
      </c>
      <c r="C2219" t="inlineStr">
        <is>
          <t>Rwanda</t>
        </is>
      </c>
      <c r="D2219" t="inlineStr">
        <is>
          <t>Africa</t>
        </is>
      </c>
      <c r="E2219" t="inlineStr">
        <is>
          <t>household_debt_burden_raw</t>
        </is>
      </c>
      <c r="F2219" t="inlineStr">
        <is>
          <t>Household debt burden raw</t>
        </is>
      </c>
      <c r="G2219" t="inlineStr">
        <is>
          <t>pressure</t>
        </is>
      </c>
      <c r="H2219" t="inlineStr">
        <is>
          <t>yes</t>
        </is>
      </c>
      <c r="I2219" t="inlineStr"/>
      <c r="J2219" t="inlineStr"/>
      <c r="K2219" t="inlineStr"/>
      <c r="L2219" t="inlineStr"/>
      <c r="M2219" t="inlineStr"/>
      <c r="N2219" t="inlineStr"/>
    </row>
    <row r="2220">
      <c r="A2220" t="inlineStr">
        <is>
          <t>rw-kigali</t>
        </is>
      </c>
      <c r="B2220" t="inlineStr">
        <is>
          <t>Kigali</t>
        </is>
      </c>
      <c r="C2220" t="inlineStr">
        <is>
          <t>Rwanda</t>
        </is>
      </c>
      <c r="D2220" t="inlineStr">
        <is>
          <t>Africa</t>
        </is>
      </c>
      <c r="E2220" t="inlineStr">
        <is>
          <t>working_time_pressure_raw</t>
        </is>
      </c>
      <c r="F2220" t="inlineStr">
        <is>
          <t>Working time pressure raw</t>
        </is>
      </c>
      <c r="G2220" t="inlineStr">
        <is>
          <t>pressure</t>
        </is>
      </c>
      <c r="H2220" t="inlineStr">
        <is>
          <t>yes</t>
        </is>
      </c>
      <c r="I2220" t="inlineStr"/>
      <c r="J2220" t="inlineStr"/>
      <c r="K2220" t="inlineStr"/>
      <c r="L2220" t="inlineStr"/>
      <c r="M2220" t="inlineStr"/>
      <c r="N2220" t="inlineStr"/>
    </row>
    <row r="2221">
      <c r="A2221" t="inlineStr">
        <is>
          <t>rw-kigali</t>
        </is>
      </c>
      <c r="B2221" t="inlineStr">
        <is>
          <t>Kigali</t>
        </is>
      </c>
      <c r="C2221" t="inlineStr">
        <is>
          <t>Rwanda</t>
        </is>
      </c>
      <c r="D2221" t="inlineStr">
        <is>
          <t>Africa</t>
        </is>
      </c>
      <c r="E2221" t="inlineStr">
        <is>
          <t>suicide_mental_strain_raw</t>
        </is>
      </c>
      <c r="F2221" t="inlineStr">
        <is>
          <t>Suicide or mental strain raw</t>
        </is>
      </c>
      <c r="G2221" t="inlineStr">
        <is>
          <t>pressure</t>
        </is>
      </c>
      <c r="H2221" t="inlineStr">
        <is>
          <t>yes</t>
        </is>
      </c>
      <c r="I2221" t="inlineStr"/>
      <c r="J2221" t="inlineStr"/>
      <c r="K2221" t="inlineStr"/>
      <c r="L2221" t="inlineStr"/>
      <c r="M2221" t="inlineStr"/>
      <c r="N2221" t="inlineStr"/>
    </row>
    <row r="2222">
      <c r="A2222" t="inlineStr">
        <is>
          <t>rw-kigali</t>
        </is>
      </c>
      <c r="B2222" t="inlineStr">
        <is>
          <t>Kigali</t>
        </is>
      </c>
      <c r="C2222" t="inlineStr">
        <is>
          <t>Rwanda</t>
        </is>
      </c>
      <c r="D2222" t="inlineStr">
        <is>
          <t>Africa</t>
        </is>
      </c>
      <c r="E2222" t="inlineStr">
        <is>
          <t>personal_safety_raw</t>
        </is>
      </c>
      <c r="F2222" t="inlineStr">
        <is>
          <t>Personal safety raw</t>
        </is>
      </c>
      <c r="G2222" t="inlineStr">
        <is>
          <t>viability</t>
        </is>
      </c>
      <c r="H2222" t="inlineStr">
        <is>
          <t>yes</t>
        </is>
      </c>
      <c r="I2222" t="inlineStr"/>
      <c r="J2222" t="inlineStr"/>
      <c r="K2222" t="inlineStr"/>
      <c r="L2222" t="inlineStr"/>
      <c r="M2222" t="inlineStr"/>
      <c r="N2222" t="inlineStr"/>
    </row>
    <row r="2223">
      <c r="A2223" t="inlineStr">
        <is>
          <t>rw-kigali</t>
        </is>
      </c>
      <c r="B2223" t="inlineStr">
        <is>
          <t>Kigali</t>
        </is>
      </c>
      <c r="C2223" t="inlineStr">
        <is>
          <t>Rwanda</t>
        </is>
      </c>
      <c r="D2223" t="inlineStr">
        <is>
          <t>Africa</t>
        </is>
      </c>
      <c r="E2223" t="inlineStr">
        <is>
          <t>transit_access_commute_raw</t>
        </is>
      </c>
      <c r="F2223" t="inlineStr">
        <is>
          <t>Transit access and commute raw</t>
        </is>
      </c>
      <c r="G2223" t="inlineStr">
        <is>
          <t>viability</t>
        </is>
      </c>
      <c r="H2223" t="inlineStr">
        <is>
          <t>yes</t>
        </is>
      </c>
      <c r="I2223" t="inlineStr"/>
      <c r="J2223" t="inlineStr"/>
      <c r="K2223" t="inlineStr"/>
      <c r="L2223" t="inlineStr"/>
      <c r="M2223" t="inlineStr"/>
      <c r="N2223" t="inlineStr"/>
    </row>
    <row r="2224">
      <c r="A2224" t="inlineStr">
        <is>
          <t>rw-kigali</t>
        </is>
      </c>
      <c r="B2224" t="inlineStr">
        <is>
          <t>Kigali</t>
        </is>
      </c>
      <c r="C2224" t="inlineStr">
        <is>
          <t>Rwanda</t>
        </is>
      </c>
      <c r="D2224" t="inlineStr">
        <is>
          <t>Africa</t>
        </is>
      </c>
      <c r="E2224" t="inlineStr">
        <is>
          <t>clean_air_raw</t>
        </is>
      </c>
      <c r="F2224" t="inlineStr">
        <is>
          <t>Clean air raw</t>
        </is>
      </c>
      <c r="G2224" t="inlineStr">
        <is>
          <t>viability</t>
        </is>
      </c>
      <c r="H2224" t="inlineStr">
        <is>
          <t>yes</t>
        </is>
      </c>
      <c r="I2224" t="inlineStr"/>
      <c r="J2224" t="inlineStr"/>
      <c r="K2224" t="inlineStr"/>
      <c r="L2224" t="inlineStr"/>
      <c r="M2224" t="inlineStr"/>
      <c r="N2224" t="inlineStr"/>
    </row>
    <row r="2225">
      <c r="A2225" t="inlineStr">
        <is>
          <t>rw-kigali</t>
        </is>
      </c>
      <c r="B2225" t="inlineStr">
        <is>
          <t>Kigali</t>
        </is>
      </c>
      <c r="C2225" t="inlineStr">
        <is>
          <t>Rwanda</t>
        </is>
      </c>
      <c r="D2225" t="inlineStr">
        <is>
          <t>Africa</t>
        </is>
      </c>
      <c r="E2225" t="inlineStr">
        <is>
          <t>water_sanitation_utility_raw</t>
        </is>
      </c>
      <c r="F2225" t="inlineStr">
        <is>
          <t>Water, sanitation, and utility raw</t>
        </is>
      </c>
      <c r="G2225" t="inlineStr">
        <is>
          <t>viability</t>
        </is>
      </c>
      <c r="H2225" t="inlineStr">
        <is>
          <t>yes</t>
        </is>
      </c>
      <c r="I2225" t="inlineStr"/>
      <c r="J2225" t="inlineStr"/>
      <c r="K2225" t="inlineStr"/>
      <c r="L2225" t="inlineStr"/>
      <c r="M2225" t="inlineStr"/>
      <c r="N2225" t="inlineStr"/>
    </row>
    <row r="2226">
      <c r="A2226" t="inlineStr">
        <is>
          <t>rw-kigali</t>
        </is>
      </c>
      <c r="B2226" t="inlineStr">
        <is>
          <t>Kigali</t>
        </is>
      </c>
      <c r="C2226" t="inlineStr">
        <is>
          <t>Rwanda</t>
        </is>
      </c>
      <c r="D2226" t="inlineStr">
        <is>
          <t>Africa</t>
        </is>
      </c>
      <c r="E2226" t="inlineStr">
        <is>
          <t>digital_infrastructure_raw</t>
        </is>
      </c>
      <c r="F2226" t="inlineStr">
        <is>
          <t>Digital infrastructure raw</t>
        </is>
      </c>
      <c r="G2226" t="inlineStr">
        <is>
          <t>viability</t>
        </is>
      </c>
      <c r="H2226" t="inlineStr">
        <is>
          <t>yes</t>
        </is>
      </c>
      <c r="I2226" t="inlineStr"/>
      <c r="J2226" t="inlineStr"/>
      <c r="K2226" t="inlineStr"/>
      <c r="L2226" t="inlineStr"/>
      <c r="M2226" t="inlineStr"/>
      <c r="N2226" t="inlineStr"/>
    </row>
    <row r="2227">
      <c r="A2227" t="inlineStr">
        <is>
          <t>rw-kigali</t>
        </is>
      </c>
      <c r="B2227" t="inlineStr">
        <is>
          <t>Kigali</t>
        </is>
      </c>
      <c r="C2227" t="inlineStr">
        <is>
          <t>Rwanda</t>
        </is>
      </c>
      <c r="D2227" t="inlineStr">
        <is>
          <t>Africa</t>
        </is>
      </c>
      <c r="E2227" t="inlineStr">
        <is>
          <t>healthcare_quality_raw</t>
        </is>
      </c>
      <c r="F2227" t="inlineStr">
        <is>
          <t>Healthcare quality raw</t>
        </is>
      </c>
      <c r="G2227" t="inlineStr">
        <is>
          <t>capability</t>
        </is>
      </c>
      <c r="H2227" t="inlineStr">
        <is>
          <t>yes</t>
        </is>
      </c>
      <c r="I2227" t="inlineStr"/>
      <c r="J2227" t="inlineStr"/>
      <c r="K2227" t="inlineStr"/>
      <c r="L2227" t="inlineStr"/>
      <c r="M2227" t="inlineStr"/>
      <c r="N2227" t="inlineStr"/>
    </row>
    <row r="2228">
      <c r="A2228" t="inlineStr">
        <is>
          <t>rw-kigali</t>
        </is>
      </c>
      <c r="B2228" t="inlineStr">
        <is>
          <t>Kigali</t>
        </is>
      </c>
      <c r="C2228" t="inlineStr">
        <is>
          <t>Rwanda</t>
        </is>
      </c>
      <c r="D2228" t="inlineStr">
        <is>
          <t>Africa</t>
        </is>
      </c>
      <c r="E2228" t="inlineStr">
        <is>
          <t>education_quality_raw</t>
        </is>
      </c>
      <c r="F2228" t="inlineStr">
        <is>
          <t>Education quality raw</t>
        </is>
      </c>
      <c r="G2228" t="inlineStr">
        <is>
          <t>capability</t>
        </is>
      </c>
      <c r="H2228" t="inlineStr">
        <is>
          <t>yes</t>
        </is>
      </c>
      <c r="I2228" t="inlineStr"/>
      <c r="J2228" t="inlineStr"/>
      <c r="K2228" t="inlineStr"/>
      <c r="L2228" t="inlineStr"/>
      <c r="M2228" t="inlineStr"/>
      <c r="N2228" t="inlineStr"/>
    </row>
    <row r="2229">
      <c r="A2229" t="inlineStr">
        <is>
          <t>rw-kigali</t>
        </is>
      </c>
      <c r="B2229" t="inlineStr">
        <is>
          <t>Kigali</t>
        </is>
      </c>
      <c r="C2229" t="inlineStr">
        <is>
          <t>Rwanda</t>
        </is>
      </c>
      <c r="D2229" t="inlineStr">
        <is>
          <t>Africa</t>
        </is>
      </c>
      <c r="E2229" t="inlineStr">
        <is>
          <t>equal_opportunity_raw</t>
        </is>
      </c>
      <c r="F2229" t="inlineStr">
        <is>
          <t>Equal opportunity raw</t>
        </is>
      </c>
      <c r="G2229" t="inlineStr">
        <is>
          <t>capability</t>
        </is>
      </c>
      <c r="H2229" t="inlineStr">
        <is>
          <t>yes</t>
        </is>
      </c>
      <c r="I2229" t="inlineStr"/>
      <c r="J2229" t="inlineStr"/>
      <c r="K2229" t="inlineStr"/>
      <c r="L2229" t="inlineStr"/>
      <c r="M2229" t="inlineStr"/>
      <c r="N2229" t="inlineStr"/>
    </row>
    <row r="2230">
      <c r="A2230" t="inlineStr">
        <is>
          <t>rw-kigali</t>
        </is>
      </c>
      <c r="B2230" t="inlineStr">
        <is>
          <t>Kigali</t>
        </is>
      </c>
      <c r="C2230" t="inlineStr">
        <is>
          <t>Rwanda</t>
        </is>
      </c>
      <c r="D2230" t="inlineStr">
        <is>
          <t>Africa</t>
        </is>
      </c>
      <c r="E2230" t="inlineStr">
        <is>
          <t>hospitality_belonging_raw</t>
        </is>
      </c>
      <c r="F2230" t="inlineStr">
        <is>
          <t>Hospitality and belonging raw</t>
        </is>
      </c>
      <c r="G2230" t="inlineStr">
        <is>
          <t>community</t>
        </is>
      </c>
      <c r="H2230" t="inlineStr">
        <is>
          <t>yes</t>
        </is>
      </c>
      <c r="I2230" t="inlineStr"/>
      <c r="J2230" t="inlineStr"/>
      <c r="K2230" t="inlineStr"/>
      <c r="L2230" t="inlineStr"/>
      <c r="M2230" t="inlineStr"/>
      <c r="N2230" t="inlineStr"/>
    </row>
    <row r="2231">
      <c r="A2231" t="inlineStr">
        <is>
          <t>rw-kigali</t>
        </is>
      </c>
      <c r="B2231" t="inlineStr">
        <is>
          <t>Kigali</t>
        </is>
      </c>
      <c r="C2231" t="inlineStr">
        <is>
          <t>Rwanda</t>
        </is>
      </c>
      <c r="D2231" t="inlineStr">
        <is>
          <t>Africa</t>
        </is>
      </c>
      <c r="E2231" t="inlineStr">
        <is>
          <t>tolerance_pluralism_raw</t>
        </is>
      </c>
      <c r="F2231" t="inlineStr">
        <is>
          <t>Tolerance and pluralism raw</t>
        </is>
      </c>
      <c r="G2231" t="inlineStr">
        <is>
          <t>community</t>
        </is>
      </c>
      <c r="H2231" t="inlineStr">
        <is>
          <t>yes</t>
        </is>
      </c>
      <c r="I2231" t="inlineStr"/>
      <c r="J2231" t="inlineStr"/>
      <c r="K2231" t="inlineStr"/>
      <c r="L2231" t="inlineStr"/>
      <c r="M2231" t="inlineStr"/>
      <c r="N2231" t="inlineStr"/>
    </row>
    <row r="2232">
      <c r="A2232" t="inlineStr">
        <is>
          <t>rw-kigali</t>
        </is>
      </c>
      <c r="B2232" t="inlineStr">
        <is>
          <t>Kigali</t>
        </is>
      </c>
      <c r="C2232" t="inlineStr">
        <is>
          <t>Rwanda</t>
        </is>
      </c>
      <c r="D2232" t="inlineStr">
        <is>
          <t>Africa</t>
        </is>
      </c>
      <c r="E2232" t="inlineStr">
        <is>
          <t>cultural_public_life_raw</t>
        </is>
      </c>
      <c r="F2232" t="inlineStr">
        <is>
          <t>Cultural public life raw</t>
        </is>
      </c>
      <c r="G2232" t="inlineStr">
        <is>
          <t>community</t>
        </is>
      </c>
      <c r="H2232" t="inlineStr">
        <is>
          <t>yes</t>
        </is>
      </c>
      <c r="I2232" t="inlineStr"/>
      <c r="J2232" t="inlineStr"/>
      <c r="K2232" t="inlineStr"/>
      <c r="L2232" t="inlineStr"/>
      <c r="M2232" t="inlineStr"/>
      <c r="N2232" t="inlineStr"/>
    </row>
    <row r="2233">
      <c r="A2233" t="inlineStr">
        <is>
          <t>rw-kigali</t>
        </is>
      </c>
      <c r="B2233" t="inlineStr">
        <is>
          <t>Kigali</t>
        </is>
      </c>
      <c r="C2233" t="inlineStr">
        <is>
          <t>Rwanda</t>
        </is>
      </c>
      <c r="D2233" t="inlineStr">
        <is>
          <t>Africa</t>
        </is>
      </c>
      <c r="E2233" t="inlineStr">
        <is>
          <t>entrepreneurial_dynamism_raw</t>
        </is>
      </c>
      <c r="F2233" t="inlineStr">
        <is>
          <t>Entrepreneurial dynamism raw</t>
        </is>
      </c>
      <c r="G2233" t="inlineStr">
        <is>
          <t>creative</t>
        </is>
      </c>
      <c r="H2233" t="inlineStr">
        <is>
          <t>yes</t>
        </is>
      </c>
      <c r="I2233" t="inlineStr"/>
      <c r="J2233" t="inlineStr"/>
      <c r="K2233" t="inlineStr"/>
      <c r="L2233" t="inlineStr"/>
      <c r="M2233" t="inlineStr"/>
      <c r="N2233" t="inlineStr"/>
    </row>
    <row r="2234">
      <c r="A2234" t="inlineStr">
        <is>
          <t>rw-kigali</t>
        </is>
      </c>
      <c r="B2234" t="inlineStr">
        <is>
          <t>Kigali</t>
        </is>
      </c>
      <c r="C2234" t="inlineStr">
        <is>
          <t>Rwanda</t>
        </is>
      </c>
      <c r="D2234" t="inlineStr">
        <is>
          <t>Africa</t>
        </is>
      </c>
      <c r="E2234" t="inlineStr">
        <is>
          <t>innovation_research_intensity_raw</t>
        </is>
      </c>
      <c r="F2234" t="inlineStr">
        <is>
          <t>Innovation and research raw</t>
        </is>
      </c>
      <c r="G2234" t="inlineStr">
        <is>
          <t>creative</t>
        </is>
      </c>
      <c r="H2234" t="inlineStr">
        <is>
          <t>yes</t>
        </is>
      </c>
      <c r="I2234" t="inlineStr"/>
      <c r="J2234" t="inlineStr"/>
      <c r="K2234" t="inlineStr"/>
      <c r="L2234" t="inlineStr"/>
      <c r="M2234" t="inlineStr"/>
      <c r="N2234" t="inlineStr"/>
    </row>
    <row r="2235">
      <c r="A2235" t="inlineStr">
        <is>
          <t>rw-kigali</t>
        </is>
      </c>
      <c r="B2235" t="inlineStr">
        <is>
          <t>Kigali</t>
        </is>
      </c>
      <c r="C2235" t="inlineStr">
        <is>
          <t>Rwanda</t>
        </is>
      </c>
      <c r="D2235" t="inlineStr">
        <is>
          <t>Africa</t>
        </is>
      </c>
      <c r="E2235" t="inlineStr">
        <is>
          <t>investment_signal_raw</t>
        </is>
      </c>
      <c r="F2235" t="inlineStr">
        <is>
          <t>Investment signal raw</t>
        </is>
      </c>
      <c r="G2235" t="inlineStr">
        <is>
          <t>creative</t>
        </is>
      </c>
      <c r="H2235" t="inlineStr">
        <is>
          <t>yes</t>
        </is>
      </c>
      <c r="I2235" t="inlineStr"/>
      <c r="J2235" t="inlineStr"/>
      <c r="K2235" t="inlineStr"/>
      <c r="L2235" t="inlineStr"/>
      <c r="M2235" t="inlineStr"/>
      <c r="N2235" t="inlineStr"/>
    </row>
    <row r="2236">
      <c r="A2236" t="inlineStr">
        <is>
          <t>rw-kigali</t>
        </is>
      </c>
      <c r="B2236" t="inlineStr">
        <is>
          <t>Kigali</t>
        </is>
      </c>
      <c r="C2236" t="inlineStr">
        <is>
          <t>Rwanda</t>
        </is>
      </c>
      <c r="D2236" t="inlineStr">
        <is>
          <t>Africa</t>
        </is>
      </c>
      <c r="E2236" t="inlineStr">
        <is>
          <t>administrative_investment_friction_raw</t>
        </is>
      </c>
      <c r="F2236" t="inlineStr">
        <is>
          <t>Administrative investment friction raw</t>
        </is>
      </c>
      <c r="G2236" t="inlineStr">
        <is>
          <t>creative</t>
        </is>
      </c>
      <c r="H2236" t="inlineStr">
        <is>
          <t>yes</t>
        </is>
      </c>
      <c r="I2236" t="inlineStr"/>
      <c r="J2236" t="inlineStr"/>
      <c r="K2236" t="inlineStr"/>
      <c r="L2236" t="inlineStr"/>
      <c r="M2236" t="inlineStr"/>
      <c r="N2236" t="inlineStr"/>
    </row>
    <row r="2237">
      <c r="A2237" t="inlineStr">
        <is>
          <t>rw-kigali</t>
        </is>
      </c>
      <c r="B2237" t="inlineStr">
        <is>
          <t>Kigali</t>
        </is>
      </c>
      <c r="C2237" t="inlineStr">
        <is>
          <t>Rwanda</t>
        </is>
      </c>
      <c r="D2237" t="inlineStr">
        <is>
          <t>Africa</t>
        </is>
      </c>
      <c r="E2237" t="inlineStr">
        <is>
          <t>visitor_flow_context_raw</t>
        </is>
      </c>
      <c r="F2237" t="inlineStr">
        <is>
          <t>Visitor flow context raw</t>
        </is>
      </c>
      <c r="G2237" t="inlineStr">
        <is>
          <t>creative</t>
        </is>
      </c>
      <c r="H2237" t="inlineStr">
        <is>
          <t>no</t>
        </is>
      </c>
      <c r="I2237" t="inlineStr"/>
      <c r="J2237" t="inlineStr"/>
      <c r="K2237" t="inlineStr"/>
      <c r="L2237" t="inlineStr"/>
      <c r="M2237" t="inlineStr"/>
      <c r="N2237" t="inlineStr"/>
    </row>
    <row r="2238">
      <c r="A2238" t="inlineStr">
        <is>
          <t>ma-casablanca</t>
        </is>
      </c>
      <c r="B2238" t="inlineStr">
        <is>
          <t>Casablanca</t>
        </is>
      </c>
      <c r="C2238" t="inlineStr">
        <is>
          <t>Morocco</t>
        </is>
      </c>
      <c r="D2238" t="inlineStr">
        <is>
          <t>Africa</t>
        </is>
      </c>
      <c r="E2238" t="inlineStr">
        <is>
          <t>gross_income</t>
        </is>
      </c>
      <c r="F2238" t="inlineStr">
        <is>
          <t>Gross income</t>
        </is>
      </c>
      <c r="G2238" t="inlineStr">
        <is>
          <t>pressure</t>
        </is>
      </c>
      <c r="H2238" t="inlineStr">
        <is>
          <t>yes</t>
        </is>
      </c>
      <c r="I2238" t="inlineStr"/>
      <c r="J2238" t="inlineStr"/>
      <c r="K2238" t="inlineStr"/>
      <c r="L2238" t="inlineStr"/>
      <c r="M2238" t="inlineStr"/>
      <c r="N2238" t="inlineStr"/>
    </row>
    <row r="2239">
      <c r="A2239" t="inlineStr">
        <is>
          <t>ma-casablanca</t>
        </is>
      </c>
      <c r="B2239" t="inlineStr">
        <is>
          <t>Casablanca</t>
        </is>
      </c>
      <c r="C2239" t="inlineStr">
        <is>
          <t>Morocco</t>
        </is>
      </c>
      <c r="D2239" t="inlineStr">
        <is>
          <t>Africa</t>
        </is>
      </c>
      <c r="E2239" t="inlineStr">
        <is>
          <t>rent</t>
        </is>
      </c>
      <c r="F2239" t="inlineStr">
        <is>
          <t>Rent</t>
        </is>
      </c>
      <c r="G2239" t="inlineStr">
        <is>
          <t>pressure</t>
        </is>
      </c>
      <c r="H2239" t="inlineStr">
        <is>
          <t>yes</t>
        </is>
      </c>
      <c r="I2239" t="inlineStr"/>
      <c r="J2239" t="inlineStr"/>
      <c r="K2239" t="inlineStr"/>
      <c r="L2239" t="inlineStr"/>
      <c r="M2239" t="inlineStr"/>
      <c r="N2239" t="inlineStr"/>
    </row>
    <row r="2240">
      <c r="A2240" t="inlineStr">
        <is>
          <t>ma-casablanca</t>
        </is>
      </c>
      <c r="B2240" t="inlineStr">
        <is>
          <t>Casablanca</t>
        </is>
      </c>
      <c r="C2240" t="inlineStr">
        <is>
          <t>Morocco</t>
        </is>
      </c>
      <c r="D2240" t="inlineStr">
        <is>
          <t>Africa</t>
        </is>
      </c>
      <c r="E2240" t="inlineStr">
        <is>
          <t>utilities</t>
        </is>
      </c>
      <c r="F2240" t="inlineStr">
        <is>
          <t>Utilities</t>
        </is>
      </c>
      <c r="G2240" t="inlineStr">
        <is>
          <t>pressure</t>
        </is>
      </c>
      <c r="H2240" t="inlineStr">
        <is>
          <t>yes</t>
        </is>
      </c>
      <c r="I2240" t="inlineStr"/>
      <c r="J2240" t="inlineStr"/>
      <c r="K2240" t="inlineStr"/>
      <c r="L2240" t="inlineStr"/>
      <c r="M2240" t="inlineStr"/>
      <c r="N2240" t="inlineStr"/>
    </row>
    <row r="2241">
      <c r="A2241" t="inlineStr">
        <is>
          <t>ma-casablanca</t>
        </is>
      </c>
      <c r="B2241" t="inlineStr">
        <is>
          <t>Casablanca</t>
        </is>
      </c>
      <c r="C2241" t="inlineStr">
        <is>
          <t>Morocco</t>
        </is>
      </c>
      <c r="D2241" t="inlineStr">
        <is>
          <t>Africa</t>
        </is>
      </c>
      <c r="E2241" t="inlineStr">
        <is>
          <t>transit_cost</t>
        </is>
      </c>
      <c r="F2241" t="inlineStr">
        <is>
          <t>Transit cost</t>
        </is>
      </c>
      <c r="G2241" t="inlineStr">
        <is>
          <t>pressure</t>
        </is>
      </c>
      <c r="H2241" t="inlineStr">
        <is>
          <t>yes</t>
        </is>
      </c>
      <c r="I2241" t="inlineStr"/>
      <c r="J2241" t="inlineStr"/>
      <c r="K2241" t="inlineStr"/>
      <c r="L2241" t="inlineStr"/>
      <c r="M2241" t="inlineStr"/>
      <c r="N2241" t="inlineStr"/>
    </row>
    <row r="2242">
      <c r="A2242" t="inlineStr">
        <is>
          <t>ma-casablanca</t>
        </is>
      </c>
      <c r="B2242" t="inlineStr">
        <is>
          <t>Casablanca</t>
        </is>
      </c>
      <c r="C2242" t="inlineStr">
        <is>
          <t>Morocco</t>
        </is>
      </c>
      <c r="D2242" t="inlineStr">
        <is>
          <t>Africa</t>
        </is>
      </c>
      <c r="E2242" t="inlineStr">
        <is>
          <t>internet_cost</t>
        </is>
      </c>
      <c r="F2242" t="inlineStr">
        <is>
          <t>Internet cost</t>
        </is>
      </c>
      <c r="G2242" t="inlineStr">
        <is>
          <t>pressure</t>
        </is>
      </c>
      <c r="H2242" t="inlineStr">
        <is>
          <t>yes</t>
        </is>
      </c>
      <c r="I2242" t="inlineStr"/>
      <c r="J2242" t="inlineStr"/>
      <c r="K2242" t="inlineStr"/>
      <c r="L2242" t="inlineStr"/>
      <c r="M2242" t="inlineStr"/>
      <c r="N2242" t="inlineStr"/>
    </row>
    <row r="2243">
      <c r="A2243" t="inlineStr">
        <is>
          <t>ma-casablanca</t>
        </is>
      </c>
      <c r="B2243" t="inlineStr">
        <is>
          <t>Casablanca</t>
        </is>
      </c>
      <c r="C2243" t="inlineStr">
        <is>
          <t>Morocco</t>
        </is>
      </c>
      <c r="D2243" t="inlineStr">
        <is>
          <t>Africa</t>
        </is>
      </c>
      <c r="E2243" t="inlineStr">
        <is>
          <t>food_cost</t>
        </is>
      </c>
      <c r="F2243" t="inlineStr">
        <is>
          <t>Food cost</t>
        </is>
      </c>
      <c r="G2243" t="inlineStr">
        <is>
          <t>pressure</t>
        </is>
      </c>
      <c r="H2243" t="inlineStr">
        <is>
          <t>yes</t>
        </is>
      </c>
      <c r="I2243" t="inlineStr"/>
      <c r="J2243" t="inlineStr"/>
      <c r="K2243" t="inlineStr"/>
      <c r="L2243" t="inlineStr"/>
      <c r="M2243" t="inlineStr"/>
      <c r="N2243" t="inlineStr"/>
    </row>
    <row r="2244">
      <c r="A2244" t="inlineStr">
        <is>
          <t>ma-casablanca</t>
        </is>
      </c>
      <c r="B2244" t="inlineStr">
        <is>
          <t>Casablanca</t>
        </is>
      </c>
      <c r="C2244" t="inlineStr">
        <is>
          <t>Morocco</t>
        </is>
      </c>
      <c r="D2244" t="inlineStr">
        <is>
          <t>Africa</t>
        </is>
      </c>
      <c r="E2244" t="inlineStr">
        <is>
          <t>housing_burden_raw</t>
        </is>
      </c>
      <c r="F2244" t="inlineStr">
        <is>
          <t>Housing burden raw</t>
        </is>
      </c>
      <c r="G2244" t="inlineStr">
        <is>
          <t>pressure</t>
        </is>
      </c>
      <c r="H2244" t="inlineStr">
        <is>
          <t>yes</t>
        </is>
      </c>
      <c r="I2244" t="inlineStr"/>
      <c r="J2244" t="inlineStr"/>
      <c r="K2244" t="inlineStr"/>
      <c r="L2244" t="inlineStr"/>
      <c r="M2244" t="inlineStr"/>
      <c r="N2244" t="inlineStr"/>
    </row>
    <row r="2245">
      <c r="A2245" t="inlineStr">
        <is>
          <t>ma-casablanca</t>
        </is>
      </c>
      <c r="B2245" t="inlineStr">
        <is>
          <t>Casablanca</t>
        </is>
      </c>
      <c r="C2245" t="inlineStr">
        <is>
          <t>Morocco</t>
        </is>
      </c>
      <c r="D2245" t="inlineStr">
        <is>
          <t>Africa</t>
        </is>
      </c>
      <c r="E2245" t="inlineStr">
        <is>
          <t>household_debt_burden_raw</t>
        </is>
      </c>
      <c r="F2245" t="inlineStr">
        <is>
          <t>Household debt burden raw</t>
        </is>
      </c>
      <c r="G2245" t="inlineStr">
        <is>
          <t>pressure</t>
        </is>
      </c>
      <c r="H2245" t="inlineStr">
        <is>
          <t>yes</t>
        </is>
      </c>
      <c r="I2245" t="inlineStr"/>
      <c r="J2245" t="inlineStr"/>
      <c r="K2245" t="inlineStr"/>
      <c r="L2245" t="inlineStr"/>
      <c r="M2245" t="inlineStr"/>
      <c r="N2245" t="inlineStr"/>
    </row>
    <row r="2246">
      <c r="A2246" t="inlineStr">
        <is>
          <t>ma-casablanca</t>
        </is>
      </c>
      <c r="B2246" t="inlineStr">
        <is>
          <t>Casablanca</t>
        </is>
      </c>
      <c r="C2246" t="inlineStr">
        <is>
          <t>Morocco</t>
        </is>
      </c>
      <c r="D2246" t="inlineStr">
        <is>
          <t>Africa</t>
        </is>
      </c>
      <c r="E2246" t="inlineStr">
        <is>
          <t>working_time_pressure_raw</t>
        </is>
      </c>
      <c r="F2246" t="inlineStr">
        <is>
          <t>Working time pressure raw</t>
        </is>
      </c>
      <c r="G2246" t="inlineStr">
        <is>
          <t>pressure</t>
        </is>
      </c>
      <c r="H2246" t="inlineStr">
        <is>
          <t>yes</t>
        </is>
      </c>
      <c r="I2246" t="inlineStr"/>
      <c r="J2246" t="inlineStr"/>
      <c r="K2246" t="inlineStr"/>
      <c r="L2246" t="inlineStr"/>
      <c r="M2246" t="inlineStr"/>
      <c r="N2246" t="inlineStr"/>
    </row>
    <row r="2247">
      <c r="A2247" t="inlineStr">
        <is>
          <t>ma-casablanca</t>
        </is>
      </c>
      <c r="B2247" t="inlineStr">
        <is>
          <t>Casablanca</t>
        </is>
      </c>
      <c r="C2247" t="inlineStr">
        <is>
          <t>Morocco</t>
        </is>
      </c>
      <c r="D2247" t="inlineStr">
        <is>
          <t>Africa</t>
        </is>
      </c>
      <c r="E2247" t="inlineStr">
        <is>
          <t>suicide_mental_strain_raw</t>
        </is>
      </c>
      <c r="F2247" t="inlineStr">
        <is>
          <t>Suicide or mental strain raw</t>
        </is>
      </c>
      <c r="G2247" t="inlineStr">
        <is>
          <t>pressure</t>
        </is>
      </c>
      <c r="H2247" t="inlineStr">
        <is>
          <t>yes</t>
        </is>
      </c>
      <c r="I2247" t="inlineStr"/>
      <c r="J2247" t="inlineStr"/>
      <c r="K2247" t="inlineStr"/>
      <c r="L2247" t="inlineStr"/>
      <c r="M2247" t="inlineStr"/>
      <c r="N2247" t="inlineStr"/>
    </row>
    <row r="2248">
      <c r="A2248" t="inlineStr">
        <is>
          <t>ma-casablanca</t>
        </is>
      </c>
      <c r="B2248" t="inlineStr">
        <is>
          <t>Casablanca</t>
        </is>
      </c>
      <c r="C2248" t="inlineStr">
        <is>
          <t>Morocco</t>
        </is>
      </c>
      <c r="D2248" t="inlineStr">
        <is>
          <t>Africa</t>
        </is>
      </c>
      <c r="E2248" t="inlineStr">
        <is>
          <t>personal_safety_raw</t>
        </is>
      </c>
      <c r="F2248" t="inlineStr">
        <is>
          <t>Personal safety raw</t>
        </is>
      </c>
      <c r="G2248" t="inlineStr">
        <is>
          <t>viability</t>
        </is>
      </c>
      <c r="H2248" t="inlineStr">
        <is>
          <t>yes</t>
        </is>
      </c>
      <c r="I2248" t="inlineStr"/>
      <c r="J2248" t="inlineStr"/>
      <c r="K2248" t="inlineStr"/>
      <c r="L2248" t="inlineStr"/>
      <c r="M2248" t="inlineStr"/>
      <c r="N2248" t="inlineStr"/>
    </row>
    <row r="2249">
      <c r="A2249" t="inlineStr">
        <is>
          <t>ma-casablanca</t>
        </is>
      </c>
      <c r="B2249" t="inlineStr">
        <is>
          <t>Casablanca</t>
        </is>
      </c>
      <c r="C2249" t="inlineStr">
        <is>
          <t>Morocco</t>
        </is>
      </c>
      <c r="D2249" t="inlineStr">
        <is>
          <t>Africa</t>
        </is>
      </c>
      <c r="E2249" t="inlineStr">
        <is>
          <t>transit_access_commute_raw</t>
        </is>
      </c>
      <c r="F2249" t="inlineStr">
        <is>
          <t>Transit access and commute raw</t>
        </is>
      </c>
      <c r="G2249" t="inlineStr">
        <is>
          <t>viability</t>
        </is>
      </c>
      <c r="H2249" t="inlineStr">
        <is>
          <t>yes</t>
        </is>
      </c>
      <c r="I2249" t="inlineStr"/>
      <c r="J2249" t="inlineStr"/>
      <c r="K2249" t="inlineStr"/>
      <c r="L2249" t="inlineStr"/>
      <c r="M2249" t="inlineStr"/>
      <c r="N2249" t="inlineStr"/>
    </row>
    <row r="2250">
      <c r="A2250" t="inlineStr">
        <is>
          <t>ma-casablanca</t>
        </is>
      </c>
      <c r="B2250" t="inlineStr">
        <is>
          <t>Casablanca</t>
        </is>
      </c>
      <c r="C2250" t="inlineStr">
        <is>
          <t>Morocco</t>
        </is>
      </c>
      <c r="D2250" t="inlineStr">
        <is>
          <t>Africa</t>
        </is>
      </c>
      <c r="E2250" t="inlineStr">
        <is>
          <t>clean_air_raw</t>
        </is>
      </c>
      <c r="F2250" t="inlineStr">
        <is>
          <t>Clean air raw</t>
        </is>
      </c>
      <c r="G2250" t="inlineStr">
        <is>
          <t>viability</t>
        </is>
      </c>
      <c r="H2250" t="inlineStr">
        <is>
          <t>yes</t>
        </is>
      </c>
      <c r="I2250" t="inlineStr"/>
      <c r="J2250" t="inlineStr"/>
      <c r="K2250" t="inlineStr"/>
      <c r="L2250" t="inlineStr"/>
      <c r="M2250" t="inlineStr"/>
      <c r="N2250" t="inlineStr"/>
    </row>
    <row r="2251">
      <c r="A2251" t="inlineStr">
        <is>
          <t>ma-casablanca</t>
        </is>
      </c>
      <c r="B2251" t="inlineStr">
        <is>
          <t>Casablanca</t>
        </is>
      </c>
      <c r="C2251" t="inlineStr">
        <is>
          <t>Morocco</t>
        </is>
      </c>
      <c r="D2251" t="inlineStr">
        <is>
          <t>Africa</t>
        </is>
      </c>
      <c r="E2251" t="inlineStr">
        <is>
          <t>water_sanitation_utility_raw</t>
        </is>
      </c>
      <c r="F2251" t="inlineStr">
        <is>
          <t>Water, sanitation, and utility raw</t>
        </is>
      </c>
      <c r="G2251" t="inlineStr">
        <is>
          <t>viability</t>
        </is>
      </c>
      <c r="H2251" t="inlineStr">
        <is>
          <t>yes</t>
        </is>
      </c>
      <c r="I2251" t="inlineStr"/>
      <c r="J2251" t="inlineStr"/>
      <c r="K2251" t="inlineStr"/>
      <c r="L2251" t="inlineStr"/>
      <c r="M2251" t="inlineStr"/>
      <c r="N2251" t="inlineStr"/>
    </row>
    <row r="2252">
      <c r="A2252" t="inlineStr">
        <is>
          <t>ma-casablanca</t>
        </is>
      </c>
      <c r="B2252" t="inlineStr">
        <is>
          <t>Casablanca</t>
        </is>
      </c>
      <c r="C2252" t="inlineStr">
        <is>
          <t>Morocco</t>
        </is>
      </c>
      <c r="D2252" t="inlineStr">
        <is>
          <t>Africa</t>
        </is>
      </c>
      <c r="E2252" t="inlineStr">
        <is>
          <t>digital_infrastructure_raw</t>
        </is>
      </c>
      <c r="F2252" t="inlineStr">
        <is>
          <t>Digital infrastructure raw</t>
        </is>
      </c>
      <c r="G2252" t="inlineStr">
        <is>
          <t>viability</t>
        </is>
      </c>
      <c r="H2252" t="inlineStr">
        <is>
          <t>yes</t>
        </is>
      </c>
      <c r="I2252" t="inlineStr"/>
      <c r="J2252" t="inlineStr"/>
      <c r="K2252" t="inlineStr"/>
      <c r="L2252" t="inlineStr"/>
      <c r="M2252" t="inlineStr"/>
      <c r="N2252" t="inlineStr"/>
    </row>
    <row r="2253">
      <c r="A2253" t="inlineStr">
        <is>
          <t>ma-casablanca</t>
        </is>
      </c>
      <c r="B2253" t="inlineStr">
        <is>
          <t>Casablanca</t>
        </is>
      </c>
      <c r="C2253" t="inlineStr">
        <is>
          <t>Morocco</t>
        </is>
      </c>
      <c r="D2253" t="inlineStr">
        <is>
          <t>Africa</t>
        </is>
      </c>
      <c r="E2253" t="inlineStr">
        <is>
          <t>healthcare_quality_raw</t>
        </is>
      </c>
      <c r="F2253" t="inlineStr">
        <is>
          <t>Healthcare quality raw</t>
        </is>
      </c>
      <c r="G2253" t="inlineStr">
        <is>
          <t>capability</t>
        </is>
      </c>
      <c r="H2253" t="inlineStr">
        <is>
          <t>yes</t>
        </is>
      </c>
      <c r="I2253" t="inlineStr"/>
      <c r="J2253" t="inlineStr"/>
      <c r="K2253" t="inlineStr"/>
      <c r="L2253" t="inlineStr"/>
      <c r="M2253" t="inlineStr"/>
      <c r="N2253" t="inlineStr"/>
    </row>
    <row r="2254">
      <c r="A2254" t="inlineStr">
        <is>
          <t>ma-casablanca</t>
        </is>
      </c>
      <c r="B2254" t="inlineStr">
        <is>
          <t>Casablanca</t>
        </is>
      </c>
      <c r="C2254" t="inlineStr">
        <is>
          <t>Morocco</t>
        </is>
      </c>
      <c r="D2254" t="inlineStr">
        <is>
          <t>Africa</t>
        </is>
      </c>
      <c r="E2254" t="inlineStr">
        <is>
          <t>education_quality_raw</t>
        </is>
      </c>
      <c r="F2254" t="inlineStr">
        <is>
          <t>Education quality raw</t>
        </is>
      </c>
      <c r="G2254" t="inlineStr">
        <is>
          <t>capability</t>
        </is>
      </c>
      <c r="H2254" t="inlineStr">
        <is>
          <t>yes</t>
        </is>
      </c>
      <c r="I2254" t="inlineStr"/>
      <c r="J2254" t="inlineStr"/>
      <c r="K2254" t="inlineStr"/>
      <c r="L2254" t="inlineStr"/>
      <c r="M2254" t="inlineStr"/>
      <c r="N2254" t="inlineStr"/>
    </row>
    <row r="2255">
      <c r="A2255" t="inlineStr">
        <is>
          <t>ma-casablanca</t>
        </is>
      </c>
      <c r="B2255" t="inlineStr">
        <is>
          <t>Casablanca</t>
        </is>
      </c>
      <c r="C2255" t="inlineStr">
        <is>
          <t>Morocco</t>
        </is>
      </c>
      <c r="D2255" t="inlineStr">
        <is>
          <t>Africa</t>
        </is>
      </c>
      <c r="E2255" t="inlineStr">
        <is>
          <t>equal_opportunity_raw</t>
        </is>
      </c>
      <c r="F2255" t="inlineStr">
        <is>
          <t>Equal opportunity raw</t>
        </is>
      </c>
      <c r="G2255" t="inlineStr">
        <is>
          <t>capability</t>
        </is>
      </c>
      <c r="H2255" t="inlineStr">
        <is>
          <t>yes</t>
        </is>
      </c>
      <c r="I2255" t="inlineStr"/>
      <c r="J2255" t="inlineStr"/>
      <c r="K2255" t="inlineStr"/>
      <c r="L2255" t="inlineStr"/>
      <c r="M2255" t="inlineStr"/>
      <c r="N2255" t="inlineStr"/>
    </row>
    <row r="2256">
      <c r="A2256" t="inlineStr">
        <is>
          <t>ma-casablanca</t>
        </is>
      </c>
      <c r="B2256" t="inlineStr">
        <is>
          <t>Casablanca</t>
        </is>
      </c>
      <c r="C2256" t="inlineStr">
        <is>
          <t>Morocco</t>
        </is>
      </c>
      <c r="D2256" t="inlineStr">
        <is>
          <t>Africa</t>
        </is>
      </c>
      <c r="E2256" t="inlineStr">
        <is>
          <t>hospitality_belonging_raw</t>
        </is>
      </c>
      <c r="F2256" t="inlineStr">
        <is>
          <t>Hospitality and belonging raw</t>
        </is>
      </c>
      <c r="G2256" t="inlineStr">
        <is>
          <t>community</t>
        </is>
      </c>
      <c r="H2256" t="inlineStr">
        <is>
          <t>yes</t>
        </is>
      </c>
      <c r="I2256" t="inlineStr"/>
      <c r="J2256" t="inlineStr"/>
      <c r="K2256" t="inlineStr"/>
      <c r="L2256" t="inlineStr"/>
      <c r="M2256" t="inlineStr"/>
      <c r="N2256" t="inlineStr"/>
    </row>
    <row r="2257">
      <c r="A2257" t="inlineStr">
        <is>
          <t>ma-casablanca</t>
        </is>
      </c>
      <c r="B2257" t="inlineStr">
        <is>
          <t>Casablanca</t>
        </is>
      </c>
      <c r="C2257" t="inlineStr">
        <is>
          <t>Morocco</t>
        </is>
      </c>
      <c r="D2257" t="inlineStr">
        <is>
          <t>Africa</t>
        </is>
      </c>
      <c r="E2257" t="inlineStr">
        <is>
          <t>tolerance_pluralism_raw</t>
        </is>
      </c>
      <c r="F2257" t="inlineStr">
        <is>
          <t>Tolerance and pluralism raw</t>
        </is>
      </c>
      <c r="G2257" t="inlineStr">
        <is>
          <t>community</t>
        </is>
      </c>
      <c r="H2257" t="inlineStr">
        <is>
          <t>yes</t>
        </is>
      </c>
      <c r="I2257" t="inlineStr"/>
      <c r="J2257" t="inlineStr"/>
      <c r="K2257" t="inlineStr"/>
      <c r="L2257" t="inlineStr"/>
      <c r="M2257" t="inlineStr"/>
      <c r="N2257" t="inlineStr"/>
    </row>
    <row r="2258">
      <c r="A2258" t="inlineStr">
        <is>
          <t>ma-casablanca</t>
        </is>
      </c>
      <c r="B2258" t="inlineStr">
        <is>
          <t>Casablanca</t>
        </is>
      </c>
      <c r="C2258" t="inlineStr">
        <is>
          <t>Morocco</t>
        </is>
      </c>
      <c r="D2258" t="inlineStr">
        <is>
          <t>Africa</t>
        </is>
      </c>
      <c r="E2258" t="inlineStr">
        <is>
          <t>cultural_public_life_raw</t>
        </is>
      </c>
      <c r="F2258" t="inlineStr">
        <is>
          <t>Cultural public life raw</t>
        </is>
      </c>
      <c r="G2258" t="inlineStr">
        <is>
          <t>community</t>
        </is>
      </c>
      <c r="H2258" t="inlineStr">
        <is>
          <t>yes</t>
        </is>
      </c>
      <c r="I2258" t="inlineStr"/>
      <c r="J2258" t="inlineStr"/>
      <c r="K2258" t="inlineStr"/>
      <c r="L2258" t="inlineStr"/>
      <c r="M2258" t="inlineStr"/>
      <c r="N2258" t="inlineStr"/>
    </row>
    <row r="2259">
      <c r="A2259" t="inlineStr">
        <is>
          <t>ma-casablanca</t>
        </is>
      </c>
      <c r="B2259" t="inlineStr">
        <is>
          <t>Casablanca</t>
        </is>
      </c>
      <c r="C2259" t="inlineStr">
        <is>
          <t>Morocco</t>
        </is>
      </c>
      <c r="D2259" t="inlineStr">
        <is>
          <t>Africa</t>
        </is>
      </c>
      <c r="E2259" t="inlineStr">
        <is>
          <t>entrepreneurial_dynamism_raw</t>
        </is>
      </c>
      <c r="F2259" t="inlineStr">
        <is>
          <t>Entrepreneurial dynamism raw</t>
        </is>
      </c>
      <c r="G2259" t="inlineStr">
        <is>
          <t>creative</t>
        </is>
      </c>
      <c r="H2259" t="inlineStr">
        <is>
          <t>yes</t>
        </is>
      </c>
      <c r="I2259" t="inlineStr"/>
      <c r="J2259" t="inlineStr"/>
      <c r="K2259" t="inlineStr"/>
      <c r="L2259" t="inlineStr"/>
      <c r="M2259" t="inlineStr"/>
      <c r="N2259" t="inlineStr"/>
    </row>
    <row r="2260">
      <c r="A2260" t="inlineStr">
        <is>
          <t>ma-casablanca</t>
        </is>
      </c>
      <c r="B2260" t="inlineStr">
        <is>
          <t>Casablanca</t>
        </is>
      </c>
      <c r="C2260" t="inlineStr">
        <is>
          <t>Morocco</t>
        </is>
      </c>
      <c r="D2260" t="inlineStr">
        <is>
          <t>Africa</t>
        </is>
      </c>
      <c r="E2260" t="inlineStr">
        <is>
          <t>innovation_research_intensity_raw</t>
        </is>
      </c>
      <c r="F2260" t="inlineStr">
        <is>
          <t>Innovation and research raw</t>
        </is>
      </c>
      <c r="G2260" t="inlineStr">
        <is>
          <t>creative</t>
        </is>
      </c>
      <c r="H2260" t="inlineStr">
        <is>
          <t>yes</t>
        </is>
      </c>
      <c r="I2260" t="inlineStr"/>
      <c r="J2260" t="inlineStr"/>
      <c r="K2260" t="inlineStr"/>
      <c r="L2260" t="inlineStr"/>
      <c r="M2260" t="inlineStr"/>
      <c r="N2260" t="inlineStr"/>
    </row>
    <row r="2261">
      <c r="A2261" t="inlineStr">
        <is>
          <t>ma-casablanca</t>
        </is>
      </c>
      <c r="B2261" t="inlineStr">
        <is>
          <t>Casablanca</t>
        </is>
      </c>
      <c r="C2261" t="inlineStr">
        <is>
          <t>Morocco</t>
        </is>
      </c>
      <c r="D2261" t="inlineStr">
        <is>
          <t>Africa</t>
        </is>
      </c>
      <c r="E2261" t="inlineStr">
        <is>
          <t>investment_signal_raw</t>
        </is>
      </c>
      <c r="F2261" t="inlineStr">
        <is>
          <t>Investment signal raw</t>
        </is>
      </c>
      <c r="G2261" t="inlineStr">
        <is>
          <t>creative</t>
        </is>
      </c>
      <c r="H2261" t="inlineStr">
        <is>
          <t>yes</t>
        </is>
      </c>
      <c r="I2261" t="inlineStr"/>
      <c r="J2261" t="inlineStr"/>
      <c r="K2261" t="inlineStr"/>
      <c r="L2261" t="inlineStr"/>
      <c r="M2261" t="inlineStr"/>
      <c r="N2261" t="inlineStr"/>
    </row>
    <row r="2262">
      <c r="A2262" t="inlineStr">
        <is>
          <t>ma-casablanca</t>
        </is>
      </c>
      <c r="B2262" t="inlineStr">
        <is>
          <t>Casablanca</t>
        </is>
      </c>
      <c r="C2262" t="inlineStr">
        <is>
          <t>Morocco</t>
        </is>
      </c>
      <c r="D2262" t="inlineStr">
        <is>
          <t>Africa</t>
        </is>
      </c>
      <c r="E2262" t="inlineStr">
        <is>
          <t>administrative_investment_friction_raw</t>
        </is>
      </c>
      <c r="F2262" t="inlineStr">
        <is>
          <t>Administrative investment friction raw</t>
        </is>
      </c>
      <c r="G2262" t="inlineStr">
        <is>
          <t>creative</t>
        </is>
      </c>
      <c r="H2262" t="inlineStr">
        <is>
          <t>yes</t>
        </is>
      </c>
      <c r="I2262" t="inlineStr"/>
      <c r="J2262" t="inlineStr"/>
      <c r="K2262" t="inlineStr"/>
      <c r="L2262" t="inlineStr"/>
      <c r="M2262" t="inlineStr"/>
      <c r="N2262" t="inlineStr"/>
    </row>
    <row r="2263">
      <c r="A2263" t="inlineStr">
        <is>
          <t>ma-casablanca</t>
        </is>
      </c>
      <c r="B2263" t="inlineStr">
        <is>
          <t>Casablanca</t>
        </is>
      </c>
      <c r="C2263" t="inlineStr">
        <is>
          <t>Morocco</t>
        </is>
      </c>
      <c r="D2263" t="inlineStr">
        <is>
          <t>Africa</t>
        </is>
      </c>
      <c r="E2263" t="inlineStr">
        <is>
          <t>visitor_flow_context_raw</t>
        </is>
      </c>
      <c r="F2263" t="inlineStr">
        <is>
          <t>Visitor flow context raw</t>
        </is>
      </c>
      <c r="G2263" t="inlineStr">
        <is>
          <t>creative</t>
        </is>
      </c>
      <c r="H2263" t="inlineStr">
        <is>
          <t>no</t>
        </is>
      </c>
      <c r="I2263" t="inlineStr"/>
      <c r="J2263" t="inlineStr"/>
      <c r="K2263" t="inlineStr"/>
      <c r="L2263" t="inlineStr"/>
      <c r="M2263" t="inlineStr"/>
      <c r="N2263" t="inlineStr"/>
    </row>
    <row r="2264">
      <c r="A2264" t="inlineStr">
        <is>
          <t>mu-port-louis</t>
        </is>
      </c>
      <c r="B2264" t="inlineStr">
        <is>
          <t>Port Louis</t>
        </is>
      </c>
      <c r="C2264" t="inlineStr">
        <is>
          <t>Mauritius</t>
        </is>
      </c>
      <c r="D2264" t="inlineStr">
        <is>
          <t>Africa</t>
        </is>
      </c>
      <c r="E2264" t="inlineStr">
        <is>
          <t>gross_income</t>
        </is>
      </c>
      <c r="F2264" t="inlineStr">
        <is>
          <t>Gross income</t>
        </is>
      </c>
      <c r="G2264" t="inlineStr">
        <is>
          <t>pressure</t>
        </is>
      </c>
      <c r="H2264" t="inlineStr">
        <is>
          <t>yes</t>
        </is>
      </c>
      <c r="I2264" t="inlineStr"/>
      <c r="J2264" t="inlineStr"/>
      <c r="K2264" t="inlineStr"/>
      <c r="L2264" t="inlineStr"/>
      <c r="M2264" t="inlineStr"/>
      <c r="N2264" t="inlineStr"/>
    </row>
    <row r="2265">
      <c r="A2265" t="inlineStr">
        <is>
          <t>mu-port-louis</t>
        </is>
      </c>
      <c r="B2265" t="inlineStr">
        <is>
          <t>Port Louis</t>
        </is>
      </c>
      <c r="C2265" t="inlineStr">
        <is>
          <t>Mauritius</t>
        </is>
      </c>
      <c r="D2265" t="inlineStr">
        <is>
          <t>Africa</t>
        </is>
      </c>
      <c r="E2265" t="inlineStr">
        <is>
          <t>rent</t>
        </is>
      </c>
      <c r="F2265" t="inlineStr">
        <is>
          <t>Rent</t>
        </is>
      </c>
      <c r="G2265" t="inlineStr">
        <is>
          <t>pressure</t>
        </is>
      </c>
      <c r="H2265" t="inlineStr">
        <is>
          <t>yes</t>
        </is>
      </c>
      <c r="I2265" t="inlineStr"/>
      <c r="J2265" t="inlineStr"/>
      <c r="K2265" t="inlineStr"/>
      <c r="L2265" t="inlineStr"/>
      <c r="M2265" t="inlineStr"/>
      <c r="N2265" t="inlineStr"/>
    </row>
    <row r="2266">
      <c r="A2266" t="inlineStr">
        <is>
          <t>mu-port-louis</t>
        </is>
      </c>
      <c r="B2266" t="inlineStr">
        <is>
          <t>Port Louis</t>
        </is>
      </c>
      <c r="C2266" t="inlineStr">
        <is>
          <t>Mauritius</t>
        </is>
      </c>
      <c r="D2266" t="inlineStr">
        <is>
          <t>Africa</t>
        </is>
      </c>
      <c r="E2266" t="inlineStr">
        <is>
          <t>utilities</t>
        </is>
      </c>
      <c r="F2266" t="inlineStr">
        <is>
          <t>Utilities</t>
        </is>
      </c>
      <c r="G2266" t="inlineStr">
        <is>
          <t>pressure</t>
        </is>
      </c>
      <c r="H2266" t="inlineStr">
        <is>
          <t>yes</t>
        </is>
      </c>
      <c r="I2266" t="inlineStr"/>
      <c r="J2266" t="inlineStr"/>
      <c r="K2266" t="inlineStr"/>
      <c r="L2266" t="inlineStr"/>
      <c r="M2266" t="inlineStr"/>
      <c r="N2266" t="inlineStr"/>
    </row>
    <row r="2267">
      <c r="A2267" t="inlineStr">
        <is>
          <t>mu-port-louis</t>
        </is>
      </c>
      <c r="B2267" t="inlineStr">
        <is>
          <t>Port Louis</t>
        </is>
      </c>
      <c r="C2267" t="inlineStr">
        <is>
          <t>Mauritius</t>
        </is>
      </c>
      <c r="D2267" t="inlineStr">
        <is>
          <t>Africa</t>
        </is>
      </c>
      <c r="E2267" t="inlineStr">
        <is>
          <t>transit_cost</t>
        </is>
      </c>
      <c r="F2267" t="inlineStr">
        <is>
          <t>Transit cost</t>
        </is>
      </c>
      <c r="G2267" t="inlineStr">
        <is>
          <t>pressure</t>
        </is>
      </c>
      <c r="H2267" t="inlineStr">
        <is>
          <t>yes</t>
        </is>
      </c>
      <c r="I2267" t="inlineStr"/>
      <c r="J2267" t="inlineStr"/>
      <c r="K2267" t="inlineStr"/>
      <c r="L2267" t="inlineStr"/>
      <c r="M2267" t="inlineStr"/>
      <c r="N2267" t="inlineStr"/>
    </row>
    <row r="2268">
      <c r="A2268" t="inlineStr">
        <is>
          <t>mu-port-louis</t>
        </is>
      </c>
      <c r="B2268" t="inlineStr">
        <is>
          <t>Port Louis</t>
        </is>
      </c>
      <c r="C2268" t="inlineStr">
        <is>
          <t>Mauritius</t>
        </is>
      </c>
      <c r="D2268" t="inlineStr">
        <is>
          <t>Africa</t>
        </is>
      </c>
      <c r="E2268" t="inlineStr">
        <is>
          <t>internet_cost</t>
        </is>
      </c>
      <c r="F2268" t="inlineStr">
        <is>
          <t>Internet cost</t>
        </is>
      </c>
      <c r="G2268" t="inlineStr">
        <is>
          <t>pressure</t>
        </is>
      </c>
      <c r="H2268" t="inlineStr">
        <is>
          <t>yes</t>
        </is>
      </c>
      <c r="I2268" t="inlineStr"/>
      <c r="J2268" t="inlineStr"/>
      <c r="K2268" t="inlineStr"/>
      <c r="L2268" t="inlineStr"/>
      <c r="M2268" t="inlineStr"/>
      <c r="N2268" t="inlineStr"/>
    </row>
    <row r="2269">
      <c r="A2269" t="inlineStr">
        <is>
          <t>mu-port-louis</t>
        </is>
      </c>
      <c r="B2269" t="inlineStr">
        <is>
          <t>Port Louis</t>
        </is>
      </c>
      <c r="C2269" t="inlineStr">
        <is>
          <t>Mauritius</t>
        </is>
      </c>
      <c r="D2269" t="inlineStr">
        <is>
          <t>Africa</t>
        </is>
      </c>
      <c r="E2269" t="inlineStr">
        <is>
          <t>food_cost</t>
        </is>
      </c>
      <c r="F2269" t="inlineStr">
        <is>
          <t>Food cost</t>
        </is>
      </c>
      <c r="G2269" t="inlineStr">
        <is>
          <t>pressure</t>
        </is>
      </c>
      <c r="H2269" t="inlineStr">
        <is>
          <t>yes</t>
        </is>
      </c>
      <c r="I2269" t="inlineStr"/>
      <c r="J2269" t="inlineStr"/>
      <c r="K2269" t="inlineStr"/>
      <c r="L2269" t="inlineStr"/>
      <c r="M2269" t="inlineStr"/>
      <c r="N2269" t="inlineStr"/>
    </row>
    <row r="2270">
      <c r="A2270" t="inlineStr">
        <is>
          <t>mu-port-louis</t>
        </is>
      </c>
      <c r="B2270" t="inlineStr">
        <is>
          <t>Port Louis</t>
        </is>
      </c>
      <c r="C2270" t="inlineStr">
        <is>
          <t>Mauritius</t>
        </is>
      </c>
      <c r="D2270" t="inlineStr">
        <is>
          <t>Africa</t>
        </is>
      </c>
      <c r="E2270" t="inlineStr">
        <is>
          <t>housing_burden_raw</t>
        </is>
      </c>
      <c r="F2270" t="inlineStr">
        <is>
          <t>Housing burden raw</t>
        </is>
      </c>
      <c r="G2270" t="inlineStr">
        <is>
          <t>pressure</t>
        </is>
      </c>
      <c r="H2270" t="inlineStr">
        <is>
          <t>yes</t>
        </is>
      </c>
      <c r="I2270" t="inlineStr"/>
      <c r="J2270" t="inlineStr"/>
      <c r="K2270" t="inlineStr"/>
      <c r="L2270" t="inlineStr"/>
      <c r="M2270" t="inlineStr"/>
      <c r="N2270" t="inlineStr"/>
    </row>
    <row r="2271">
      <c r="A2271" t="inlineStr">
        <is>
          <t>mu-port-louis</t>
        </is>
      </c>
      <c r="B2271" t="inlineStr">
        <is>
          <t>Port Louis</t>
        </is>
      </c>
      <c r="C2271" t="inlineStr">
        <is>
          <t>Mauritius</t>
        </is>
      </c>
      <c r="D2271" t="inlineStr">
        <is>
          <t>Africa</t>
        </is>
      </c>
      <c r="E2271" t="inlineStr">
        <is>
          <t>household_debt_burden_raw</t>
        </is>
      </c>
      <c r="F2271" t="inlineStr">
        <is>
          <t>Household debt burden raw</t>
        </is>
      </c>
      <c r="G2271" t="inlineStr">
        <is>
          <t>pressure</t>
        </is>
      </c>
      <c r="H2271" t="inlineStr">
        <is>
          <t>yes</t>
        </is>
      </c>
      <c r="I2271" t="inlineStr"/>
      <c r="J2271" t="inlineStr"/>
      <c r="K2271" t="inlineStr"/>
      <c r="L2271" t="inlineStr"/>
      <c r="M2271" t="inlineStr"/>
      <c r="N2271" t="inlineStr"/>
    </row>
    <row r="2272">
      <c r="A2272" t="inlineStr">
        <is>
          <t>mu-port-louis</t>
        </is>
      </c>
      <c r="B2272" t="inlineStr">
        <is>
          <t>Port Louis</t>
        </is>
      </c>
      <c r="C2272" t="inlineStr">
        <is>
          <t>Mauritius</t>
        </is>
      </c>
      <c r="D2272" t="inlineStr">
        <is>
          <t>Africa</t>
        </is>
      </c>
      <c r="E2272" t="inlineStr">
        <is>
          <t>working_time_pressure_raw</t>
        </is>
      </c>
      <c r="F2272" t="inlineStr">
        <is>
          <t>Working time pressure raw</t>
        </is>
      </c>
      <c r="G2272" t="inlineStr">
        <is>
          <t>pressure</t>
        </is>
      </c>
      <c r="H2272" t="inlineStr">
        <is>
          <t>yes</t>
        </is>
      </c>
      <c r="I2272" t="inlineStr"/>
      <c r="J2272" t="inlineStr"/>
      <c r="K2272" t="inlineStr"/>
      <c r="L2272" t="inlineStr"/>
      <c r="M2272" t="inlineStr"/>
      <c r="N2272" t="inlineStr"/>
    </row>
    <row r="2273">
      <c r="A2273" t="inlineStr">
        <is>
          <t>mu-port-louis</t>
        </is>
      </c>
      <c r="B2273" t="inlineStr">
        <is>
          <t>Port Louis</t>
        </is>
      </c>
      <c r="C2273" t="inlineStr">
        <is>
          <t>Mauritius</t>
        </is>
      </c>
      <c r="D2273" t="inlineStr">
        <is>
          <t>Africa</t>
        </is>
      </c>
      <c r="E2273" t="inlineStr">
        <is>
          <t>suicide_mental_strain_raw</t>
        </is>
      </c>
      <c r="F2273" t="inlineStr">
        <is>
          <t>Suicide or mental strain raw</t>
        </is>
      </c>
      <c r="G2273" t="inlineStr">
        <is>
          <t>pressure</t>
        </is>
      </c>
      <c r="H2273" t="inlineStr">
        <is>
          <t>yes</t>
        </is>
      </c>
      <c r="I2273" t="inlineStr"/>
      <c r="J2273" t="inlineStr"/>
      <c r="K2273" t="inlineStr"/>
      <c r="L2273" t="inlineStr"/>
      <c r="M2273" t="inlineStr"/>
      <c r="N2273" t="inlineStr"/>
    </row>
    <row r="2274">
      <c r="A2274" t="inlineStr">
        <is>
          <t>mu-port-louis</t>
        </is>
      </c>
      <c r="B2274" t="inlineStr">
        <is>
          <t>Port Louis</t>
        </is>
      </c>
      <c r="C2274" t="inlineStr">
        <is>
          <t>Mauritius</t>
        </is>
      </c>
      <c r="D2274" t="inlineStr">
        <is>
          <t>Africa</t>
        </is>
      </c>
      <c r="E2274" t="inlineStr">
        <is>
          <t>personal_safety_raw</t>
        </is>
      </c>
      <c r="F2274" t="inlineStr">
        <is>
          <t>Personal safety raw</t>
        </is>
      </c>
      <c r="G2274" t="inlineStr">
        <is>
          <t>viability</t>
        </is>
      </c>
      <c r="H2274" t="inlineStr">
        <is>
          <t>yes</t>
        </is>
      </c>
      <c r="I2274" t="inlineStr"/>
      <c r="J2274" t="inlineStr"/>
      <c r="K2274" t="inlineStr"/>
      <c r="L2274" t="inlineStr"/>
      <c r="M2274" t="inlineStr"/>
      <c r="N2274" t="inlineStr"/>
    </row>
    <row r="2275">
      <c r="A2275" t="inlineStr">
        <is>
          <t>mu-port-louis</t>
        </is>
      </c>
      <c r="B2275" t="inlineStr">
        <is>
          <t>Port Louis</t>
        </is>
      </c>
      <c r="C2275" t="inlineStr">
        <is>
          <t>Mauritius</t>
        </is>
      </c>
      <c r="D2275" t="inlineStr">
        <is>
          <t>Africa</t>
        </is>
      </c>
      <c r="E2275" t="inlineStr">
        <is>
          <t>transit_access_commute_raw</t>
        </is>
      </c>
      <c r="F2275" t="inlineStr">
        <is>
          <t>Transit access and commute raw</t>
        </is>
      </c>
      <c r="G2275" t="inlineStr">
        <is>
          <t>viability</t>
        </is>
      </c>
      <c r="H2275" t="inlineStr">
        <is>
          <t>yes</t>
        </is>
      </c>
      <c r="I2275" t="inlineStr"/>
      <c r="J2275" t="inlineStr"/>
      <c r="K2275" t="inlineStr"/>
      <c r="L2275" t="inlineStr"/>
      <c r="M2275" t="inlineStr"/>
      <c r="N2275" t="inlineStr"/>
    </row>
    <row r="2276">
      <c r="A2276" t="inlineStr">
        <is>
          <t>mu-port-louis</t>
        </is>
      </c>
      <c r="B2276" t="inlineStr">
        <is>
          <t>Port Louis</t>
        </is>
      </c>
      <c r="C2276" t="inlineStr">
        <is>
          <t>Mauritius</t>
        </is>
      </c>
      <c r="D2276" t="inlineStr">
        <is>
          <t>Africa</t>
        </is>
      </c>
      <c r="E2276" t="inlineStr">
        <is>
          <t>clean_air_raw</t>
        </is>
      </c>
      <c r="F2276" t="inlineStr">
        <is>
          <t>Clean air raw</t>
        </is>
      </c>
      <c r="G2276" t="inlineStr">
        <is>
          <t>viability</t>
        </is>
      </c>
      <c r="H2276" t="inlineStr">
        <is>
          <t>yes</t>
        </is>
      </c>
      <c r="I2276" t="inlineStr"/>
      <c r="J2276" t="inlineStr"/>
      <c r="K2276" t="inlineStr"/>
      <c r="L2276" t="inlineStr"/>
      <c r="M2276" t="inlineStr"/>
      <c r="N2276" t="inlineStr"/>
    </row>
    <row r="2277">
      <c r="A2277" t="inlineStr">
        <is>
          <t>mu-port-louis</t>
        </is>
      </c>
      <c r="B2277" t="inlineStr">
        <is>
          <t>Port Louis</t>
        </is>
      </c>
      <c r="C2277" t="inlineStr">
        <is>
          <t>Mauritius</t>
        </is>
      </c>
      <c r="D2277" t="inlineStr">
        <is>
          <t>Africa</t>
        </is>
      </c>
      <c r="E2277" t="inlineStr">
        <is>
          <t>water_sanitation_utility_raw</t>
        </is>
      </c>
      <c r="F2277" t="inlineStr">
        <is>
          <t>Water, sanitation, and utility raw</t>
        </is>
      </c>
      <c r="G2277" t="inlineStr">
        <is>
          <t>viability</t>
        </is>
      </c>
      <c r="H2277" t="inlineStr">
        <is>
          <t>yes</t>
        </is>
      </c>
      <c r="I2277" t="inlineStr"/>
      <c r="J2277" t="inlineStr"/>
      <c r="K2277" t="inlineStr"/>
      <c r="L2277" t="inlineStr"/>
      <c r="M2277" t="inlineStr"/>
      <c r="N2277" t="inlineStr"/>
    </row>
    <row r="2278">
      <c r="A2278" t="inlineStr">
        <is>
          <t>mu-port-louis</t>
        </is>
      </c>
      <c r="B2278" t="inlineStr">
        <is>
          <t>Port Louis</t>
        </is>
      </c>
      <c r="C2278" t="inlineStr">
        <is>
          <t>Mauritius</t>
        </is>
      </c>
      <c r="D2278" t="inlineStr">
        <is>
          <t>Africa</t>
        </is>
      </c>
      <c r="E2278" t="inlineStr">
        <is>
          <t>digital_infrastructure_raw</t>
        </is>
      </c>
      <c r="F2278" t="inlineStr">
        <is>
          <t>Digital infrastructure raw</t>
        </is>
      </c>
      <c r="G2278" t="inlineStr">
        <is>
          <t>viability</t>
        </is>
      </c>
      <c r="H2278" t="inlineStr">
        <is>
          <t>yes</t>
        </is>
      </c>
      <c r="I2278" t="inlineStr"/>
      <c r="J2278" t="inlineStr"/>
      <c r="K2278" t="inlineStr"/>
      <c r="L2278" t="inlineStr"/>
      <c r="M2278" t="inlineStr"/>
      <c r="N2278" t="inlineStr"/>
    </row>
    <row r="2279">
      <c r="A2279" t="inlineStr">
        <is>
          <t>mu-port-louis</t>
        </is>
      </c>
      <c r="B2279" t="inlineStr">
        <is>
          <t>Port Louis</t>
        </is>
      </c>
      <c r="C2279" t="inlineStr">
        <is>
          <t>Mauritius</t>
        </is>
      </c>
      <c r="D2279" t="inlineStr">
        <is>
          <t>Africa</t>
        </is>
      </c>
      <c r="E2279" t="inlineStr">
        <is>
          <t>healthcare_quality_raw</t>
        </is>
      </c>
      <c r="F2279" t="inlineStr">
        <is>
          <t>Healthcare quality raw</t>
        </is>
      </c>
      <c r="G2279" t="inlineStr">
        <is>
          <t>capability</t>
        </is>
      </c>
      <c r="H2279" t="inlineStr">
        <is>
          <t>yes</t>
        </is>
      </c>
      <c r="I2279" t="inlineStr"/>
      <c r="J2279" t="inlineStr"/>
      <c r="K2279" t="inlineStr"/>
      <c r="L2279" t="inlineStr"/>
      <c r="M2279" t="inlineStr"/>
      <c r="N2279" t="inlineStr"/>
    </row>
    <row r="2280">
      <c r="A2280" t="inlineStr">
        <is>
          <t>mu-port-louis</t>
        </is>
      </c>
      <c r="B2280" t="inlineStr">
        <is>
          <t>Port Louis</t>
        </is>
      </c>
      <c r="C2280" t="inlineStr">
        <is>
          <t>Mauritius</t>
        </is>
      </c>
      <c r="D2280" t="inlineStr">
        <is>
          <t>Africa</t>
        </is>
      </c>
      <c r="E2280" t="inlineStr">
        <is>
          <t>education_quality_raw</t>
        </is>
      </c>
      <c r="F2280" t="inlineStr">
        <is>
          <t>Education quality raw</t>
        </is>
      </c>
      <c r="G2280" t="inlineStr">
        <is>
          <t>capability</t>
        </is>
      </c>
      <c r="H2280" t="inlineStr">
        <is>
          <t>yes</t>
        </is>
      </c>
      <c r="I2280" t="inlineStr"/>
      <c r="J2280" t="inlineStr"/>
      <c r="K2280" t="inlineStr"/>
      <c r="L2280" t="inlineStr"/>
      <c r="M2280" t="inlineStr"/>
      <c r="N2280" t="inlineStr"/>
    </row>
    <row r="2281">
      <c r="A2281" t="inlineStr">
        <is>
          <t>mu-port-louis</t>
        </is>
      </c>
      <c r="B2281" t="inlineStr">
        <is>
          <t>Port Louis</t>
        </is>
      </c>
      <c r="C2281" t="inlineStr">
        <is>
          <t>Mauritius</t>
        </is>
      </c>
      <c r="D2281" t="inlineStr">
        <is>
          <t>Africa</t>
        </is>
      </c>
      <c r="E2281" t="inlineStr">
        <is>
          <t>equal_opportunity_raw</t>
        </is>
      </c>
      <c r="F2281" t="inlineStr">
        <is>
          <t>Equal opportunity raw</t>
        </is>
      </c>
      <c r="G2281" t="inlineStr">
        <is>
          <t>capability</t>
        </is>
      </c>
      <c r="H2281" t="inlineStr">
        <is>
          <t>yes</t>
        </is>
      </c>
      <c r="I2281" t="inlineStr"/>
      <c r="J2281" t="inlineStr"/>
      <c r="K2281" t="inlineStr"/>
      <c r="L2281" t="inlineStr"/>
      <c r="M2281" t="inlineStr"/>
      <c r="N2281" t="inlineStr"/>
    </row>
    <row r="2282">
      <c r="A2282" t="inlineStr">
        <is>
          <t>mu-port-louis</t>
        </is>
      </c>
      <c r="B2282" t="inlineStr">
        <is>
          <t>Port Louis</t>
        </is>
      </c>
      <c r="C2282" t="inlineStr">
        <is>
          <t>Mauritius</t>
        </is>
      </c>
      <c r="D2282" t="inlineStr">
        <is>
          <t>Africa</t>
        </is>
      </c>
      <c r="E2282" t="inlineStr">
        <is>
          <t>hospitality_belonging_raw</t>
        </is>
      </c>
      <c r="F2282" t="inlineStr">
        <is>
          <t>Hospitality and belonging raw</t>
        </is>
      </c>
      <c r="G2282" t="inlineStr">
        <is>
          <t>community</t>
        </is>
      </c>
      <c r="H2282" t="inlineStr">
        <is>
          <t>yes</t>
        </is>
      </c>
      <c r="I2282" t="inlineStr"/>
      <c r="J2282" t="inlineStr"/>
      <c r="K2282" t="inlineStr"/>
      <c r="L2282" t="inlineStr"/>
      <c r="M2282" t="inlineStr"/>
      <c r="N2282" t="inlineStr"/>
    </row>
    <row r="2283">
      <c r="A2283" t="inlineStr">
        <is>
          <t>mu-port-louis</t>
        </is>
      </c>
      <c r="B2283" t="inlineStr">
        <is>
          <t>Port Louis</t>
        </is>
      </c>
      <c r="C2283" t="inlineStr">
        <is>
          <t>Mauritius</t>
        </is>
      </c>
      <c r="D2283" t="inlineStr">
        <is>
          <t>Africa</t>
        </is>
      </c>
      <c r="E2283" t="inlineStr">
        <is>
          <t>tolerance_pluralism_raw</t>
        </is>
      </c>
      <c r="F2283" t="inlineStr">
        <is>
          <t>Tolerance and pluralism raw</t>
        </is>
      </c>
      <c r="G2283" t="inlineStr">
        <is>
          <t>community</t>
        </is>
      </c>
      <c r="H2283" t="inlineStr">
        <is>
          <t>yes</t>
        </is>
      </c>
      <c r="I2283" t="inlineStr"/>
      <c r="J2283" t="inlineStr"/>
      <c r="K2283" t="inlineStr"/>
      <c r="L2283" t="inlineStr"/>
      <c r="M2283" t="inlineStr"/>
      <c r="N2283" t="inlineStr"/>
    </row>
    <row r="2284">
      <c r="A2284" t="inlineStr">
        <is>
          <t>mu-port-louis</t>
        </is>
      </c>
      <c r="B2284" t="inlineStr">
        <is>
          <t>Port Louis</t>
        </is>
      </c>
      <c r="C2284" t="inlineStr">
        <is>
          <t>Mauritius</t>
        </is>
      </c>
      <c r="D2284" t="inlineStr">
        <is>
          <t>Africa</t>
        </is>
      </c>
      <c r="E2284" t="inlineStr">
        <is>
          <t>cultural_public_life_raw</t>
        </is>
      </c>
      <c r="F2284" t="inlineStr">
        <is>
          <t>Cultural public life raw</t>
        </is>
      </c>
      <c r="G2284" t="inlineStr">
        <is>
          <t>community</t>
        </is>
      </c>
      <c r="H2284" t="inlineStr">
        <is>
          <t>yes</t>
        </is>
      </c>
      <c r="I2284" t="inlineStr"/>
      <c r="J2284" t="inlineStr"/>
      <c r="K2284" t="inlineStr"/>
      <c r="L2284" t="inlineStr"/>
      <c r="M2284" t="inlineStr"/>
      <c r="N2284" t="inlineStr"/>
    </row>
    <row r="2285">
      <c r="A2285" t="inlineStr">
        <is>
          <t>mu-port-louis</t>
        </is>
      </c>
      <c r="B2285" t="inlineStr">
        <is>
          <t>Port Louis</t>
        </is>
      </c>
      <c r="C2285" t="inlineStr">
        <is>
          <t>Mauritius</t>
        </is>
      </c>
      <c r="D2285" t="inlineStr">
        <is>
          <t>Africa</t>
        </is>
      </c>
      <c r="E2285" t="inlineStr">
        <is>
          <t>entrepreneurial_dynamism_raw</t>
        </is>
      </c>
      <c r="F2285" t="inlineStr">
        <is>
          <t>Entrepreneurial dynamism raw</t>
        </is>
      </c>
      <c r="G2285" t="inlineStr">
        <is>
          <t>creative</t>
        </is>
      </c>
      <c r="H2285" t="inlineStr">
        <is>
          <t>yes</t>
        </is>
      </c>
      <c r="I2285" t="inlineStr"/>
      <c r="J2285" t="inlineStr"/>
      <c r="K2285" t="inlineStr"/>
      <c r="L2285" t="inlineStr"/>
      <c r="M2285" t="inlineStr"/>
      <c r="N2285" t="inlineStr"/>
    </row>
    <row r="2286">
      <c r="A2286" t="inlineStr">
        <is>
          <t>mu-port-louis</t>
        </is>
      </c>
      <c r="B2286" t="inlineStr">
        <is>
          <t>Port Louis</t>
        </is>
      </c>
      <c r="C2286" t="inlineStr">
        <is>
          <t>Mauritius</t>
        </is>
      </c>
      <c r="D2286" t="inlineStr">
        <is>
          <t>Africa</t>
        </is>
      </c>
      <c r="E2286" t="inlineStr">
        <is>
          <t>innovation_research_intensity_raw</t>
        </is>
      </c>
      <c r="F2286" t="inlineStr">
        <is>
          <t>Innovation and research raw</t>
        </is>
      </c>
      <c r="G2286" t="inlineStr">
        <is>
          <t>creative</t>
        </is>
      </c>
      <c r="H2286" t="inlineStr">
        <is>
          <t>yes</t>
        </is>
      </c>
      <c r="I2286" t="inlineStr"/>
      <c r="J2286" t="inlineStr"/>
      <c r="K2286" t="inlineStr"/>
      <c r="L2286" t="inlineStr"/>
      <c r="M2286" t="inlineStr"/>
      <c r="N2286" t="inlineStr"/>
    </row>
    <row r="2287">
      <c r="A2287" t="inlineStr">
        <is>
          <t>mu-port-louis</t>
        </is>
      </c>
      <c r="B2287" t="inlineStr">
        <is>
          <t>Port Louis</t>
        </is>
      </c>
      <c r="C2287" t="inlineStr">
        <is>
          <t>Mauritius</t>
        </is>
      </c>
      <c r="D2287" t="inlineStr">
        <is>
          <t>Africa</t>
        </is>
      </c>
      <c r="E2287" t="inlineStr">
        <is>
          <t>investment_signal_raw</t>
        </is>
      </c>
      <c r="F2287" t="inlineStr">
        <is>
          <t>Investment signal raw</t>
        </is>
      </c>
      <c r="G2287" t="inlineStr">
        <is>
          <t>creative</t>
        </is>
      </c>
      <c r="H2287" t="inlineStr">
        <is>
          <t>yes</t>
        </is>
      </c>
      <c r="I2287" t="inlineStr"/>
      <c r="J2287" t="inlineStr"/>
      <c r="K2287" t="inlineStr"/>
      <c r="L2287" t="inlineStr"/>
      <c r="M2287" t="inlineStr"/>
      <c r="N2287" t="inlineStr"/>
    </row>
    <row r="2288">
      <c r="A2288" t="inlineStr">
        <is>
          <t>mu-port-louis</t>
        </is>
      </c>
      <c r="B2288" t="inlineStr">
        <is>
          <t>Port Louis</t>
        </is>
      </c>
      <c r="C2288" t="inlineStr">
        <is>
          <t>Mauritius</t>
        </is>
      </c>
      <c r="D2288" t="inlineStr">
        <is>
          <t>Africa</t>
        </is>
      </c>
      <c r="E2288" t="inlineStr">
        <is>
          <t>administrative_investment_friction_raw</t>
        </is>
      </c>
      <c r="F2288" t="inlineStr">
        <is>
          <t>Administrative investment friction raw</t>
        </is>
      </c>
      <c r="G2288" t="inlineStr">
        <is>
          <t>creative</t>
        </is>
      </c>
      <c r="H2288" t="inlineStr">
        <is>
          <t>yes</t>
        </is>
      </c>
      <c r="I2288" t="inlineStr"/>
      <c r="J2288" t="inlineStr"/>
      <c r="K2288" t="inlineStr"/>
      <c r="L2288" t="inlineStr"/>
      <c r="M2288" t="inlineStr"/>
      <c r="N2288" t="inlineStr"/>
    </row>
    <row r="2289">
      <c r="A2289" t="inlineStr">
        <is>
          <t>mu-port-louis</t>
        </is>
      </c>
      <c r="B2289" t="inlineStr">
        <is>
          <t>Port Louis</t>
        </is>
      </c>
      <c r="C2289" t="inlineStr">
        <is>
          <t>Mauritius</t>
        </is>
      </c>
      <c r="D2289" t="inlineStr">
        <is>
          <t>Africa</t>
        </is>
      </c>
      <c r="E2289" t="inlineStr">
        <is>
          <t>visitor_flow_context_raw</t>
        </is>
      </c>
      <c r="F2289" t="inlineStr">
        <is>
          <t>Visitor flow context raw</t>
        </is>
      </c>
      <c r="G2289" t="inlineStr">
        <is>
          <t>creative</t>
        </is>
      </c>
      <c r="H2289" t="inlineStr">
        <is>
          <t>no</t>
        </is>
      </c>
      <c r="I2289" t="inlineStr"/>
      <c r="J2289" t="inlineStr"/>
      <c r="K2289" t="inlineStr"/>
      <c r="L2289" t="inlineStr"/>
      <c r="M2289" t="inlineStr"/>
      <c r="N2289" t="inlineStr"/>
    </row>
    <row r="2290">
      <c r="A2290" t="inlineStr">
        <is>
          <t>bw-gaborone</t>
        </is>
      </c>
      <c r="B2290" t="inlineStr">
        <is>
          <t>Gaborone</t>
        </is>
      </c>
      <c r="C2290" t="inlineStr">
        <is>
          <t>Botswana</t>
        </is>
      </c>
      <c r="D2290" t="inlineStr">
        <is>
          <t>Africa</t>
        </is>
      </c>
      <c r="E2290" t="inlineStr">
        <is>
          <t>gross_income</t>
        </is>
      </c>
      <c r="F2290" t="inlineStr">
        <is>
          <t>Gross income</t>
        </is>
      </c>
      <c r="G2290" t="inlineStr">
        <is>
          <t>pressure</t>
        </is>
      </c>
      <c r="H2290" t="inlineStr">
        <is>
          <t>yes</t>
        </is>
      </c>
      <c r="I2290" t="inlineStr"/>
      <c r="J2290" t="inlineStr"/>
      <c r="K2290" t="inlineStr"/>
      <c r="L2290" t="inlineStr"/>
      <c r="M2290" t="inlineStr"/>
      <c r="N2290" t="inlineStr"/>
    </row>
    <row r="2291">
      <c r="A2291" t="inlineStr">
        <is>
          <t>bw-gaborone</t>
        </is>
      </c>
      <c r="B2291" t="inlineStr">
        <is>
          <t>Gaborone</t>
        </is>
      </c>
      <c r="C2291" t="inlineStr">
        <is>
          <t>Botswana</t>
        </is>
      </c>
      <c r="D2291" t="inlineStr">
        <is>
          <t>Africa</t>
        </is>
      </c>
      <c r="E2291" t="inlineStr">
        <is>
          <t>rent</t>
        </is>
      </c>
      <c r="F2291" t="inlineStr">
        <is>
          <t>Rent</t>
        </is>
      </c>
      <c r="G2291" t="inlineStr">
        <is>
          <t>pressure</t>
        </is>
      </c>
      <c r="H2291" t="inlineStr">
        <is>
          <t>yes</t>
        </is>
      </c>
      <c r="I2291" t="inlineStr"/>
      <c r="J2291" t="inlineStr"/>
      <c r="K2291" t="inlineStr"/>
      <c r="L2291" t="inlineStr"/>
      <c r="M2291" t="inlineStr"/>
      <c r="N2291" t="inlineStr"/>
    </row>
    <row r="2292">
      <c r="A2292" t="inlineStr">
        <is>
          <t>bw-gaborone</t>
        </is>
      </c>
      <c r="B2292" t="inlineStr">
        <is>
          <t>Gaborone</t>
        </is>
      </c>
      <c r="C2292" t="inlineStr">
        <is>
          <t>Botswana</t>
        </is>
      </c>
      <c r="D2292" t="inlineStr">
        <is>
          <t>Africa</t>
        </is>
      </c>
      <c r="E2292" t="inlineStr">
        <is>
          <t>utilities</t>
        </is>
      </c>
      <c r="F2292" t="inlineStr">
        <is>
          <t>Utilities</t>
        </is>
      </c>
      <c r="G2292" t="inlineStr">
        <is>
          <t>pressure</t>
        </is>
      </c>
      <c r="H2292" t="inlineStr">
        <is>
          <t>yes</t>
        </is>
      </c>
      <c r="I2292" t="inlineStr"/>
      <c r="J2292" t="inlineStr"/>
      <c r="K2292" t="inlineStr"/>
      <c r="L2292" t="inlineStr"/>
      <c r="M2292" t="inlineStr"/>
      <c r="N2292" t="inlineStr"/>
    </row>
    <row r="2293">
      <c r="A2293" t="inlineStr">
        <is>
          <t>bw-gaborone</t>
        </is>
      </c>
      <c r="B2293" t="inlineStr">
        <is>
          <t>Gaborone</t>
        </is>
      </c>
      <c r="C2293" t="inlineStr">
        <is>
          <t>Botswana</t>
        </is>
      </c>
      <c r="D2293" t="inlineStr">
        <is>
          <t>Africa</t>
        </is>
      </c>
      <c r="E2293" t="inlineStr">
        <is>
          <t>transit_cost</t>
        </is>
      </c>
      <c r="F2293" t="inlineStr">
        <is>
          <t>Transit cost</t>
        </is>
      </c>
      <c r="G2293" t="inlineStr">
        <is>
          <t>pressure</t>
        </is>
      </c>
      <c r="H2293" t="inlineStr">
        <is>
          <t>yes</t>
        </is>
      </c>
      <c r="I2293" t="inlineStr"/>
      <c r="J2293" t="inlineStr"/>
      <c r="K2293" t="inlineStr"/>
      <c r="L2293" t="inlineStr"/>
      <c r="M2293" t="inlineStr"/>
      <c r="N2293" t="inlineStr"/>
    </row>
    <row r="2294">
      <c r="A2294" t="inlineStr">
        <is>
          <t>bw-gaborone</t>
        </is>
      </c>
      <c r="B2294" t="inlineStr">
        <is>
          <t>Gaborone</t>
        </is>
      </c>
      <c r="C2294" t="inlineStr">
        <is>
          <t>Botswana</t>
        </is>
      </c>
      <c r="D2294" t="inlineStr">
        <is>
          <t>Africa</t>
        </is>
      </c>
      <c r="E2294" t="inlineStr">
        <is>
          <t>internet_cost</t>
        </is>
      </c>
      <c r="F2294" t="inlineStr">
        <is>
          <t>Internet cost</t>
        </is>
      </c>
      <c r="G2294" t="inlineStr">
        <is>
          <t>pressure</t>
        </is>
      </c>
      <c r="H2294" t="inlineStr">
        <is>
          <t>yes</t>
        </is>
      </c>
      <c r="I2294" t="inlineStr"/>
      <c r="J2294" t="inlineStr"/>
      <c r="K2294" t="inlineStr"/>
      <c r="L2294" t="inlineStr"/>
      <c r="M2294" t="inlineStr"/>
      <c r="N2294" t="inlineStr"/>
    </row>
    <row r="2295">
      <c r="A2295" t="inlineStr">
        <is>
          <t>bw-gaborone</t>
        </is>
      </c>
      <c r="B2295" t="inlineStr">
        <is>
          <t>Gaborone</t>
        </is>
      </c>
      <c r="C2295" t="inlineStr">
        <is>
          <t>Botswana</t>
        </is>
      </c>
      <c r="D2295" t="inlineStr">
        <is>
          <t>Africa</t>
        </is>
      </c>
      <c r="E2295" t="inlineStr">
        <is>
          <t>food_cost</t>
        </is>
      </c>
      <c r="F2295" t="inlineStr">
        <is>
          <t>Food cost</t>
        </is>
      </c>
      <c r="G2295" t="inlineStr">
        <is>
          <t>pressure</t>
        </is>
      </c>
      <c r="H2295" t="inlineStr">
        <is>
          <t>yes</t>
        </is>
      </c>
      <c r="I2295" t="inlineStr"/>
      <c r="J2295" t="inlineStr"/>
      <c r="K2295" t="inlineStr"/>
      <c r="L2295" t="inlineStr"/>
      <c r="M2295" t="inlineStr"/>
      <c r="N2295" t="inlineStr"/>
    </row>
    <row r="2296">
      <c r="A2296" t="inlineStr">
        <is>
          <t>bw-gaborone</t>
        </is>
      </c>
      <c r="B2296" t="inlineStr">
        <is>
          <t>Gaborone</t>
        </is>
      </c>
      <c r="C2296" t="inlineStr">
        <is>
          <t>Botswana</t>
        </is>
      </c>
      <c r="D2296" t="inlineStr">
        <is>
          <t>Africa</t>
        </is>
      </c>
      <c r="E2296" t="inlineStr">
        <is>
          <t>housing_burden_raw</t>
        </is>
      </c>
      <c r="F2296" t="inlineStr">
        <is>
          <t>Housing burden raw</t>
        </is>
      </c>
      <c r="G2296" t="inlineStr">
        <is>
          <t>pressure</t>
        </is>
      </c>
      <c r="H2296" t="inlineStr">
        <is>
          <t>yes</t>
        </is>
      </c>
      <c r="I2296" t="inlineStr"/>
      <c r="J2296" t="inlineStr"/>
      <c r="K2296" t="inlineStr"/>
      <c r="L2296" t="inlineStr"/>
      <c r="M2296" t="inlineStr"/>
      <c r="N2296" t="inlineStr"/>
    </row>
    <row r="2297">
      <c r="A2297" t="inlineStr">
        <is>
          <t>bw-gaborone</t>
        </is>
      </c>
      <c r="B2297" t="inlineStr">
        <is>
          <t>Gaborone</t>
        </is>
      </c>
      <c r="C2297" t="inlineStr">
        <is>
          <t>Botswana</t>
        </is>
      </c>
      <c r="D2297" t="inlineStr">
        <is>
          <t>Africa</t>
        </is>
      </c>
      <c r="E2297" t="inlineStr">
        <is>
          <t>household_debt_burden_raw</t>
        </is>
      </c>
      <c r="F2297" t="inlineStr">
        <is>
          <t>Household debt burden raw</t>
        </is>
      </c>
      <c r="G2297" t="inlineStr">
        <is>
          <t>pressure</t>
        </is>
      </c>
      <c r="H2297" t="inlineStr">
        <is>
          <t>yes</t>
        </is>
      </c>
      <c r="I2297" t="inlineStr"/>
      <c r="J2297" t="inlineStr"/>
      <c r="K2297" t="inlineStr"/>
      <c r="L2297" t="inlineStr"/>
      <c r="M2297" t="inlineStr"/>
      <c r="N2297" t="inlineStr"/>
    </row>
    <row r="2298">
      <c r="A2298" t="inlineStr">
        <is>
          <t>bw-gaborone</t>
        </is>
      </c>
      <c r="B2298" t="inlineStr">
        <is>
          <t>Gaborone</t>
        </is>
      </c>
      <c r="C2298" t="inlineStr">
        <is>
          <t>Botswana</t>
        </is>
      </c>
      <c r="D2298" t="inlineStr">
        <is>
          <t>Africa</t>
        </is>
      </c>
      <c r="E2298" t="inlineStr">
        <is>
          <t>working_time_pressure_raw</t>
        </is>
      </c>
      <c r="F2298" t="inlineStr">
        <is>
          <t>Working time pressure raw</t>
        </is>
      </c>
      <c r="G2298" t="inlineStr">
        <is>
          <t>pressure</t>
        </is>
      </c>
      <c r="H2298" t="inlineStr">
        <is>
          <t>yes</t>
        </is>
      </c>
      <c r="I2298" t="inlineStr"/>
      <c r="J2298" t="inlineStr"/>
      <c r="K2298" t="inlineStr"/>
      <c r="L2298" t="inlineStr"/>
      <c r="M2298" t="inlineStr"/>
      <c r="N2298" t="inlineStr"/>
    </row>
    <row r="2299">
      <c r="A2299" t="inlineStr">
        <is>
          <t>bw-gaborone</t>
        </is>
      </c>
      <c r="B2299" t="inlineStr">
        <is>
          <t>Gaborone</t>
        </is>
      </c>
      <c r="C2299" t="inlineStr">
        <is>
          <t>Botswana</t>
        </is>
      </c>
      <c r="D2299" t="inlineStr">
        <is>
          <t>Africa</t>
        </is>
      </c>
      <c r="E2299" t="inlineStr">
        <is>
          <t>suicide_mental_strain_raw</t>
        </is>
      </c>
      <c r="F2299" t="inlineStr">
        <is>
          <t>Suicide or mental strain raw</t>
        </is>
      </c>
      <c r="G2299" t="inlineStr">
        <is>
          <t>pressure</t>
        </is>
      </c>
      <c r="H2299" t="inlineStr">
        <is>
          <t>yes</t>
        </is>
      </c>
      <c r="I2299" t="inlineStr"/>
      <c r="J2299" t="inlineStr"/>
      <c r="K2299" t="inlineStr"/>
      <c r="L2299" t="inlineStr"/>
      <c r="M2299" t="inlineStr"/>
      <c r="N2299" t="inlineStr"/>
    </row>
    <row r="2300">
      <c r="A2300" t="inlineStr">
        <is>
          <t>bw-gaborone</t>
        </is>
      </c>
      <c r="B2300" t="inlineStr">
        <is>
          <t>Gaborone</t>
        </is>
      </c>
      <c r="C2300" t="inlineStr">
        <is>
          <t>Botswana</t>
        </is>
      </c>
      <c r="D2300" t="inlineStr">
        <is>
          <t>Africa</t>
        </is>
      </c>
      <c r="E2300" t="inlineStr">
        <is>
          <t>personal_safety_raw</t>
        </is>
      </c>
      <c r="F2300" t="inlineStr">
        <is>
          <t>Personal safety raw</t>
        </is>
      </c>
      <c r="G2300" t="inlineStr">
        <is>
          <t>viability</t>
        </is>
      </c>
      <c r="H2300" t="inlineStr">
        <is>
          <t>yes</t>
        </is>
      </c>
      <c r="I2300" t="inlineStr"/>
      <c r="J2300" t="inlineStr"/>
      <c r="K2300" t="inlineStr"/>
      <c r="L2300" t="inlineStr"/>
      <c r="M2300" t="inlineStr"/>
      <c r="N2300" t="inlineStr"/>
    </row>
    <row r="2301">
      <c r="A2301" t="inlineStr">
        <is>
          <t>bw-gaborone</t>
        </is>
      </c>
      <c r="B2301" t="inlineStr">
        <is>
          <t>Gaborone</t>
        </is>
      </c>
      <c r="C2301" t="inlineStr">
        <is>
          <t>Botswana</t>
        </is>
      </c>
      <c r="D2301" t="inlineStr">
        <is>
          <t>Africa</t>
        </is>
      </c>
      <c r="E2301" t="inlineStr">
        <is>
          <t>transit_access_commute_raw</t>
        </is>
      </c>
      <c r="F2301" t="inlineStr">
        <is>
          <t>Transit access and commute raw</t>
        </is>
      </c>
      <c r="G2301" t="inlineStr">
        <is>
          <t>viability</t>
        </is>
      </c>
      <c r="H2301" t="inlineStr">
        <is>
          <t>yes</t>
        </is>
      </c>
      <c r="I2301" t="inlineStr"/>
      <c r="J2301" t="inlineStr"/>
      <c r="K2301" t="inlineStr"/>
      <c r="L2301" t="inlineStr"/>
      <c r="M2301" t="inlineStr"/>
      <c r="N2301" t="inlineStr"/>
    </row>
    <row r="2302">
      <c r="A2302" t="inlineStr">
        <is>
          <t>bw-gaborone</t>
        </is>
      </c>
      <c r="B2302" t="inlineStr">
        <is>
          <t>Gaborone</t>
        </is>
      </c>
      <c r="C2302" t="inlineStr">
        <is>
          <t>Botswana</t>
        </is>
      </c>
      <c r="D2302" t="inlineStr">
        <is>
          <t>Africa</t>
        </is>
      </c>
      <c r="E2302" t="inlineStr">
        <is>
          <t>clean_air_raw</t>
        </is>
      </c>
      <c r="F2302" t="inlineStr">
        <is>
          <t>Clean air raw</t>
        </is>
      </c>
      <c r="G2302" t="inlineStr">
        <is>
          <t>viability</t>
        </is>
      </c>
      <c r="H2302" t="inlineStr">
        <is>
          <t>yes</t>
        </is>
      </c>
      <c r="I2302" t="inlineStr"/>
      <c r="J2302" t="inlineStr"/>
      <c r="K2302" t="inlineStr"/>
      <c r="L2302" t="inlineStr"/>
      <c r="M2302" t="inlineStr"/>
      <c r="N2302" t="inlineStr"/>
    </row>
    <row r="2303">
      <c r="A2303" t="inlineStr">
        <is>
          <t>bw-gaborone</t>
        </is>
      </c>
      <c r="B2303" t="inlineStr">
        <is>
          <t>Gaborone</t>
        </is>
      </c>
      <c r="C2303" t="inlineStr">
        <is>
          <t>Botswana</t>
        </is>
      </c>
      <c r="D2303" t="inlineStr">
        <is>
          <t>Africa</t>
        </is>
      </c>
      <c r="E2303" t="inlineStr">
        <is>
          <t>water_sanitation_utility_raw</t>
        </is>
      </c>
      <c r="F2303" t="inlineStr">
        <is>
          <t>Water, sanitation, and utility raw</t>
        </is>
      </c>
      <c r="G2303" t="inlineStr">
        <is>
          <t>viability</t>
        </is>
      </c>
      <c r="H2303" t="inlineStr">
        <is>
          <t>yes</t>
        </is>
      </c>
      <c r="I2303" t="inlineStr"/>
      <c r="J2303" t="inlineStr"/>
      <c r="K2303" t="inlineStr"/>
      <c r="L2303" t="inlineStr"/>
      <c r="M2303" t="inlineStr"/>
      <c r="N2303" t="inlineStr"/>
    </row>
    <row r="2304">
      <c r="A2304" t="inlineStr">
        <is>
          <t>bw-gaborone</t>
        </is>
      </c>
      <c r="B2304" t="inlineStr">
        <is>
          <t>Gaborone</t>
        </is>
      </c>
      <c r="C2304" t="inlineStr">
        <is>
          <t>Botswana</t>
        </is>
      </c>
      <c r="D2304" t="inlineStr">
        <is>
          <t>Africa</t>
        </is>
      </c>
      <c r="E2304" t="inlineStr">
        <is>
          <t>digital_infrastructure_raw</t>
        </is>
      </c>
      <c r="F2304" t="inlineStr">
        <is>
          <t>Digital infrastructure raw</t>
        </is>
      </c>
      <c r="G2304" t="inlineStr">
        <is>
          <t>viability</t>
        </is>
      </c>
      <c r="H2304" t="inlineStr">
        <is>
          <t>yes</t>
        </is>
      </c>
      <c r="I2304" t="inlineStr"/>
      <c r="J2304" t="inlineStr"/>
      <c r="K2304" t="inlineStr"/>
      <c r="L2304" t="inlineStr"/>
      <c r="M2304" t="inlineStr"/>
      <c r="N2304" t="inlineStr"/>
    </row>
    <row r="2305">
      <c r="A2305" t="inlineStr">
        <is>
          <t>bw-gaborone</t>
        </is>
      </c>
      <c r="B2305" t="inlineStr">
        <is>
          <t>Gaborone</t>
        </is>
      </c>
      <c r="C2305" t="inlineStr">
        <is>
          <t>Botswana</t>
        </is>
      </c>
      <c r="D2305" t="inlineStr">
        <is>
          <t>Africa</t>
        </is>
      </c>
      <c r="E2305" t="inlineStr">
        <is>
          <t>healthcare_quality_raw</t>
        </is>
      </c>
      <c r="F2305" t="inlineStr">
        <is>
          <t>Healthcare quality raw</t>
        </is>
      </c>
      <c r="G2305" t="inlineStr">
        <is>
          <t>capability</t>
        </is>
      </c>
      <c r="H2305" t="inlineStr">
        <is>
          <t>yes</t>
        </is>
      </c>
      <c r="I2305" t="inlineStr"/>
      <c r="J2305" t="inlineStr"/>
      <c r="K2305" t="inlineStr"/>
      <c r="L2305" t="inlineStr"/>
      <c r="M2305" t="inlineStr"/>
      <c r="N2305" t="inlineStr"/>
    </row>
    <row r="2306">
      <c r="A2306" t="inlineStr">
        <is>
          <t>bw-gaborone</t>
        </is>
      </c>
      <c r="B2306" t="inlineStr">
        <is>
          <t>Gaborone</t>
        </is>
      </c>
      <c r="C2306" t="inlineStr">
        <is>
          <t>Botswana</t>
        </is>
      </c>
      <c r="D2306" t="inlineStr">
        <is>
          <t>Africa</t>
        </is>
      </c>
      <c r="E2306" t="inlineStr">
        <is>
          <t>education_quality_raw</t>
        </is>
      </c>
      <c r="F2306" t="inlineStr">
        <is>
          <t>Education quality raw</t>
        </is>
      </c>
      <c r="G2306" t="inlineStr">
        <is>
          <t>capability</t>
        </is>
      </c>
      <c r="H2306" t="inlineStr">
        <is>
          <t>yes</t>
        </is>
      </c>
      <c r="I2306" t="inlineStr"/>
      <c r="J2306" t="inlineStr"/>
      <c r="K2306" t="inlineStr"/>
      <c r="L2306" t="inlineStr"/>
      <c r="M2306" t="inlineStr"/>
      <c r="N2306" t="inlineStr"/>
    </row>
    <row r="2307">
      <c r="A2307" t="inlineStr">
        <is>
          <t>bw-gaborone</t>
        </is>
      </c>
      <c r="B2307" t="inlineStr">
        <is>
          <t>Gaborone</t>
        </is>
      </c>
      <c r="C2307" t="inlineStr">
        <is>
          <t>Botswana</t>
        </is>
      </c>
      <c r="D2307" t="inlineStr">
        <is>
          <t>Africa</t>
        </is>
      </c>
      <c r="E2307" t="inlineStr">
        <is>
          <t>equal_opportunity_raw</t>
        </is>
      </c>
      <c r="F2307" t="inlineStr">
        <is>
          <t>Equal opportunity raw</t>
        </is>
      </c>
      <c r="G2307" t="inlineStr">
        <is>
          <t>capability</t>
        </is>
      </c>
      <c r="H2307" t="inlineStr">
        <is>
          <t>yes</t>
        </is>
      </c>
      <c r="I2307" t="inlineStr"/>
      <c r="J2307" t="inlineStr"/>
      <c r="K2307" t="inlineStr"/>
      <c r="L2307" t="inlineStr"/>
      <c r="M2307" t="inlineStr"/>
      <c r="N2307" t="inlineStr"/>
    </row>
    <row r="2308">
      <c r="A2308" t="inlineStr">
        <is>
          <t>bw-gaborone</t>
        </is>
      </c>
      <c r="B2308" t="inlineStr">
        <is>
          <t>Gaborone</t>
        </is>
      </c>
      <c r="C2308" t="inlineStr">
        <is>
          <t>Botswana</t>
        </is>
      </c>
      <c r="D2308" t="inlineStr">
        <is>
          <t>Africa</t>
        </is>
      </c>
      <c r="E2308" t="inlineStr">
        <is>
          <t>hospitality_belonging_raw</t>
        </is>
      </c>
      <c r="F2308" t="inlineStr">
        <is>
          <t>Hospitality and belonging raw</t>
        </is>
      </c>
      <c r="G2308" t="inlineStr">
        <is>
          <t>community</t>
        </is>
      </c>
      <c r="H2308" t="inlineStr">
        <is>
          <t>yes</t>
        </is>
      </c>
      <c r="I2308" t="inlineStr"/>
      <c r="J2308" t="inlineStr"/>
      <c r="K2308" t="inlineStr"/>
      <c r="L2308" t="inlineStr"/>
      <c r="M2308" t="inlineStr"/>
      <c r="N2308" t="inlineStr"/>
    </row>
    <row r="2309">
      <c r="A2309" t="inlineStr">
        <is>
          <t>bw-gaborone</t>
        </is>
      </c>
      <c r="B2309" t="inlineStr">
        <is>
          <t>Gaborone</t>
        </is>
      </c>
      <c r="C2309" t="inlineStr">
        <is>
          <t>Botswana</t>
        </is>
      </c>
      <c r="D2309" t="inlineStr">
        <is>
          <t>Africa</t>
        </is>
      </c>
      <c r="E2309" t="inlineStr">
        <is>
          <t>tolerance_pluralism_raw</t>
        </is>
      </c>
      <c r="F2309" t="inlineStr">
        <is>
          <t>Tolerance and pluralism raw</t>
        </is>
      </c>
      <c r="G2309" t="inlineStr">
        <is>
          <t>community</t>
        </is>
      </c>
      <c r="H2309" t="inlineStr">
        <is>
          <t>yes</t>
        </is>
      </c>
      <c r="I2309" t="inlineStr"/>
      <c r="J2309" t="inlineStr"/>
      <c r="K2309" t="inlineStr"/>
      <c r="L2309" t="inlineStr"/>
      <c r="M2309" t="inlineStr"/>
      <c r="N2309" t="inlineStr"/>
    </row>
    <row r="2310">
      <c r="A2310" t="inlineStr">
        <is>
          <t>bw-gaborone</t>
        </is>
      </c>
      <c r="B2310" t="inlineStr">
        <is>
          <t>Gaborone</t>
        </is>
      </c>
      <c r="C2310" t="inlineStr">
        <is>
          <t>Botswana</t>
        </is>
      </c>
      <c r="D2310" t="inlineStr">
        <is>
          <t>Africa</t>
        </is>
      </c>
      <c r="E2310" t="inlineStr">
        <is>
          <t>cultural_public_life_raw</t>
        </is>
      </c>
      <c r="F2310" t="inlineStr">
        <is>
          <t>Cultural public life raw</t>
        </is>
      </c>
      <c r="G2310" t="inlineStr">
        <is>
          <t>community</t>
        </is>
      </c>
      <c r="H2310" t="inlineStr">
        <is>
          <t>yes</t>
        </is>
      </c>
      <c r="I2310" t="inlineStr"/>
      <c r="J2310" t="inlineStr"/>
      <c r="K2310" t="inlineStr"/>
      <c r="L2310" t="inlineStr"/>
      <c r="M2310" t="inlineStr"/>
      <c r="N2310" t="inlineStr"/>
    </row>
    <row r="2311">
      <c r="A2311" t="inlineStr">
        <is>
          <t>bw-gaborone</t>
        </is>
      </c>
      <c r="B2311" t="inlineStr">
        <is>
          <t>Gaborone</t>
        </is>
      </c>
      <c r="C2311" t="inlineStr">
        <is>
          <t>Botswana</t>
        </is>
      </c>
      <c r="D2311" t="inlineStr">
        <is>
          <t>Africa</t>
        </is>
      </c>
      <c r="E2311" t="inlineStr">
        <is>
          <t>entrepreneurial_dynamism_raw</t>
        </is>
      </c>
      <c r="F2311" t="inlineStr">
        <is>
          <t>Entrepreneurial dynamism raw</t>
        </is>
      </c>
      <c r="G2311" t="inlineStr">
        <is>
          <t>creative</t>
        </is>
      </c>
      <c r="H2311" t="inlineStr">
        <is>
          <t>yes</t>
        </is>
      </c>
      <c r="I2311" t="inlineStr"/>
      <c r="J2311" t="inlineStr"/>
      <c r="K2311" t="inlineStr"/>
      <c r="L2311" t="inlineStr"/>
      <c r="M2311" t="inlineStr"/>
      <c r="N2311" t="inlineStr"/>
    </row>
    <row r="2312">
      <c r="A2312" t="inlineStr">
        <is>
          <t>bw-gaborone</t>
        </is>
      </c>
      <c r="B2312" t="inlineStr">
        <is>
          <t>Gaborone</t>
        </is>
      </c>
      <c r="C2312" t="inlineStr">
        <is>
          <t>Botswana</t>
        </is>
      </c>
      <c r="D2312" t="inlineStr">
        <is>
          <t>Africa</t>
        </is>
      </c>
      <c r="E2312" t="inlineStr">
        <is>
          <t>innovation_research_intensity_raw</t>
        </is>
      </c>
      <c r="F2312" t="inlineStr">
        <is>
          <t>Innovation and research raw</t>
        </is>
      </c>
      <c r="G2312" t="inlineStr">
        <is>
          <t>creative</t>
        </is>
      </c>
      <c r="H2312" t="inlineStr">
        <is>
          <t>yes</t>
        </is>
      </c>
      <c r="I2312" t="inlineStr"/>
      <c r="J2312" t="inlineStr"/>
      <c r="K2312" t="inlineStr"/>
      <c r="L2312" t="inlineStr"/>
      <c r="M2312" t="inlineStr"/>
      <c r="N2312" t="inlineStr"/>
    </row>
    <row r="2313">
      <c r="A2313" t="inlineStr">
        <is>
          <t>bw-gaborone</t>
        </is>
      </c>
      <c r="B2313" t="inlineStr">
        <is>
          <t>Gaborone</t>
        </is>
      </c>
      <c r="C2313" t="inlineStr">
        <is>
          <t>Botswana</t>
        </is>
      </c>
      <c r="D2313" t="inlineStr">
        <is>
          <t>Africa</t>
        </is>
      </c>
      <c r="E2313" t="inlineStr">
        <is>
          <t>investment_signal_raw</t>
        </is>
      </c>
      <c r="F2313" t="inlineStr">
        <is>
          <t>Investment signal raw</t>
        </is>
      </c>
      <c r="G2313" t="inlineStr">
        <is>
          <t>creative</t>
        </is>
      </c>
      <c r="H2313" t="inlineStr">
        <is>
          <t>yes</t>
        </is>
      </c>
      <c r="I2313" t="inlineStr"/>
      <c r="J2313" t="inlineStr"/>
      <c r="K2313" t="inlineStr"/>
      <c r="L2313" t="inlineStr"/>
      <c r="M2313" t="inlineStr"/>
      <c r="N2313" t="inlineStr"/>
    </row>
    <row r="2314">
      <c r="A2314" t="inlineStr">
        <is>
          <t>bw-gaborone</t>
        </is>
      </c>
      <c r="B2314" t="inlineStr">
        <is>
          <t>Gaborone</t>
        </is>
      </c>
      <c r="C2314" t="inlineStr">
        <is>
          <t>Botswana</t>
        </is>
      </c>
      <c r="D2314" t="inlineStr">
        <is>
          <t>Africa</t>
        </is>
      </c>
      <c r="E2314" t="inlineStr">
        <is>
          <t>administrative_investment_friction_raw</t>
        </is>
      </c>
      <c r="F2314" t="inlineStr">
        <is>
          <t>Administrative investment friction raw</t>
        </is>
      </c>
      <c r="G2314" t="inlineStr">
        <is>
          <t>creative</t>
        </is>
      </c>
      <c r="H2314" t="inlineStr">
        <is>
          <t>yes</t>
        </is>
      </c>
      <c r="I2314" t="inlineStr"/>
      <c r="J2314" t="inlineStr"/>
      <c r="K2314" t="inlineStr"/>
      <c r="L2314" t="inlineStr"/>
      <c r="M2314" t="inlineStr"/>
      <c r="N2314" t="inlineStr"/>
    </row>
    <row r="2315">
      <c r="A2315" t="inlineStr">
        <is>
          <t>bw-gaborone</t>
        </is>
      </c>
      <c r="B2315" t="inlineStr">
        <is>
          <t>Gaborone</t>
        </is>
      </c>
      <c r="C2315" t="inlineStr">
        <is>
          <t>Botswana</t>
        </is>
      </c>
      <c r="D2315" t="inlineStr">
        <is>
          <t>Africa</t>
        </is>
      </c>
      <c r="E2315" t="inlineStr">
        <is>
          <t>visitor_flow_context_raw</t>
        </is>
      </c>
      <c r="F2315" t="inlineStr">
        <is>
          <t>Visitor flow context raw</t>
        </is>
      </c>
      <c r="G2315" t="inlineStr">
        <is>
          <t>creative</t>
        </is>
      </c>
      <c r="H2315" t="inlineStr">
        <is>
          <t>no</t>
        </is>
      </c>
      <c r="I2315" t="inlineStr"/>
      <c r="J2315" t="inlineStr"/>
      <c r="K2315" t="inlineStr"/>
      <c r="L2315" t="inlineStr"/>
      <c r="M2315" t="inlineStr"/>
      <c r="N2315" t="inlineStr"/>
    </row>
    <row r="2316">
      <c r="A2316" t="inlineStr">
        <is>
          <t>na-windhoek</t>
        </is>
      </c>
      <c r="B2316" t="inlineStr">
        <is>
          <t>Windhoek</t>
        </is>
      </c>
      <c r="C2316" t="inlineStr">
        <is>
          <t>Namibia</t>
        </is>
      </c>
      <c r="D2316" t="inlineStr">
        <is>
          <t>Africa</t>
        </is>
      </c>
      <c r="E2316" t="inlineStr">
        <is>
          <t>gross_income</t>
        </is>
      </c>
      <c r="F2316" t="inlineStr">
        <is>
          <t>Gross income</t>
        </is>
      </c>
      <c r="G2316" t="inlineStr">
        <is>
          <t>pressure</t>
        </is>
      </c>
      <c r="H2316" t="inlineStr">
        <is>
          <t>yes</t>
        </is>
      </c>
      <c r="I2316" t="inlineStr"/>
      <c r="J2316" t="inlineStr"/>
      <c r="K2316" t="inlineStr"/>
      <c r="L2316" t="inlineStr"/>
      <c r="M2316" t="inlineStr"/>
      <c r="N2316" t="inlineStr"/>
    </row>
    <row r="2317">
      <c r="A2317" t="inlineStr">
        <is>
          <t>na-windhoek</t>
        </is>
      </c>
      <c r="B2317" t="inlineStr">
        <is>
          <t>Windhoek</t>
        </is>
      </c>
      <c r="C2317" t="inlineStr">
        <is>
          <t>Namibia</t>
        </is>
      </c>
      <c r="D2317" t="inlineStr">
        <is>
          <t>Africa</t>
        </is>
      </c>
      <c r="E2317" t="inlineStr">
        <is>
          <t>rent</t>
        </is>
      </c>
      <c r="F2317" t="inlineStr">
        <is>
          <t>Rent</t>
        </is>
      </c>
      <c r="G2317" t="inlineStr">
        <is>
          <t>pressure</t>
        </is>
      </c>
      <c r="H2317" t="inlineStr">
        <is>
          <t>yes</t>
        </is>
      </c>
      <c r="I2317" t="inlineStr"/>
      <c r="J2317" t="inlineStr"/>
      <c r="K2317" t="inlineStr"/>
      <c r="L2317" t="inlineStr"/>
      <c r="M2317" t="inlineStr"/>
      <c r="N2317" t="inlineStr"/>
    </row>
    <row r="2318">
      <c r="A2318" t="inlineStr">
        <is>
          <t>na-windhoek</t>
        </is>
      </c>
      <c r="B2318" t="inlineStr">
        <is>
          <t>Windhoek</t>
        </is>
      </c>
      <c r="C2318" t="inlineStr">
        <is>
          <t>Namibia</t>
        </is>
      </c>
      <c r="D2318" t="inlineStr">
        <is>
          <t>Africa</t>
        </is>
      </c>
      <c r="E2318" t="inlineStr">
        <is>
          <t>utilities</t>
        </is>
      </c>
      <c r="F2318" t="inlineStr">
        <is>
          <t>Utilities</t>
        </is>
      </c>
      <c r="G2318" t="inlineStr">
        <is>
          <t>pressure</t>
        </is>
      </c>
      <c r="H2318" t="inlineStr">
        <is>
          <t>yes</t>
        </is>
      </c>
      <c r="I2318" t="inlineStr"/>
      <c r="J2318" t="inlineStr"/>
      <c r="K2318" t="inlineStr"/>
      <c r="L2318" t="inlineStr"/>
      <c r="M2318" t="inlineStr"/>
      <c r="N2318" t="inlineStr"/>
    </row>
    <row r="2319">
      <c r="A2319" t="inlineStr">
        <is>
          <t>na-windhoek</t>
        </is>
      </c>
      <c r="B2319" t="inlineStr">
        <is>
          <t>Windhoek</t>
        </is>
      </c>
      <c r="C2319" t="inlineStr">
        <is>
          <t>Namibia</t>
        </is>
      </c>
      <c r="D2319" t="inlineStr">
        <is>
          <t>Africa</t>
        </is>
      </c>
      <c r="E2319" t="inlineStr">
        <is>
          <t>transit_cost</t>
        </is>
      </c>
      <c r="F2319" t="inlineStr">
        <is>
          <t>Transit cost</t>
        </is>
      </c>
      <c r="G2319" t="inlineStr">
        <is>
          <t>pressure</t>
        </is>
      </c>
      <c r="H2319" t="inlineStr">
        <is>
          <t>yes</t>
        </is>
      </c>
      <c r="I2319" t="inlineStr"/>
      <c r="J2319" t="inlineStr"/>
      <c r="K2319" t="inlineStr"/>
      <c r="L2319" t="inlineStr"/>
      <c r="M2319" t="inlineStr"/>
      <c r="N2319" t="inlineStr"/>
    </row>
    <row r="2320">
      <c r="A2320" t="inlineStr">
        <is>
          <t>na-windhoek</t>
        </is>
      </c>
      <c r="B2320" t="inlineStr">
        <is>
          <t>Windhoek</t>
        </is>
      </c>
      <c r="C2320" t="inlineStr">
        <is>
          <t>Namibia</t>
        </is>
      </c>
      <c r="D2320" t="inlineStr">
        <is>
          <t>Africa</t>
        </is>
      </c>
      <c r="E2320" t="inlineStr">
        <is>
          <t>internet_cost</t>
        </is>
      </c>
      <c r="F2320" t="inlineStr">
        <is>
          <t>Internet cost</t>
        </is>
      </c>
      <c r="G2320" t="inlineStr">
        <is>
          <t>pressure</t>
        </is>
      </c>
      <c r="H2320" t="inlineStr">
        <is>
          <t>yes</t>
        </is>
      </c>
      <c r="I2320" t="inlineStr"/>
      <c r="J2320" t="inlineStr"/>
      <c r="K2320" t="inlineStr"/>
      <c r="L2320" t="inlineStr"/>
      <c r="M2320" t="inlineStr"/>
      <c r="N2320" t="inlineStr"/>
    </row>
    <row r="2321">
      <c r="A2321" t="inlineStr">
        <is>
          <t>na-windhoek</t>
        </is>
      </c>
      <c r="B2321" t="inlineStr">
        <is>
          <t>Windhoek</t>
        </is>
      </c>
      <c r="C2321" t="inlineStr">
        <is>
          <t>Namibia</t>
        </is>
      </c>
      <c r="D2321" t="inlineStr">
        <is>
          <t>Africa</t>
        </is>
      </c>
      <c r="E2321" t="inlineStr">
        <is>
          <t>food_cost</t>
        </is>
      </c>
      <c r="F2321" t="inlineStr">
        <is>
          <t>Food cost</t>
        </is>
      </c>
      <c r="G2321" t="inlineStr">
        <is>
          <t>pressure</t>
        </is>
      </c>
      <c r="H2321" t="inlineStr">
        <is>
          <t>yes</t>
        </is>
      </c>
      <c r="I2321" t="inlineStr"/>
      <c r="J2321" t="inlineStr"/>
      <c r="K2321" t="inlineStr"/>
      <c r="L2321" t="inlineStr"/>
      <c r="M2321" t="inlineStr"/>
      <c r="N2321" t="inlineStr"/>
    </row>
    <row r="2322">
      <c r="A2322" t="inlineStr">
        <is>
          <t>na-windhoek</t>
        </is>
      </c>
      <c r="B2322" t="inlineStr">
        <is>
          <t>Windhoek</t>
        </is>
      </c>
      <c r="C2322" t="inlineStr">
        <is>
          <t>Namibia</t>
        </is>
      </c>
      <c r="D2322" t="inlineStr">
        <is>
          <t>Africa</t>
        </is>
      </c>
      <c r="E2322" t="inlineStr">
        <is>
          <t>housing_burden_raw</t>
        </is>
      </c>
      <c r="F2322" t="inlineStr">
        <is>
          <t>Housing burden raw</t>
        </is>
      </c>
      <c r="G2322" t="inlineStr">
        <is>
          <t>pressure</t>
        </is>
      </c>
      <c r="H2322" t="inlineStr">
        <is>
          <t>yes</t>
        </is>
      </c>
      <c r="I2322" t="inlineStr"/>
      <c r="J2322" t="inlineStr"/>
      <c r="K2322" t="inlineStr"/>
      <c r="L2322" t="inlineStr"/>
      <c r="M2322" t="inlineStr"/>
      <c r="N2322" t="inlineStr"/>
    </row>
    <row r="2323">
      <c r="A2323" t="inlineStr">
        <is>
          <t>na-windhoek</t>
        </is>
      </c>
      <c r="B2323" t="inlineStr">
        <is>
          <t>Windhoek</t>
        </is>
      </c>
      <c r="C2323" t="inlineStr">
        <is>
          <t>Namibia</t>
        </is>
      </c>
      <c r="D2323" t="inlineStr">
        <is>
          <t>Africa</t>
        </is>
      </c>
      <c r="E2323" t="inlineStr">
        <is>
          <t>household_debt_burden_raw</t>
        </is>
      </c>
      <c r="F2323" t="inlineStr">
        <is>
          <t>Household debt burden raw</t>
        </is>
      </c>
      <c r="G2323" t="inlineStr">
        <is>
          <t>pressure</t>
        </is>
      </c>
      <c r="H2323" t="inlineStr">
        <is>
          <t>yes</t>
        </is>
      </c>
      <c r="I2323" t="inlineStr"/>
      <c r="J2323" t="inlineStr"/>
      <c r="K2323" t="inlineStr"/>
      <c r="L2323" t="inlineStr"/>
      <c r="M2323" t="inlineStr"/>
      <c r="N2323" t="inlineStr"/>
    </row>
    <row r="2324">
      <c r="A2324" t="inlineStr">
        <is>
          <t>na-windhoek</t>
        </is>
      </c>
      <c r="B2324" t="inlineStr">
        <is>
          <t>Windhoek</t>
        </is>
      </c>
      <c r="C2324" t="inlineStr">
        <is>
          <t>Namibia</t>
        </is>
      </c>
      <c r="D2324" t="inlineStr">
        <is>
          <t>Africa</t>
        </is>
      </c>
      <c r="E2324" t="inlineStr">
        <is>
          <t>working_time_pressure_raw</t>
        </is>
      </c>
      <c r="F2324" t="inlineStr">
        <is>
          <t>Working time pressure raw</t>
        </is>
      </c>
      <c r="G2324" t="inlineStr">
        <is>
          <t>pressure</t>
        </is>
      </c>
      <c r="H2324" t="inlineStr">
        <is>
          <t>yes</t>
        </is>
      </c>
      <c r="I2324" t="inlineStr"/>
      <c r="J2324" t="inlineStr"/>
      <c r="K2324" t="inlineStr"/>
      <c r="L2324" t="inlineStr"/>
      <c r="M2324" t="inlineStr"/>
      <c r="N2324" t="inlineStr"/>
    </row>
    <row r="2325">
      <c r="A2325" t="inlineStr">
        <is>
          <t>na-windhoek</t>
        </is>
      </c>
      <c r="B2325" t="inlineStr">
        <is>
          <t>Windhoek</t>
        </is>
      </c>
      <c r="C2325" t="inlineStr">
        <is>
          <t>Namibia</t>
        </is>
      </c>
      <c r="D2325" t="inlineStr">
        <is>
          <t>Africa</t>
        </is>
      </c>
      <c r="E2325" t="inlineStr">
        <is>
          <t>suicide_mental_strain_raw</t>
        </is>
      </c>
      <c r="F2325" t="inlineStr">
        <is>
          <t>Suicide or mental strain raw</t>
        </is>
      </c>
      <c r="G2325" t="inlineStr">
        <is>
          <t>pressure</t>
        </is>
      </c>
      <c r="H2325" t="inlineStr">
        <is>
          <t>yes</t>
        </is>
      </c>
      <c r="I2325" t="inlineStr"/>
      <c r="J2325" t="inlineStr"/>
      <c r="K2325" t="inlineStr"/>
      <c r="L2325" t="inlineStr"/>
      <c r="M2325" t="inlineStr"/>
      <c r="N2325" t="inlineStr"/>
    </row>
    <row r="2326">
      <c r="A2326" t="inlineStr">
        <is>
          <t>na-windhoek</t>
        </is>
      </c>
      <c r="B2326" t="inlineStr">
        <is>
          <t>Windhoek</t>
        </is>
      </c>
      <c r="C2326" t="inlineStr">
        <is>
          <t>Namibia</t>
        </is>
      </c>
      <c r="D2326" t="inlineStr">
        <is>
          <t>Africa</t>
        </is>
      </c>
      <c r="E2326" t="inlineStr">
        <is>
          <t>personal_safety_raw</t>
        </is>
      </c>
      <c r="F2326" t="inlineStr">
        <is>
          <t>Personal safety raw</t>
        </is>
      </c>
      <c r="G2326" t="inlineStr">
        <is>
          <t>viability</t>
        </is>
      </c>
      <c r="H2326" t="inlineStr">
        <is>
          <t>yes</t>
        </is>
      </c>
      <c r="I2326" t="inlineStr"/>
      <c r="J2326" t="inlineStr"/>
      <c r="K2326" t="inlineStr"/>
      <c r="L2326" t="inlineStr"/>
      <c r="M2326" t="inlineStr"/>
      <c r="N2326" t="inlineStr"/>
    </row>
    <row r="2327">
      <c r="A2327" t="inlineStr">
        <is>
          <t>na-windhoek</t>
        </is>
      </c>
      <c r="B2327" t="inlineStr">
        <is>
          <t>Windhoek</t>
        </is>
      </c>
      <c r="C2327" t="inlineStr">
        <is>
          <t>Namibia</t>
        </is>
      </c>
      <c r="D2327" t="inlineStr">
        <is>
          <t>Africa</t>
        </is>
      </c>
      <c r="E2327" t="inlineStr">
        <is>
          <t>transit_access_commute_raw</t>
        </is>
      </c>
      <c r="F2327" t="inlineStr">
        <is>
          <t>Transit access and commute raw</t>
        </is>
      </c>
      <c r="G2327" t="inlineStr">
        <is>
          <t>viability</t>
        </is>
      </c>
      <c r="H2327" t="inlineStr">
        <is>
          <t>yes</t>
        </is>
      </c>
      <c r="I2327" t="inlineStr"/>
      <c r="J2327" t="inlineStr"/>
      <c r="K2327" t="inlineStr"/>
      <c r="L2327" t="inlineStr"/>
      <c r="M2327" t="inlineStr"/>
      <c r="N2327" t="inlineStr"/>
    </row>
    <row r="2328">
      <c r="A2328" t="inlineStr">
        <is>
          <t>na-windhoek</t>
        </is>
      </c>
      <c r="B2328" t="inlineStr">
        <is>
          <t>Windhoek</t>
        </is>
      </c>
      <c r="C2328" t="inlineStr">
        <is>
          <t>Namibia</t>
        </is>
      </c>
      <c r="D2328" t="inlineStr">
        <is>
          <t>Africa</t>
        </is>
      </c>
      <c r="E2328" t="inlineStr">
        <is>
          <t>clean_air_raw</t>
        </is>
      </c>
      <c r="F2328" t="inlineStr">
        <is>
          <t>Clean air raw</t>
        </is>
      </c>
      <c r="G2328" t="inlineStr">
        <is>
          <t>viability</t>
        </is>
      </c>
      <c r="H2328" t="inlineStr">
        <is>
          <t>yes</t>
        </is>
      </c>
      <c r="I2328" t="inlineStr"/>
      <c r="J2328" t="inlineStr"/>
      <c r="K2328" t="inlineStr"/>
      <c r="L2328" t="inlineStr"/>
      <c r="M2328" t="inlineStr"/>
      <c r="N2328" t="inlineStr"/>
    </row>
    <row r="2329">
      <c r="A2329" t="inlineStr">
        <is>
          <t>na-windhoek</t>
        </is>
      </c>
      <c r="B2329" t="inlineStr">
        <is>
          <t>Windhoek</t>
        </is>
      </c>
      <c r="C2329" t="inlineStr">
        <is>
          <t>Namibia</t>
        </is>
      </c>
      <c r="D2329" t="inlineStr">
        <is>
          <t>Africa</t>
        </is>
      </c>
      <c r="E2329" t="inlineStr">
        <is>
          <t>water_sanitation_utility_raw</t>
        </is>
      </c>
      <c r="F2329" t="inlineStr">
        <is>
          <t>Water, sanitation, and utility raw</t>
        </is>
      </c>
      <c r="G2329" t="inlineStr">
        <is>
          <t>viability</t>
        </is>
      </c>
      <c r="H2329" t="inlineStr">
        <is>
          <t>yes</t>
        </is>
      </c>
      <c r="I2329" t="inlineStr"/>
      <c r="J2329" t="inlineStr"/>
      <c r="K2329" t="inlineStr"/>
      <c r="L2329" t="inlineStr"/>
      <c r="M2329" t="inlineStr"/>
      <c r="N2329" t="inlineStr"/>
    </row>
    <row r="2330">
      <c r="A2330" t="inlineStr">
        <is>
          <t>na-windhoek</t>
        </is>
      </c>
      <c r="B2330" t="inlineStr">
        <is>
          <t>Windhoek</t>
        </is>
      </c>
      <c r="C2330" t="inlineStr">
        <is>
          <t>Namibia</t>
        </is>
      </c>
      <c r="D2330" t="inlineStr">
        <is>
          <t>Africa</t>
        </is>
      </c>
      <c r="E2330" t="inlineStr">
        <is>
          <t>digital_infrastructure_raw</t>
        </is>
      </c>
      <c r="F2330" t="inlineStr">
        <is>
          <t>Digital infrastructure raw</t>
        </is>
      </c>
      <c r="G2330" t="inlineStr">
        <is>
          <t>viability</t>
        </is>
      </c>
      <c r="H2330" t="inlineStr">
        <is>
          <t>yes</t>
        </is>
      </c>
      <c r="I2330" t="inlineStr"/>
      <c r="J2330" t="inlineStr"/>
      <c r="K2330" t="inlineStr"/>
      <c r="L2330" t="inlineStr"/>
      <c r="M2330" t="inlineStr"/>
      <c r="N2330" t="inlineStr"/>
    </row>
    <row r="2331">
      <c r="A2331" t="inlineStr">
        <is>
          <t>na-windhoek</t>
        </is>
      </c>
      <c r="B2331" t="inlineStr">
        <is>
          <t>Windhoek</t>
        </is>
      </c>
      <c r="C2331" t="inlineStr">
        <is>
          <t>Namibia</t>
        </is>
      </c>
      <c r="D2331" t="inlineStr">
        <is>
          <t>Africa</t>
        </is>
      </c>
      <c r="E2331" t="inlineStr">
        <is>
          <t>healthcare_quality_raw</t>
        </is>
      </c>
      <c r="F2331" t="inlineStr">
        <is>
          <t>Healthcare quality raw</t>
        </is>
      </c>
      <c r="G2331" t="inlineStr">
        <is>
          <t>capability</t>
        </is>
      </c>
      <c r="H2331" t="inlineStr">
        <is>
          <t>yes</t>
        </is>
      </c>
      <c r="I2331" t="inlineStr"/>
      <c r="J2331" t="inlineStr"/>
      <c r="K2331" t="inlineStr"/>
      <c r="L2331" t="inlineStr"/>
      <c r="M2331" t="inlineStr"/>
      <c r="N2331" t="inlineStr"/>
    </row>
    <row r="2332">
      <c r="A2332" t="inlineStr">
        <is>
          <t>na-windhoek</t>
        </is>
      </c>
      <c r="B2332" t="inlineStr">
        <is>
          <t>Windhoek</t>
        </is>
      </c>
      <c r="C2332" t="inlineStr">
        <is>
          <t>Namibia</t>
        </is>
      </c>
      <c r="D2332" t="inlineStr">
        <is>
          <t>Africa</t>
        </is>
      </c>
      <c r="E2332" t="inlineStr">
        <is>
          <t>education_quality_raw</t>
        </is>
      </c>
      <c r="F2332" t="inlineStr">
        <is>
          <t>Education quality raw</t>
        </is>
      </c>
      <c r="G2332" t="inlineStr">
        <is>
          <t>capability</t>
        </is>
      </c>
      <c r="H2332" t="inlineStr">
        <is>
          <t>yes</t>
        </is>
      </c>
      <c r="I2332" t="inlineStr"/>
      <c r="J2332" t="inlineStr"/>
      <c r="K2332" t="inlineStr"/>
      <c r="L2332" t="inlineStr"/>
      <c r="M2332" t="inlineStr"/>
      <c r="N2332" t="inlineStr"/>
    </row>
    <row r="2333">
      <c r="A2333" t="inlineStr">
        <is>
          <t>na-windhoek</t>
        </is>
      </c>
      <c r="B2333" t="inlineStr">
        <is>
          <t>Windhoek</t>
        </is>
      </c>
      <c r="C2333" t="inlineStr">
        <is>
          <t>Namibia</t>
        </is>
      </c>
      <c r="D2333" t="inlineStr">
        <is>
          <t>Africa</t>
        </is>
      </c>
      <c r="E2333" t="inlineStr">
        <is>
          <t>equal_opportunity_raw</t>
        </is>
      </c>
      <c r="F2333" t="inlineStr">
        <is>
          <t>Equal opportunity raw</t>
        </is>
      </c>
      <c r="G2333" t="inlineStr">
        <is>
          <t>capability</t>
        </is>
      </c>
      <c r="H2333" t="inlineStr">
        <is>
          <t>yes</t>
        </is>
      </c>
      <c r="I2333" t="inlineStr"/>
      <c r="J2333" t="inlineStr"/>
      <c r="K2333" t="inlineStr"/>
      <c r="L2333" t="inlineStr"/>
      <c r="M2333" t="inlineStr"/>
      <c r="N2333" t="inlineStr"/>
    </row>
    <row r="2334">
      <c r="A2334" t="inlineStr">
        <is>
          <t>na-windhoek</t>
        </is>
      </c>
      <c r="B2334" t="inlineStr">
        <is>
          <t>Windhoek</t>
        </is>
      </c>
      <c r="C2334" t="inlineStr">
        <is>
          <t>Namibia</t>
        </is>
      </c>
      <c r="D2334" t="inlineStr">
        <is>
          <t>Africa</t>
        </is>
      </c>
      <c r="E2334" t="inlineStr">
        <is>
          <t>hospitality_belonging_raw</t>
        </is>
      </c>
      <c r="F2334" t="inlineStr">
        <is>
          <t>Hospitality and belonging raw</t>
        </is>
      </c>
      <c r="G2334" t="inlineStr">
        <is>
          <t>community</t>
        </is>
      </c>
      <c r="H2334" t="inlineStr">
        <is>
          <t>yes</t>
        </is>
      </c>
      <c r="I2334" t="inlineStr"/>
      <c r="J2334" t="inlineStr"/>
      <c r="K2334" t="inlineStr"/>
      <c r="L2334" t="inlineStr"/>
      <c r="M2334" t="inlineStr"/>
      <c r="N2334" t="inlineStr"/>
    </row>
    <row r="2335">
      <c r="A2335" t="inlineStr">
        <is>
          <t>na-windhoek</t>
        </is>
      </c>
      <c r="B2335" t="inlineStr">
        <is>
          <t>Windhoek</t>
        </is>
      </c>
      <c r="C2335" t="inlineStr">
        <is>
          <t>Namibia</t>
        </is>
      </c>
      <c r="D2335" t="inlineStr">
        <is>
          <t>Africa</t>
        </is>
      </c>
      <c r="E2335" t="inlineStr">
        <is>
          <t>tolerance_pluralism_raw</t>
        </is>
      </c>
      <c r="F2335" t="inlineStr">
        <is>
          <t>Tolerance and pluralism raw</t>
        </is>
      </c>
      <c r="G2335" t="inlineStr">
        <is>
          <t>community</t>
        </is>
      </c>
      <c r="H2335" t="inlineStr">
        <is>
          <t>yes</t>
        </is>
      </c>
      <c r="I2335" t="inlineStr"/>
      <c r="J2335" t="inlineStr"/>
      <c r="K2335" t="inlineStr"/>
      <c r="L2335" t="inlineStr"/>
      <c r="M2335" t="inlineStr"/>
      <c r="N2335" t="inlineStr"/>
    </row>
    <row r="2336">
      <c r="A2336" t="inlineStr">
        <is>
          <t>na-windhoek</t>
        </is>
      </c>
      <c r="B2336" t="inlineStr">
        <is>
          <t>Windhoek</t>
        </is>
      </c>
      <c r="C2336" t="inlineStr">
        <is>
          <t>Namibia</t>
        </is>
      </c>
      <c r="D2336" t="inlineStr">
        <is>
          <t>Africa</t>
        </is>
      </c>
      <c r="E2336" t="inlineStr">
        <is>
          <t>cultural_public_life_raw</t>
        </is>
      </c>
      <c r="F2336" t="inlineStr">
        <is>
          <t>Cultural public life raw</t>
        </is>
      </c>
      <c r="G2336" t="inlineStr">
        <is>
          <t>community</t>
        </is>
      </c>
      <c r="H2336" t="inlineStr">
        <is>
          <t>yes</t>
        </is>
      </c>
      <c r="I2336" t="inlineStr"/>
      <c r="J2336" t="inlineStr"/>
      <c r="K2336" t="inlineStr"/>
      <c r="L2336" t="inlineStr"/>
      <c r="M2336" t="inlineStr"/>
      <c r="N2336" t="inlineStr"/>
    </row>
    <row r="2337">
      <c r="A2337" t="inlineStr">
        <is>
          <t>na-windhoek</t>
        </is>
      </c>
      <c r="B2337" t="inlineStr">
        <is>
          <t>Windhoek</t>
        </is>
      </c>
      <c r="C2337" t="inlineStr">
        <is>
          <t>Namibia</t>
        </is>
      </c>
      <c r="D2337" t="inlineStr">
        <is>
          <t>Africa</t>
        </is>
      </c>
      <c r="E2337" t="inlineStr">
        <is>
          <t>entrepreneurial_dynamism_raw</t>
        </is>
      </c>
      <c r="F2337" t="inlineStr">
        <is>
          <t>Entrepreneurial dynamism raw</t>
        </is>
      </c>
      <c r="G2337" t="inlineStr">
        <is>
          <t>creative</t>
        </is>
      </c>
      <c r="H2337" t="inlineStr">
        <is>
          <t>yes</t>
        </is>
      </c>
      <c r="I2337" t="inlineStr"/>
      <c r="J2337" t="inlineStr"/>
      <c r="K2337" t="inlineStr"/>
      <c r="L2337" t="inlineStr"/>
      <c r="M2337" t="inlineStr"/>
      <c r="N2337" t="inlineStr"/>
    </row>
    <row r="2338">
      <c r="A2338" t="inlineStr">
        <is>
          <t>na-windhoek</t>
        </is>
      </c>
      <c r="B2338" t="inlineStr">
        <is>
          <t>Windhoek</t>
        </is>
      </c>
      <c r="C2338" t="inlineStr">
        <is>
          <t>Namibia</t>
        </is>
      </c>
      <c r="D2338" t="inlineStr">
        <is>
          <t>Africa</t>
        </is>
      </c>
      <c r="E2338" t="inlineStr">
        <is>
          <t>innovation_research_intensity_raw</t>
        </is>
      </c>
      <c r="F2338" t="inlineStr">
        <is>
          <t>Innovation and research raw</t>
        </is>
      </c>
      <c r="G2338" t="inlineStr">
        <is>
          <t>creative</t>
        </is>
      </c>
      <c r="H2338" t="inlineStr">
        <is>
          <t>yes</t>
        </is>
      </c>
      <c r="I2338" t="inlineStr"/>
      <c r="J2338" t="inlineStr"/>
      <c r="K2338" t="inlineStr"/>
      <c r="L2338" t="inlineStr"/>
      <c r="M2338" t="inlineStr"/>
      <c r="N2338" t="inlineStr"/>
    </row>
    <row r="2339">
      <c r="A2339" t="inlineStr">
        <is>
          <t>na-windhoek</t>
        </is>
      </c>
      <c r="B2339" t="inlineStr">
        <is>
          <t>Windhoek</t>
        </is>
      </c>
      <c r="C2339" t="inlineStr">
        <is>
          <t>Namibia</t>
        </is>
      </c>
      <c r="D2339" t="inlineStr">
        <is>
          <t>Africa</t>
        </is>
      </c>
      <c r="E2339" t="inlineStr">
        <is>
          <t>investment_signal_raw</t>
        </is>
      </c>
      <c r="F2339" t="inlineStr">
        <is>
          <t>Investment signal raw</t>
        </is>
      </c>
      <c r="G2339" t="inlineStr">
        <is>
          <t>creative</t>
        </is>
      </c>
      <c r="H2339" t="inlineStr">
        <is>
          <t>yes</t>
        </is>
      </c>
      <c r="I2339" t="inlineStr"/>
      <c r="J2339" t="inlineStr"/>
      <c r="K2339" t="inlineStr"/>
      <c r="L2339" t="inlineStr"/>
      <c r="M2339" t="inlineStr"/>
      <c r="N2339" t="inlineStr"/>
    </row>
    <row r="2340">
      <c r="A2340" t="inlineStr">
        <is>
          <t>na-windhoek</t>
        </is>
      </c>
      <c r="B2340" t="inlineStr">
        <is>
          <t>Windhoek</t>
        </is>
      </c>
      <c r="C2340" t="inlineStr">
        <is>
          <t>Namibia</t>
        </is>
      </c>
      <c r="D2340" t="inlineStr">
        <is>
          <t>Africa</t>
        </is>
      </c>
      <c r="E2340" t="inlineStr">
        <is>
          <t>administrative_investment_friction_raw</t>
        </is>
      </c>
      <c r="F2340" t="inlineStr">
        <is>
          <t>Administrative investment friction raw</t>
        </is>
      </c>
      <c r="G2340" t="inlineStr">
        <is>
          <t>creative</t>
        </is>
      </c>
      <c r="H2340" t="inlineStr">
        <is>
          <t>yes</t>
        </is>
      </c>
      <c r="I2340" t="inlineStr"/>
      <c r="J2340" t="inlineStr"/>
      <c r="K2340" t="inlineStr"/>
      <c r="L2340" t="inlineStr"/>
      <c r="M2340" t="inlineStr"/>
      <c r="N2340" t="inlineStr"/>
    </row>
    <row r="2341">
      <c r="A2341" t="inlineStr">
        <is>
          <t>na-windhoek</t>
        </is>
      </c>
      <c r="B2341" t="inlineStr">
        <is>
          <t>Windhoek</t>
        </is>
      </c>
      <c r="C2341" t="inlineStr">
        <is>
          <t>Namibia</t>
        </is>
      </c>
      <c r="D2341" t="inlineStr">
        <is>
          <t>Africa</t>
        </is>
      </c>
      <c r="E2341" t="inlineStr">
        <is>
          <t>visitor_flow_context_raw</t>
        </is>
      </c>
      <c r="F2341" t="inlineStr">
        <is>
          <t>Visitor flow context raw</t>
        </is>
      </c>
      <c r="G2341" t="inlineStr">
        <is>
          <t>creative</t>
        </is>
      </c>
      <c r="H2341" t="inlineStr">
        <is>
          <t>no</t>
        </is>
      </c>
      <c r="I2341" t="inlineStr"/>
      <c r="J2341" t="inlineStr"/>
      <c r="K2341" t="inlineStr"/>
      <c r="L2341" t="inlineStr"/>
      <c r="M2341" t="inlineStr"/>
      <c r="N2341" t="inlineStr"/>
    </row>
    <row r="2342">
      <c r="A2342" t="inlineStr">
        <is>
          <t>gh-accra</t>
        </is>
      </c>
      <c r="B2342" t="inlineStr">
        <is>
          <t>Accra</t>
        </is>
      </c>
      <c r="C2342" t="inlineStr">
        <is>
          <t>Ghana</t>
        </is>
      </c>
      <c r="D2342" t="inlineStr">
        <is>
          <t>Africa</t>
        </is>
      </c>
      <c r="E2342" t="inlineStr">
        <is>
          <t>gross_income</t>
        </is>
      </c>
      <c r="F2342" t="inlineStr">
        <is>
          <t>Gross income</t>
        </is>
      </c>
      <c r="G2342" t="inlineStr">
        <is>
          <t>pressure</t>
        </is>
      </c>
      <c r="H2342" t="inlineStr">
        <is>
          <t>yes</t>
        </is>
      </c>
      <c r="I2342" t="inlineStr"/>
      <c r="J2342" t="inlineStr"/>
      <c r="K2342" t="inlineStr"/>
      <c r="L2342" t="inlineStr"/>
      <c r="M2342" t="inlineStr"/>
      <c r="N2342" t="inlineStr"/>
    </row>
    <row r="2343">
      <c r="A2343" t="inlineStr">
        <is>
          <t>gh-accra</t>
        </is>
      </c>
      <c r="B2343" t="inlineStr">
        <is>
          <t>Accra</t>
        </is>
      </c>
      <c r="C2343" t="inlineStr">
        <is>
          <t>Ghana</t>
        </is>
      </c>
      <c r="D2343" t="inlineStr">
        <is>
          <t>Africa</t>
        </is>
      </c>
      <c r="E2343" t="inlineStr">
        <is>
          <t>rent</t>
        </is>
      </c>
      <c r="F2343" t="inlineStr">
        <is>
          <t>Rent</t>
        </is>
      </c>
      <c r="G2343" t="inlineStr">
        <is>
          <t>pressure</t>
        </is>
      </c>
      <c r="H2343" t="inlineStr">
        <is>
          <t>yes</t>
        </is>
      </c>
      <c r="I2343" t="inlineStr"/>
      <c r="J2343" t="inlineStr"/>
      <c r="K2343" t="inlineStr"/>
      <c r="L2343" t="inlineStr"/>
      <c r="M2343" t="inlineStr"/>
      <c r="N2343" t="inlineStr"/>
    </row>
    <row r="2344">
      <c r="A2344" t="inlineStr">
        <is>
          <t>gh-accra</t>
        </is>
      </c>
      <c r="B2344" t="inlineStr">
        <is>
          <t>Accra</t>
        </is>
      </c>
      <c r="C2344" t="inlineStr">
        <is>
          <t>Ghana</t>
        </is>
      </c>
      <c r="D2344" t="inlineStr">
        <is>
          <t>Africa</t>
        </is>
      </c>
      <c r="E2344" t="inlineStr">
        <is>
          <t>utilities</t>
        </is>
      </c>
      <c r="F2344" t="inlineStr">
        <is>
          <t>Utilities</t>
        </is>
      </c>
      <c r="G2344" t="inlineStr">
        <is>
          <t>pressure</t>
        </is>
      </c>
      <c r="H2344" t="inlineStr">
        <is>
          <t>yes</t>
        </is>
      </c>
      <c r="I2344" t="inlineStr"/>
      <c r="J2344" t="inlineStr"/>
      <c r="K2344" t="inlineStr"/>
      <c r="L2344" t="inlineStr"/>
      <c r="M2344" t="inlineStr"/>
      <c r="N2344" t="inlineStr"/>
    </row>
    <row r="2345">
      <c r="A2345" t="inlineStr">
        <is>
          <t>gh-accra</t>
        </is>
      </c>
      <c r="B2345" t="inlineStr">
        <is>
          <t>Accra</t>
        </is>
      </c>
      <c r="C2345" t="inlineStr">
        <is>
          <t>Ghana</t>
        </is>
      </c>
      <c r="D2345" t="inlineStr">
        <is>
          <t>Africa</t>
        </is>
      </c>
      <c r="E2345" t="inlineStr">
        <is>
          <t>transit_cost</t>
        </is>
      </c>
      <c r="F2345" t="inlineStr">
        <is>
          <t>Transit cost</t>
        </is>
      </c>
      <c r="G2345" t="inlineStr">
        <is>
          <t>pressure</t>
        </is>
      </c>
      <c r="H2345" t="inlineStr">
        <is>
          <t>yes</t>
        </is>
      </c>
      <c r="I2345" t="inlineStr"/>
      <c r="J2345" t="inlineStr"/>
      <c r="K2345" t="inlineStr"/>
      <c r="L2345" t="inlineStr"/>
      <c r="M2345" t="inlineStr"/>
      <c r="N2345" t="inlineStr"/>
    </row>
    <row r="2346">
      <c r="A2346" t="inlineStr">
        <is>
          <t>gh-accra</t>
        </is>
      </c>
      <c r="B2346" t="inlineStr">
        <is>
          <t>Accra</t>
        </is>
      </c>
      <c r="C2346" t="inlineStr">
        <is>
          <t>Ghana</t>
        </is>
      </c>
      <c r="D2346" t="inlineStr">
        <is>
          <t>Africa</t>
        </is>
      </c>
      <c r="E2346" t="inlineStr">
        <is>
          <t>internet_cost</t>
        </is>
      </c>
      <c r="F2346" t="inlineStr">
        <is>
          <t>Internet cost</t>
        </is>
      </c>
      <c r="G2346" t="inlineStr">
        <is>
          <t>pressure</t>
        </is>
      </c>
      <c r="H2346" t="inlineStr">
        <is>
          <t>yes</t>
        </is>
      </c>
      <c r="I2346" t="inlineStr"/>
      <c r="J2346" t="inlineStr"/>
      <c r="K2346" t="inlineStr"/>
      <c r="L2346" t="inlineStr"/>
      <c r="M2346" t="inlineStr"/>
      <c r="N2346" t="inlineStr"/>
    </row>
    <row r="2347">
      <c r="A2347" t="inlineStr">
        <is>
          <t>gh-accra</t>
        </is>
      </c>
      <c r="B2347" t="inlineStr">
        <is>
          <t>Accra</t>
        </is>
      </c>
      <c r="C2347" t="inlineStr">
        <is>
          <t>Ghana</t>
        </is>
      </c>
      <c r="D2347" t="inlineStr">
        <is>
          <t>Africa</t>
        </is>
      </c>
      <c r="E2347" t="inlineStr">
        <is>
          <t>food_cost</t>
        </is>
      </c>
      <c r="F2347" t="inlineStr">
        <is>
          <t>Food cost</t>
        </is>
      </c>
      <c r="G2347" t="inlineStr">
        <is>
          <t>pressure</t>
        </is>
      </c>
      <c r="H2347" t="inlineStr">
        <is>
          <t>yes</t>
        </is>
      </c>
      <c r="I2347" t="inlineStr"/>
      <c r="J2347" t="inlineStr"/>
      <c r="K2347" t="inlineStr"/>
      <c r="L2347" t="inlineStr"/>
      <c r="M2347" t="inlineStr"/>
      <c r="N2347" t="inlineStr"/>
    </row>
    <row r="2348">
      <c r="A2348" t="inlineStr">
        <is>
          <t>gh-accra</t>
        </is>
      </c>
      <c r="B2348" t="inlineStr">
        <is>
          <t>Accra</t>
        </is>
      </c>
      <c r="C2348" t="inlineStr">
        <is>
          <t>Ghana</t>
        </is>
      </c>
      <c r="D2348" t="inlineStr">
        <is>
          <t>Africa</t>
        </is>
      </c>
      <c r="E2348" t="inlineStr">
        <is>
          <t>housing_burden_raw</t>
        </is>
      </c>
      <c r="F2348" t="inlineStr">
        <is>
          <t>Housing burden raw</t>
        </is>
      </c>
      <c r="G2348" t="inlineStr">
        <is>
          <t>pressure</t>
        </is>
      </c>
      <c r="H2348" t="inlineStr">
        <is>
          <t>yes</t>
        </is>
      </c>
      <c r="I2348" t="inlineStr"/>
      <c r="J2348" t="inlineStr"/>
      <c r="K2348" t="inlineStr"/>
      <c r="L2348" t="inlineStr"/>
      <c r="M2348" t="inlineStr"/>
      <c r="N2348" t="inlineStr"/>
    </row>
    <row r="2349">
      <c r="A2349" t="inlineStr">
        <is>
          <t>gh-accra</t>
        </is>
      </c>
      <c r="B2349" t="inlineStr">
        <is>
          <t>Accra</t>
        </is>
      </c>
      <c r="C2349" t="inlineStr">
        <is>
          <t>Ghana</t>
        </is>
      </c>
      <c r="D2349" t="inlineStr">
        <is>
          <t>Africa</t>
        </is>
      </c>
      <c r="E2349" t="inlineStr">
        <is>
          <t>household_debt_burden_raw</t>
        </is>
      </c>
      <c r="F2349" t="inlineStr">
        <is>
          <t>Household debt burden raw</t>
        </is>
      </c>
      <c r="G2349" t="inlineStr">
        <is>
          <t>pressure</t>
        </is>
      </c>
      <c r="H2349" t="inlineStr">
        <is>
          <t>yes</t>
        </is>
      </c>
      <c r="I2349" t="inlineStr"/>
      <c r="J2349" t="inlineStr"/>
      <c r="K2349" t="inlineStr"/>
      <c r="L2349" t="inlineStr"/>
      <c r="M2349" t="inlineStr"/>
      <c r="N2349" t="inlineStr"/>
    </row>
    <row r="2350">
      <c r="A2350" t="inlineStr">
        <is>
          <t>gh-accra</t>
        </is>
      </c>
      <c r="B2350" t="inlineStr">
        <is>
          <t>Accra</t>
        </is>
      </c>
      <c r="C2350" t="inlineStr">
        <is>
          <t>Ghana</t>
        </is>
      </c>
      <c r="D2350" t="inlineStr">
        <is>
          <t>Africa</t>
        </is>
      </c>
      <c r="E2350" t="inlineStr">
        <is>
          <t>working_time_pressure_raw</t>
        </is>
      </c>
      <c r="F2350" t="inlineStr">
        <is>
          <t>Working time pressure raw</t>
        </is>
      </c>
      <c r="G2350" t="inlineStr">
        <is>
          <t>pressure</t>
        </is>
      </c>
      <c r="H2350" t="inlineStr">
        <is>
          <t>yes</t>
        </is>
      </c>
      <c r="I2350" t="inlineStr"/>
      <c r="J2350" t="inlineStr"/>
      <c r="K2350" t="inlineStr"/>
      <c r="L2350" t="inlineStr"/>
      <c r="M2350" t="inlineStr"/>
      <c r="N2350" t="inlineStr"/>
    </row>
    <row r="2351">
      <c r="A2351" t="inlineStr">
        <is>
          <t>gh-accra</t>
        </is>
      </c>
      <c r="B2351" t="inlineStr">
        <is>
          <t>Accra</t>
        </is>
      </c>
      <c r="C2351" t="inlineStr">
        <is>
          <t>Ghana</t>
        </is>
      </c>
      <c r="D2351" t="inlineStr">
        <is>
          <t>Africa</t>
        </is>
      </c>
      <c r="E2351" t="inlineStr">
        <is>
          <t>suicide_mental_strain_raw</t>
        </is>
      </c>
      <c r="F2351" t="inlineStr">
        <is>
          <t>Suicide or mental strain raw</t>
        </is>
      </c>
      <c r="G2351" t="inlineStr">
        <is>
          <t>pressure</t>
        </is>
      </c>
      <c r="H2351" t="inlineStr">
        <is>
          <t>yes</t>
        </is>
      </c>
      <c r="I2351" t="inlineStr"/>
      <c r="J2351" t="inlineStr"/>
      <c r="K2351" t="inlineStr"/>
      <c r="L2351" t="inlineStr"/>
      <c r="M2351" t="inlineStr"/>
      <c r="N2351" t="inlineStr"/>
    </row>
    <row r="2352">
      <c r="A2352" t="inlineStr">
        <is>
          <t>gh-accra</t>
        </is>
      </c>
      <c r="B2352" t="inlineStr">
        <is>
          <t>Accra</t>
        </is>
      </c>
      <c r="C2352" t="inlineStr">
        <is>
          <t>Ghana</t>
        </is>
      </c>
      <c r="D2352" t="inlineStr">
        <is>
          <t>Africa</t>
        </is>
      </c>
      <c r="E2352" t="inlineStr">
        <is>
          <t>personal_safety_raw</t>
        </is>
      </c>
      <c r="F2352" t="inlineStr">
        <is>
          <t>Personal safety raw</t>
        </is>
      </c>
      <c r="G2352" t="inlineStr">
        <is>
          <t>viability</t>
        </is>
      </c>
      <c r="H2352" t="inlineStr">
        <is>
          <t>yes</t>
        </is>
      </c>
      <c r="I2352" t="inlineStr"/>
      <c r="J2352" t="inlineStr"/>
      <c r="K2352" t="inlineStr"/>
      <c r="L2352" t="inlineStr"/>
      <c r="M2352" t="inlineStr"/>
      <c r="N2352" t="inlineStr"/>
    </row>
    <row r="2353">
      <c r="A2353" t="inlineStr">
        <is>
          <t>gh-accra</t>
        </is>
      </c>
      <c r="B2353" t="inlineStr">
        <is>
          <t>Accra</t>
        </is>
      </c>
      <c r="C2353" t="inlineStr">
        <is>
          <t>Ghana</t>
        </is>
      </c>
      <c r="D2353" t="inlineStr">
        <is>
          <t>Africa</t>
        </is>
      </c>
      <c r="E2353" t="inlineStr">
        <is>
          <t>transit_access_commute_raw</t>
        </is>
      </c>
      <c r="F2353" t="inlineStr">
        <is>
          <t>Transit access and commute raw</t>
        </is>
      </c>
      <c r="G2353" t="inlineStr">
        <is>
          <t>viability</t>
        </is>
      </c>
      <c r="H2353" t="inlineStr">
        <is>
          <t>yes</t>
        </is>
      </c>
      <c r="I2353" t="inlineStr"/>
      <c r="J2353" t="inlineStr"/>
      <c r="K2353" t="inlineStr"/>
      <c r="L2353" t="inlineStr"/>
      <c r="M2353" t="inlineStr"/>
      <c r="N2353" t="inlineStr"/>
    </row>
    <row r="2354">
      <c r="A2354" t="inlineStr">
        <is>
          <t>gh-accra</t>
        </is>
      </c>
      <c r="B2354" t="inlineStr">
        <is>
          <t>Accra</t>
        </is>
      </c>
      <c r="C2354" t="inlineStr">
        <is>
          <t>Ghana</t>
        </is>
      </c>
      <c r="D2354" t="inlineStr">
        <is>
          <t>Africa</t>
        </is>
      </c>
      <c r="E2354" t="inlineStr">
        <is>
          <t>clean_air_raw</t>
        </is>
      </c>
      <c r="F2354" t="inlineStr">
        <is>
          <t>Clean air raw</t>
        </is>
      </c>
      <c r="G2354" t="inlineStr">
        <is>
          <t>viability</t>
        </is>
      </c>
      <c r="H2354" t="inlineStr">
        <is>
          <t>yes</t>
        </is>
      </c>
      <c r="I2354" t="inlineStr"/>
      <c r="J2354" t="inlineStr"/>
      <c r="K2354" t="inlineStr"/>
      <c r="L2354" t="inlineStr"/>
      <c r="M2354" t="inlineStr"/>
      <c r="N2354" t="inlineStr"/>
    </row>
    <row r="2355">
      <c r="A2355" t="inlineStr">
        <is>
          <t>gh-accra</t>
        </is>
      </c>
      <c r="B2355" t="inlineStr">
        <is>
          <t>Accra</t>
        </is>
      </c>
      <c r="C2355" t="inlineStr">
        <is>
          <t>Ghana</t>
        </is>
      </c>
      <c r="D2355" t="inlineStr">
        <is>
          <t>Africa</t>
        </is>
      </c>
      <c r="E2355" t="inlineStr">
        <is>
          <t>water_sanitation_utility_raw</t>
        </is>
      </c>
      <c r="F2355" t="inlineStr">
        <is>
          <t>Water, sanitation, and utility raw</t>
        </is>
      </c>
      <c r="G2355" t="inlineStr">
        <is>
          <t>viability</t>
        </is>
      </c>
      <c r="H2355" t="inlineStr">
        <is>
          <t>yes</t>
        </is>
      </c>
      <c r="I2355" t="inlineStr"/>
      <c r="J2355" t="inlineStr"/>
      <c r="K2355" t="inlineStr"/>
      <c r="L2355" t="inlineStr"/>
      <c r="M2355" t="inlineStr"/>
      <c r="N2355" t="inlineStr"/>
    </row>
    <row r="2356">
      <c r="A2356" t="inlineStr">
        <is>
          <t>gh-accra</t>
        </is>
      </c>
      <c r="B2356" t="inlineStr">
        <is>
          <t>Accra</t>
        </is>
      </c>
      <c r="C2356" t="inlineStr">
        <is>
          <t>Ghana</t>
        </is>
      </c>
      <c r="D2356" t="inlineStr">
        <is>
          <t>Africa</t>
        </is>
      </c>
      <c r="E2356" t="inlineStr">
        <is>
          <t>digital_infrastructure_raw</t>
        </is>
      </c>
      <c r="F2356" t="inlineStr">
        <is>
          <t>Digital infrastructure raw</t>
        </is>
      </c>
      <c r="G2356" t="inlineStr">
        <is>
          <t>viability</t>
        </is>
      </c>
      <c r="H2356" t="inlineStr">
        <is>
          <t>yes</t>
        </is>
      </c>
      <c r="I2356" t="inlineStr"/>
      <c r="J2356" t="inlineStr"/>
      <c r="K2356" t="inlineStr"/>
      <c r="L2356" t="inlineStr"/>
      <c r="M2356" t="inlineStr"/>
      <c r="N2356" t="inlineStr"/>
    </row>
    <row r="2357">
      <c r="A2357" t="inlineStr">
        <is>
          <t>gh-accra</t>
        </is>
      </c>
      <c r="B2357" t="inlineStr">
        <is>
          <t>Accra</t>
        </is>
      </c>
      <c r="C2357" t="inlineStr">
        <is>
          <t>Ghana</t>
        </is>
      </c>
      <c r="D2357" t="inlineStr">
        <is>
          <t>Africa</t>
        </is>
      </c>
      <c r="E2357" t="inlineStr">
        <is>
          <t>healthcare_quality_raw</t>
        </is>
      </c>
      <c r="F2357" t="inlineStr">
        <is>
          <t>Healthcare quality raw</t>
        </is>
      </c>
      <c r="G2357" t="inlineStr">
        <is>
          <t>capability</t>
        </is>
      </c>
      <c r="H2357" t="inlineStr">
        <is>
          <t>yes</t>
        </is>
      </c>
      <c r="I2357" t="inlineStr"/>
      <c r="J2357" t="inlineStr"/>
      <c r="K2357" t="inlineStr"/>
      <c r="L2357" t="inlineStr"/>
      <c r="M2357" t="inlineStr"/>
      <c r="N2357" t="inlineStr"/>
    </row>
    <row r="2358">
      <c r="A2358" t="inlineStr">
        <is>
          <t>gh-accra</t>
        </is>
      </c>
      <c r="B2358" t="inlineStr">
        <is>
          <t>Accra</t>
        </is>
      </c>
      <c r="C2358" t="inlineStr">
        <is>
          <t>Ghana</t>
        </is>
      </c>
      <c r="D2358" t="inlineStr">
        <is>
          <t>Africa</t>
        </is>
      </c>
      <c r="E2358" t="inlineStr">
        <is>
          <t>education_quality_raw</t>
        </is>
      </c>
      <c r="F2358" t="inlineStr">
        <is>
          <t>Education quality raw</t>
        </is>
      </c>
      <c r="G2358" t="inlineStr">
        <is>
          <t>capability</t>
        </is>
      </c>
      <c r="H2358" t="inlineStr">
        <is>
          <t>yes</t>
        </is>
      </c>
      <c r="I2358" t="inlineStr"/>
      <c r="J2358" t="inlineStr"/>
      <c r="K2358" t="inlineStr"/>
      <c r="L2358" t="inlineStr"/>
      <c r="M2358" t="inlineStr"/>
      <c r="N2358" t="inlineStr"/>
    </row>
    <row r="2359">
      <c r="A2359" t="inlineStr">
        <is>
          <t>gh-accra</t>
        </is>
      </c>
      <c r="B2359" t="inlineStr">
        <is>
          <t>Accra</t>
        </is>
      </c>
      <c r="C2359" t="inlineStr">
        <is>
          <t>Ghana</t>
        </is>
      </c>
      <c r="D2359" t="inlineStr">
        <is>
          <t>Africa</t>
        </is>
      </c>
      <c r="E2359" t="inlineStr">
        <is>
          <t>equal_opportunity_raw</t>
        </is>
      </c>
      <c r="F2359" t="inlineStr">
        <is>
          <t>Equal opportunity raw</t>
        </is>
      </c>
      <c r="G2359" t="inlineStr">
        <is>
          <t>capability</t>
        </is>
      </c>
      <c r="H2359" t="inlineStr">
        <is>
          <t>yes</t>
        </is>
      </c>
      <c r="I2359" t="inlineStr"/>
      <c r="J2359" t="inlineStr"/>
      <c r="K2359" t="inlineStr"/>
      <c r="L2359" t="inlineStr"/>
      <c r="M2359" t="inlineStr"/>
      <c r="N2359" t="inlineStr"/>
    </row>
    <row r="2360">
      <c r="A2360" t="inlineStr">
        <is>
          <t>gh-accra</t>
        </is>
      </c>
      <c r="B2360" t="inlineStr">
        <is>
          <t>Accra</t>
        </is>
      </c>
      <c r="C2360" t="inlineStr">
        <is>
          <t>Ghana</t>
        </is>
      </c>
      <c r="D2360" t="inlineStr">
        <is>
          <t>Africa</t>
        </is>
      </c>
      <c r="E2360" t="inlineStr">
        <is>
          <t>hospitality_belonging_raw</t>
        </is>
      </c>
      <c r="F2360" t="inlineStr">
        <is>
          <t>Hospitality and belonging raw</t>
        </is>
      </c>
      <c r="G2360" t="inlineStr">
        <is>
          <t>community</t>
        </is>
      </c>
      <c r="H2360" t="inlineStr">
        <is>
          <t>yes</t>
        </is>
      </c>
      <c r="I2360" t="inlineStr"/>
      <c r="J2360" t="inlineStr"/>
      <c r="K2360" t="inlineStr"/>
      <c r="L2360" t="inlineStr"/>
      <c r="M2360" t="inlineStr"/>
      <c r="N2360" t="inlineStr"/>
    </row>
    <row r="2361">
      <c r="A2361" t="inlineStr">
        <is>
          <t>gh-accra</t>
        </is>
      </c>
      <c r="B2361" t="inlineStr">
        <is>
          <t>Accra</t>
        </is>
      </c>
      <c r="C2361" t="inlineStr">
        <is>
          <t>Ghana</t>
        </is>
      </c>
      <c r="D2361" t="inlineStr">
        <is>
          <t>Africa</t>
        </is>
      </c>
      <c r="E2361" t="inlineStr">
        <is>
          <t>tolerance_pluralism_raw</t>
        </is>
      </c>
      <c r="F2361" t="inlineStr">
        <is>
          <t>Tolerance and pluralism raw</t>
        </is>
      </c>
      <c r="G2361" t="inlineStr">
        <is>
          <t>community</t>
        </is>
      </c>
      <c r="H2361" t="inlineStr">
        <is>
          <t>yes</t>
        </is>
      </c>
      <c r="I2361" t="inlineStr"/>
      <c r="J2361" t="inlineStr"/>
      <c r="K2361" t="inlineStr"/>
      <c r="L2361" t="inlineStr"/>
      <c r="M2361" t="inlineStr"/>
      <c r="N2361" t="inlineStr"/>
    </row>
    <row r="2362">
      <c r="A2362" t="inlineStr">
        <is>
          <t>gh-accra</t>
        </is>
      </c>
      <c r="B2362" t="inlineStr">
        <is>
          <t>Accra</t>
        </is>
      </c>
      <c r="C2362" t="inlineStr">
        <is>
          <t>Ghana</t>
        </is>
      </c>
      <c r="D2362" t="inlineStr">
        <is>
          <t>Africa</t>
        </is>
      </c>
      <c r="E2362" t="inlineStr">
        <is>
          <t>cultural_public_life_raw</t>
        </is>
      </c>
      <c r="F2362" t="inlineStr">
        <is>
          <t>Cultural public life raw</t>
        </is>
      </c>
      <c r="G2362" t="inlineStr">
        <is>
          <t>community</t>
        </is>
      </c>
      <c r="H2362" t="inlineStr">
        <is>
          <t>yes</t>
        </is>
      </c>
      <c r="I2362" t="inlineStr"/>
      <c r="J2362" t="inlineStr"/>
      <c r="K2362" t="inlineStr"/>
      <c r="L2362" t="inlineStr"/>
      <c r="M2362" t="inlineStr"/>
      <c r="N2362" t="inlineStr"/>
    </row>
    <row r="2363">
      <c r="A2363" t="inlineStr">
        <is>
          <t>gh-accra</t>
        </is>
      </c>
      <c r="B2363" t="inlineStr">
        <is>
          <t>Accra</t>
        </is>
      </c>
      <c r="C2363" t="inlineStr">
        <is>
          <t>Ghana</t>
        </is>
      </c>
      <c r="D2363" t="inlineStr">
        <is>
          <t>Africa</t>
        </is>
      </c>
      <c r="E2363" t="inlineStr">
        <is>
          <t>entrepreneurial_dynamism_raw</t>
        </is>
      </c>
      <c r="F2363" t="inlineStr">
        <is>
          <t>Entrepreneurial dynamism raw</t>
        </is>
      </c>
      <c r="G2363" t="inlineStr">
        <is>
          <t>creative</t>
        </is>
      </c>
      <c r="H2363" t="inlineStr">
        <is>
          <t>yes</t>
        </is>
      </c>
      <c r="I2363" t="inlineStr"/>
      <c r="J2363" t="inlineStr"/>
      <c r="K2363" t="inlineStr"/>
      <c r="L2363" t="inlineStr"/>
      <c r="M2363" t="inlineStr"/>
      <c r="N2363" t="inlineStr"/>
    </row>
    <row r="2364">
      <c r="A2364" t="inlineStr">
        <is>
          <t>gh-accra</t>
        </is>
      </c>
      <c r="B2364" t="inlineStr">
        <is>
          <t>Accra</t>
        </is>
      </c>
      <c r="C2364" t="inlineStr">
        <is>
          <t>Ghana</t>
        </is>
      </c>
      <c r="D2364" t="inlineStr">
        <is>
          <t>Africa</t>
        </is>
      </c>
      <c r="E2364" t="inlineStr">
        <is>
          <t>innovation_research_intensity_raw</t>
        </is>
      </c>
      <c r="F2364" t="inlineStr">
        <is>
          <t>Innovation and research raw</t>
        </is>
      </c>
      <c r="G2364" t="inlineStr">
        <is>
          <t>creative</t>
        </is>
      </c>
      <c r="H2364" t="inlineStr">
        <is>
          <t>yes</t>
        </is>
      </c>
      <c r="I2364" t="inlineStr"/>
      <c r="J2364" t="inlineStr"/>
      <c r="K2364" t="inlineStr"/>
      <c r="L2364" t="inlineStr"/>
      <c r="M2364" t="inlineStr"/>
      <c r="N2364" t="inlineStr"/>
    </row>
    <row r="2365">
      <c r="A2365" t="inlineStr">
        <is>
          <t>gh-accra</t>
        </is>
      </c>
      <c r="B2365" t="inlineStr">
        <is>
          <t>Accra</t>
        </is>
      </c>
      <c r="C2365" t="inlineStr">
        <is>
          <t>Ghana</t>
        </is>
      </c>
      <c r="D2365" t="inlineStr">
        <is>
          <t>Africa</t>
        </is>
      </c>
      <c r="E2365" t="inlineStr">
        <is>
          <t>investment_signal_raw</t>
        </is>
      </c>
      <c r="F2365" t="inlineStr">
        <is>
          <t>Investment signal raw</t>
        </is>
      </c>
      <c r="G2365" t="inlineStr">
        <is>
          <t>creative</t>
        </is>
      </c>
      <c r="H2365" t="inlineStr">
        <is>
          <t>yes</t>
        </is>
      </c>
      <c r="I2365" t="inlineStr"/>
      <c r="J2365" t="inlineStr"/>
      <c r="K2365" t="inlineStr"/>
      <c r="L2365" t="inlineStr"/>
      <c r="M2365" t="inlineStr"/>
      <c r="N2365" t="inlineStr"/>
    </row>
    <row r="2366">
      <c r="A2366" t="inlineStr">
        <is>
          <t>gh-accra</t>
        </is>
      </c>
      <c r="B2366" t="inlineStr">
        <is>
          <t>Accra</t>
        </is>
      </c>
      <c r="C2366" t="inlineStr">
        <is>
          <t>Ghana</t>
        </is>
      </c>
      <c r="D2366" t="inlineStr">
        <is>
          <t>Africa</t>
        </is>
      </c>
      <c r="E2366" t="inlineStr">
        <is>
          <t>administrative_investment_friction_raw</t>
        </is>
      </c>
      <c r="F2366" t="inlineStr">
        <is>
          <t>Administrative investment friction raw</t>
        </is>
      </c>
      <c r="G2366" t="inlineStr">
        <is>
          <t>creative</t>
        </is>
      </c>
      <c r="H2366" t="inlineStr">
        <is>
          <t>yes</t>
        </is>
      </c>
      <c r="I2366" t="inlineStr"/>
      <c r="J2366" t="inlineStr"/>
      <c r="K2366" t="inlineStr"/>
      <c r="L2366" t="inlineStr"/>
      <c r="M2366" t="inlineStr"/>
      <c r="N2366" t="inlineStr"/>
    </row>
    <row r="2367">
      <c r="A2367" t="inlineStr">
        <is>
          <t>gh-accra</t>
        </is>
      </c>
      <c r="B2367" t="inlineStr">
        <is>
          <t>Accra</t>
        </is>
      </c>
      <c r="C2367" t="inlineStr">
        <is>
          <t>Ghana</t>
        </is>
      </c>
      <c r="D2367" t="inlineStr">
        <is>
          <t>Africa</t>
        </is>
      </c>
      <c r="E2367" t="inlineStr">
        <is>
          <t>visitor_flow_context_raw</t>
        </is>
      </c>
      <c r="F2367" t="inlineStr">
        <is>
          <t>Visitor flow context raw</t>
        </is>
      </c>
      <c r="G2367" t="inlineStr">
        <is>
          <t>creative</t>
        </is>
      </c>
      <c r="H2367" t="inlineStr">
        <is>
          <t>no</t>
        </is>
      </c>
      <c r="I2367" t="inlineStr"/>
      <c r="J2367" t="inlineStr"/>
      <c r="K2367" t="inlineStr"/>
      <c r="L2367" t="inlineStr"/>
      <c r="M2367" t="inlineStr"/>
      <c r="N2367" t="inlineStr"/>
    </row>
    <row r="2368">
      <c r="A2368" t="inlineStr">
        <is>
          <t>sn-dakar</t>
        </is>
      </c>
      <c r="B2368" t="inlineStr">
        <is>
          <t>Dakar</t>
        </is>
      </c>
      <c r="C2368" t="inlineStr">
        <is>
          <t>Senegal</t>
        </is>
      </c>
      <c r="D2368" t="inlineStr">
        <is>
          <t>Africa</t>
        </is>
      </c>
      <c r="E2368" t="inlineStr">
        <is>
          <t>gross_income</t>
        </is>
      </c>
      <c r="F2368" t="inlineStr">
        <is>
          <t>Gross income</t>
        </is>
      </c>
      <c r="G2368" t="inlineStr">
        <is>
          <t>pressure</t>
        </is>
      </c>
      <c r="H2368" t="inlineStr">
        <is>
          <t>yes</t>
        </is>
      </c>
      <c r="I2368" t="inlineStr"/>
      <c r="J2368" t="inlineStr"/>
      <c r="K2368" t="inlineStr"/>
      <c r="L2368" t="inlineStr"/>
      <c r="M2368" t="inlineStr"/>
      <c r="N2368" t="inlineStr"/>
    </row>
    <row r="2369">
      <c r="A2369" t="inlineStr">
        <is>
          <t>sn-dakar</t>
        </is>
      </c>
      <c r="B2369" t="inlineStr">
        <is>
          <t>Dakar</t>
        </is>
      </c>
      <c r="C2369" t="inlineStr">
        <is>
          <t>Senegal</t>
        </is>
      </c>
      <c r="D2369" t="inlineStr">
        <is>
          <t>Africa</t>
        </is>
      </c>
      <c r="E2369" t="inlineStr">
        <is>
          <t>rent</t>
        </is>
      </c>
      <c r="F2369" t="inlineStr">
        <is>
          <t>Rent</t>
        </is>
      </c>
      <c r="G2369" t="inlineStr">
        <is>
          <t>pressure</t>
        </is>
      </c>
      <c r="H2369" t="inlineStr">
        <is>
          <t>yes</t>
        </is>
      </c>
      <c r="I2369" t="inlineStr"/>
      <c r="J2369" t="inlineStr"/>
      <c r="K2369" t="inlineStr"/>
      <c r="L2369" t="inlineStr"/>
      <c r="M2369" t="inlineStr"/>
      <c r="N2369" t="inlineStr"/>
    </row>
    <row r="2370">
      <c r="A2370" t="inlineStr">
        <is>
          <t>sn-dakar</t>
        </is>
      </c>
      <c r="B2370" t="inlineStr">
        <is>
          <t>Dakar</t>
        </is>
      </c>
      <c r="C2370" t="inlineStr">
        <is>
          <t>Senegal</t>
        </is>
      </c>
      <c r="D2370" t="inlineStr">
        <is>
          <t>Africa</t>
        </is>
      </c>
      <c r="E2370" t="inlineStr">
        <is>
          <t>utilities</t>
        </is>
      </c>
      <c r="F2370" t="inlineStr">
        <is>
          <t>Utilities</t>
        </is>
      </c>
      <c r="G2370" t="inlineStr">
        <is>
          <t>pressure</t>
        </is>
      </c>
      <c r="H2370" t="inlineStr">
        <is>
          <t>yes</t>
        </is>
      </c>
      <c r="I2370" t="inlineStr"/>
      <c r="J2370" t="inlineStr"/>
      <c r="K2370" t="inlineStr"/>
      <c r="L2370" t="inlineStr"/>
      <c r="M2370" t="inlineStr"/>
      <c r="N2370" t="inlineStr"/>
    </row>
    <row r="2371">
      <c r="A2371" t="inlineStr">
        <is>
          <t>sn-dakar</t>
        </is>
      </c>
      <c r="B2371" t="inlineStr">
        <is>
          <t>Dakar</t>
        </is>
      </c>
      <c r="C2371" t="inlineStr">
        <is>
          <t>Senegal</t>
        </is>
      </c>
      <c r="D2371" t="inlineStr">
        <is>
          <t>Africa</t>
        </is>
      </c>
      <c r="E2371" t="inlineStr">
        <is>
          <t>transit_cost</t>
        </is>
      </c>
      <c r="F2371" t="inlineStr">
        <is>
          <t>Transit cost</t>
        </is>
      </c>
      <c r="G2371" t="inlineStr">
        <is>
          <t>pressure</t>
        </is>
      </c>
      <c r="H2371" t="inlineStr">
        <is>
          <t>yes</t>
        </is>
      </c>
      <c r="I2371" t="inlineStr"/>
      <c r="J2371" t="inlineStr"/>
      <c r="K2371" t="inlineStr"/>
      <c r="L2371" t="inlineStr"/>
      <c r="M2371" t="inlineStr"/>
      <c r="N2371" t="inlineStr"/>
    </row>
    <row r="2372">
      <c r="A2372" t="inlineStr">
        <is>
          <t>sn-dakar</t>
        </is>
      </c>
      <c r="B2372" t="inlineStr">
        <is>
          <t>Dakar</t>
        </is>
      </c>
      <c r="C2372" t="inlineStr">
        <is>
          <t>Senegal</t>
        </is>
      </c>
      <c r="D2372" t="inlineStr">
        <is>
          <t>Africa</t>
        </is>
      </c>
      <c r="E2372" t="inlineStr">
        <is>
          <t>internet_cost</t>
        </is>
      </c>
      <c r="F2372" t="inlineStr">
        <is>
          <t>Internet cost</t>
        </is>
      </c>
      <c r="G2372" t="inlineStr">
        <is>
          <t>pressure</t>
        </is>
      </c>
      <c r="H2372" t="inlineStr">
        <is>
          <t>yes</t>
        </is>
      </c>
      <c r="I2372" t="inlineStr"/>
      <c r="J2372" t="inlineStr"/>
      <c r="K2372" t="inlineStr"/>
      <c r="L2372" t="inlineStr"/>
      <c r="M2372" t="inlineStr"/>
      <c r="N2372" t="inlineStr"/>
    </row>
    <row r="2373">
      <c r="A2373" t="inlineStr">
        <is>
          <t>sn-dakar</t>
        </is>
      </c>
      <c r="B2373" t="inlineStr">
        <is>
          <t>Dakar</t>
        </is>
      </c>
      <c r="C2373" t="inlineStr">
        <is>
          <t>Senegal</t>
        </is>
      </c>
      <c r="D2373" t="inlineStr">
        <is>
          <t>Africa</t>
        </is>
      </c>
      <c r="E2373" t="inlineStr">
        <is>
          <t>food_cost</t>
        </is>
      </c>
      <c r="F2373" t="inlineStr">
        <is>
          <t>Food cost</t>
        </is>
      </c>
      <c r="G2373" t="inlineStr">
        <is>
          <t>pressure</t>
        </is>
      </c>
      <c r="H2373" t="inlineStr">
        <is>
          <t>yes</t>
        </is>
      </c>
      <c r="I2373" t="inlineStr"/>
      <c r="J2373" t="inlineStr"/>
      <c r="K2373" t="inlineStr"/>
      <c r="L2373" t="inlineStr"/>
      <c r="M2373" t="inlineStr"/>
      <c r="N2373" t="inlineStr"/>
    </row>
    <row r="2374">
      <c r="A2374" t="inlineStr">
        <is>
          <t>sn-dakar</t>
        </is>
      </c>
      <c r="B2374" t="inlineStr">
        <is>
          <t>Dakar</t>
        </is>
      </c>
      <c r="C2374" t="inlineStr">
        <is>
          <t>Senegal</t>
        </is>
      </c>
      <c r="D2374" t="inlineStr">
        <is>
          <t>Africa</t>
        </is>
      </c>
      <c r="E2374" t="inlineStr">
        <is>
          <t>housing_burden_raw</t>
        </is>
      </c>
      <c r="F2374" t="inlineStr">
        <is>
          <t>Housing burden raw</t>
        </is>
      </c>
      <c r="G2374" t="inlineStr">
        <is>
          <t>pressure</t>
        </is>
      </c>
      <c r="H2374" t="inlineStr">
        <is>
          <t>yes</t>
        </is>
      </c>
      <c r="I2374" t="inlineStr"/>
      <c r="J2374" t="inlineStr"/>
      <c r="K2374" t="inlineStr"/>
      <c r="L2374" t="inlineStr"/>
      <c r="M2374" t="inlineStr"/>
      <c r="N2374" t="inlineStr"/>
    </row>
    <row r="2375">
      <c r="A2375" t="inlineStr">
        <is>
          <t>sn-dakar</t>
        </is>
      </c>
      <c r="B2375" t="inlineStr">
        <is>
          <t>Dakar</t>
        </is>
      </c>
      <c r="C2375" t="inlineStr">
        <is>
          <t>Senegal</t>
        </is>
      </c>
      <c r="D2375" t="inlineStr">
        <is>
          <t>Africa</t>
        </is>
      </c>
      <c r="E2375" t="inlineStr">
        <is>
          <t>household_debt_burden_raw</t>
        </is>
      </c>
      <c r="F2375" t="inlineStr">
        <is>
          <t>Household debt burden raw</t>
        </is>
      </c>
      <c r="G2375" t="inlineStr">
        <is>
          <t>pressure</t>
        </is>
      </c>
      <c r="H2375" t="inlineStr">
        <is>
          <t>yes</t>
        </is>
      </c>
      <c r="I2375" t="inlineStr"/>
      <c r="J2375" t="inlineStr"/>
      <c r="K2375" t="inlineStr"/>
      <c r="L2375" t="inlineStr"/>
      <c r="M2375" t="inlineStr"/>
      <c r="N2375" t="inlineStr"/>
    </row>
    <row r="2376">
      <c r="A2376" t="inlineStr">
        <is>
          <t>sn-dakar</t>
        </is>
      </c>
      <c r="B2376" t="inlineStr">
        <is>
          <t>Dakar</t>
        </is>
      </c>
      <c r="C2376" t="inlineStr">
        <is>
          <t>Senegal</t>
        </is>
      </c>
      <c r="D2376" t="inlineStr">
        <is>
          <t>Africa</t>
        </is>
      </c>
      <c r="E2376" t="inlineStr">
        <is>
          <t>working_time_pressure_raw</t>
        </is>
      </c>
      <c r="F2376" t="inlineStr">
        <is>
          <t>Working time pressure raw</t>
        </is>
      </c>
      <c r="G2376" t="inlineStr">
        <is>
          <t>pressure</t>
        </is>
      </c>
      <c r="H2376" t="inlineStr">
        <is>
          <t>yes</t>
        </is>
      </c>
      <c r="I2376" t="inlineStr"/>
      <c r="J2376" t="inlineStr"/>
      <c r="K2376" t="inlineStr"/>
      <c r="L2376" t="inlineStr"/>
      <c r="M2376" t="inlineStr"/>
      <c r="N2376" t="inlineStr"/>
    </row>
    <row r="2377">
      <c r="A2377" t="inlineStr">
        <is>
          <t>sn-dakar</t>
        </is>
      </c>
      <c r="B2377" t="inlineStr">
        <is>
          <t>Dakar</t>
        </is>
      </c>
      <c r="C2377" t="inlineStr">
        <is>
          <t>Senegal</t>
        </is>
      </c>
      <c r="D2377" t="inlineStr">
        <is>
          <t>Africa</t>
        </is>
      </c>
      <c r="E2377" t="inlineStr">
        <is>
          <t>suicide_mental_strain_raw</t>
        </is>
      </c>
      <c r="F2377" t="inlineStr">
        <is>
          <t>Suicide or mental strain raw</t>
        </is>
      </c>
      <c r="G2377" t="inlineStr">
        <is>
          <t>pressure</t>
        </is>
      </c>
      <c r="H2377" t="inlineStr">
        <is>
          <t>yes</t>
        </is>
      </c>
      <c r="I2377" t="inlineStr"/>
      <c r="J2377" t="inlineStr"/>
      <c r="K2377" t="inlineStr"/>
      <c r="L2377" t="inlineStr"/>
      <c r="M2377" t="inlineStr"/>
      <c r="N2377" t="inlineStr"/>
    </row>
    <row r="2378">
      <c r="A2378" t="inlineStr">
        <is>
          <t>sn-dakar</t>
        </is>
      </c>
      <c r="B2378" t="inlineStr">
        <is>
          <t>Dakar</t>
        </is>
      </c>
      <c r="C2378" t="inlineStr">
        <is>
          <t>Senegal</t>
        </is>
      </c>
      <c r="D2378" t="inlineStr">
        <is>
          <t>Africa</t>
        </is>
      </c>
      <c r="E2378" t="inlineStr">
        <is>
          <t>personal_safety_raw</t>
        </is>
      </c>
      <c r="F2378" t="inlineStr">
        <is>
          <t>Personal safety raw</t>
        </is>
      </c>
      <c r="G2378" t="inlineStr">
        <is>
          <t>viability</t>
        </is>
      </c>
      <c r="H2378" t="inlineStr">
        <is>
          <t>yes</t>
        </is>
      </c>
      <c r="I2378" t="inlineStr"/>
      <c r="J2378" t="inlineStr"/>
      <c r="K2378" t="inlineStr"/>
      <c r="L2378" t="inlineStr"/>
      <c r="M2378" t="inlineStr"/>
      <c r="N2378" t="inlineStr"/>
    </row>
    <row r="2379">
      <c r="A2379" t="inlineStr">
        <is>
          <t>sn-dakar</t>
        </is>
      </c>
      <c r="B2379" t="inlineStr">
        <is>
          <t>Dakar</t>
        </is>
      </c>
      <c r="C2379" t="inlineStr">
        <is>
          <t>Senegal</t>
        </is>
      </c>
      <c r="D2379" t="inlineStr">
        <is>
          <t>Africa</t>
        </is>
      </c>
      <c r="E2379" t="inlineStr">
        <is>
          <t>transit_access_commute_raw</t>
        </is>
      </c>
      <c r="F2379" t="inlineStr">
        <is>
          <t>Transit access and commute raw</t>
        </is>
      </c>
      <c r="G2379" t="inlineStr">
        <is>
          <t>viability</t>
        </is>
      </c>
      <c r="H2379" t="inlineStr">
        <is>
          <t>yes</t>
        </is>
      </c>
      <c r="I2379" t="inlineStr"/>
      <c r="J2379" t="inlineStr"/>
      <c r="K2379" t="inlineStr"/>
      <c r="L2379" t="inlineStr"/>
      <c r="M2379" t="inlineStr"/>
      <c r="N2379" t="inlineStr"/>
    </row>
    <row r="2380">
      <c r="A2380" t="inlineStr">
        <is>
          <t>sn-dakar</t>
        </is>
      </c>
      <c r="B2380" t="inlineStr">
        <is>
          <t>Dakar</t>
        </is>
      </c>
      <c r="C2380" t="inlineStr">
        <is>
          <t>Senegal</t>
        </is>
      </c>
      <c r="D2380" t="inlineStr">
        <is>
          <t>Africa</t>
        </is>
      </c>
      <c r="E2380" t="inlineStr">
        <is>
          <t>clean_air_raw</t>
        </is>
      </c>
      <c r="F2380" t="inlineStr">
        <is>
          <t>Clean air raw</t>
        </is>
      </c>
      <c r="G2380" t="inlineStr">
        <is>
          <t>viability</t>
        </is>
      </c>
      <c r="H2380" t="inlineStr">
        <is>
          <t>yes</t>
        </is>
      </c>
      <c r="I2380" t="inlineStr"/>
      <c r="J2380" t="inlineStr"/>
      <c r="K2380" t="inlineStr"/>
      <c r="L2380" t="inlineStr"/>
      <c r="M2380" t="inlineStr"/>
      <c r="N2380" t="inlineStr"/>
    </row>
    <row r="2381">
      <c r="A2381" t="inlineStr">
        <is>
          <t>sn-dakar</t>
        </is>
      </c>
      <c r="B2381" t="inlineStr">
        <is>
          <t>Dakar</t>
        </is>
      </c>
      <c r="C2381" t="inlineStr">
        <is>
          <t>Senegal</t>
        </is>
      </c>
      <c r="D2381" t="inlineStr">
        <is>
          <t>Africa</t>
        </is>
      </c>
      <c r="E2381" t="inlineStr">
        <is>
          <t>water_sanitation_utility_raw</t>
        </is>
      </c>
      <c r="F2381" t="inlineStr">
        <is>
          <t>Water, sanitation, and utility raw</t>
        </is>
      </c>
      <c r="G2381" t="inlineStr">
        <is>
          <t>viability</t>
        </is>
      </c>
      <c r="H2381" t="inlineStr">
        <is>
          <t>yes</t>
        </is>
      </c>
      <c r="I2381" t="inlineStr"/>
      <c r="J2381" t="inlineStr"/>
      <c r="K2381" t="inlineStr"/>
      <c r="L2381" t="inlineStr"/>
      <c r="M2381" t="inlineStr"/>
      <c r="N2381" t="inlineStr"/>
    </row>
    <row r="2382">
      <c r="A2382" t="inlineStr">
        <is>
          <t>sn-dakar</t>
        </is>
      </c>
      <c r="B2382" t="inlineStr">
        <is>
          <t>Dakar</t>
        </is>
      </c>
      <c r="C2382" t="inlineStr">
        <is>
          <t>Senegal</t>
        </is>
      </c>
      <c r="D2382" t="inlineStr">
        <is>
          <t>Africa</t>
        </is>
      </c>
      <c r="E2382" t="inlineStr">
        <is>
          <t>digital_infrastructure_raw</t>
        </is>
      </c>
      <c r="F2382" t="inlineStr">
        <is>
          <t>Digital infrastructure raw</t>
        </is>
      </c>
      <c r="G2382" t="inlineStr">
        <is>
          <t>viability</t>
        </is>
      </c>
      <c r="H2382" t="inlineStr">
        <is>
          <t>yes</t>
        </is>
      </c>
      <c r="I2382" t="inlineStr"/>
      <c r="J2382" t="inlineStr"/>
      <c r="K2382" t="inlineStr"/>
      <c r="L2382" t="inlineStr"/>
      <c r="M2382" t="inlineStr"/>
      <c r="N2382" t="inlineStr"/>
    </row>
    <row r="2383">
      <c r="A2383" t="inlineStr">
        <is>
          <t>sn-dakar</t>
        </is>
      </c>
      <c r="B2383" t="inlineStr">
        <is>
          <t>Dakar</t>
        </is>
      </c>
      <c r="C2383" t="inlineStr">
        <is>
          <t>Senegal</t>
        </is>
      </c>
      <c r="D2383" t="inlineStr">
        <is>
          <t>Africa</t>
        </is>
      </c>
      <c r="E2383" t="inlineStr">
        <is>
          <t>healthcare_quality_raw</t>
        </is>
      </c>
      <c r="F2383" t="inlineStr">
        <is>
          <t>Healthcare quality raw</t>
        </is>
      </c>
      <c r="G2383" t="inlineStr">
        <is>
          <t>capability</t>
        </is>
      </c>
      <c r="H2383" t="inlineStr">
        <is>
          <t>yes</t>
        </is>
      </c>
      <c r="I2383" t="inlineStr"/>
      <c r="J2383" t="inlineStr"/>
      <c r="K2383" t="inlineStr"/>
      <c r="L2383" t="inlineStr"/>
      <c r="M2383" t="inlineStr"/>
      <c r="N2383" t="inlineStr"/>
    </row>
    <row r="2384">
      <c r="A2384" t="inlineStr">
        <is>
          <t>sn-dakar</t>
        </is>
      </c>
      <c r="B2384" t="inlineStr">
        <is>
          <t>Dakar</t>
        </is>
      </c>
      <c r="C2384" t="inlineStr">
        <is>
          <t>Senegal</t>
        </is>
      </c>
      <c r="D2384" t="inlineStr">
        <is>
          <t>Africa</t>
        </is>
      </c>
      <c r="E2384" t="inlineStr">
        <is>
          <t>education_quality_raw</t>
        </is>
      </c>
      <c r="F2384" t="inlineStr">
        <is>
          <t>Education quality raw</t>
        </is>
      </c>
      <c r="G2384" t="inlineStr">
        <is>
          <t>capability</t>
        </is>
      </c>
      <c r="H2384" t="inlineStr">
        <is>
          <t>yes</t>
        </is>
      </c>
      <c r="I2384" t="inlineStr"/>
      <c r="J2384" t="inlineStr"/>
      <c r="K2384" t="inlineStr"/>
      <c r="L2384" t="inlineStr"/>
      <c r="M2384" t="inlineStr"/>
      <c r="N2384" t="inlineStr"/>
    </row>
    <row r="2385">
      <c r="A2385" t="inlineStr">
        <is>
          <t>sn-dakar</t>
        </is>
      </c>
      <c r="B2385" t="inlineStr">
        <is>
          <t>Dakar</t>
        </is>
      </c>
      <c r="C2385" t="inlineStr">
        <is>
          <t>Senegal</t>
        </is>
      </c>
      <c r="D2385" t="inlineStr">
        <is>
          <t>Africa</t>
        </is>
      </c>
      <c r="E2385" t="inlineStr">
        <is>
          <t>equal_opportunity_raw</t>
        </is>
      </c>
      <c r="F2385" t="inlineStr">
        <is>
          <t>Equal opportunity raw</t>
        </is>
      </c>
      <c r="G2385" t="inlineStr">
        <is>
          <t>capability</t>
        </is>
      </c>
      <c r="H2385" t="inlineStr">
        <is>
          <t>yes</t>
        </is>
      </c>
      <c r="I2385" t="inlineStr"/>
      <c r="J2385" t="inlineStr"/>
      <c r="K2385" t="inlineStr"/>
      <c r="L2385" t="inlineStr"/>
      <c r="M2385" t="inlineStr"/>
      <c r="N2385" t="inlineStr"/>
    </row>
    <row r="2386">
      <c r="A2386" t="inlineStr">
        <is>
          <t>sn-dakar</t>
        </is>
      </c>
      <c r="B2386" t="inlineStr">
        <is>
          <t>Dakar</t>
        </is>
      </c>
      <c r="C2386" t="inlineStr">
        <is>
          <t>Senegal</t>
        </is>
      </c>
      <c r="D2386" t="inlineStr">
        <is>
          <t>Africa</t>
        </is>
      </c>
      <c r="E2386" t="inlineStr">
        <is>
          <t>hospitality_belonging_raw</t>
        </is>
      </c>
      <c r="F2386" t="inlineStr">
        <is>
          <t>Hospitality and belonging raw</t>
        </is>
      </c>
      <c r="G2386" t="inlineStr">
        <is>
          <t>community</t>
        </is>
      </c>
      <c r="H2386" t="inlineStr">
        <is>
          <t>yes</t>
        </is>
      </c>
      <c r="I2386" t="inlineStr"/>
      <c r="J2386" t="inlineStr"/>
      <c r="K2386" t="inlineStr"/>
      <c r="L2386" t="inlineStr"/>
      <c r="M2386" t="inlineStr"/>
      <c r="N2386" t="inlineStr"/>
    </row>
    <row r="2387">
      <c r="A2387" t="inlineStr">
        <is>
          <t>sn-dakar</t>
        </is>
      </c>
      <c r="B2387" t="inlineStr">
        <is>
          <t>Dakar</t>
        </is>
      </c>
      <c r="C2387" t="inlineStr">
        <is>
          <t>Senegal</t>
        </is>
      </c>
      <c r="D2387" t="inlineStr">
        <is>
          <t>Africa</t>
        </is>
      </c>
      <c r="E2387" t="inlineStr">
        <is>
          <t>tolerance_pluralism_raw</t>
        </is>
      </c>
      <c r="F2387" t="inlineStr">
        <is>
          <t>Tolerance and pluralism raw</t>
        </is>
      </c>
      <c r="G2387" t="inlineStr">
        <is>
          <t>community</t>
        </is>
      </c>
      <c r="H2387" t="inlineStr">
        <is>
          <t>yes</t>
        </is>
      </c>
      <c r="I2387" t="inlineStr"/>
      <c r="J2387" t="inlineStr"/>
      <c r="K2387" t="inlineStr"/>
      <c r="L2387" t="inlineStr"/>
      <c r="M2387" t="inlineStr"/>
      <c r="N2387" t="inlineStr"/>
    </row>
    <row r="2388">
      <c r="A2388" t="inlineStr">
        <is>
          <t>sn-dakar</t>
        </is>
      </c>
      <c r="B2388" t="inlineStr">
        <is>
          <t>Dakar</t>
        </is>
      </c>
      <c r="C2388" t="inlineStr">
        <is>
          <t>Senegal</t>
        </is>
      </c>
      <c r="D2388" t="inlineStr">
        <is>
          <t>Africa</t>
        </is>
      </c>
      <c r="E2388" t="inlineStr">
        <is>
          <t>cultural_public_life_raw</t>
        </is>
      </c>
      <c r="F2388" t="inlineStr">
        <is>
          <t>Cultural public life raw</t>
        </is>
      </c>
      <c r="G2388" t="inlineStr">
        <is>
          <t>community</t>
        </is>
      </c>
      <c r="H2388" t="inlineStr">
        <is>
          <t>yes</t>
        </is>
      </c>
      <c r="I2388" t="inlineStr"/>
      <c r="J2388" t="inlineStr"/>
      <c r="K2388" t="inlineStr"/>
      <c r="L2388" t="inlineStr"/>
      <c r="M2388" t="inlineStr"/>
      <c r="N2388" t="inlineStr"/>
    </row>
    <row r="2389">
      <c r="A2389" t="inlineStr">
        <is>
          <t>sn-dakar</t>
        </is>
      </c>
      <c r="B2389" t="inlineStr">
        <is>
          <t>Dakar</t>
        </is>
      </c>
      <c r="C2389" t="inlineStr">
        <is>
          <t>Senegal</t>
        </is>
      </c>
      <c r="D2389" t="inlineStr">
        <is>
          <t>Africa</t>
        </is>
      </c>
      <c r="E2389" t="inlineStr">
        <is>
          <t>entrepreneurial_dynamism_raw</t>
        </is>
      </c>
      <c r="F2389" t="inlineStr">
        <is>
          <t>Entrepreneurial dynamism raw</t>
        </is>
      </c>
      <c r="G2389" t="inlineStr">
        <is>
          <t>creative</t>
        </is>
      </c>
      <c r="H2389" t="inlineStr">
        <is>
          <t>yes</t>
        </is>
      </c>
      <c r="I2389" t="inlineStr"/>
      <c r="J2389" t="inlineStr"/>
      <c r="K2389" t="inlineStr"/>
      <c r="L2389" t="inlineStr"/>
      <c r="M2389" t="inlineStr"/>
      <c r="N2389" t="inlineStr"/>
    </row>
    <row r="2390">
      <c r="A2390" t="inlineStr">
        <is>
          <t>sn-dakar</t>
        </is>
      </c>
      <c r="B2390" t="inlineStr">
        <is>
          <t>Dakar</t>
        </is>
      </c>
      <c r="C2390" t="inlineStr">
        <is>
          <t>Senegal</t>
        </is>
      </c>
      <c r="D2390" t="inlineStr">
        <is>
          <t>Africa</t>
        </is>
      </c>
      <c r="E2390" t="inlineStr">
        <is>
          <t>innovation_research_intensity_raw</t>
        </is>
      </c>
      <c r="F2390" t="inlineStr">
        <is>
          <t>Innovation and research raw</t>
        </is>
      </c>
      <c r="G2390" t="inlineStr">
        <is>
          <t>creative</t>
        </is>
      </c>
      <c r="H2390" t="inlineStr">
        <is>
          <t>yes</t>
        </is>
      </c>
      <c r="I2390" t="inlineStr"/>
      <c r="J2390" t="inlineStr"/>
      <c r="K2390" t="inlineStr"/>
      <c r="L2390" t="inlineStr"/>
      <c r="M2390" t="inlineStr"/>
      <c r="N2390" t="inlineStr"/>
    </row>
    <row r="2391">
      <c r="A2391" t="inlineStr">
        <is>
          <t>sn-dakar</t>
        </is>
      </c>
      <c r="B2391" t="inlineStr">
        <is>
          <t>Dakar</t>
        </is>
      </c>
      <c r="C2391" t="inlineStr">
        <is>
          <t>Senegal</t>
        </is>
      </c>
      <c r="D2391" t="inlineStr">
        <is>
          <t>Africa</t>
        </is>
      </c>
      <c r="E2391" t="inlineStr">
        <is>
          <t>investment_signal_raw</t>
        </is>
      </c>
      <c r="F2391" t="inlineStr">
        <is>
          <t>Investment signal raw</t>
        </is>
      </c>
      <c r="G2391" t="inlineStr">
        <is>
          <t>creative</t>
        </is>
      </c>
      <c r="H2391" t="inlineStr">
        <is>
          <t>yes</t>
        </is>
      </c>
      <c r="I2391" t="inlineStr"/>
      <c r="J2391" t="inlineStr"/>
      <c r="K2391" t="inlineStr"/>
      <c r="L2391" t="inlineStr"/>
      <c r="M2391" t="inlineStr"/>
      <c r="N2391" t="inlineStr"/>
    </row>
    <row r="2392">
      <c r="A2392" t="inlineStr">
        <is>
          <t>sn-dakar</t>
        </is>
      </c>
      <c r="B2392" t="inlineStr">
        <is>
          <t>Dakar</t>
        </is>
      </c>
      <c r="C2392" t="inlineStr">
        <is>
          <t>Senegal</t>
        </is>
      </c>
      <c r="D2392" t="inlineStr">
        <is>
          <t>Africa</t>
        </is>
      </c>
      <c r="E2392" t="inlineStr">
        <is>
          <t>administrative_investment_friction_raw</t>
        </is>
      </c>
      <c r="F2392" t="inlineStr">
        <is>
          <t>Administrative investment friction raw</t>
        </is>
      </c>
      <c r="G2392" t="inlineStr">
        <is>
          <t>creative</t>
        </is>
      </c>
      <c r="H2392" t="inlineStr">
        <is>
          <t>yes</t>
        </is>
      </c>
      <c r="I2392" t="inlineStr"/>
      <c r="J2392" t="inlineStr"/>
      <c r="K2392" t="inlineStr"/>
      <c r="L2392" t="inlineStr"/>
      <c r="M2392" t="inlineStr"/>
      <c r="N2392" t="inlineStr"/>
    </row>
    <row r="2393">
      <c r="A2393" t="inlineStr">
        <is>
          <t>sn-dakar</t>
        </is>
      </c>
      <c r="B2393" t="inlineStr">
        <is>
          <t>Dakar</t>
        </is>
      </c>
      <c r="C2393" t="inlineStr">
        <is>
          <t>Senegal</t>
        </is>
      </c>
      <c r="D2393" t="inlineStr">
        <is>
          <t>Africa</t>
        </is>
      </c>
      <c r="E2393" t="inlineStr">
        <is>
          <t>visitor_flow_context_raw</t>
        </is>
      </c>
      <c r="F2393" t="inlineStr">
        <is>
          <t>Visitor flow context raw</t>
        </is>
      </c>
      <c r="G2393" t="inlineStr">
        <is>
          <t>creative</t>
        </is>
      </c>
      <c r="H2393" t="inlineStr">
        <is>
          <t>no</t>
        </is>
      </c>
      <c r="I2393" t="inlineStr"/>
      <c r="J2393" t="inlineStr"/>
      <c r="K2393" t="inlineStr"/>
      <c r="L2393" t="inlineStr"/>
      <c r="M2393" t="inlineStr"/>
      <c r="N2393" t="inlineStr"/>
    </row>
    <row r="2394">
      <c r="A2394" t="inlineStr">
        <is>
          <t>nz-auckland</t>
        </is>
      </c>
      <c r="B2394" t="inlineStr">
        <is>
          <t>Auckland</t>
        </is>
      </c>
      <c r="C2394" t="inlineStr">
        <is>
          <t>New Zealand</t>
        </is>
      </c>
      <c r="D2394" t="inlineStr">
        <is>
          <t>Oceania</t>
        </is>
      </c>
      <c r="E2394" t="inlineStr">
        <is>
          <t>gross_income</t>
        </is>
      </c>
      <c r="F2394" t="inlineStr">
        <is>
          <t>Gross income</t>
        </is>
      </c>
      <c r="G2394" t="inlineStr">
        <is>
          <t>pressure</t>
        </is>
      </c>
      <c r="H2394" t="inlineStr">
        <is>
          <t>yes</t>
        </is>
      </c>
      <c r="I2394" t="inlineStr"/>
      <c r="J2394" t="inlineStr"/>
      <c r="K2394" t="inlineStr"/>
      <c r="L2394" t="inlineStr"/>
      <c r="M2394" t="inlineStr"/>
      <c r="N2394" t="inlineStr"/>
    </row>
    <row r="2395">
      <c r="A2395" t="inlineStr">
        <is>
          <t>nz-auckland</t>
        </is>
      </c>
      <c r="B2395" t="inlineStr">
        <is>
          <t>Auckland</t>
        </is>
      </c>
      <c r="C2395" t="inlineStr">
        <is>
          <t>New Zealand</t>
        </is>
      </c>
      <c r="D2395" t="inlineStr">
        <is>
          <t>Oceania</t>
        </is>
      </c>
      <c r="E2395" t="inlineStr">
        <is>
          <t>rent</t>
        </is>
      </c>
      <c r="F2395" t="inlineStr">
        <is>
          <t>Rent</t>
        </is>
      </c>
      <c r="G2395" t="inlineStr">
        <is>
          <t>pressure</t>
        </is>
      </c>
      <c r="H2395" t="inlineStr">
        <is>
          <t>yes</t>
        </is>
      </c>
      <c r="I2395" t="inlineStr"/>
      <c r="J2395" t="inlineStr"/>
      <c r="K2395" t="inlineStr"/>
      <c r="L2395" t="inlineStr"/>
      <c r="M2395" t="inlineStr"/>
      <c r="N2395" t="inlineStr"/>
    </row>
    <row r="2396">
      <c r="A2396" t="inlineStr">
        <is>
          <t>nz-auckland</t>
        </is>
      </c>
      <c r="B2396" t="inlineStr">
        <is>
          <t>Auckland</t>
        </is>
      </c>
      <c r="C2396" t="inlineStr">
        <is>
          <t>New Zealand</t>
        </is>
      </c>
      <c r="D2396" t="inlineStr">
        <is>
          <t>Oceania</t>
        </is>
      </c>
      <c r="E2396" t="inlineStr">
        <is>
          <t>utilities</t>
        </is>
      </c>
      <c r="F2396" t="inlineStr">
        <is>
          <t>Utilities</t>
        </is>
      </c>
      <c r="G2396" t="inlineStr">
        <is>
          <t>pressure</t>
        </is>
      </c>
      <c r="H2396" t="inlineStr">
        <is>
          <t>yes</t>
        </is>
      </c>
      <c r="I2396" t="inlineStr"/>
      <c r="J2396" t="inlineStr"/>
      <c r="K2396" t="inlineStr"/>
      <c r="L2396" t="inlineStr"/>
      <c r="M2396" t="inlineStr"/>
      <c r="N2396" t="inlineStr"/>
    </row>
    <row r="2397">
      <c r="A2397" t="inlineStr">
        <is>
          <t>nz-auckland</t>
        </is>
      </c>
      <c r="B2397" t="inlineStr">
        <is>
          <t>Auckland</t>
        </is>
      </c>
      <c r="C2397" t="inlineStr">
        <is>
          <t>New Zealand</t>
        </is>
      </c>
      <c r="D2397" t="inlineStr">
        <is>
          <t>Oceania</t>
        </is>
      </c>
      <c r="E2397" t="inlineStr">
        <is>
          <t>transit_cost</t>
        </is>
      </c>
      <c r="F2397" t="inlineStr">
        <is>
          <t>Transit cost</t>
        </is>
      </c>
      <c r="G2397" t="inlineStr">
        <is>
          <t>pressure</t>
        </is>
      </c>
      <c r="H2397" t="inlineStr">
        <is>
          <t>yes</t>
        </is>
      </c>
      <c r="I2397" t="inlineStr"/>
      <c r="J2397" t="inlineStr"/>
      <c r="K2397" t="inlineStr"/>
      <c r="L2397" t="inlineStr"/>
      <c r="M2397" t="inlineStr"/>
      <c r="N2397" t="inlineStr"/>
    </row>
    <row r="2398">
      <c r="A2398" t="inlineStr">
        <is>
          <t>nz-auckland</t>
        </is>
      </c>
      <c r="B2398" t="inlineStr">
        <is>
          <t>Auckland</t>
        </is>
      </c>
      <c r="C2398" t="inlineStr">
        <is>
          <t>New Zealand</t>
        </is>
      </c>
      <c r="D2398" t="inlineStr">
        <is>
          <t>Oceania</t>
        </is>
      </c>
      <c r="E2398" t="inlineStr">
        <is>
          <t>internet_cost</t>
        </is>
      </c>
      <c r="F2398" t="inlineStr">
        <is>
          <t>Internet cost</t>
        </is>
      </c>
      <c r="G2398" t="inlineStr">
        <is>
          <t>pressure</t>
        </is>
      </c>
      <c r="H2398" t="inlineStr">
        <is>
          <t>yes</t>
        </is>
      </c>
      <c r="I2398" t="inlineStr"/>
      <c r="J2398" t="inlineStr"/>
      <c r="K2398" t="inlineStr"/>
      <c r="L2398" t="inlineStr"/>
      <c r="M2398" t="inlineStr"/>
      <c r="N2398" t="inlineStr"/>
    </row>
    <row r="2399">
      <c r="A2399" t="inlineStr">
        <is>
          <t>nz-auckland</t>
        </is>
      </c>
      <c r="B2399" t="inlineStr">
        <is>
          <t>Auckland</t>
        </is>
      </c>
      <c r="C2399" t="inlineStr">
        <is>
          <t>New Zealand</t>
        </is>
      </c>
      <c r="D2399" t="inlineStr">
        <is>
          <t>Oceania</t>
        </is>
      </c>
      <c r="E2399" t="inlineStr">
        <is>
          <t>food_cost</t>
        </is>
      </c>
      <c r="F2399" t="inlineStr">
        <is>
          <t>Food cost</t>
        </is>
      </c>
      <c r="G2399" t="inlineStr">
        <is>
          <t>pressure</t>
        </is>
      </c>
      <c r="H2399" t="inlineStr">
        <is>
          <t>yes</t>
        </is>
      </c>
      <c r="I2399" t="inlineStr"/>
      <c r="J2399" t="inlineStr"/>
      <c r="K2399" t="inlineStr"/>
      <c r="L2399" t="inlineStr"/>
      <c r="M2399" t="inlineStr"/>
      <c r="N2399" t="inlineStr"/>
    </row>
    <row r="2400">
      <c r="A2400" t="inlineStr">
        <is>
          <t>nz-auckland</t>
        </is>
      </c>
      <c r="B2400" t="inlineStr">
        <is>
          <t>Auckland</t>
        </is>
      </c>
      <c r="C2400" t="inlineStr">
        <is>
          <t>New Zealand</t>
        </is>
      </c>
      <c r="D2400" t="inlineStr">
        <is>
          <t>Oceania</t>
        </is>
      </c>
      <c r="E2400" t="inlineStr">
        <is>
          <t>housing_burden_raw</t>
        </is>
      </c>
      <c r="F2400" t="inlineStr">
        <is>
          <t>Housing burden raw</t>
        </is>
      </c>
      <c r="G2400" t="inlineStr">
        <is>
          <t>pressure</t>
        </is>
      </c>
      <c r="H2400" t="inlineStr">
        <is>
          <t>yes</t>
        </is>
      </c>
      <c r="I2400" t="inlineStr"/>
      <c r="J2400" t="inlineStr"/>
      <c r="K2400" t="inlineStr"/>
      <c r="L2400" t="inlineStr"/>
      <c r="M2400" t="inlineStr"/>
      <c r="N2400" t="inlineStr"/>
    </row>
    <row r="2401">
      <c r="A2401" t="inlineStr">
        <is>
          <t>nz-auckland</t>
        </is>
      </c>
      <c r="B2401" t="inlineStr">
        <is>
          <t>Auckland</t>
        </is>
      </c>
      <c r="C2401" t="inlineStr">
        <is>
          <t>New Zealand</t>
        </is>
      </c>
      <c r="D2401" t="inlineStr">
        <is>
          <t>Oceania</t>
        </is>
      </c>
      <c r="E2401" t="inlineStr">
        <is>
          <t>household_debt_burden_raw</t>
        </is>
      </c>
      <c r="F2401" t="inlineStr">
        <is>
          <t>Household debt burden raw</t>
        </is>
      </c>
      <c r="G2401" t="inlineStr">
        <is>
          <t>pressure</t>
        </is>
      </c>
      <c r="H2401" t="inlineStr">
        <is>
          <t>yes</t>
        </is>
      </c>
      <c r="I2401" t="inlineStr"/>
      <c r="J2401" t="inlineStr"/>
      <c r="K2401" t="inlineStr"/>
      <c r="L2401" t="inlineStr"/>
      <c r="M2401" t="inlineStr"/>
      <c r="N2401" t="inlineStr"/>
    </row>
    <row r="2402">
      <c r="A2402" t="inlineStr">
        <is>
          <t>nz-auckland</t>
        </is>
      </c>
      <c r="B2402" t="inlineStr">
        <is>
          <t>Auckland</t>
        </is>
      </c>
      <c r="C2402" t="inlineStr">
        <is>
          <t>New Zealand</t>
        </is>
      </c>
      <c r="D2402" t="inlineStr">
        <is>
          <t>Oceania</t>
        </is>
      </c>
      <c r="E2402" t="inlineStr">
        <is>
          <t>working_time_pressure_raw</t>
        </is>
      </c>
      <c r="F2402" t="inlineStr">
        <is>
          <t>Working time pressure raw</t>
        </is>
      </c>
      <c r="G2402" t="inlineStr">
        <is>
          <t>pressure</t>
        </is>
      </c>
      <c r="H2402" t="inlineStr">
        <is>
          <t>yes</t>
        </is>
      </c>
      <c r="I2402" t="inlineStr"/>
      <c r="J2402" t="inlineStr"/>
      <c r="K2402" t="inlineStr"/>
      <c r="L2402" t="inlineStr"/>
      <c r="M2402" t="inlineStr"/>
      <c r="N2402" t="inlineStr"/>
    </row>
    <row r="2403">
      <c r="A2403" t="inlineStr">
        <is>
          <t>nz-auckland</t>
        </is>
      </c>
      <c r="B2403" t="inlineStr">
        <is>
          <t>Auckland</t>
        </is>
      </c>
      <c r="C2403" t="inlineStr">
        <is>
          <t>New Zealand</t>
        </is>
      </c>
      <c r="D2403" t="inlineStr">
        <is>
          <t>Oceania</t>
        </is>
      </c>
      <c r="E2403" t="inlineStr">
        <is>
          <t>suicide_mental_strain_raw</t>
        </is>
      </c>
      <c r="F2403" t="inlineStr">
        <is>
          <t>Suicide or mental strain raw</t>
        </is>
      </c>
      <c r="G2403" t="inlineStr">
        <is>
          <t>pressure</t>
        </is>
      </c>
      <c r="H2403" t="inlineStr">
        <is>
          <t>yes</t>
        </is>
      </c>
      <c r="I2403" t="inlineStr"/>
      <c r="J2403" t="inlineStr"/>
      <c r="K2403" t="inlineStr"/>
      <c r="L2403" t="inlineStr"/>
      <c r="M2403" t="inlineStr"/>
      <c r="N2403" t="inlineStr"/>
    </row>
    <row r="2404">
      <c r="A2404" t="inlineStr">
        <is>
          <t>nz-auckland</t>
        </is>
      </c>
      <c r="B2404" t="inlineStr">
        <is>
          <t>Auckland</t>
        </is>
      </c>
      <c r="C2404" t="inlineStr">
        <is>
          <t>New Zealand</t>
        </is>
      </c>
      <c r="D2404" t="inlineStr">
        <is>
          <t>Oceania</t>
        </is>
      </c>
      <c r="E2404" t="inlineStr">
        <is>
          <t>personal_safety_raw</t>
        </is>
      </c>
      <c r="F2404" t="inlineStr">
        <is>
          <t>Personal safety raw</t>
        </is>
      </c>
      <c r="G2404" t="inlineStr">
        <is>
          <t>viability</t>
        </is>
      </c>
      <c r="H2404" t="inlineStr">
        <is>
          <t>yes</t>
        </is>
      </c>
      <c r="I2404" t="inlineStr"/>
      <c r="J2404" t="inlineStr"/>
      <c r="K2404" t="inlineStr"/>
      <c r="L2404" t="inlineStr"/>
      <c r="M2404" t="inlineStr"/>
      <c r="N2404" t="inlineStr"/>
    </row>
    <row r="2405">
      <c r="A2405" t="inlineStr">
        <is>
          <t>nz-auckland</t>
        </is>
      </c>
      <c r="B2405" t="inlineStr">
        <is>
          <t>Auckland</t>
        </is>
      </c>
      <c r="C2405" t="inlineStr">
        <is>
          <t>New Zealand</t>
        </is>
      </c>
      <c r="D2405" t="inlineStr">
        <is>
          <t>Oceania</t>
        </is>
      </c>
      <c r="E2405" t="inlineStr">
        <is>
          <t>transit_access_commute_raw</t>
        </is>
      </c>
      <c r="F2405" t="inlineStr">
        <is>
          <t>Transit access and commute raw</t>
        </is>
      </c>
      <c r="G2405" t="inlineStr">
        <is>
          <t>viability</t>
        </is>
      </c>
      <c r="H2405" t="inlineStr">
        <is>
          <t>yes</t>
        </is>
      </c>
      <c r="I2405" t="inlineStr"/>
      <c r="J2405" t="inlineStr"/>
      <c r="K2405" t="inlineStr"/>
      <c r="L2405" t="inlineStr"/>
      <c r="M2405" t="inlineStr"/>
      <c r="N2405" t="inlineStr"/>
    </row>
    <row r="2406">
      <c r="A2406" t="inlineStr">
        <is>
          <t>nz-auckland</t>
        </is>
      </c>
      <c r="B2406" t="inlineStr">
        <is>
          <t>Auckland</t>
        </is>
      </c>
      <c r="C2406" t="inlineStr">
        <is>
          <t>New Zealand</t>
        </is>
      </c>
      <c r="D2406" t="inlineStr">
        <is>
          <t>Oceania</t>
        </is>
      </c>
      <c r="E2406" t="inlineStr">
        <is>
          <t>clean_air_raw</t>
        </is>
      </c>
      <c r="F2406" t="inlineStr">
        <is>
          <t>Clean air raw</t>
        </is>
      </c>
      <c r="G2406" t="inlineStr">
        <is>
          <t>viability</t>
        </is>
      </c>
      <c r="H2406" t="inlineStr">
        <is>
          <t>yes</t>
        </is>
      </c>
      <c r="I2406" t="inlineStr"/>
      <c r="J2406" t="inlineStr"/>
      <c r="K2406" t="inlineStr"/>
      <c r="L2406" t="inlineStr"/>
      <c r="M2406" t="inlineStr"/>
      <c r="N2406" t="inlineStr"/>
    </row>
    <row r="2407">
      <c r="A2407" t="inlineStr">
        <is>
          <t>nz-auckland</t>
        </is>
      </c>
      <c r="B2407" t="inlineStr">
        <is>
          <t>Auckland</t>
        </is>
      </c>
      <c r="C2407" t="inlineStr">
        <is>
          <t>New Zealand</t>
        </is>
      </c>
      <c r="D2407" t="inlineStr">
        <is>
          <t>Oceania</t>
        </is>
      </c>
      <c r="E2407" t="inlineStr">
        <is>
          <t>water_sanitation_utility_raw</t>
        </is>
      </c>
      <c r="F2407" t="inlineStr">
        <is>
          <t>Water, sanitation, and utility raw</t>
        </is>
      </c>
      <c r="G2407" t="inlineStr">
        <is>
          <t>viability</t>
        </is>
      </c>
      <c r="H2407" t="inlineStr">
        <is>
          <t>yes</t>
        </is>
      </c>
      <c r="I2407" t="inlineStr"/>
      <c r="J2407" t="inlineStr"/>
      <c r="K2407" t="inlineStr"/>
      <c r="L2407" t="inlineStr"/>
      <c r="M2407" t="inlineStr"/>
      <c r="N2407" t="inlineStr"/>
    </row>
    <row r="2408">
      <c r="A2408" t="inlineStr">
        <is>
          <t>nz-auckland</t>
        </is>
      </c>
      <c r="B2408" t="inlineStr">
        <is>
          <t>Auckland</t>
        </is>
      </c>
      <c r="C2408" t="inlineStr">
        <is>
          <t>New Zealand</t>
        </is>
      </c>
      <c r="D2408" t="inlineStr">
        <is>
          <t>Oceania</t>
        </is>
      </c>
      <c r="E2408" t="inlineStr">
        <is>
          <t>digital_infrastructure_raw</t>
        </is>
      </c>
      <c r="F2408" t="inlineStr">
        <is>
          <t>Digital infrastructure raw</t>
        </is>
      </c>
      <c r="G2408" t="inlineStr">
        <is>
          <t>viability</t>
        </is>
      </c>
      <c r="H2408" t="inlineStr">
        <is>
          <t>yes</t>
        </is>
      </c>
      <c r="I2408" t="inlineStr"/>
      <c r="J2408" t="inlineStr"/>
      <c r="K2408" t="inlineStr"/>
      <c r="L2408" t="inlineStr"/>
      <c r="M2408" t="inlineStr"/>
      <c r="N2408" t="inlineStr"/>
    </row>
    <row r="2409">
      <c r="A2409" t="inlineStr">
        <is>
          <t>nz-auckland</t>
        </is>
      </c>
      <c r="B2409" t="inlineStr">
        <is>
          <t>Auckland</t>
        </is>
      </c>
      <c r="C2409" t="inlineStr">
        <is>
          <t>New Zealand</t>
        </is>
      </c>
      <c r="D2409" t="inlineStr">
        <is>
          <t>Oceania</t>
        </is>
      </c>
      <c r="E2409" t="inlineStr">
        <is>
          <t>healthcare_quality_raw</t>
        </is>
      </c>
      <c r="F2409" t="inlineStr">
        <is>
          <t>Healthcare quality raw</t>
        </is>
      </c>
      <c r="G2409" t="inlineStr">
        <is>
          <t>capability</t>
        </is>
      </c>
      <c r="H2409" t="inlineStr">
        <is>
          <t>yes</t>
        </is>
      </c>
      <c r="I2409" t="inlineStr"/>
      <c r="J2409" t="inlineStr"/>
      <c r="K2409" t="inlineStr"/>
      <c r="L2409" t="inlineStr"/>
      <c r="M2409" t="inlineStr"/>
      <c r="N2409" t="inlineStr"/>
    </row>
    <row r="2410">
      <c r="A2410" t="inlineStr">
        <is>
          <t>nz-auckland</t>
        </is>
      </c>
      <c r="B2410" t="inlineStr">
        <is>
          <t>Auckland</t>
        </is>
      </c>
      <c r="C2410" t="inlineStr">
        <is>
          <t>New Zealand</t>
        </is>
      </c>
      <c r="D2410" t="inlineStr">
        <is>
          <t>Oceania</t>
        </is>
      </c>
      <c r="E2410" t="inlineStr">
        <is>
          <t>education_quality_raw</t>
        </is>
      </c>
      <c r="F2410" t="inlineStr">
        <is>
          <t>Education quality raw</t>
        </is>
      </c>
      <c r="G2410" t="inlineStr">
        <is>
          <t>capability</t>
        </is>
      </c>
      <c r="H2410" t="inlineStr">
        <is>
          <t>yes</t>
        </is>
      </c>
      <c r="I2410" t="inlineStr"/>
      <c r="J2410" t="inlineStr"/>
      <c r="K2410" t="inlineStr"/>
      <c r="L2410" t="inlineStr"/>
      <c r="M2410" t="inlineStr"/>
      <c r="N2410" t="inlineStr"/>
    </row>
    <row r="2411">
      <c r="A2411" t="inlineStr">
        <is>
          <t>nz-auckland</t>
        </is>
      </c>
      <c r="B2411" t="inlineStr">
        <is>
          <t>Auckland</t>
        </is>
      </c>
      <c r="C2411" t="inlineStr">
        <is>
          <t>New Zealand</t>
        </is>
      </c>
      <c r="D2411" t="inlineStr">
        <is>
          <t>Oceania</t>
        </is>
      </c>
      <c r="E2411" t="inlineStr">
        <is>
          <t>equal_opportunity_raw</t>
        </is>
      </c>
      <c r="F2411" t="inlineStr">
        <is>
          <t>Equal opportunity raw</t>
        </is>
      </c>
      <c r="G2411" t="inlineStr">
        <is>
          <t>capability</t>
        </is>
      </c>
      <c r="H2411" t="inlineStr">
        <is>
          <t>yes</t>
        </is>
      </c>
      <c r="I2411" t="inlineStr"/>
      <c r="J2411" t="inlineStr"/>
      <c r="K2411" t="inlineStr"/>
      <c r="L2411" t="inlineStr"/>
      <c r="M2411" t="inlineStr"/>
      <c r="N2411" t="inlineStr"/>
    </row>
    <row r="2412">
      <c r="A2412" t="inlineStr">
        <is>
          <t>nz-auckland</t>
        </is>
      </c>
      <c r="B2412" t="inlineStr">
        <is>
          <t>Auckland</t>
        </is>
      </c>
      <c r="C2412" t="inlineStr">
        <is>
          <t>New Zealand</t>
        </is>
      </c>
      <c r="D2412" t="inlineStr">
        <is>
          <t>Oceania</t>
        </is>
      </c>
      <c r="E2412" t="inlineStr">
        <is>
          <t>hospitality_belonging_raw</t>
        </is>
      </c>
      <c r="F2412" t="inlineStr">
        <is>
          <t>Hospitality and belonging raw</t>
        </is>
      </c>
      <c r="G2412" t="inlineStr">
        <is>
          <t>community</t>
        </is>
      </c>
      <c r="H2412" t="inlineStr">
        <is>
          <t>yes</t>
        </is>
      </c>
      <c r="I2412" t="inlineStr"/>
      <c r="J2412" t="inlineStr"/>
      <c r="K2412" t="inlineStr"/>
      <c r="L2412" t="inlineStr"/>
      <c r="M2412" t="inlineStr"/>
      <c r="N2412" t="inlineStr"/>
    </row>
    <row r="2413">
      <c r="A2413" t="inlineStr">
        <is>
          <t>nz-auckland</t>
        </is>
      </c>
      <c r="B2413" t="inlineStr">
        <is>
          <t>Auckland</t>
        </is>
      </c>
      <c r="C2413" t="inlineStr">
        <is>
          <t>New Zealand</t>
        </is>
      </c>
      <c r="D2413" t="inlineStr">
        <is>
          <t>Oceania</t>
        </is>
      </c>
      <c r="E2413" t="inlineStr">
        <is>
          <t>tolerance_pluralism_raw</t>
        </is>
      </c>
      <c r="F2413" t="inlineStr">
        <is>
          <t>Tolerance and pluralism raw</t>
        </is>
      </c>
      <c r="G2413" t="inlineStr">
        <is>
          <t>community</t>
        </is>
      </c>
      <c r="H2413" t="inlineStr">
        <is>
          <t>yes</t>
        </is>
      </c>
      <c r="I2413" t="inlineStr"/>
      <c r="J2413" t="inlineStr"/>
      <c r="K2413" t="inlineStr"/>
      <c r="L2413" t="inlineStr"/>
      <c r="M2413" t="inlineStr"/>
      <c r="N2413" t="inlineStr"/>
    </row>
    <row r="2414">
      <c r="A2414" t="inlineStr">
        <is>
          <t>nz-auckland</t>
        </is>
      </c>
      <c r="B2414" t="inlineStr">
        <is>
          <t>Auckland</t>
        </is>
      </c>
      <c r="C2414" t="inlineStr">
        <is>
          <t>New Zealand</t>
        </is>
      </c>
      <c r="D2414" t="inlineStr">
        <is>
          <t>Oceania</t>
        </is>
      </c>
      <c r="E2414" t="inlineStr">
        <is>
          <t>cultural_public_life_raw</t>
        </is>
      </c>
      <c r="F2414" t="inlineStr">
        <is>
          <t>Cultural public life raw</t>
        </is>
      </c>
      <c r="G2414" t="inlineStr">
        <is>
          <t>community</t>
        </is>
      </c>
      <c r="H2414" t="inlineStr">
        <is>
          <t>yes</t>
        </is>
      </c>
      <c r="I2414" t="inlineStr"/>
      <c r="J2414" t="inlineStr"/>
      <c r="K2414" t="inlineStr"/>
      <c r="L2414" t="inlineStr"/>
      <c r="M2414" t="inlineStr"/>
      <c r="N2414" t="inlineStr"/>
    </row>
    <row r="2415">
      <c r="A2415" t="inlineStr">
        <is>
          <t>nz-auckland</t>
        </is>
      </c>
      <c r="B2415" t="inlineStr">
        <is>
          <t>Auckland</t>
        </is>
      </c>
      <c r="C2415" t="inlineStr">
        <is>
          <t>New Zealand</t>
        </is>
      </c>
      <c r="D2415" t="inlineStr">
        <is>
          <t>Oceania</t>
        </is>
      </c>
      <c r="E2415" t="inlineStr">
        <is>
          <t>entrepreneurial_dynamism_raw</t>
        </is>
      </c>
      <c r="F2415" t="inlineStr">
        <is>
          <t>Entrepreneurial dynamism raw</t>
        </is>
      </c>
      <c r="G2415" t="inlineStr">
        <is>
          <t>creative</t>
        </is>
      </c>
      <c r="H2415" t="inlineStr">
        <is>
          <t>yes</t>
        </is>
      </c>
      <c r="I2415" t="inlineStr"/>
      <c r="J2415" t="inlineStr"/>
      <c r="K2415" t="inlineStr"/>
      <c r="L2415" t="inlineStr"/>
      <c r="M2415" t="inlineStr"/>
      <c r="N2415" t="inlineStr"/>
    </row>
    <row r="2416">
      <c r="A2416" t="inlineStr">
        <is>
          <t>nz-auckland</t>
        </is>
      </c>
      <c r="B2416" t="inlineStr">
        <is>
          <t>Auckland</t>
        </is>
      </c>
      <c r="C2416" t="inlineStr">
        <is>
          <t>New Zealand</t>
        </is>
      </c>
      <c r="D2416" t="inlineStr">
        <is>
          <t>Oceania</t>
        </is>
      </c>
      <c r="E2416" t="inlineStr">
        <is>
          <t>innovation_research_intensity_raw</t>
        </is>
      </c>
      <c r="F2416" t="inlineStr">
        <is>
          <t>Innovation and research raw</t>
        </is>
      </c>
      <c r="G2416" t="inlineStr">
        <is>
          <t>creative</t>
        </is>
      </c>
      <c r="H2416" t="inlineStr">
        <is>
          <t>yes</t>
        </is>
      </c>
      <c r="I2416" t="inlineStr"/>
      <c r="J2416" t="inlineStr"/>
      <c r="K2416" t="inlineStr"/>
      <c r="L2416" t="inlineStr"/>
      <c r="M2416" t="inlineStr"/>
      <c r="N2416" t="inlineStr"/>
    </row>
    <row r="2417">
      <c r="A2417" t="inlineStr">
        <is>
          <t>nz-auckland</t>
        </is>
      </c>
      <c r="B2417" t="inlineStr">
        <is>
          <t>Auckland</t>
        </is>
      </c>
      <c r="C2417" t="inlineStr">
        <is>
          <t>New Zealand</t>
        </is>
      </c>
      <c r="D2417" t="inlineStr">
        <is>
          <t>Oceania</t>
        </is>
      </c>
      <c r="E2417" t="inlineStr">
        <is>
          <t>investment_signal_raw</t>
        </is>
      </c>
      <c r="F2417" t="inlineStr">
        <is>
          <t>Investment signal raw</t>
        </is>
      </c>
      <c r="G2417" t="inlineStr">
        <is>
          <t>creative</t>
        </is>
      </c>
      <c r="H2417" t="inlineStr">
        <is>
          <t>yes</t>
        </is>
      </c>
      <c r="I2417" t="inlineStr"/>
      <c r="J2417" t="inlineStr"/>
      <c r="K2417" t="inlineStr"/>
      <c r="L2417" t="inlineStr"/>
      <c r="M2417" t="inlineStr"/>
      <c r="N2417" t="inlineStr"/>
    </row>
    <row r="2418">
      <c r="A2418" t="inlineStr">
        <is>
          <t>nz-auckland</t>
        </is>
      </c>
      <c r="B2418" t="inlineStr">
        <is>
          <t>Auckland</t>
        </is>
      </c>
      <c r="C2418" t="inlineStr">
        <is>
          <t>New Zealand</t>
        </is>
      </c>
      <c r="D2418" t="inlineStr">
        <is>
          <t>Oceania</t>
        </is>
      </c>
      <c r="E2418" t="inlineStr">
        <is>
          <t>administrative_investment_friction_raw</t>
        </is>
      </c>
      <c r="F2418" t="inlineStr">
        <is>
          <t>Administrative investment friction raw</t>
        </is>
      </c>
      <c r="G2418" t="inlineStr">
        <is>
          <t>creative</t>
        </is>
      </c>
      <c r="H2418" t="inlineStr">
        <is>
          <t>yes</t>
        </is>
      </c>
      <c r="I2418" t="inlineStr"/>
      <c r="J2418" t="inlineStr"/>
      <c r="K2418" t="inlineStr"/>
      <c r="L2418" t="inlineStr"/>
      <c r="M2418" t="inlineStr"/>
      <c r="N2418" t="inlineStr"/>
    </row>
    <row r="2419">
      <c r="A2419" t="inlineStr">
        <is>
          <t>nz-auckland</t>
        </is>
      </c>
      <c r="B2419" t="inlineStr">
        <is>
          <t>Auckland</t>
        </is>
      </c>
      <c r="C2419" t="inlineStr">
        <is>
          <t>New Zealand</t>
        </is>
      </c>
      <c r="D2419" t="inlineStr">
        <is>
          <t>Oceania</t>
        </is>
      </c>
      <c r="E2419" t="inlineStr">
        <is>
          <t>visitor_flow_context_raw</t>
        </is>
      </c>
      <c r="F2419" t="inlineStr">
        <is>
          <t>Visitor flow context raw</t>
        </is>
      </c>
      <c r="G2419" t="inlineStr">
        <is>
          <t>creative</t>
        </is>
      </c>
      <c r="H2419" t="inlineStr">
        <is>
          <t>no</t>
        </is>
      </c>
      <c r="I2419" t="inlineStr"/>
      <c r="J2419" t="inlineStr"/>
      <c r="K2419" t="inlineStr"/>
      <c r="L2419" t="inlineStr"/>
      <c r="M2419" t="inlineStr"/>
      <c r="N2419" t="inlineStr"/>
    </row>
    <row r="2420">
      <c r="A2420" t="inlineStr">
        <is>
          <t>au-sydney</t>
        </is>
      </c>
      <c r="B2420" t="inlineStr">
        <is>
          <t>Sydney</t>
        </is>
      </c>
      <c r="C2420" t="inlineStr">
        <is>
          <t>Australia</t>
        </is>
      </c>
      <c r="D2420" t="inlineStr">
        <is>
          <t>Oceania</t>
        </is>
      </c>
      <c r="E2420" t="inlineStr">
        <is>
          <t>gross_income</t>
        </is>
      </c>
      <c r="F2420" t="inlineStr">
        <is>
          <t>Gross income</t>
        </is>
      </c>
      <c r="G2420" t="inlineStr">
        <is>
          <t>pressure</t>
        </is>
      </c>
      <c r="H2420" t="inlineStr">
        <is>
          <t>yes</t>
        </is>
      </c>
      <c r="I2420" t="inlineStr"/>
      <c r="J2420" t="inlineStr"/>
      <c r="K2420" t="inlineStr"/>
      <c r="L2420" t="inlineStr"/>
      <c r="M2420" t="inlineStr"/>
      <c r="N2420" t="inlineStr"/>
    </row>
    <row r="2421">
      <c r="A2421" t="inlineStr">
        <is>
          <t>au-sydney</t>
        </is>
      </c>
      <c r="B2421" t="inlineStr">
        <is>
          <t>Sydney</t>
        </is>
      </c>
      <c r="C2421" t="inlineStr">
        <is>
          <t>Australia</t>
        </is>
      </c>
      <c r="D2421" t="inlineStr">
        <is>
          <t>Oceania</t>
        </is>
      </c>
      <c r="E2421" t="inlineStr">
        <is>
          <t>rent</t>
        </is>
      </c>
      <c r="F2421" t="inlineStr">
        <is>
          <t>Rent</t>
        </is>
      </c>
      <c r="G2421" t="inlineStr">
        <is>
          <t>pressure</t>
        </is>
      </c>
      <c r="H2421" t="inlineStr">
        <is>
          <t>yes</t>
        </is>
      </c>
      <c r="I2421" t="inlineStr"/>
      <c r="J2421" t="inlineStr"/>
      <c r="K2421" t="inlineStr"/>
      <c r="L2421" t="inlineStr"/>
      <c r="M2421" t="inlineStr"/>
      <c r="N2421" t="inlineStr"/>
    </row>
    <row r="2422">
      <c r="A2422" t="inlineStr">
        <is>
          <t>au-sydney</t>
        </is>
      </c>
      <c r="B2422" t="inlineStr">
        <is>
          <t>Sydney</t>
        </is>
      </c>
      <c r="C2422" t="inlineStr">
        <is>
          <t>Australia</t>
        </is>
      </c>
      <c r="D2422" t="inlineStr">
        <is>
          <t>Oceania</t>
        </is>
      </c>
      <c r="E2422" t="inlineStr">
        <is>
          <t>utilities</t>
        </is>
      </c>
      <c r="F2422" t="inlineStr">
        <is>
          <t>Utilities</t>
        </is>
      </c>
      <c r="G2422" t="inlineStr">
        <is>
          <t>pressure</t>
        </is>
      </c>
      <c r="H2422" t="inlineStr">
        <is>
          <t>yes</t>
        </is>
      </c>
      <c r="I2422" t="inlineStr"/>
      <c r="J2422" t="inlineStr"/>
      <c r="K2422" t="inlineStr"/>
      <c r="L2422" t="inlineStr"/>
      <c r="M2422" t="inlineStr"/>
      <c r="N2422" t="inlineStr"/>
    </row>
    <row r="2423">
      <c r="A2423" t="inlineStr">
        <is>
          <t>au-sydney</t>
        </is>
      </c>
      <c r="B2423" t="inlineStr">
        <is>
          <t>Sydney</t>
        </is>
      </c>
      <c r="C2423" t="inlineStr">
        <is>
          <t>Australia</t>
        </is>
      </c>
      <c r="D2423" t="inlineStr">
        <is>
          <t>Oceania</t>
        </is>
      </c>
      <c r="E2423" t="inlineStr">
        <is>
          <t>transit_cost</t>
        </is>
      </c>
      <c r="F2423" t="inlineStr">
        <is>
          <t>Transit cost</t>
        </is>
      </c>
      <c r="G2423" t="inlineStr">
        <is>
          <t>pressure</t>
        </is>
      </c>
      <c r="H2423" t="inlineStr">
        <is>
          <t>yes</t>
        </is>
      </c>
      <c r="I2423" t="inlineStr"/>
      <c r="J2423" t="inlineStr"/>
      <c r="K2423" t="inlineStr"/>
      <c r="L2423" t="inlineStr"/>
      <c r="M2423" t="inlineStr"/>
      <c r="N2423" t="inlineStr"/>
    </row>
    <row r="2424">
      <c r="A2424" t="inlineStr">
        <is>
          <t>au-sydney</t>
        </is>
      </c>
      <c r="B2424" t="inlineStr">
        <is>
          <t>Sydney</t>
        </is>
      </c>
      <c r="C2424" t="inlineStr">
        <is>
          <t>Australia</t>
        </is>
      </c>
      <c r="D2424" t="inlineStr">
        <is>
          <t>Oceania</t>
        </is>
      </c>
      <c r="E2424" t="inlineStr">
        <is>
          <t>internet_cost</t>
        </is>
      </c>
      <c r="F2424" t="inlineStr">
        <is>
          <t>Internet cost</t>
        </is>
      </c>
      <c r="G2424" t="inlineStr">
        <is>
          <t>pressure</t>
        </is>
      </c>
      <c r="H2424" t="inlineStr">
        <is>
          <t>yes</t>
        </is>
      </c>
      <c r="I2424" t="inlineStr"/>
      <c r="J2424" t="inlineStr"/>
      <c r="K2424" t="inlineStr"/>
      <c r="L2424" t="inlineStr"/>
      <c r="M2424" t="inlineStr"/>
      <c r="N2424" t="inlineStr"/>
    </row>
    <row r="2425">
      <c r="A2425" t="inlineStr">
        <is>
          <t>au-sydney</t>
        </is>
      </c>
      <c r="B2425" t="inlineStr">
        <is>
          <t>Sydney</t>
        </is>
      </c>
      <c r="C2425" t="inlineStr">
        <is>
          <t>Australia</t>
        </is>
      </c>
      <c r="D2425" t="inlineStr">
        <is>
          <t>Oceania</t>
        </is>
      </c>
      <c r="E2425" t="inlineStr">
        <is>
          <t>food_cost</t>
        </is>
      </c>
      <c r="F2425" t="inlineStr">
        <is>
          <t>Food cost</t>
        </is>
      </c>
      <c r="G2425" t="inlineStr">
        <is>
          <t>pressure</t>
        </is>
      </c>
      <c r="H2425" t="inlineStr">
        <is>
          <t>yes</t>
        </is>
      </c>
      <c r="I2425" t="inlineStr"/>
      <c r="J2425" t="inlineStr"/>
      <c r="K2425" t="inlineStr"/>
      <c r="L2425" t="inlineStr"/>
      <c r="M2425" t="inlineStr"/>
      <c r="N2425" t="inlineStr"/>
    </row>
    <row r="2426">
      <c r="A2426" t="inlineStr">
        <is>
          <t>au-sydney</t>
        </is>
      </c>
      <c r="B2426" t="inlineStr">
        <is>
          <t>Sydney</t>
        </is>
      </c>
      <c r="C2426" t="inlineStr">
        <is>
          <t>Australia</t>
        </is>
      </c>
      <c r="D2426" t="inlineStr">
        <is>
          <t>Oceania</t>
        </is>
      </c>
      <c r="E2426" t="inlineStr">
        <is>
          <t>housing_burden_raw</t>
        </is>
      </c>
      <c r="F2426" t="inlineStr">
        <is>
          <t>Housing burden raw</t>
        </is>
      </c>
      <c r="G2426" t="inlineStr">
        <is>
          <t>pressure</t>
        </is>
      </c>
      <c r="H2426" t="inlineStr">
        <is>
          <t>yes</t>
        </is>
      </c>
      <c r="I2426" t="inlineStr"/>
      <c r="J2426" t="inlineStr"/>
      <c r="K2426" t="inlineStr"/>
      <c r="L2426" t="inlineStr"/>
      <c r="M2426" t="inlineStr"/>
      <c r="N2426" t="inlineStr"/>
    </row>
    <row r="2427">
      <c r="A2427" t="inlineStr">
        <is>
          <t>au-sydney</t>
        </is>
      </c>
      <c r="B2427" t="inlineStr">
        <is>
          <t>Sydney</t>
        </is>
      </c>
      <c r="C2427" t="inlineStr">
        <is>
          <t>Australia</t>
        </is>
      </c>
      <c r="D2427" t="inlineStr">
        <is>
          <t>Oceania</t>
        </is>
      </c>
      <c r="E2427" t="inlineStr">
        <is>
          <t>household_debt_burden_raw</t>
        </is>
      </c>
      <c r="F2427" t="inlineStr">
        <is>
          <t>Household debt burden raw</t>
        </is>
      </c>
      <c r="G2427" t="inlineStr">
        <is>
          <t>pressure</t>
        </is>
      </c>
      <c r="H2427" t="inlineStr">
        <is>
          <t>yes</t>
        </is>
      </c>
      <c r="I2427" t="inlineStr"/>
      <c r="J2427" t="inlineStr"/>
      <c r="K2427" t="inlineStr"/>
      <c r="L2427" t="inlineStr"/>
      <c r="M2427" t="inlineStr"/>
      <c r="N2427" t="inlineStr"/>
    </row>
    <row r="2428">
      <c r="A2428" t="inlineStr">
        <is>
          <t>au-sydney</t>
        </is>
      </c>
      <c r="B2428" t="inlineStr">
        <is>
          <t>Sydney</t>
        </is>
      </c>
      <c r="C2428" t="inlineStr">
        <is>
          <t>Australia</t>
        </is>
      </c>
      <c r="D2428" t="inlineStr">
        <is>
          <t>Oceania</t>
        </is>
      </c>
      <c r="E2428" t="inlineStr">
        <is>
          <t>working_time_pressure_raw</t>
        </is>
      </c>
      <c r="F2428" t="inlineStr">
        <is>
          <t>Working time pressure raw</t>
        </is>
      </c>
      <c r="G2428" t="inlineStr">
        <is>
          <t>pressure</t>
        </is>
      </c>
      <c r="H2428" t="inlineStr">
        <is>
          <t>yes</t>
        </is>
      </c>
      <c r="I2428" t="inlineStr"/>
      <c r="J2428" t="inlineStr"/>
      <c r="K2428" t="inlineStr"/>
      <c r="L2428" t="inlineStr"/>
      <c r="M2428" t="inlineStr"/>
      <c r="N2428" t="inlineStr"/>
    </row>
    <row r="2429">
      <c r="A2429" t="inlineStr">
        <is>
          <t>au-sydney</t>
        </is>
      </c>
      <c r="B2429" t="inlineStr">
        <is>
          <t>Sydney</t>
        </is>
      </c>
      <c r="C2429" t="inlineStr">
        <is>
          <t>Australia</t>
        </is>
      </c>
      <c r="D2429" t="inlineStr">
        <is>
          <t>Oceania</t>
        </is>
      </c>
      <c r="E2429" t="inlineStr">
        <is>
          <t>suicide_mental_strain_raw</t>
        </is>
      </c>
      <c r="F2429" t="inlineStr">
        <is>
          <t>Suicide or mental strain raw</t>
        </is>
      </c>
      <c r="G2429" t="inlineStr">
        <is>
          <t>pressure</t>
        </is>
      </c>
      <c r="H2429" t="inlineStr">
        <is>
          <t>yes</t>
        </is>
      </c>
      <c r="I2429" t="inlineStr"/>
      <c r="J2429" t="inlineStr"/>
      <c r="K2429" t="inlineStr"/>
      <c r="L2429" t="inlineStr"/>
      <c r="M2429" t="inlineStr"/>
      <c r="N2429" t="inlineStr"/>
    </row>
    <row r="2430">
      <c r="A2430" t="inlineStr">
        <is>
          <t>au-sydney</t>
        </is>
      </c>
      <c r="B2430" t="inlineStr">
        <is>
          <t>Sydney</t>
        </is>
      </c>
      <c r="C2430" t="inlineStr">
        <is>
          <t>Australia</t>
        </is>
      </c>
      <c r="D2430" t="inlineStr">
        <is>
          <t>Oceania</t>
        </is>
      </c>
      <c r="E2430" t="inlineStr">
        <is>
          <t>personal_safety_raw</t>
        </is>
      </c>
      <c r="F2430" t="inlineStr">
        <is>
          <t>Personal safety raw</t>
        </is>
      </c>
      <c r="G2430" t="inlineStr">
        <is>
          <t>viability</t>
        </is>
      </c>
      <c r="H2430" t="inlineStr">
        <is>
          <t>yes</t>
        </is>
      </c>
      <c r="I2430" t="inlineStr"/>
      <c r="J2430" t="inlineStr"/>
      <c r="K2430" t="inlineStr"/>
      <c r="L2430" t="inlineStr"/>
      <c r="M2430" t="inlineStr"/>
      <c r="N2430" t="inlineStr"/>
    </row>
    <row r="2431">
      <c r="A2431" t="inlineStr">
        <is>
          <t>au-sydney</t>
        </is>
      </c>
      <c r="B2431" t="inlineStr">
        <is>
          <t>Sydney</t>
        </is>
      </c>
      <c r="C2431" t="inlineStr">
        <is>
          <t>Australia</t>
        </is>
      </c>
      <c r="D2431" t="inlineStr">
        <is>
          <t>Oceania</t>
        </is>
      </c>
      <c r="E2431" t="inlineStr">
        <is>
          <t>transit_access_commute_raw</t>
        </is>
      </c>
      <c r="F2431" t="inlineStr">
        <is>
          <t>Transit access and commute raw</t>
        </is>
      </c>
      <c r="G2431" t="inlineStr">
        <is>
          <t>viability</t>
        </is>
      </c>
      <c r="H2431" t="inlineStr">
        <is>
          <t>yes</t>
        </is>
      </c>
      <c r="I2431" t="inlineStr"/>
      <c r="J2431" t="inlineStr"/>
      <c r="K2431" t="inlineStr"/>
      <c r="L2431" t="inlineStr"/>
      <c r="M2431" t="inlineStr"/>
      <c r="N2431" t="inlineStr"/>
    </row>
    <row r="2432">
      <c r="A2432" t="inlineStr">
        <is>
          <t>au-sydney</t>
        </is>
      </c>
      <c r="B2432" t="inlineStr">
        <is>
          <t>Sydney</t>
        </is>
      </c>
      <c r="C2432" t="inlineStr">
        <is>
          <t>Australia</t>
        </is>
      </c>
      <c r="D2432" t="inlineStr">
        <is>
          <t>Oceania</t>
        </is>
      </c>
      <c r="E2432" t="inlineStr">
        <is>
          <t>clean_air_raw</t>
        </is>
      </c>
      <c r="F2432" t="inlineStr">
        <is>
          <t>Clean air raw</t>
        </is>
      </c>
      <c r="G2432" t="inlineStr">
        <is>
          <t>viability</t>
        </is>
      </c>
      <c r="H2432" t="inlineStr">
        <is>
          <t>yes</t>
        </is>
      </c>
      <c r="I2432" t="inlineStr"/>
      <c r="J2432" t="inlineStr"/>
      <c r="K2432" t="inlineStr"/>
      <c r="L2432" t="inlineStr"/>
      <c r="M2432" t="inlineStr"/>
      <c r="N2432" t="inlineStr"/>
    </row>
    <row r="2433">
      <c r="A2433" t="inlineStr">
        <is>
          <t>au-sydney</t>
        </is>
      </c>
      <c r="B2433" t="inlineStr">
        <is>
          <t>Sydney</t>
        </is>
      </c>
      <c r="C2433" t="inlineStr">
        <is>
          <t>Australia</t>
        </is>
      </c>
      <c r="D2433" t="inlineStr">
        <is>
          <t>Oceania</t>
        </is>
      </c>
      <c r="E2433" t="inlineStr">
        <is>
          <t>water_sanitation_utility_raw</t>
        </is>
      </c>
      <c r="F2433" t="inlineStr">
        <is>
          <t>Water, sanitation, and utility raw</t>
        </is>
      </c>
      <c r="G2433" t="inlineStr">
        <is>
          <t>viability</t>
        </is>
      </c>
      <c r="H2433" t="inlineStr">
        <is>
          <t>yes</t>
        </is>
      </c>
      <c r="I2433" t="inlineStr"/>
      <c r="J2433" t="inlineStr"/>
      <c r="K2433" t="inlineStr"/>
      <c r="L2433" t="inlineStr"/>
      <c r="M2433" t="inlineStr"/>
      <c r="N2433" t="inlineStr"/>
    </row>
    <row r="2434">
      <c r="A2434" t="inlineStr">
        <is>
          <t>au-sydney</t>
        </is>
      </c>
      <c r="B2434" t="inlineStr">
        <is>
          <t>Sydney</t>
        </is>
      </c>
      <c r="C2434" t="inlineStr">
        <is>
          <t>Australia</t>
        </is>
      </c>
      <c r="D2434" t="inlineStr">
        <is>
          <t>Oceania</t>
        </is>
      </c>
      <c r="E2434" t="inlineStr">
        <is>
          <t>digital_infrastructure_raw</t>
        </is>
      </c>
      <c r="F2434" t="inlineStr">
        <is>
          <t>Digital infrastructure raw</t>
        </is>
      </c>
      <c r="G2434" t="inlineStr">
        <is>
          <t>viability</t>
        </is>
      </c>
      <c r="H2434" t="inlineStr">
        <is>
          <t>yes</t>
        </is>
      </c>
      <c r="I2434" t="inlineStr"/>
      <c r="J2434" t="inlineStr"/>
      <c r="K2434" t="inlineStr"/>
      <c r="L2434" t="inlineStr"/>
      <c r="M2434" t="inlineStr"/>
      <c r="N2434" t="inlineStr"/>
    </row>
    <row r="2435">
      <c r="A2435" t="inlineStr">
        <is>
          <t>au-sydney</t>
        </is>
      </c>
      <c r="B2435" t="inlineStr">
        <is>
          <t>Sydney</t>
        </is>
      </c>
      <c r="C2435" t="inlineStr">
        <is>
          <t>Australia</t>
        </is>
      </c>
      <c r="D2435" t="inlineStr">
        <is>
          <t>Oceania</t>
        </is>
      </c>
      <c r="E2435" t="inlineStr">
        <is>
          <t>healthcare_quality_raw</t>
        </is>
      </c>
      <c r="F2435" t="inlineStr">
        <is>
          <t>Healthcare quality raw</t>
        </is>
      </c>
      <c r="G2435" t="inlineStr">
        <is>
          <t>capability</t>
        </is>
      </c>
      <c r="H2435" t="inlineStr">
        <is>
          <t>yes</t>
        </is>
      </c>
      <c r="I2435" t="inlineStr"/>
      <c r="J2435" t="inlineStr"/>
      <c r="K2435" t="inlineStr"/>
      <c r="L2435" t="inlineStr"/>
      <c r="M2435" t="inlineStr"/>
      <c r="N2435" t="inlineStr"/>
    </row>
    <row r="2436">
      <c r="A2436" t="inlineStr">
        <is>
          <t>au-sydney</t>
        </is>
      </c>
      <c r="B2436" t="inlineStr">
        <is>
          <t>Sydney</t>
        </is>
      </c>
      <c r="C2436" t="inlineStr">
        <is>
          <t>Australia</t>
        </is>
      </c>
      <c r="D2436" t="inlineStr">
        <is>
          <t>Oceania</t>
        </is>
      </c>
      <c r="E2436" t="inlineStr">
        <is>
          <t>education_quality_raw</t>
        </is>
      </c>
      <c r="F2436" t="inlineStr">
        <is>
          <t>Education quality raw</t>
        </is>
      </c>
      <c r="G2436" t="inlineStr">
        <is>
          <t>capability</t>
        </is>
      </c>
      <c r="H2436" t="inlineStr">
        <is>
          <t>yes</t>
        </is>
      </c>
      <c r="I2436" t="inlineStr"/>
      <c r="J2436" t="inlineStr"/>
      <c r="K2436" t="inlineStr"/>
      <c r="L2436" t="inlineStr"/>
      <c r="M2436" t="inlineStr"/>
      <c r="N2436" t="inlineStr"/>
    </row>
    <row r="2437">
      <c r="A2437" t="inlineStr">
        <is>
          <t>au-sydney</t>
        </is>
      </c>
      <c r="B2437" t="inlineStr">
        <is>
          <t>Sydney</t>
        </is>
      </c>
      <c r="C2437" t="inlineStr">
        <is>
          <t>Australia</t>
        </is>
      </c>
      <c r="D2437" t="inlineStr">
        <is>
          <t>Oceania</t>
        </is>
      </c>
      <c r="E2437" t="inlineStr">
        <is>
          <t>equal_opportunity_raw</t>
        </is>
      </c>
      <c r="F2437" t="inlineStr">
        <is>
          <t>Equal opportunity raw</t>
        </is>
      </c>
      <c r="G2437" t="inlineStr">
        <is>
          <t>capability</t>
        </is>
      </c>
      <c r="H2437" t="inlineStr">
        <is>
          <t>yes</t>
        </is>
      </c>
      <c r="I2437" t="inlineStr"/>
      <c r="J2437" t="inlineStr"/>
      <c r="K2437" t="inlineStr"/>
      <c r="L2437" t="inlineStr"/>
      <c r="M2437" t="inlineStr"/>
      <c r="N2437" t="inlineStr"/>
    </row>
    <row r="2438">
      <c r="A2438" t="inlineStr">
        <is>
          <t>au-sydney</t>
        </is>
      </c>
      <c r="B2438" t="inlineStr">
        <is>
          <t>Sydney</t>
        </is>
      </c>
      <c r="C2438" t="inlineStr">
        <is>
          <t>Australia</t>
        </is>
      </c>
      <c r="D2438" t="inlineStr">
        <is>
          <t>Oceania</t>
        </is>
      </c>
      <c r="E2438" t="inlineStr">
        <is>
          <t>hospitality_belonging_raw</t>
        </is>
      </c>
      <c r="F2438" t="inlineStr">
        <is>
          <t>Hospitality and belonging raw</t>
        </is>
      </c>
      <c r="G2438" t="inlineStr">
        <is>
          <t>community</t>
        </is>
      </c>
      <c r="H2438" t="inlineStr">
        <is>
          <t>yes</t>
        </is>
      </c>
      <c r="I2438" t="inlineStr"/>
      <c r="J2438" t="inlineStr"/>
      <c r="K2438" t="inlineStr"/>
      <c r="L2438" t="inlineStr"/>
      <c r="M2438" t="inlineStr"/>
      <c r="N2438" t="inlineStr"/>
    </row>
    <row r="2439">
      <c r="A2439" t="inlineStr">
        <is>
          <t>au-sydney</t>
        </is>
      </c>
      <c r="B2439" t="inlineStr">
        <is>
          <t>Sydney</t>
        </is>
      </c>
      <c r="C2439" t="inlineStr">
        <is>
          <t>Australia</t>
        </is>
      </c>
      <c r="D2439" t="inlineStr">
        <is>
          <t>Oceania</t>
        </is>
      </c>
      <c r="E2439" t="inlineStr">
        <is>
          <t>tolerance_pluralism_raw</t>
        </is>
      </c>
      <c r="F2439" t="inlineStr">
        <is>
          <t>Tolerance and pluralism raw</t>
        </is>
      </c>
      <c r="G2439" t="inlineStr">
        <is>
          <t>community</t>
        </is>
      </c>
      <c r="H2439" t="inlineStr">
        <is>
          <t>yes</t>
        </is>
      </c>
      <c r="I2439" t="inlineStr"/>
      <c r="J2439" t="inlineStr"/>
      <c r="K2439" t="inlineStr"/>
      <c r="L2439" t="inlineStr"/>
      <c r="M2439" t="inlineStr"/>
      <c r="N2439" t="inlineStr"/>
    </row>
    <row r="2440">
      <c r="A2440" t="inlineStr">
        <is>
          <t>au-sydney</t>
        </is>
      </c>
      <c r="B2440" t="inlineStr">
        <is>
          <t>Sydney</t>
        </is>
      </c>
      <c r="C2440" t="inlineStr">
        <is>
          <t>Australia</t>
        </is>
      </c>
      <c r="D2440" t="inlineStr">
        <is>
          <t>Oceania</t>
        </is>
      </c>
      <c r="E2440" t="inlineStr">
        <is>
          <t>cultural_public_life_raw</t>
        </is>
      </c>
      <c r="F2440" t="inlineStr">
        <is>
          <t>Cultural public life raw</t>
        </is>
      </c>
      <c r="G2440" t="inlineStr">
        <is>
          <t>community</t>
        </is>
      </c>
      <c r="H2440" t="inlineStr">
        <is>
          <t>yes</t>
        </is>
      </c>
      <c r="I2440" t="inlineStr"/>
      <c r="J2440" t="inlineStr"/>
      <c r="K2440" t="inlineStr"/>
      <c r="L2440" t="inlineStr"/>
      <c r="M2440" t="inlineStr"/>
      <c r="N2440" t="inlineStr"/>
    </row>
    <row r="2441">
      <c r="A2441" t="inlineStr">
        <is>
          <t>au-sydney</t>
        </is>
      </c>
      <c r="B2441" t="inlineStr">
        <is>
          <t>Sydney</t>
        </is>
      </c>
      <c r="C2441" t="inlineStr">
        <is>
          <t>Australia</t>
        </is>
      </c>
      <c r="D2441" t="inlineStr">
        <is>
          <t>Oceania</t>
        </is>
      </c>
      <c r="E2441" t="inlineStr">
        <is>
          <t>entrepreneurial_dynamism_raw</t>
        </is>
      </c>
      <c r="F2441" t="inlineStr">
        <is>
          <t>Entrepreneurial dynamism raw</t>
        </is>
      </c>
      <c r="G2441" t="inlineStr">
        <is>
          <t>creative</t>
        </is>
      </c>
      <c r="H2441" t="inlineStr">
        <is>
          <t>yes</t>
        </is>
      </c>
      <c r="I2441" t="inlineStr"/>
      <c r="J2441" t="inlineStr"/>
      <c r="K2441" t="inlineStr"/>
      <c r="L2441" t="inlineStr"/>
      <c r="M2441" t="inlineStr"/>
      <c r="N2441" t="inlineStr"/>
    </row>
    <row r="2442">
      <c r="A2442" t="inlineStr">
        <is>
          <t>au-sydney</t>
        </is>
      </c>
      <c r="B2442" t="inlineStr">
        <is>
          <t>Sydney</t>
        </is>
      </c>
      <c r="C2442" t="inlineStr">
        <is>
          <t>Australia</t>
        </is>
      </c>
      <c r="D2442" t="inlineStr">
        <is>
          <t>Oceania</t>
        </is>
      </c>
      <c r="E2442" t="inlineStr">
        <is>
          <t>innovation_research_intensity_raw</t>
        </is>
      </c>
      <c r="F2442" t="inlineStr">
        <is>
          <t>Innovation and research raw</t>
        </is>
      </c>
      <c r="G2442" t="inlineStr">
        <is>
          <t>creative</t>
        </is>
      </c>
      <c r="H2442" t="inlineStr">
        <is>
          <t>yes</t>
        </is>
      </c>
      <c r="I2442" t="inlineStr"/>
      <c r="J2442" t="inlineStr"/>
      <c r="K2442" t="inlineStr"/>
      <c r="L2442" t="inlineStr"/>
      <c r="M2442" t="inlineStr"/>
      <c r="N2442" t="inlineStr"/>
    </row>
    <row r="2443">
      <c r="A2443" t="inlineStr">
        <is>
          <t>au-sydney</t>
        </is>
      </c>
      <c r="B2443" t="inlineStr">
        <is>
          <t>Sydney</t>
        </is>
      </c>
      <c r="C2443" t="inlineStr">
        <is>
          <t>Australia</t>
        </is>
      </c>
      <c r="D2443" t="inlineStr">
        <is>
          <t>Oceania</t>
        </is>
      </c>
      <c r="E2443" t="inlineStr">
        <is>
          <t>investment_signal_raw</t>
        </is>
      </c>
      <c r="F2443" t="inlineStr">
        <is>
          <t>Investment signal raw</t>
        </is>
      </c>
      <c r="G2443" t="inlineStr">
        <is>
          <t>creative</t>
        </is>
      </c>
      <c r="H2443" t="inlineStr">
        <is>
          <t>yes</t>
        </is>
      </c>
      <c r="I2443" t="inlineStr"/>
      <c r="J2443" t="inlineStr"/>
      <c r="K2443" t="inlineStr"/>
      <c r="L2443" t="inlineStr"/>
      <c r="M2443" t="inlineStr"/>
      <c r="N2443" t="inlineStr"/>
    </row>
    <row r="2444">
      <c r="A2444" t="inlineStr">
        <is>
          <t>au-sydney</t>
        </is>
      </c>
      <c r="B2444" t="inlineStr">
        <is>
          <t>Sydney</t>
        </is>
      </c>
      <c r="C2444" t="inlineStr">
        <is>
          <t>Australia</t>
        </is>
      </c>
      <c r="D2444" t="inlineStr">
        <is>
          <t>Oceania</t>
        </is>
      </c>
      <c r="E2444" t="inlineStr">
        <is>
          <t>administrative_investment_friction_raw</t>
        </is>
      </c>
      <c r="F2444" t="inlineStr">
        <is>
          <t>Administrative investment friction raw</t>
        </is>
      </c>
      <c r="G2444" t="inlineStr">
        <is>
          <t>creative</t>
        </is>
      </c>
      <c r="H2444" t="inlineStr">
        <is>
          <t>yes</t>
        </is>
      </c>
      <c r="I2444" t="inlineStr"/>
      <c r="J2444" t="inlineStr"/>
      <c r="K2444" t="inlineStr"/>
      <c r="L2444" t="inlineStr"/>
      <c r="M2444" t="inlineStr"/>
      <c r="N2444" t="inlineStr"/>
    </row>
    <row r="2445">
      <c r="A2445" t="inlineStr">
        <is>
          <t>au-sydney</t>
        </is>
      </c>
      <c r="B2445" t="inlineStr">
        <is>
          <t>Sydney</t>
        </is>
      </c>
      <c r="C2445" t="inlineStr">
        <is>
          <t>Australia</t>
        </is>
      </c>
      <c r="D2445" t="inlineStr">
        <is>
          <t>Oceania</t>
        </is>
      </c>
      <c r="E2445" t="inlineStr">
        <is>
          <t>visitor_flow_context_raw</t>
        </is>
      </c>
      <c r="F2445" t="inlineStr">
        <is>
          <t>Visitor flow context raw</t>
        </is>
      </c>
      <c r="G2445" t="inlineStr">
        <is>
          <t>creative</t>
        </is>
      </c>
      <c r="H2445" t="inlineStr">
        <is>
          <t>no</t>
        </is>
      </c>
      <c r="I2445" t="inlineStr"/>
      <c r="J2445" t="inlineStr"/>
      <c r="K2445" t="inlineStr"/>
      <c r="L2445" t="inlineStr"/>
      <c r="M2445" t="inlineStr"/>
      <c r="N2445" t="inlineStr"/>
    </row>
    <row r="2446">
      <c r="A2446" t="inlineStr">
        <is>
          <t>au-melbourne</t>
        </is>
      </c>
      <c r="B2446" t="inlineStr">
        <is>
          <t>Melbourne</t>
        </is>
      </c>
      <c r="C2446" t="inlineStr">
        <is>
          <t>Australia</t>
        </is>
      </c>
      <c r="D2446" t="inlineStr">
        <is>
          <t>Oceania</t>
        </is>
      </c>
      <c r="E2446" t="inlineStr">
        <is>
          <t>gross_income</t>
        </is>
      </c>
      <c r="F2446" t="inlineStr">
        <is>
          <t>Gross income</t>
        </is>
      </c>
      <c r="G2446" t="inlineStr">
        <is>
          <t>pressure</t>
        </is>
      </c>
      <c r="H2446" t="inlineStr">
        <is>
          <t>yes</t>
        </is>
      </c>
      <c r="I2446" t="inlineStr"/>
      <c r="J2446" t="inlineStr"/>
      <c r="K2446" t="inlineStr"/>
      <c r="L2446" t="inlineStr"/>
      <c r="M2446" t="inlineStr"/>
      <c r="N2446" t="inlineStr"/>
    </row>
    <row r="2447">
      <c r="A2447" t="inlineStr">
        <is>
          <t>au-melbourne</t>
        </is>
      </c>
      <c r="B2447" t="inlineStr">
        <is>
          <t>Melbourne</t>
        </is>
      </c>
      <c r="C2447" t="inlineStr">
        <is>
          <t>Australia</t>
        </is>
      </c>
      <c r="D2447" t="inlineStr">
        <is>
          <t>Oceania</t>
        </is>
      </c>
      <c r="E2447" t="inlineStr">
        <is>
          <t>rent</t>
        </is>
      </c>
      <c r="F2447" t="inlineStr">
        <is>
          <t>Rent</t>
        </is>
      </c>
      <c r="G2447" t="inlineStr">
        <is>
          <t>pressure</t>
        </is>
      </c>
      <c r="H2447" t="inlineStr">
        <is>
          <t>yes</t>
        </is>
      </c>
      <c r="I2447" t="inlineStr"/>
      <c r="J2447" t="inlineStr"/>
      <c r="K2447" t="inlineStr"/>
      <c r="L2447" t="inlineStr"/>
      <c r="M2447" t="inlineStr"/>
      <c r="N2447" t="inlineStr"/>
    </row>
    <row r="2448">
      <c r="A2448" t="inlineStr">
        <is>
          <t>au-melbourne</t>
        </is>
      </c>
      <c r="B2448" t="inlineStr">
        <is>
          <t>Melbourne</t>
        </is>
      </c>
      <c r="C2448" t="inlineStr">
        <is>
          <t>Australia</t>
        </is>
      </c>
      <c r="D2448" t="inlineStr">
        <is>
          <t>Oceania</t>
        </is>
      </c>
      <c r="E2448" t="inlineStr">
        <is>
          <t>utilities</t>
        </is>
      </c>
      <c r="F2448" t="inlineStr">
        <is>
          <t>Utilities</t>
        </is>
      </c>
      <c r="G2448" t="inlineStr">
        <is>
          <t>pressure</t>
        </is>
      </c>
      <c r="H2448" t="inlineStr">
        <is>
          <t>yes</t>
        </is>
      </c>
      <c r="I2448" t="inlineStr"/>
      <c r="J2448" t="inlineStr"/>
      <c r="K2448" t="inlineStr"/>
      <c r="L2448" t="inlineStr"/>
      <c r="M2448" t="inlineStr"/>
      <c r="N2448" t="inlineStr"/>
    </row>
    <row r="2449">
      <c r="A2449" t="inlineStr">
        <is>
          <t>au-melbourne</t>
        </is>
      </c>
      <c r="B2449" t="inlineStr">
        <is>
          <t>Melbourne</t>
        </is>
      </c>
      <c r="C2449" t="inlineStr">
        <is>
          <t>Australia</t>
        </is>
      </c>
      <c r="D2449" t="inlineStr">
        <is>
          <t>Oceania</t>
        </is>
      </c>
      <c r="E2449" t="inlineStr">
        <is>
          <t>transit_cost</t>
        </is>
      </c>
      <c r="F2449" t="inlineStr">
        <is>
          <t>Transit cost</t>
        </is>
      </c>
      <c r="G2449" t="inlineStr">
        <is>
          <t>pressure</t>
        </is>
      </c>
      <c r="H2449" t="inlineStr">
        <is>
          <t>yes</t>
        </is>
      </c>
      <c r="I2449" t="inlineStr"/>
      <c r="J2449" t="inlineStr"/>
      <c r="K2449" t="inlineStr"/>
      <c r="L2449" t="inlineStr"/>
      <c r="M2449" t="inlineStr"/>
      <c r="N2449" t="inlineStr"/>
    </row>
    <row r="2450">
      <c r="A2450" t="inlineStr">
        <is>
          <t>au-melbourne</t>
        </is>
      </c>
      <c r="B2450" t="inlineStr">
        <is>
          <t>Melbourne</t>
        </is>
      </c>
      <c r="C2450" t="inlineStr">
        <is>
          <t>Australia</t>
        </is>
      </c>
      <c r="D2450" t="inlineStr">
        <is>
          <t>Oceania</t>
        </is>
      </c>
      <c r="E2450" t="inlineStr">
        <is>
          <t>internet_cost</t>
        </is>
      </c>
      <c r="F2450" t="inlineStr">
        <is>
          <t>Internet cost</t>
        </is>
      </c>
      <c r="G2450" t="inlineStr">
        <is>
          <t>pressure</t>
        </is>
      </c>
      <c r="H2450" t="inlineStr">
        <is>
          <t>yes</t>
        </is>
      </c>
      <c r="I2450" t="inlineStr"/>
      <c r="J2450" t="inlineStr"/>
      <c r="K2450" t="inlineStr"/>
      <c r="L2450" t="inlineStr"/>
      <c r="M2450" t="inlineStr"/>
      <c r="N2450" t="inlineStr"/>
    </row>
    <row r="2451">
      <c r="A2451" t="inlineStr">
        <is>
          <t>au-melbourne</t>
        </is>
      </c>
      <c r="B2451" t="inlineStr">
        <is>
          <t>Melbourne</t>
        </is>
      </c>
      <c r="C2451" t="inlineStr">
        <is>
          <t>Australia</t>
        </is>
      </c>
      <c r="D2451" t="inlineStr">
        <is>
          <t>Oceania</t>
        </is>
      </c>
      <c r="E2451" t="inlineStr">
        <is>
          <t>food_cost</t>
        </is>
      </c>
      <c r="F2451" t="inlineStr">
        <is>
          <t>Food cost</t>
        </is>
      </c>
      <c r="G2451" t="inlineStr">
        <is>
          <t>pressure</t>
        </is>
      </c>
      <c r="H2451" t="inlineStr">
        <is>
          <t>yes</t>
        </is>
      </c>
      <c r="I2451" t="inlineStr"/>
      <c r="J2451" t="inlineStr"/>
      <c r="K2451" t="inlineStr"/>
      <c r="L2451" t="inlineStr"/>
      <c r="M2451" t="inlineStr"/>
      <c r="N2451" t="inlineStr"/>
    </row>
    <row r="2452">
      <c r="A2452" t="inlineStr">
        <is>
          <t>au-melbourne</t>
        </is>
      </c>
      <c r="B2452" t="inlineStr">
        <is>
          <t>Melbourne</t>
        </is>
      </c>
      <c r="C2452" t="inlineStr">
        <is>
          <t>Australia</t>
        </is>
      </c>
      <c r="D2452" t="inlineStr">
        <is>
          <t>Oceania</t>
        </is>
      </c>
      <c r="E2452" t="inlineStr">
        <is>
          <t>housing_burden_raw</t>
        </is>
      </c>
      <c r="F2452" t="inlineStr">
        <is>
          <t>Housing burden raw</t>
        </is>
      </c>
      <c r="G2452" t="inlineStr">
        <is>
          <t>pressure</t>
        </is>
      </c>
      <c r="H2452" t="inlineStr">
        <is>
          <t>yes</t>
        </is>
      </c>
      <c r="I2452" t="inlineStr"/>
      <c r="J2452" t="inlineStr"/>
      <c r="K2452" t="inlineStr"/>
      <c r="L2452" t="inlineStr"/>
      <c r="M2452" t="inlineStr"/>
      <c r="N2452" t="inlineStr"/>
    </row>
    <row r="2453">
      <c r="A2453" t="inlineStr">
        <is>
          <t>au-melbourne</t>
        </is>
      </c>
      <c r="B2453" t="inlineStr">
        <is>
          <t>Melbourne</t>
        </is>
      </c>
      <c r="C2453" t="inlineStr">
        <is>
          <t>Australia</t>
        </is>
      </c>
      <c r="D2453" t="inlineStr">
        <is>
          <t>Oceania</t>
        </is>
      </c>
      <c r="E2453" t="inlineStr">
        <is>
          <t>household_debt_burden_raw</t>
        </is>
      </c>
      <c r="F2453" t="inlineStr">
        <is>
          <t>Household debt burden raw</t>
        </is>
      </c>
      <c r="G2453" t="inlineStr">
        <is>
          <t>pressure</t>
        </is>
      </c>
      <c r="H2453" t="inlineStr">
        <is>
          <t>yes</t>
        </is>
      </c>
      <c r="I2453" t="inlineStr"/>
      <c r="J2453" t="inlineStr"/>
      <c r="K2453" t="inlineStr"/>
      <c r="L2453" t="inlineStr"/>
      <c r="M2453" t="inlineStr"/>
      <c r="N2453" t="inlineStr"/>
    </row>
    <row r="2454">
      <c r="A2454" t="inlineStr">
        <is>
          <t>au-melbourne</t>
        </is>
      </c>
      <c r="B2454" t="inlineStr">
        <is>
          <t>Melbourne</t>
        </is>
      </c>
      <c r="C2454" t="inlineStr">
        <is>
          <t>Australia</t>
        </is>
      </c>
      <c r="D2454" t="inlineStr">
        <is>
          <t>Oceania</t>
        </is>
      </c>
      <c r="E2454" t="inlineStr">
        <is>
          <t>working_time_pressure_raw</t>
        </is>
      </c>
      <c r="F2454" t="inlineStr">
        <is>
          <t>Working time pressure raw</t>
        </is>
      </c>
      <c r="G2454" t="inlineStr">
        <is>
          <t>pressure</t>
        </is>
      </c>
      <c r="H2454" t="inlineStr">
        <is>
          <t>yes</t>
        </is>
      </c>
      <c r="I2454" t="inlineStr"/>
      <c r="J2454" t="inlineStr"/>
      <c r="K2454" t="inlineStr"/>
      <c r="L2454" t="inlineStr"/>
      <c r="M2454" t="inlineStr"/>
      <c r="N2454" t="inlineStr"/>
    </row>
    <row r="2455">
      <c r="A2455" t="inlineStr">
        <is>
          <t>au-melbourne</t>
        </is>
      </c>
      <c r="B2455" t="inlineStr">
        <is>
          <t>Melbourne</t>
        </is>
      </c>
      <c r="C2455" t="inlineStr">
        <is>
          <t>Australia</t>
        </is>
      </c>
      <c r="D2455" t="inlineStr">
        <is>
          <t>Oceania</t>
        </is>
      </c>
      <c r="E2455" t="inlineStr">
        <is>
          <t>suicide_mental_strain_raw</t>
        </is>
      </c>
      <c r="F2455" t="inlineStr">
        <is>
          <t>Suicide or mental strain raw</t>
        </is>
      </c>
      <c r="G2455" t="inlineStr">
        <is>
          <t>pressure</t>
        </is>
      </c>
      <c r="H2455" t="inlineStr">
        <is>
          <t>yes</t>
        </is>
      </c>
      <c r="I2455" t="inlineStr"/>
      <c r="J2455" t="inlineStr"/>
      <c r="K2455" t="inlineStr"/>
      <c r="L2455" t="inlineStr"/>
      <c r="M2455" t="inlineStr"/>
      <c r="N2455" t="inlineStr"/>
    </row>
    <row r="2456">
      <c r="A2456" t="inlineStr">
        <is>
          <t>au-melbourne</t>
        </is>
      </c>
      <c r="B2456" t="inlineStr">
        <is>
          <t>Melbourne</t>
        </is>
      </c>
      <c r="C2456" t="inlineStr">
        <is>
          <t>Australia</t>
        </is>
      </c>
      <c r="D2456" t="inlineStr">
        <is>
          <t>Oceania</t>
        </is>
      </c>
      <c r="E2456" t="inlineStr">
        <is>
          <t>personal_safety_raw</t>
        </is>
      </c>
      <c r="F2456" t="inlineStr">
        <is>
          <t>Personal safety raw</t>
        </is>
      </c>
      <c r="G2456" t="inlineStr">
        <is>
          <t>viability</t>
        </is>
      </c>
      <c r="H2456" t="inlineStr">
        <is>
          <t>yes</t>
        </is>
      </c>
      <c r="I2456" t="inlineStr"/>
      <c r="J2456" t="inlineStr"/>
      <c r="K2456" t="inlineStr"/>
      <c r="L2456" t="inlineStr"/>
      <c r="M2456" t="inlineStr"/>
      <c r="N2456" t="inlineStr"/>
    </row>
    <row r="2457">
      <c r="A2457" t="inlineStr">
        <is>
          <t>au-melbourne</t>
        </is>
      </c>
      <c r="B2457" t="inlineStr">
        <is>
          <t>Melbourne</t>
        </is>
      </c>
      <c r="C2457" t="inlineStr">
        <is>
          <t>Australia</t>
        </is>
      </c>
      <c r="D2457" t="inlineStr">
        <is>
          <t>Oceania</t>
        </is>
      </c>
      <c r="E2457" t="inlineStr">
        <is>
          <t>transit_access_commute_raw</t>
        </is>
      </c>
      <c r="F2457" t="inlineStr">
        <is>
          <t>Transit access and commute raw</t>
        </is>
      </c>
      <c r="G2457" t="inlineStr">
        <is>
          <t>viability</t>
        </is>
      </c>
      <c r="H2457" t="inlineStr">
        <is>
          <t>yes</t>
        </is>
      </c>
      <c r="I2457" t="inlineStr"/>
      <c r="J2457" t="inlineStr"/>
      <c r="K2457" t="inlineStr"/>
      <c r="L2457" t="inlineStr"/>
      <c r="M2457" t="inlineStr"/>
      <c r="N2457" t="inlineStr"/>
    </row>
    <row r="2458">
      <c r="A2458" t="inlineStr">
        <is>
          <t>au-melbourne</t>
        </is>
      </c>
      <c r="B2458" t="inlineStr">
        <is>
          <t>Melbourne</t>
        </is>
      </c>
      <c r="C2458" t="inlineStr">
        <is>
          <t>Australia</t>
        </is>
      </c>
      <c r="D2458" t="inlineStr">
        <is>
          <t>Oceania</t>
        </is>
      </c>
      <c r="E2458" t="inlineStr">
        <is>
          <t>clean_air_raw</t>
        </is>
      </c>
      <c r="F2458" t="inlineStr">
        <is>
          <t>Clean air raw</t>
        </is>
      </c>
      <c r="G2458" t="inlineStr">
        <is>
          <t>viability</t>
        </is>
      </c>
      <c r="H2458" t="inlineStr">
        <is>
          <t>yes</t>
        </is>
      </c>
      <c r="I2458" t="inlineStr"/>
      <c r="J2458" t="inlineStr"/>
      <c r="K2458" t="inlineStr"/>
      <c r="L2458" t="inlineStr"/>
      <c r="M2458" t="inlineStr"/>
      <c r="N2458" t="inlineStr"/>
    </row>
    <row r="2459">
      <c r="A2459" t="inlineStr">
        <is>
          <t>au-melbourne</t>
        </is>
      </c>
      <c r="B2459" t="inlineStr">
        <is>
          <t>Melbourne</t>
        </is>
      </c>
      <c r="C2459" t="inlineStr">
        <is>
          <t>Australia</t>
        </is>
      </c>
      <c r="D2459" t="inlineStr">
        <is>
          <t>Oceania</t>
        </is>
      </c>
      <c r="E2459" t="inlineStr">
        <is>
          <t>water_sanitation_utility_raw</t>
        </is>
      </c>
      <c r="F2459" t="inlineStr">
        <is>
          <t>Water, sanitation, and utility raw</t>
        </is>
      </c>
      <c r="G2459" t="inlineStr">
        <is>
          <t>viability</t>
        </is>
      </c>
      <c r="H2459" t="inlineStr">
        <is>
          <t>yes</t>
        </is>
      </c>
      <c r="I2459" t="inlineStr"/>
      <c r="J2459" t="inlineStr"/>
      <c r="K2459" t="inlineStr"/>
      <c r="L2459" t="inlineStr"/>
      <c r="M2459" t="inlineStr"/>
      <c r="N2459" t="inlineStr"/>
    </row>
    <row r="2460">
      <c r="A2460" t="inlineStr">
        <is>
          <t>au-melbourne</t>
        </is>
      </c>
      <c r="B2460" t="inlineStr">
        <is>
          <t>Melbourne</t>
        </is>
      </c>
      <c r="C2460" t="inlineStr">
        <is>
          <t>Australia</t>
        </is>
      </c>
      <c r="D2460" t="inlineStr">
        <is>
          <t>Oceania</t>
        </is>
      </c>
      <c r="E2460" t="inlineStr">
        <is>
          <t>digital_infrastructure_raw</t>
        </is>
      </c>
      <c r="F2460" t="inlineStr">
        <is>
          <t>Digital infrastructure raw</t>
        </is>
      </c>
      <c r="G2460" t="inlineStr">
        <is>
          <t>viability</t>
        </is>
      </c>
      <c r="H2460" t="inlineStr">
        <is>
          <t>yes</t>
        </is>
      </c>
      <c r="I2460" t="inlineStr"/>
      <c r="J2460" t="inlineStr"/>
      <c r="K2460" t="inlineStr"/>
      <c r="L2460" t="inlineStr"/>
      <c r="M2460" t="inlineStr"/>
      <c r="N2460" t="inlineStr"/>
    </row>
    <row r="2461">
      <c r="A2461" t="inlineStr">
        <is>
          <t>au-melbourne</t>
        </is>
      </c>
      <c r="B2461" t="inlineStr">
        <is>
          <t>Melbourne</t>
        </is>
      </c>
      <c r="C2461" t="inlineStr">
        <is>
          <t>Australia</t>
        </is>
      </c>
      <c r="D2461" t="inlineStr">
        <is>
          <t>Oceania</t>
        </is>
      </c>
      <c r="E2461" t="inlineStr">
        <is>
          <t>healthcare_quality_raw</t>
        </is>
      </c>
      <c r="F2461" t="inlineStr">
        <is>
          <t>Healthcare quality raw</t>
        </is>
      </c>
      <c r="G2461" t="inlineStr">
        <is>
          <t>capability</t>
        </is>
      </c>
      <c r="H2461" t="inlineStr">
        <is>
          <t>yes</t>
        </is>
      </c>
      <c r="I2461" t="inlineStr"/>
      <c r="J2461" t="inlineStr"/>
      <c r="K2461" t="inlineStr"/>
      <c r="L2461" t="inlineStr"/>
      <c r="M2461" t="inlineStr"/>
      <c r="N2461" t="inlineStr"/>
    </row>
    <row r="2462">
      <c r="A2462" t="inlineStr">
        <is>
          <t>au-melbourne</t>
        </is>
      </c>
      <c r="B2462" t="inlineStr">
        <is>
          <t>Melbourne</t>
        </is>
      </c>
      <c r="C2462" t="inlineStr">
        <is>
          <t>Australia</t>
        </is>
      </c>
      <c r="D2462" t="inlineStr">
        <is>
          <t>Oceania</t>
        </is>
      </c>
      <c r="E2462" t="inlineStr">
        <is>
          <t>education_quality_raw</t>
        </is>
      </c>
      <c r="F2462" t="inlineStr">
        <is>
          <t>Education quality raw</t>
        </is>
      </c>
      <c r="G2462" t="inlineStr">
        <is>
          <t>capability</t>
        </is>
      </c>
      <c r="H2462" t="inlineStr">
        <is>
          <t>yes</t>
        </is>
      </c>
      <c r="I2462" t="inlineStr"/>
      <c r="J2462" t="inlineStr"/>
      <c r="K2462" t="inlineStr"/>
      <c r="L2462" t="inlineStr"/>
      <c r="M2462" t="inlineStr"/>
      <c r="N2462" t="inlineStr"/>
    </row>
    <row r="2463">
      <c r="A2463" t="inlineStr">
        <is>
          <t>au-melbourne</t>
        </is>
      </c>
      <c r="B2463" t="inlineStr">
        <is>
          <t>Melbourne</t>
        </is>
      </c>
      <c r="C2463" t="inlineStr">
        <is>
          <t>Australia</t>
        </is>
      </c>
      <c r="D2463" t="inlineStr">
        <is>
          <t>Oceania</t>
        </is>
      </c>
      <c r="E2463" t="inlineStr">
        <is>
          <t>equal_opportunity_raw</t>
        </is>
      </c>
      <c r="F2463" t="inlineStr">
        <is>
          <t>Equal opportunity raw</t>
        </is>
      </c>
      <c r="G2463" t="inlineStr">
        <is>
          <t>capability</t>
        </is>
      </c>
      <c r="H2463" t="inlineStr">
        <is>
          <t>yes</t>
        </is>
      </c>
      <c r="I2463" t="inlineStr"/>
      <c r="J2463" t="inlineStr"/>
      <c r="K2463" t="inlineStr"/>
      <c r="L2463" t="inlineStr"/>
      <c r="M2463" t="inlineStr"/>
      <c r="N2463" t="inlineStr"/>
    </row>
    <row r="2464">
      <c r="A2464" t="inlineStr">
        <is>
          <t>au-melbourne</t>
        </is>
      </c>
      <c r="B2464" t="inlineStr">
        <is>
          <t>Melbourne</t>
        </is>
      </c>
      <c r="C2464" t="inlineStr">
        <is>
          <t>Australia</t>
        </is>
      </c>
      <c r="D2464" t="inlineStr">
        <is>
          <t>Oceania</t>
        </is>
      </c>
      <c r="E2464" t="inlineStr">
        <is>
          <t>hospitality_belonging_raw</t>
        </is>
      </c>
      <c r="F2464" t="inlineStr">
        <is>
          <t>Hospitality and belonging raw</t>
        </is>
      </c>
      <c r="G2464" t="inlineStr">
        <is>
          <t>community</t>
        </is>
      </c>
      <c r="H2464" t="inlineStr">
        <is>
          <t>yes</t>
        </is>
      </c>
      <c r="I2464" t="inlineStr"/>
      <c r="J2464" t="inlineStr"/>
      <c r="K2464" t="inlineStr"/>
      <c r="L2464" t="inlineStr"/>
      <c r="M2464" t="inlineStr"/>
      <c r="N2464" t="inlineStr"/>
    </row>
    <row r="2465">
      <c r="A2465" t="inlineStr">
        <is>
          <t>au-melbourne</t>
        </is>
      </c>
      <c r="B2465" t="inlineStr">
        <is>
          <t>Melbourne</t>
        </is>
      </c>
      <c r="C2465" t="inlineStr">
        <is>
          <t>Australia</t>
        </is>
      </c>
      <c r="D2465" t="inlineStr">
        <is>
          <t>Oceania</t>
        </is>
      </c>
      <c r="E2465" t="inlineStr">
        <is>
          <t>tolerance_pluralism_raw</t>
        </is>
      </c>
      <c r="F2465" t="inlineStr">
        <is>
          <t>Tolerance and pluralism raw</t>
        </is>
      </c>
      <c r="G2465" t="inlineStr">
        <is>
          <t>community</t>
        </is>
      </c>
      <c r="H2465" t="inlineStr">
        <is>
          <t>yes</t>
        </is>
      </c>
      <c r="I2465" t="inlineStr"/>
      <c r="J2465" t="inlineStr"/>
      <c r="K2465" t="inlineStr"/>
      <c r="L2465" t="inlineStr"/>
      <c r="M2465" t="inlineStr"/>
      <c r="N2465" t="inlineStr"/>
    </row>
    <row r="2466">
      <c r="A2466" t="inlineStr">
        <is>
          <t>au-melbourne</t>
        </is>
      </c>
      <c r="B2466" t="inlineStr">
        <is>
          <t>Melbourne</t>
        </is>
      </c>
      <c r="C2466" t="inlineStr">
        <is>
          <t>Australia</t>
        </is>
      </c>
      <c r="D2466" t="inlineStr">
        <is>
          <t>Oceania</t>
        </is>
      </c>
      <c r="E2466" t="inlineStr">
        <is>
          <t>cultural_public_life_raw</t>
        </is>
      </c>
      <c r="F2466" t="inlineStr">
        <is>
          <t>Cultural public life raw</t>
        </is>
      </c>
      <c r="G2466" t="inlineStr">
        <is>
          <t>community</t>
        </is>
      </c>
      <c r="H2466" t="inlineStr">
        <is>
          <t>yes</t>
        </is>
      </c>
      <c r="I2466" t="inlineStr"/>
      <c r="J2466" t="inlineStr"/>
      <c r="K2466" t="inlineStr"/>
      <c r="L2466" t="inlineStr"/>
      <c r="M2466" t="inlineStr"/>
      <c r="N2466" t="inlineStr"/>
    </row>
    <row r="2467">
      <c r="A2467" t="inlineStr">
        <is>
          <t>au-melbourne</t>
        </is>
      </c>
      <c r="B2467" t="inlineStr">
        <is>
          <t>Melbourne</t>
        </is>
      </c>
      <c r="C2467" t="inlineStr">
        <is>
          <t>Australia</t>
        </is>
      </c>
      <c r="D2467" t="inlineStr">
        <is>
          <t>Oceania</t>
        </is>
      </c>
      <c r="E2467" t="inlineStr">
        <is>
          <t>entrepreneurial_dynamism_raw</t>
        </is>
      </c>
      <c r="F2467" t="inlineStr">
        <is>
          <t>Entrepreneurial dynamism raw</t>
        </is>
      </c>
      <c r="G2467" t="inlineStr">
        <is>
          <t>creative</t>
        </is>
      </c>
      <c r="H2467" t="inlineStr">
        <is>
          <t>yes</t>
        </is>
      </c>
      <c r="I2467" t="inlineStr"/>
      <c r="J2467" t="inlineStr"/>
      <c r="K2467" t="inlineStr"/>
      <c r="L2467" t="inlineStr"/>
      <c r="M2467" t="inlineStr"/>
      <c r="N2467" t="inlineStr"/>
    </row>
    <row r="2468">
      <c r="A2468" t="inlineStr">
        <is>
          <t>au-melbourne</t>
        </is>
      </c>
      <c r="B2468" t="inlineStr">
        <is>
          <t>Melbourne</t>
        </is>
      </c>
      <c r="C2468" t="inlineStr">
        <is>
          <t>Australia</t>
        </is>
      </c>
      <c r="D2468" t="inlineStr">
        <is>
          <t>Oceania</t>
        </is>
      </c>
      <c r="E2468" t="inlineStr">
        <is>
          <t>innovation_research_intensity_raw</t>
        </is>
      </c>
      <c r="F2468" t="inlineStr">
        <is>
          <t>Innovation and research raw</t>
        </is>
      </c>
      <c r="G2468" t="inlineStr">
        <is>
          <t>creative</t>
        </is>
      </c>
      <c r="H2468" t="inlineStr">
        <is>
          <t>yes</t>
        </is>
      </c>
      <c r="I2468" t="inlineStr"/>
      <c r="J2468" t="inlineStr"/>
      <c r="K2468" t="inlineStr"/>
      <c r="L2468" t="inlineStr"/>
      <c r="M2468" t="inlineStr"/>
      <c r="N2468" t="inlineStr"/>
    </row>
    <row r="2469">
      <c r="A2469" t="inlineStr">
        <is>
          <t>au-melbourne</t>
        </is>
      </c>
      <c r="B2469" t="inlineStr">
        <is>
          <t>Melbourne</t>
        </is>
      </c>
      <c r="C2469" t="inlineStr">
        <is>
          <t>Australia</t>
        </is>
      </c>
      <c r="D2469" t="inlineStr">
        <is>
          <t>Oceania</t>
        </is>
      </c>
      <c r="E2469" t="inlineStr">
        <is>
          <t>investment_signal_raw</t>
        </is>
      </c>
      <c r="F2469" t="inlineStr">
        <is>
          <t>Investment signal raw</t>
        </is>
      </c>
      <c r="G2469" t="inlineStr">
        <is>
          <t>creative</t>
        </is>
      </c>
      <c r="H2469" t="inlineStr">
        <is>
          <t>yes</t>
        </is>
      </c>
      <c r="I2469" t="inlineStr"/>
      <c r="J2469" t="inlineStr"/>
      <c r="K2469" t="inlineStr"/>
      <c r="L2469" t="inlineStr"/>
      <c r="M2469" t="inlineStr"/>
      <c r="N2469" t="inlineStr"/>
    </row>
    <row r="2470">
      <c r="A2470" t="inlineStr">
        <is>
          <t>au-melbourne</t>
        </is>
      </c>
      <c r="B2470" t="inlineStr">
        <is>
          <t>Melbourne</t>
        </is>
      </c>
      <c r="C2470" t="inlineStr">
        <is>
          <t>Australia</t>
        </is>
      </c>
      <c r="D2470" t="inlineStr">
        <is>
          <t>Oceania</t>
        </is>
      </c>
      <c r="E2470" t="inlineStr">
        <is>
          <t>administrative_investment_friction_raw</t>
        </is>
      </c>
      <c r="F2470" t="inlineStr">
        <is>
          <t>Administrative investment friction raw</t>
        </is>
      </c>
      <c r="G2470" t="inlineStr">
        <is>
          <t>creative</t>
        </is>
      </c>
      <c r="H2470" t="inlineStr">
        <is>
          <t>yes</t>
        </is>
      </c>
      <c r="I2470" t="inlineStr"/>
      <c r="J2470" t="inlineStr"/>
      <c r="K2470" t="inlineStr"/>
      <c r="L2470" t="inlineStr"/>
      <c r="M2470" t="inlineStr"/>
      <c r="N2470" t="inlineStr"/>
    </row>
    <row r="2471">
      <c r="A2471" t="inlineStr">
        <is>
          <t>au-melbourne</t>
        </is>
      </c>
      <c r="B2471" t="inlineStr">
        <is>
          <t>Melbourne</t>
        </is>
      </c>
      <c r="C2471" t="inlineStr">
        <is>
          <t>Australia</t>
        </is>
      </c>
      <c r="D2471" t="inlineStr">
        <is>
          <t>Oceania</t>
        </is>
      </c>
      <c r="E2471" t="inlineStr">
        <is>
          <t>visitor_flow_context_raw</t>
        </is>
      </c>
      <c r="F2471" t="inlineStr">
        <is>
          <t>Visitor flow context raw</t>
        </is>
      </c>
      <c r="G2471" t="inlineStr">
        <is>
          <t>creative</t>
        </is>
      </c>
      <c r="H2471" t="inlineStr">
        <is>
          <t>no</t>
        </is>
      </c>
      <c r="I2471" t="inlineStr"/>
      <c r="J2471" t="inlineStr"/>
      <c r="K2471" t="inlineStr"/>
      <c r="L2471" t="inlineStr"/>
      <c r="M2471" t="inlineStr"/>
      <c r="N2471" t="inlineStr"/>
    </row>
    <row r="2472">
      <c r="A2472" t="inlineStr">
        <is>
          <t>au-brisbane</t>
        </is>
      </c>
      <c r="B2472" t="inlineStr">
        <is>
          <t>Brisbane</t>
        </is>
      </c>
      <c r="C2472" t="inlineStr">
        <is>
          <t>Australia</t>
        </is>
      </c>
      <c r="D2472" t="inlineStr">
        <is>
          <t>Oceania</t>
        </is>
      </c>
      <c r="E2472" t="inlineStr">
        <is>
          <t>gross_income</t>
        </is>
      </c>
      <c r="F2472" t="inlineStr">
        <is>
          <t>Gross income</t>
        </is>
      </c>
      <c r="G2472" t="inlineStr">
        <is>
          <t>pressure</t>
        </is>
      </c>
      <c r="H2472" t="inlineStr">
        <is>
          <t>yes</t>
        </is>
      </c>
      <c r="I2472" t="inlineStr"/>
      <c r="J2472" t="inlineStr"/>
      <c r="K2472" t="inlineStr"/>
      <c r="L2472" t="inlineStr"/>
      <c r="M2472" t="inlineStr"/>
      <c r="N2472" t="inlineStr"/>
    </row>
    <row r="2473">
      <c r="A2473" t="inlineStr">
        <is>
          <t>au-brisbane</t>
        </is>
      </c>
      <c r="B2473" t="inlineStr">
        <is>
          <t>Brisbane</t>
        </is>
      </c>
      <c r="C2473" t="inlineStr">
        <is>
          <t>Australia</t>
        </is>
      </c>
      <c r="D2473" t="inlineStr">
        <is>
          <t>Oceania</t>
        </is>
      </c>
      <c r="E2473" t="inlineStr">
        <is>
          <t>rent</t>
        </is>
      </c>
      <c r="F2473" t="inlineStr">
        <is>
          <t>Rent</t>
        </is>
      </c>
      <c r="G2473" t="inlineStr">
        <is>
          <t>pressure</t>
        </is>
      </c>
      <c r="H2473" t="inlineStr">
        <is>
          <t>yes</t>
        </is>
      </c>
      <c r="I2473" t="inlineStr"/>
      <c r="J2473" t="inlineStr"/>
      <c r="K2473" t="inlineStr"/>
      <c r="L2473" t="inlineStr"/>
      <c r="M2473" t="inlineStr"/>
      <c r="N2473" t="inlineStr"/>
    </row>
    <row r="2474">
      <c r="A2474" t="inlineStr">
        <is>
          <t>au-brisbane</t>
        </is>
      </c>
      <c r="B2474" t="inlineStr">
        <is>
          <t>Brisbane</t>
        </is>
      </c>
      <c r="C2474" t="inlineStr">
        <is>
          <t>Australia</t>
        </is>
      </c>
      <c r="D2474" t="inlineStr">
        <is>
          <t>Oceania</t>
        </is>
      </c>
      <c r="E2474" t="inlineStr">
        <is>
          <t>utilities</t>
        </is>
      </c>
      <c r="F2474" t="inlineStr">
        <is>
          <t>Utilities</t>
        </is>
      </c>
      <c r="G2474" t="inlineStr">
        <is>
          <t>pressure</t>
        </is>
      </c>
      <c r="H2474" t="inlineStr">
        <is>
          <t>yes</t>
        </is>
      </c>
      <c r="I2474" t="inlineStr"/>
      <c r="J2474" t="inlineStr"/>
      <c r="K2474" t="inlineStr"/>
      <c r="L2474" t="inlineStr"/>
      <c r="M2474" t="inlineStr"/>
      <c r="N2474" t="inlineStr"/>
    </row>
    <row r="2475">
      <c r="A2475" t="inlineStr">
        <is>
          <t>au-brisbane</t>
        </is>
      </c>
      <c r="B2475" t="inlineStr">
        <is>
          <t>Brisbane</t>
        </is>
      </c>
      <c r="C2475" t="inlineStr">
        <is>
          <t>Australia</t>
        </is>
      </c>
      <c r="D2475" t="inlineStr">
        <is>
          <t>Oceania</t>
        </is>
      </c>
      <c r="E2475" t="inlineStr">
        <is>
          <t>transit_cost</t>
        </is>
      </c>
      <c r="F2475" t="inlineStr">
        <is>
          <t>Transit cost</t>
        </is>
      </c>
      <c r="G2475" t="inlineStr">
        <is>
          <t>pressure</t>
        </is>
      </c>
      <c r="H2475" t="inlineStr">
        <is>
          <t>yes</t>
        </is>
      </c>
      <c r="I2475" t="inlineStr"/>
      <c r="J2475" t="inlineStr"/>
      <c r="K2475" t="inlineStr"/>
      <c r="L2475" t="inlineStr"/>
      <c r="M2475" t="inlineStr"/>
      <c r="N2475" t="inlineStr"/>
    </row>
    <row r="2476">
      <c r="A2476" t="inlineStr">
        <is>
          <t>au-brisbane</t>
        </is>
      </c>
      <c r="B2476" t="inlineStr">
        <is>
          <t>Brisbane</t>
        </is>
      </c>
      <c r="C2476" t="inlineStr">
        <is>
          <t>Australia</t>
        </is>
      </c>
      <c r="D2476" t="inlineStr">
        <is>
          <t>Oceania</t>
        </is>
      </c>
      <c r="E2476" t="inlineStr">
        <is>
          <t>internet_cost</t>
        </is>
      </c>
      <c r="F2476" t="inlineStr">
        <is>
          <t>Internet cost</t>
        </is>
      </c>
      <c r="G2476" t="inlineStr">
        <is>
          <t>pressure</t>
        </is>
      </c>
      <c r="H2476" t="inlineStr">
        <is>
          <t>yes</t>
        </is>
      </c>
      <c r="I2476" t="inlineStr"/>
      <c r="J2476" t="inlineStr"/>
      <c r="K2476" t="inlineStr"/>
      <c r="L2476" t="inlineStr"/>
      <c r="M2476" t="inlineStr"/>
      <c r="N2476" t="inlineStr"/>
    </row>
    <row r="2477">
      <c r="A2477" t="inlineStr">
        <is>
          <t>au-brisbane</t>
        </is>
      </c>
      <c r="B2477" t="inlineStr">
        <is>
          <t>Brisbane</t>
        </is>
      </c>
      <c r="C2477" t="inlineStr">
        <is>
          <t>Australia</t>
        </is>
      </c>
      <c r="D2477" t="inlineStr">
        <is>
          <t>Oceania</t>
        </is>
      </c>
      <c r="E2477" t="inlineStr">
        <is>
          <t>food_cost</t>
        </is>
      </c>
      <c r="F2477" t="inlineStr">
        <is>
          <t>Food cost</t>
        </is>
      </c>
      <c r="G2477" t="inlineStr">
        <is>
          <t>pressure</t>
        </is>
      </c>
      <c r="H2477" t="inlineStr">
        <is>
          <t>yes</t>
        </is>
      </c>
      <c r="I2477" t="inlineStr"/>
      <c r="J2477" t="inlineStr"/>
      <c r="K2477" t="inlineStr"/>
      <c r="L2477" t="inlineStr"/>
      <c r="M2477" t="inlineStr"/>
      <c r="N2477" t="inlineStr"/>
    </row>
    <row r="2478">
      <c r="A2478" t="inlineStr">
        <is>
          <t>au-brisbane</t>
        </is>
      </c>
      <c r="B2478" t="inlineStr">
        <is>
          <t>Brisbane</t>
        </is>
      </c>
      <c r="C2478" t="inlineStr">
        <is>
          <t>Australia</t>
        </is>
      </c>
      <c r="D2478" t="inlineStr">
        <is>
          <t>Oceania</t>
        </is>
      </c>
      <c r="E2478" t="inlineStr">
        <is>
          <t>housing_burden_raw</t>
        </is>
      </c>
      <c r="F2478" t="inlineStr">
        <is>
          <t>Housing burden raw</t>
        </is>
      </c>
      <c r="G2478" t="inlineStr">
        <is>
          <t>pressure</t>
        </is>
      </c>
      <c r="H2478" t="inlineStr">
        <is>
          <t>yes</t>
        </is>
      </c>
      <c r="I2478" t="inlineStr"/>
      <c r="J2478" t="inlineStr"/>
      <c r="K2478" t="inlineStr"/>
      <c r="L2478" t="inlineStr"/>
      <c r="M2478" t="inlineStr"/>
      <c r="N2478" t="inlineStr"/>
    </row>
    <row r="2479">
      <c r="A2479" t="inlineStr">
        <is>
          <t>au-brisbane</t>
        </is>
      </c>
      <c r="B2479" t="inlineStr">
        <is>
          <t>Brisbane</t>
        </is>
      </c>
      <c r="C2479" t="inlineStr">
        <is>
          <t>Australia</t>
        </is>
      </c>
      <c r="D2479" t="inlineStr">
        <is>
          <t>Oceania</t>
        </is>
      </c>
      <c r="E2479" t="inlineStr">
        <is>
          <t>household_debt_burden_raw</t>
        </is>
      </c>
      <c r="F2479" t="inlineStr">
        <is>
          <t>Household debt burden raw</t>
        </is>
      </c>
      <c r="G2479" t="inlineStr">
        <is>
          <t>pressure</t>
        </is>
      </c>
      <c r="H2479" t="inlineStr">
        <is>
          <t>yes</t>
        </is>
      </c>
      <c r="I2479" t="inlineStr"/>
      <c r="J2479" t="inlineStr"/>
      <c r="K2479" t="inlineStr"/>
      <c r="L2479" t="inlineStr"/>
      <c r="M2479" t="inlineStr"/>
      <c r="N2479" t="inlineStr"/>
    </row>
    <row r="2480">
      <c r="A2480" t="inlineStr">
        <is>
          <t>au-brisbane</t>
        </is>
      </c>
      <c r="B2480" t="inlineStr">
        <is>
          <t>Brisbane</t>
        </is>
      </c>
      <c r="C2480" t="inlineStr">
        <is>
          <t>Australia</t>
        </is>
      </c>
      <c r="D2480" t="inlineStr">
        <is>
          <t>Oceania</t>
        </is>
      </c>
      <c r="E2480" t="inlineStr">
        <is>
          <t>working_time_pressure_raw</t>
        </is>
      </c>
      <c r="F2480" t="inlineStr">
        <is>
          <t>Working time pressure raw</t>
        </is>
      </c>
      <c r="G2480" t="inlineStr">
        <is>
          <t>pressure</t>
        </is>
      </c>
      <c r="H2480" t="inlineStr">
        <is>
          <t>yes</t>
        </is>
      </c>
      <c r="I2480" t="inlineStr"/>
      <c r="J2480" t="inlineStr"/>
      <c r="K2480" t="inlineStr"/>
      <c r="L2480" t="inlineStr"/>
      <c r="M2480" t="inlineStr"/>
      <c r="N2480" t="inlineStr"/>
    </row>
    <row r="2481">
      <c r="A2481" t="inlineStr">
        <is>
          <t>au-brisbane</t>
        </is>
      </c>
      <c r="B2481" t="inlineStr">
        <is>
          <t>Brisbane</t>
        </is>
      </c>
      <c r="C2481" t="inlineStr">
        <is>
          <t>Australia</t>
        </is>
      </c>
      <c r="D2481" t="inlineStr">
        <is>
          <t>Oceania</t>
        </is>
      </c>
      <c r="E2481" t="inlineStr">
        <is>
          <t>suicide_mental_strain_raw</t>
        </is>
      </c>
      <c r="F2481" t="inlineStr">
        <is>
          <t>Suicide or mental strain raw</t>
        </is>
      </c>
      <c r="G2481" t="inlineStr">
        <is>
          <t>pressure</t>
        </is>
      </c>
      <c r="H2481" t="inlineStr">
        <is>
          <t>yes</t>
        </is>
      </c>
      <c r="I2481" t="inlineStr"/>
      <c r="J2481" t="inlineStr"/>
      <c r="K2481" t="inlineStr"/>
      <c r="L2481" t="inlineStr"/>
      <c r="M2481" t="inlineStr"/>
      <c r="N2481" t="inlineStr"/>
    </row>
    <row r="2482">
      <c r="A2482" t="inlineStr">
        <is>
          <t>au-brisbane</t>
        </is>
      </c>
      <c r="B2482" t="inlineStr">
        <is>
          <t>Brisbane</t>
        </is>
      </c>
      <c r="C2482" t="inlineStr">
        <is>
          <t>Australia</t>
        </is>
      </c>
      <c r="D2482" t="inlineStr">
        <is>
          <t>Oceania</t>
        </is>
      </c>
      <c r="E2482" t="inlineStr">
        <is>
          <t>personal_safety_raw</t>
        </is>
      </c>
      <c r="F2482" t="inlineStr">
        <is>
          <t>Personal safety raw</t>
        </is>
      </c>
      <c r="G2482" t="inlineStr">
        <is>
          <t>viability</t>
        </is>
      </c>
      <c r="H2482" t="inlineStr">
        <is>
          <t>yes</t>
        </is>
      </c>
      <c r="I2482" t="inlineStr"/>
      <c r="J2482" t="inlineStr"/>
      <c r="K2482" t="inlineStr"/>
      <c r="L2482" t="inlineStr"/>
      <c r="M2482" t="inlineStr"/>
      <c r="N2482" t="inlineStr"/>
    </row>
    <row r="2483">
      <c r="A2483" t="inlineStr">
        <is>
          <t>au-brisbane</t>
        </is>
      </c>
      <c r="B2483" t="inlineStr">
        <is>
          <t>Brisbane</t>
        </is>
      </c>
      <c r="C2483" t="inlineStr">
        <is>
          <t>Australia</t>
        </is>
      </c>
      <c r="D2483" t="inlineStr">
        <is>
          <t>Oceania</t>
        </is>
      </c>
      <c r="E2483" t="inlineStr">
        <is>
          <t>transit_access_commute_raw</t>
        </is>
      </c>
      <c r="F2483" t="inlineStr">
        <is>
          <t>Transit access and commute raw</t>
        </is>
      </c>
      <c r="G2483" t="inlineStr">
        <is>
          <t>viability</t>
        </is>
      </c>
      <c r="H2483" t="inlineStr">
        <is>
          <t>yes</t>
        </is>
      </c>
      <c r="I2483" t="inlineStr"/>
      <c r="J2483" t="inlineStr"/>
      <c r="K2483" t="inlineStr"/>
      <c r="L2483" t="inlineStr"/>
      <c r="M2483" t="inlineStr"/>
      <c r="N2483" t="inlineStr"/>
    </row>
    <row r="2484">
      <c r="A2484" t="inlineStr">
        <is>
          <t>au-brisbane</t>
        </is>
      </c>
      <c r="B2484" t="inlineStr">
        <is>
          <t>Brisbane</t>
        </is>
      </c>
      <c r="C2484" t="inlineStr">
        <is>
          <t>Australia</t>
        </is>
      </c>
      <c r="D2484" t="inlineStr">
        <is>
          <t>Oceania</t>
        </is>
      </c>
      <c r="E2484" t="inlineStr">
        <is>
          <t>clean_air_raw</t>
        </is>
      </c>
      <c r="F2484" t="inlineStr">
        <is>
          <t>Clean air raw</t>
        </is>
      </c>
      <c r="G2484" t="inlineStr">
        <is>
          <t>viability</t>
        </is>
      </c>
      <c r="H2484" t="inlineStr">
        <is>
          <t>yes</t>
        </is>
      </c>
      <c r="I2484" t="inlineStr"/>
      <c r="J2484" t="inlineStr"/>
      <c r="K2484" t="inlineStr"/>
      <c r="L2484" t="inlineStr"/>
      <c r="M2484" t="inlineStr"/>
      <c r="N2484" t="inlineStr"/>
    </row>
    <row r="2485">
      <c r="A2485" t="inlineStr">
        <is>
          <t>au-brisbane</t>
        </is>
      </c>
      <c r="B2485" t="inlineStr">
        <is>
          <t>Brisbane</t>
        </is>
      </c>
      <c r="C2485" t="inlineStr">
        <is>
          <t>Australia</t>
        </is>
      </c>
      <c r="D2485" t="inlineStr">
        <is>
          <t>Oceania</t>
        </is>
      </c>
      <c r="E2485" t="inlineStr">
        <is>
          <t>water_sanitation_utility_raw</t>
        </is>
      </c>
      <c r="F2485" t="inlineStr">
        <is>
          <t>Water, sanitation, and utility raw</t>
        </is>
      </c>
      <c r="G2485" t="inlineStr">
        <is>
          <t>viability</t>
        </is>
      </c>
      <c r="H2485" t="inlineStr">
        <is>
          <t>yes</t>
        </is>
      </c>
      <c r="I2485" t="inlineStr"/>
      <c r="J2485" t="inlineStr"/>
      <c r="K2485" t="inlineStr"/>
      <c r="L2485" t="inlineStr"/>
      <c r="M2485" t="inlineStr"/>
      <c r="N2485" t="inlineStr"/>
    </row>
    <row r="2486">
      <c r="A2486" t="inlineStr">
        <is>
          <t>au-brisbane</t>
        </is>
      </c>
      <c r="B2486" t="inlineStr">
        <is>
          <t>Brisbane</t>
        </is>
      </c>
      <c r="C2486" t="inlineStr">
        <is>
          <t>Australia</t>
        </is>
      </c>
      <c r="D2486" t="inlineStr">
        <is>
          <t>Oceania</t>
        </is>
      </c>
      <c r="E2486" t="inlineStr">
        <is>
          <t>digital_infrastructure_raw</t>
        </is>
      </c>
      <c r="F2486" t="inlineStr">
        <is>
          <t>Digital infrastructure raw</t>
        </is>
      </c>
      <c r="G2486" t="inlineStr">
        <is>
          <t>viability</t>
        </is>
      </c>
      <c r="H2486" t="inlineStr">
        <is>
          <t>yes</t>
        </is>
      </c>
      <c r="I2486" t="inlineStr"/>
      <c r="J2486" t="inlineStr"/>
      <c r="K2486" t="inlineStr"/>
      <c r="L2486" t="inlineStr"/>
      <c r="M2486" t="inlineStr"/>
      <c r="N2486" t="inlineStr"/>
    </row>
    <row r="2487">
      <c r="A2487" t="inlineStr">
        <is>
          <t>au-brisbane</t>
        </is>
      </c>
      <c r="B2487" t="inlineStr">
        <is>
          <t>Brisbane</t>
        </is>
      </c>
      <c r="C2487" t="inlineStr">
        <is>
          <t>Australia</t>
        </is>
      </c>
      <c r="D2487" t="inlineStr">
        <is>
          <t>Oceania</t>
        </is>
      </c>
      <c r="E2487" t="inlineStr">
        <is>
          <t>healthcare_quality_raw</t>
        </is>
      </c>
      <c r="F2487" t="inlineStr">
        <is>
          <t>Healthcare quality raw</t>
        </is>
      </c>
      <c r="G2487" t="inlineStr">
        <is>
          <t>capability</t>
        </is>
      </c>
      <c r="H2487" t="inlineStr">
        <is>
          <t>yes</t>
        </is>
      </c>
      <c r="I2487" t="inlineStr"/>
      <c r="J2487" t="inlineStr"/>
      <c r="K2487" t="inlineStr"/>
      <c r="L2487" t="inlineStr"/>
      <c r="M2487" t="inlineStr"/>
      <c r="N2487" t="inlineStr"/>
    </row>
    <row r="2488">
      <c r="A2488" t="inlineStr">
        <is>
          <t>au-brisbane</t>
        </is>
      </c>
      <c r="B2488" t="inlineStr">
        <is>
          <t>Brisbane</t>
        </is>
      </c>
      <c r="C2488" t="inlineStr">
        <is>
          <t>Australia</t>
        </is>
      </c>
      <c r="D2488" t="inlineStr">
        <is>
          <t>Oceania</t>
        </is>
      </c>
      <c r="E2488" t="inlineStr">
        <is>
          <t>education_quality_raw</t>
        </is>
      </c>
      <c r="F2488" t="inlineStr">
        <is>
          <t>Education quality raw</t>
        </is>
      </c>
      <c r="G2488" t="inlineStr">
        <is>
          <t>capability</t>
        </is>
      </c>
      <c r="H2488" t="inlineStr">
        <is>
          <t>yes</t>
        </is>
      </c>
      <c r="I2488" t="inlineStr"/>
      <c r="J2488" t="inlineStr"/>
      <c r="K2488" t="inlineStr"/>
      <c r="L2488" t="inlineStr"/>
      <c r="M2488" t="inlineStr"/>
      <c r="N2488" t="inlineStr"/>
    </row>
    <row r="2489">
      <c r="A2489" t="inlineStr">
        <is>
          <t>au-brisbane</t>
        </is>
      </c>
      <c r="B2489" t="inlineStr">
        <is>
          <t>Brisbane</t>
        </is>
      </c>
      <c r="C2489" t="inlineStr">
        <is>
          <t>Australia</t>
        </is>
      </c>
      <c r="D2489" t="inlineStr">
        <is>
          <t>Oceania</t>
        </is>
      </c>
      <c r="E2489" t="inlineStr">
        <is>
          <t>equal_opportunity_raw</t>
        </is>
      </c>
      <c r="F2489" t="inlineStr">
        <is>
          <t>Equal opportunity raw</t>
        </is>
      </c>
      <c r="G2489" t="inlineStr">
        <is>
          <t>capability</t>
        </is>
      </c>
      <c r="H2489" t="inlineStr">
        <is>
          <t>yes</t>
        </is>
      </c>
      <c r="I2489" t="inlineStr"/>
      <c r="J2489" t="inlineStr"/>
      <c r="K2489" t="inlineStr"/>
      <c r="L2489" t="inlineStr"/>
      <c r="M2489" t="inlineStr"/>
      <c r="N2489" t="inlineStr"/>
    </row>
    <row r="2490">
      <c r="A2490" t="inlineStr">
        <is>
          <t>au-brisbane</t>
        </is>
      </c>
      <c r="B2490" t="inlineStr">
        <is>
          <t>Brisbane</t>
        </is>
      </c>
      <c r="C2490" t="inlineStr">
        <is>
          <t>Australia</t>
        </is>
      </c>
      <c r="D2490" t="inlineStr">
        <is>
          <t>Oceania</t>
        </is>
      </c>
      <c r="E2490" t="inlineStr">
        <is>
          <t>hospitality_belonging_raw</t>
        </is>
      </c>
      <c r="F2490" t="inlineStr">
        <is>
          <t>Hospitality and belonging raw</t>
        </is>
      </c>
      <c r="G2490" t="inlineStr">
        <is>
          <t>community</t>
        </is>
      </c>
      <c r="H2490" t="inlineStr">
        <is>
          <t>yes</t>
        </is>
      </c>
      <c r="I2490" t="inlineStr"/>
      <c r="J2490" t="inlineStr"/>
      <c r="K2490" t="inlineStr"/>
      <c r="L2490" t="inlineStr"/>
      <c r="M2490" t="inlineStr"/>
      <c r="N2490" t="inlineStr"/>
    </row>
    <row r="2491">
      <c r="A2491" t="inlineStr">
        <is>
          <t>au-brisbane</t>
        </is>
      </c>
      <c r="B2491" t="inlineStr">
        <is>
          <t>Brisbane</t>
        </is>
      </c>
      <c r="C2491" t="inlineStr">
        <is>
          <t>Australia</t>
        </is>
      </c>
      <c r="D2491" t="inlineStr">
        <is>
          <t>Oceania</t>
        </is>
      </c>
      <c r="E2491" t="inlineStr">
        <is>
          <t>tolerance_pluralism_raw</t>
        </is>
      </c>
      <c r="F2491" t="inlineStr">
        <is>
          <t>Tolerance and pluralism raw</t>
        </is>
      </c>
      <c r="G2491" t="inlineStr">
        <is>
          <t>community</t>
        </is>
      </c>
      <c r="H2491" t="inlineStr">
        <is>
          <t>yes</t>
        </is>
      </c>
      <c r="I2491" t="inlineStr"/>
      <c r="J2491" t="inlineStr"/>
      <c r="K2491" t="inlineStr"/>
      <c r="L2491" t="inlineStr"/>
      <c r="M2491" t="inlineStr"/>
      <c r="N2491" t="inlineStr"/>
    </row>
    <row r="2492">
      <c r="A2492" t="inlineStr">
        <is>
          <t>au-brisbane</t>
        </is>
      </c>
      <c r="B2492" t="inlineStr">
        <is>
          <t>Brisbane</t>
        </is>
      </c>
      <c r="C2492" t="inlineStr">
        <is>
          <t>Australia</t>
        </is>
      </c>
      <c r="D2492" t="inlineStr">
        <is>
          <t>Oceania</t>
        </is>
      </c>
      <c r="E2492" t="inlineStr">
        <is>
          <t>cultural_public_life_raw</t>
        </is>
      </c>
      <c r="F2492" t="inlineStr">
        <is>
          <t>Cultural public life raw</t>
        </is>
      </c>
      <c r="G2492" t="inlineStr">
        <is>
          <t>community</t>
        </is>
      </c>
      <c r="H2492" t="inlineStr">
        <is>
          <t>yes</t>
        </is>
      </c>
      <c r="I2492" t="inlineStr"/>
      <c r="J2492" t="inlineStr"/>
      <c r="K2492" t="inlineStr"/>
      <c r="L2492" t="inlineStr"/>
      <c r="M2492" t="inlineStr"/>
      <c r="N2492" t="inlineStr"/>
    </row>
    <row r="2493">
      <c r="A2493" t="inlineStr">
        <is>
          <t>au-brisbane</t>
        </is>
      </c>
      <c r="B2493" t="inlineStr">
        <is>
          <t>Brisbane</t>
        </is>
      </c>
      <c r="C2493" t="inlineStr">
        <is>
          <t>Australia</t>
        </is>
      </c>
      <c r="D2493" t="inlineStr">
        <is>
          <t>Oceania</t>
        </is>
      </c>
      <c r="E2493" t="inlineStr">
        <is>
          <t>entrepreneurial_dynamism_raw</t>
        </is>
      </c>
      <c r="F2493" t="inlineStr">
        <is>
          <t>Entrepreneurial dynamism raw</t>
        </is>
      </c>
      <c r="G2493" t="inlineStr">
        <is>
          <t>creative</t>
        </is>
      </c>
      <c r="H2493" t="inlineStr">
        <is>
          <t>yes</t>
        </is>
      </c>
      <c r="I2493" t="inlineStr"/>
      <c r="J2493" t="inlineStr"/>
      <c r="K2493" t="inlineStr"/>
      <c r="L2493" t="inlineStr"/>
      <c r="M2493" t="inlineStr"/>
      <c r="N2493" t="inlineStr"/>
    </row>
    <row r="2494">
      <c r="A2494" t="inlineStr">
        <is>
          <t>au-brisbane</t>
        </is>
      </c>
      <c r="B2494" t="inlineStr">
        <is>
          <t>Brisbane</t>
        </is>
      </c>
      <c r="C2494" t="inlineStr">
        <is>
          <t>Australia</t>
        </is>
      </c>
      <c r="D2494" t="inlineStr">
        <is>
          <t>Oceania</t>
        </is>
      </c>
      <c r="E2494" t="inlineStr">
        <is>
          <t>innovation_research_intensity_raw</t>
        </is>
      </c>
      <c r="F2494" t="inlineStr">
        <is>
          <t>Innovation and research raw</t>
        </is>
      </c>
      <c r="G2494" t="inlineStr">
        <is>
          <t>creative</t>
        </is>
      </c>
      <c r="H2494" t="inlineStr">
        <is>
          <t>yes</t>
        </is>
      </c>
      <c r="I2494" t="inlineStr"/>
      <c r="J2494" t="inlineStr"/>
      <c r="K2494" t="inlineStr"/>
      <c r="L2494" t="inlineStr"/>
      <c r="M2494" t="inlineStr"/>
      <c r="N2494" t="inlineStr"/>
    </row>
    <row r="2495">
      <c r="A2495" t="inlineStr">
        <is>
          <t>au-brisbane</t>
        </is>
      </c>
      <c r="B2495" t="inlineStr">
        <is>
          <t>Brisbane</t>
        </is>
      </c>
      <c r="C2495" t="inlineStr">
        <is>
          <t>Australia</t>
        </is>
      </c>
      <c r="D2495" t="inlineStr">
        <is>
          <t>Oceania</t>
        </is>
      </c>
      <c r="E2495" t="inlineStr">
        <is>
          <t>investment_signal_raw</t>
        </is>
      </c>
      <c r="F2495" t="inlineStr">
        <is>
          <t>Investment signal raw</t>
        </is>
      </c>
      <c r="G2495" t="inlineStr">
        <is>
          <t>creative</t>
        </is>
      </c>
      <c r="H2495" t="inlineStr">
        <is>
          <t>yes</t>
        </is>
      </c>
      <c r="I2495" t="inlineStr"/>
      <c r="J2495" t="inlineStr"/>
      <c r="K2495" t="inlineStr"/>
      <c r="L2495" t="inlineStr"/>
      <c r="M2495" t="inlineStr"/>
      <c r="N2495" t="inlineStr"/>
    </row>
    <row r="2496">
      <c r="A2496" t="inlineStr">
        <is>
          <t>au-brisbane</t>
        </is>
      </c>
      <c r="B2496" t="inlineStr">
        <is>
          <t>Brisbane</t>
        </is>
      </c>
      <c r="C2496" t="inlineStr">
        <is>
          <t>Australia</t>
        </is>
      </c>
      <c r="D2496" t="inlineStr">
        <is>
          <t>Oceania</t>
        </is>
      </c>
      <c r="E2496" t="inlineStr">
        <is>
          <t>administrative_investment_friction_raw</t>
        </is>
      </c>
      <c r="F2496" t="inlineStr">
        <is>
          <t>Administrative investment friction raw</t>
        </is>
      </c>
      <c r="G2496" t="inlineStr">
        <is>
          <t>creative</t>
        </is>
      </c>
      <c r="H2496" t="inlineStr">
        <is>
          <t>yes</t>
        </is>
      </c>
      <c r="I2496" t="inlineStr"/>
      <c r="J2496" t="inlineStr"/>
      <c r="K2496" t="inlineStr"/>
      <c r="L2496" t="inlineStr"/>
      <c r="M2496" t="inlineStr"/>
      <c r="N2496" t="inlineStr"/>
    </row>
    <row r="2497">
      <c r="A2497" t="inlineStr">
        <is>
          <t>au-brisbane</t>
        </is>
      </c>
      <c r="B2497" t="inlineStr">
        <is>
          <t>Brisbane</t>
        </is>
      </c>
      <c r="C2497" t="inlineStr">
        <is>
          <t>Australia</t>
        </is>
      </c>
      <c r="D2497" t="inlineStr">
        <is>
          <t>Oceania</t>
        </is>
      </c>
      <c r="E2497" t="inlineStr">
        <is>
          <t>visitor_flow_context_raw</t>
        </is>
      </c>
      <c r="F2497" t="inlineStr">
        <is>
          <t>Visitor flow context raw</t>
        </is>
      </c>
      <c r="G2497" t="inlineStr">
        <is>
          <t>creative</t>
        </is>
      </c>
      <c r="H2497" t="inlineStr">
        <is>
          <t>no</t>
        </is>
      </c>
      <c r="I2497" t="inlineStr"/>
      <c r="J2497" t="inlineStr"/>
      <c r="K2497" t="inlineStr"/>
      <c r="L2497" t="inlineStr"/>
      <c r="M2497" t="inlineStr"/>
      <c r="N2497" t="inlineStr"/>
    </row>
    <row r="2498">
      <c r="A2498" t="inlineStr">
        <is>
          <t>nz-wellington</t>
        </is>
      </c>
      <c r="B2498" t="inlineStr">
        <is>
          <t>Wellington</t>
        </is>
      </c>
      <c r="C2498" t="inlineStr">
        <is>
          <t>New Zealand</t>
        </is>
      </c>
      <c r="D2498" t="inlineStr">
        <is>
          <t>Oceania</t>
        </is>
      </c>
      <c r="E2498" t="inlineStr">
        <is>
          <t>gross_income</t>
        </is>
      </c>
      <c r="F2498" t="inlineStr">
        <is>
          <t>Gross income</t>
        </is>
      </c>
      <c r="G2498" t="inlineStr">
        <is>
          <t>pressure</t>
        </is>
      </c>
      <c r="H2498" t="inlineStr">
        <is>
          <t>yes</t>
        </is>
      </c>
      <c r="I2498" t="inlineStr"/>
      <c r="J2498" t="inlineStr"/>
      <c r="K2498" t="inlineStr"/>
      <c r="L2498" t="inlineStr"/>
      <c r="M2498" t="inlineStr"/>
      <c r="N2498" t="inlineStr"/>
    </row>
    <row r="2499">
      <c r="A2499" t="inlineStr">
        <is>
          <t>nz-wellington</t>
        </is>
      </c>
      <c r="B2499" t="inlineStr">
        <is>
          <t>Wellington</t>
        </is>
      </c>
      <c r="C2499" t="inlineStr">
        <is>
          <t>New Zealand</t>
        </is>
      </c>
      <c r="D2499" t="inlineStr">
        <is>
          <t>Oceania</t>
        </is>
      </c>
      <c r="E2499" t="inlineStr">
        <is>
          <t>rent</t>
        </is>
      </c>
      <c r="F2499" t="inlineStr">
        <is>
          <t>Rent</t>
        </is>
      </c>
      <c r="G2499" t="inlineStr">
        <is>
          <t>pressure</t>
        </is>
      </c>
      <c r="H2499" t="inlineStr">
        <is>
          <t>yes</t>
        </is>
      </c>
      <c r="I2499" t="inlineStr"/>
      <c r="J2499" t="inlineStr"/>
      <c r="K2499" t="inlineStr"/>
      <c r="L2499" t="inlineStr"/>
      <c r="M2499" t="inlineStr"/>
      <c r="N2499" t="inlineStr"/>
    </row>
    <row r="2500">
      <c r="A2500" t="inlineStr">
        <is>
          <t>nz-wellington</t>
        </is>
      </c>
      <c r="B2500" t="inlineStr">
        <is>
          <t>Wellington</t>
        </is>
      </c>
      <c r="C2500" t="inlineStr">
        <is>
          <t>New Zealand</t>
        </is>
      </c>
      <c r="D2500" t="inlineStr">
        <is>
          <t>Oceania</t>
        </is>
      </c>
      <c r="E2500" t="inlineStr">
        <is>
          <t>utilities</t>
        </is>
      </c>
      <c r="F2500" t="inlineStr">
        <is>
          <t>Utilities</t>
        </is>
      </c>
      <c r="G2500" t="inlineStr">
        <is>
          <t>pressure</t>
        </is>
      </c>
      <c r="H2500" t="inlineStr">
        <is>
          <t>yes</t>
        </is>
      </c>
      <c r="I2500" t="inlineStr"/>
      <c r="J2500" t="inlineStr"/>
      <c r="K2500" t="inlineStr"/>
      <c r="L2500" t="inlineStr"/>
      <c r="M2500" t="inlineStr"/>
      <c r="N2500" t="inlineStr"/>
    </row>
    <row r="2501">
      <c r="A2501" t="inlineStr">
        <is>
          <t>nz-wellington</t>
        </is>
      </c>
      <c r="B2501" t="inlineStr">
        <is>
          <t>Wellington</t>
        </is>
      </c>
      <c r="C2501" t="inlineStr">
        <is>
          <t>New Zealand</t>
        </is>
      </c>
      <c r="D2501" t="inlineStr">
        <is>
          <t>Oceania</t>
        </is>
      </c>
      <c r="E2501" t="inlineStr">
        <is>
          <t>transit_cost</t>
        </is>
      </c>
      <c r="F2501" t="inlineStr">
        <is>
          <t>Transit cost</t>
        </is>
      </c>
      <c r="G2501" t="inlineStr">
        <is>
          <t>pressure</t>
        </is>
      </c>
      <c r="H2501" t="inlineStr">
        <is>
          <t>yes</t>
        </is>
      </c>
      <c r="I2501" t="inlineStr"/>
      <c r="J2501" t="inlineStr"/>
      <c r="K2501" t="inlineStr"/>
      <c r="L2501" t="inlineStr"/>
      <c r="M2501" t="inlineStr"/>
      <c r="N2501" t="inlineStr"/>
    </row>
    <row r="2502">
      <c r="A2502" t="inlineStr">
        <is>
          <t>nz-wellington</t>
        </is>
      </c>
      <c r="B2502" t="inlineStr">
        <is>
          <t>Wellington</t>
        </is>
      </c>
      <c r="C2502" t="inlineStr">
        <is>
          <t>New Zealand</t>
        </is>
      </c>
      <c r="D2502" t="inlineStr">
        <is>
          <t>Oceania</t>
        </is>
      </c>
      <c r="E2502" t="inlineStr">
        <is>
          <t>internet_cost</t>
        </is>
      </c>
      <c r="F2502" t="inlineStr">
        <is>
          <t>Internet cost</t>
        </is>
      </c>
      <c r="G2502" t="inlineStr">
        <is>
          <t>pressure</t>
        </is>
      </c>
      <c r="H2502" t="inlineStr">
        <is>
          <t>yes</t>
        </is>
      </c>
      <c r="I2502" t="inlineStr"/>
      <c r="J2502" t="inlineStr"/>
      <c r="K2502" t="inlineStr"/>
      <c r="L2502" t="inlineStr"/>
      <c r="M2502" t="inlineStr"/>
      <c r="N2502" t="inlineStr"/>
    </row>
    <row r="2503">
      <c r="A2503" t="inlineStr">
        <is>
          <t>nz-wellington</t>
        </is>
      </c>
      <c r="B2503" t="inlineStr">
        <is>
          <t>Wellington</t>
        </is>
      </c>
      <c r="C2503" t="inlineStr">
        <is>
          <t>New Zealand</t>
        </is>
      </c>
      <c r="D2503" t="inlineStr">
        <is>
          <t>Oceania</t>
        </is>
      </c>
      <c r="E2503" t="inlineStr">
        <is>
          <t>food_cost</t>
        </is>
      </c>
      <c r="F2503" t="inlineStr">
        <is>
          <t>Food cost</t>
        </is>
      </c>
      <c r="G2503" t="inlineStr">
        <is>
          <t>pressure</t>
        </is>
      </c>
      <c r="H2503" t="inlineStr">
        <is>
          <t>yes</t>
        </is>
      </c>
      <c r="I2503" t="inlineStr"/>
      <c r="J2503" t="inlineStr"/>
      <c r="K2503" t="inlineStr"/>
      <c r="L2503" t="inlineStr"/>
      <c r="M2503" t="inlineStr"/>
      <c r="N2503" t="inlineStr"/>
    </row>
    <row r="2504">
      <c r="A2504" t="inlineStr">
        <is>
          <t>nz-wellington</t>
        </is>
      </c>
      <c r="B2504" t="inlineStr">
        <is>
          <t>Wellington</t>
        </is>
      </c>
      <c r="C2504" t="inlineStr">
        <is>
          <t>New Zealand</t>
        </is>
      </c>
      <c r="D2504" t="inlineStr">
        <is>
          <t>Oceania</t>
        </is>
      </c>
      <c r="E2504" t="inlineStr">
        <is>
          <t>housing_burden_raw</t>
        </is>
      </c>
      <c r="F2504" t="inlineStr">
        <is>
          <t>Housing burden raw</t>
        </is>
      </c>
      <c r="G2504" t="inlineStr">
        <is>
          <t>pressure</t>
        </is>
      </c>
      <c r="H2504" t="inlineStr">
        <is>
          <t>yes</t>
        </is>
      </c>
      <c r="I2504" t="inlineStr"/>
      <c r="J2504" t="inlineStr"/>
      <c r="K2504" t="inlineStr"/>
      <c r="L2504" t="inlineStr"/>
      <c r="M2504" t="inlineStr"/>
      <c r="N2504" t="inlineStr"/>
    </row>
    <row r="2505">
      <c r="A2505" t="inlineStr">
        <is>
          <t>nz-wellington</t>
        </is>
      </c>
      <c r="B2505" t="inlineStr">
        <is>
          <t>Wellington</t>
        </is>
      </c>
      <c r="C2505" t="inlineStr">
        <is>
          <t>New Zealand</t>
        </is>
      </c>
      <c r="D2505" t="inlineStr">
        <is>
          <t>Oceania</t>
        </is>
      </c>
      <c r="E2505" t="inlineStr">
        <is>
          <t>household_debt_burden_raw</t>
        </is>
      </c>
      <c r="F2505" t="inlineStr">
        <is>
          <t>Household debt burden raw</t>
        </is>
      </c>
      <c r="G2505" t="inlineStr">
        <is>
          <t>pressure</t>
        </is>
      </c>
      <c r="H2505" t="inlineStr">
        <is>
          <t>yes</t>
        </is>
      </c>
      <c r="I2505" t="inlineStr"/>
      <c r="J2505" t="inlineStr"/>
      <c r="K2505" t="inlineStr"/>
      <c r="L2505" t="inlineStr"/>
      <c r="M2505" t="inlineStr"/>
      <c r="N2505" t="inlineStr"/>
    </row>
    <row r="2506">
      <c r="A2506" t="inlineStr">
        <is>
          <t>nz-wellington</t>
        </is>
      </c>
      <c r="B2506" t="inlineStr">
        <is>
          <t>Wellington</t>
        </is>
      </c>
      <c r="C2506" t="inlineStr">
        <is>
          <t>New Zealand</t>
        </is>
      </c>
      <c r="D2506" t="inlineStr">
        <is>
          <t>Oceania</t>
        </is>
      </c>
      <c r="E2506" t="inlineStr">
        <is>
          <t>working_time_pressure_raw</t>
        </is>
      </c>
      <c r="F2506" t="inlineStr">
        <is>
          <t>Working time pressure raw</t>
        </is>
      </c>
      <c r="G2506" t="inlineStr">
        <is>
          <t>pressure</t>
        </is>
      </c>
      <c r="H2506" t="inlineStr">
        <is>
          <t>yes</t>
        </is>
      </c>
      <c r="I2506" t="inlineStr"/>
      <c r="J2506" t="inlineStr"/>
      <c r="K2506" t="inlineStr"/>
      <c r="L2506" t="inlineStr"/>
      <c r="M2506" t="inlineStr"/>
      <c r="N2506" t="inlineStr"/>
    </row>
    <row r="2507">
      <c r="A2507" t="inlineStr">
        <is>
          <t>nz-wellington</t>
        </is>
      </c>
      <c r="B2507" t="inlineStr">
        <is>
          <t>Wellington</t>
        </is>
      </c>
      <c r="C2507" t="inlineStr">
        <is>
          <t>New Zealand</t>
        </is>
      </c>
      <c r="D2507" t="inlineStr">
        <is>
          <t>Oceania</t>
        </is>
      </c>
      <c r="E2507" t="inlineStr">
        <is>
          <t>suicide_mental_strain_raw</t>
        </is>
      </c>
      <c r="F2507" t="inlineStr">
        <is>
          <t>Suicide or mental strain raw</t>
        </is>
      </c>
      <c r="G2507" t="inlineStr">
        <is>
          <t>pressure</t>
        </is>
      </c>
      <c r="H2507" t="inlineStr">
        <is>
          <t>yes</t>
        </is>
      </c>
      <c r="I2507" t="inlineStr"/>
      <c r="J2507" t="inlineStr"/>
      <c r="K2507" t="inlineStr"/>
      <c r="L2507" t="inlineStr"/>
      <c r="M2507" t="inlineStr"/>
      <c r="N2507" t="inlineStr"/>
    </row>
    <row r="2508">
      <c r="A2508" t="inlineStr">
        <is>
          <t>nz-wellington</t>
        </is>
      </c>
      <c r="B2508" t="inlineStr">
        <is>
          <t>Wellington</t>
        </is>
      </c>
      <c r="C2508" t="inlineStr">
        <is>
          <t>New Zealand</t>
        </is>
      </c>
      <c r="D2508" t="inlineStr">
        <is>
          <t>Oceania</t>
        </is>
      </c>
      <c r="E2508" t="inlineStr">
        <is>
          <t>personal_safety_raw</t>
        </is>
      </c>
      <c r="F2508" t="inlineStr">
        <is>
          <t>Personal safety raw</t>
        </is>
      </c>
      <c r="G2508" t="inlineStr">
        <is>
          <t>viability</t>
        </is>
      </c>
      <c r="H2508" t="inlineStr">
        <is>
          <t>yes</t>
        </is>
      </c>
      <c r="I2508" t="inlineStr"/>
      <c r="J2508" t="inlineStr"/>
      <c r="K2508" t="inlineStr"/>
      <c r="L2508" t="inlineStr"/>
      <c r="M2508" t="inlineStr"/>
      <c r="N2508" t="inlineStr"/>
    </row>
    <row r="2509">
      <c r="A2509" t="inlineStr">
        <is>
          <t>nz-wellington</t>
        </is>
      </c>
      <c r="B2509" t="inlineStr">
        <is>
          <t>Wellington</t>
        </is>
      </c>
      <c r="C2509" t="inlineStr">
        <is>
          <t>New Zealand</t>
        </is>
      </c>
      <c r="D2509" t="inlineStr">
        <is>
          <t>Oceania</t>
        </is>
      </c>
      <c r="E2509" t="inlineStr">
        <is>
          <t>transit_access_commute_raw</t>
        </is>
      </c>
      <c r="F2509" t="inlineStr">
        <is>
          <t>Transit access and commute raw</t>
        </is>
      </c>
      <c r="G2509" t="inlineStr">
        <is>
          <t>viability</t>
        </is>
      </c>
      <c r="H2509" t="inlineStr">
        <is>
          <t>yes</t>
        </is>
      </c>
      <c r="I2509" t="inlineStr"/>
      <c r="J2509" t="inlineStr"/>
      <c r="K2509" t="inlineStr"/>
      <c r="L2509" t="inlineStr"/>
      <c r="M2509" t="inlineStr"/>
      <c r="N2509" t="inlineStr"/>
    </row>
    <row r="2510">
      <c r="A2510" t="inlineStr">
        <is>
          <t>nz-wellington</t>
        </is>
      </c>
      <c r="B2510" t="inlineStr">
        <is>
          <t>Wellington</t>
        </is>
      </c>
      <c r="C2510" t="inlineStr">
        <is>
          <t>New Zealand</t>
        </is>
      </c>
      <c r="D2510" t="inlineStr">
        <is>
          <t>Oceania</t>
        </is>
      </c>
      <c r="E2510" t="inlineStr">
        <is>
          <t>clean_air_raw</t>
        </is>
      </c>
      <c r="F2510" t="inlineStr">
        <is>
          <t>Clean air raw</t>
        </is>
      </c>
      <c r="G2510" t="inlineStr">
        <is>
          <t>viability</t>
        </is>
      </c>
      <c r="H2510" t="inlineStr">
        <is>
          <t>yes</t>
        </is>
      </c>
      <c r="I2510" t="inlineStr"/>
      <c r="J2510" t="inlineStr"/>
      <c r="K2510" t="inlineStr"/>
      <c r="L2510" t="inlineStr"/>
      <c r="M2510" t="inlineStr"/>
      <c r="N2510" t="inlineStr"/>
    </row>
    <row r="2511">
      <c r="A2511" t="inlineStr">
        <is>
          <t>nz-wellington</t>
        </is>
      </c>
      <c r="B2511" t="inlineStr">
        <is>
          <t>Wellington</t>
        </is>
      </c>
      <c r="C2511" t="inlineStr">
        <is>
          <t>New Zealand</t>
        </is>
      </c>
      <c r="D2511" t="inlineStr">
        <is>
          <t>Oceania</t>
        </is>
      </c>
      <c r="E2511" t="inlineStr">
        <is>
          <t>water_sanitation_utility_raw</t>
        </is>
      </c>
      <c r="F2511" t="inlineStr">
        <is>
          <t>Water, sanitation, and utility raw</t>
        </is>
      </c>
      <c r="G2511" t="inlineStr">
        <is>
          <t>viability</t>
        </is>
      </c>
      <c r="H2511" t="inlineStr">
        <is>
          <t>yes</t>
        </is>
      </c>
      <c r="I2511" t="inlineStr"/>
      <c r="J2511" t="inlineStr"/>
      <c r="K2511" t="inlineStr"/>
      <c r="L2511" t="inlineStr"/>
      <c r="M2511" t="inlineStr"/>
      <c r="N2511" t="inlineStr"/>
    </row>
    <row r="2512">
      <c r="A2512" t="inlineStr">
        <is>
          <t>nz-wellington</t>
        </is>
      </c>
      <c r="B2512" t="inlineStr">
        <is>
          <t>Wellington</t>
        </is>
      </c>
      <c r="C2512" t="inlineStr">
        <is>
          <t>New Zealand</t>
        </is>
      </c>
      <c r="D2512" t="inlineStr">
        <is>
          <t>Oceania</t>
        </is>
      </c>
      <c r="E2512" t="inlineStr">
        <is>
          <t>digital_infrastructure_raw</t>
        </is>
      </c>
      <c r="F2512" t="inlineStr">
        <is>
          <t>Digital infrastructure raw</t>
        </is>
      </c>
      <c r="G2512" t="inlineStr">
        <is>
          <t>viability</t>
        </is>
      </c>
      <c r="H2512" t="inlineStr">
        <is>
          <t>yes</t>
        </is>
      </c>
      <c r="I2512" t="inlineStr"/>
      <c r="J2512" t="inlineStr"/>
      <c r="K2512" t="inlineStr"/>
      <c r="L2512" t="inlineStr"/>
      <c r="M2512" t="inlineStr"/>
      <c r="N2512" t="inlineStr"/>
    </row>
    <row r="2513">
      <c r="A2513" t="inlineStr">
        <is>
          <t>nz-wellington</t>
        </is>
      </c>
      <c r="B2513" t="inlineStr">
        <is>
          <t>Wellington</t>
        </is>
      </c>
      <c r="C2513" t="inlineStr">
        <is>
          <t>New Zealand</t>
        </is>
      </c>
      <c r="D2513" t="inlineStr">
        <is>
          <t>Oceania</t>
        </is>
      </c>
      <c r="E2513" t="inlineStr">
        <is>
          <t>healthcare_quality_raw</t>
        </is>
      </c>
      <c r="F2513" t="inlineStr">
        <is>
          <t>Healthcare quality raw</t>
        </is>
      </c>
      <c r="G2513" t="inlineStr">
        <is>
          <t>capability</t>
        </is>
      </c>
      <c r="H2513" t="inlineStr">
        <is>
          <t>yes</t>
        </is>
      </c>
      <c r="I2513" t="inlineStr"/>
      <c r="J2513" t="inlineStr"/>
      <c r="K2513" t="inlineStr"/>
      <c r="L2513" t="inlineStr"/>
      <c r="M2513" t="inlineStr"/>
      <c r="N2513" t="inlineStr"/>
    </row>
    <row r="2514">
      <c r="A2514" t="inlineStr">
        <is>
          <t>nz-wellington</t>
        </is>
      </c>
      <c r="B2514" t="inlineStr">
        <is>
          <t>Wellington</t>
        </is>
      </c>
      <c r="C2514" t="inlineStr">
        <is>
          <t>New Zealand</t>
        </is>
      </c>
      <c r="D2514" t="inlineStr">
        <is>
          <t>Oceania</t>
        </is>
      </c>
      <c r="E2514" t="inlineStr">
        <is>
          <t>education_quality_raw</t>
        </is>
      </c>
      <c r="F2514" t="inlineStr">
        <is>
          <t>Education quality raw</t>
        </is>
      </c>
      <c r="G2514" t="inlineStr">
        <is>
          <t>capability</t>
        </is>
      </c>
      <c r="H2514" t="inlineStr">
        <is>
          <t>yes</t>
        </is>
      </c>
      <c r="I2514" t="inlineStr"/>
      <c r="J2514" t="inlineStr"/>
      <c r="K2514" t="inlineStr"/>
      <c r="L2514" t="inlineStr"/>
      <c r="M2514" t="inlineStr"/>
      <c r="N2514" t="inlineStr"/>
    </row>
    <row r="2515">
      <c r="A2515" t="inlineStr">
        <is>
          <t>nz-wellington</t>
        </is>
      </c>
      <c r="B2515" t="inlineStr">
        <is>
          <t>Wellington</t>
        </is>
      </c>
      <c r="C2515" t="inlineStr">
        <is>
          <t>New Zealand</t>
        </is>
      </c>
      <c r="D2515" t="inlineStr">
        <is>
          <t>Oceania</t>
        </is>
      </c>
      <c r="E2515" t="inlineStr">
        <is>
          <t>equal_opportunity_raw</t>
        </is>
      </c>
      <c r="F2515" t="inlineStr">
        <is>
          <t>Equal opportunity raw</t>
        </is>
      </c>
      <c r="G2515" t="inlineStr">
        <is>
          <t>capability</t>
        </is>
      </c>
      <c r="H2515" t="inlineStr">
        <is>
          <t>yes</t>
        </is>
      </c>
      <c r="I2515" t="inlineStr"/>
      <c r="J2515" t="inlineStr"/>
      <c r="K2515" t="inlineStr"/>
      <c r="L2515" t="inlineStr"/>
      <c r="M2515" t="inlineStr"/>
      <c r="N2515" t="inlineStr"/>
    </row>
    <row r="2516">
      <c r="A2516" t="inlineStr">
        <is>
          <t>nz-wellington</t>
        </is>
      </c>
      <c r="B2516" t="inlineStr">
        <is>
          <t>Wellington</t>
        </is>
      </c>
      <c r="C2516" t="inlineStr">
        <is>
          <t>New Zealand</t>
        </is>
      </c>
      <c r="D2516" t="inlineStr">
        <is>
          <t>Oceania</t>
        </is>
      </c>
      <c r="E2516" t="inlineStr">
        <is>
          <t>hospitality_belonging_raw</t>
        </is>
      </c>
      <c r="F2516" t="inlineStr">
        <is>
          <t>Hospitality and belonging raw</t>
        </is>
      </c>
      <c r="G2516" t="inlineStr">
        <is>
          <t>community</t>
        </is>
      </c>
      <c r="H2516" t="inlineStr">
        <is>
          <t>yes</t>
        </is>
      </c>
      <c r="I2516" t="inlineStr"/>
      <c r="J2516" t="inlineStr"/>
      <c r="K2516" t="inlineStr"/>
      <c r="L2516" t="inlineStr"/>
      <c r="M2516" t="inlineStr"/>
      <c r="N2516" t="inlineStr"/>
    </row>
    <row r="2517">
      <c r="A2517" t="inlineStr">
        <is>
          <t>nz-wellington</t>
        </is>
      </c>
      <c r="B2517" t="inlineStr">
        <is>
          <t>Wellington</t>
        </is>
      </c>
      <c r="C2517" t="inlineStr">
        <is>
          <t>New Zealand</t>
        </is>
      </c>
      <c r="D2517" t="inlineStr">
        <is>
          <t>Oceania</t>
        </is>
      </c>
      <c r="E2517" t="inlineStr">
        <is>
          <t>tolerance_pluralism_raw</t>
        </is>
      </c>
      <c r="F2517" t="inlineStr">
        <is>
          <t>Tolerance and pluralism raw</t>
        </is>
      </c>
      <c r="G2517" t="inlineStr">
        <is>
          <t>community</t>
        </is>
      </c>
      <c r="H2517" t="inlineStr">
        <is>
          <t>yes</t>
        </is>
      </c>
      <c r="I2517" t="inlineStr"/>
      <c r="J2517" t="inlineStr"/>
      <c r="K2517" t="inlineStr"/>
      <c r="L2517" t="inlineStr"/>
      <c r="M2517" t="inlineStr"/>
      <c r="N2517" t="inlineStr"/>
    </row>
    <row r="2518">
      <c r="A2518" t="inlineStr">
        <is>
          <t>nz-wellington</t>
        </is>
      </c>
      <c r="B2518" t="inlineStr">
        <is>
          <t>Wellington</t>
        </is>
      </c>
      <c r="C2518" t="inlineStr">
        <is>
          <t>New Zealand</t>
        </is>
      </c>
      <c r="D2518" t="inlineStr">
        <is>
          <t>Oceania</t>
        </is>
      </c>
      <c r="E2518" t="inlineStr">
        <is>
          <t>cultural_public_life_raw</t>
        </is>
      </c>
      <c r="F2518" t="inlineStr">
        <is>
          <t>Cultural public life raw</t>
        </is>
      </c>
      <c r="G2518" t="inlineStr">
        <is>
          <t>community</t>
        </is>
      </c>
      <c r="H2518" t="inlineStr">
        <is>
          <t>yes</t>
        </is>
      </c>
      <c r="I2518" t="inlineStr"/>
      <c r="J2518" t="inlineStr"/>
      <c r="K2518" t="inlineStr"/>
      <c r="L2518" t="inlineStr"/>
      <c r="M2518" t="inlineStr"/>
      <c r="N2518" t="inlineStr"/>
    </row>
    <row r="2519">
      <c r="A2519" t="inlineStr">
        <is>
          <t>nz-wellington</t>
        </is>
      </c>
      <c r="B2519" t="inlineStr">
        <is>
          <t>Wellington</t>
        </is>
      </c>
      <c r="C2519" t="inlineStr">
        <is>
          <t>New Zealand</t>
        </is>
      </c>
      <c r="D2519" t="inlineStr">
        <is>
          <t>Oceania</t>
        </is>
      </c>
      <c r="E2519" t="inlineStr">
        <is>
          <t>entrepreneurial_dynamism_raw</t>
        </is>
      </c>
      <c r="F2519" t="inlineStr">
        <is>
          <t>Entrepreneurial dynamism raw</t>
        </is>
      </c>
      <c r="G2519" t="inlineStr">
        <is>
          <t>creative</t>
        </is>
      </c>
      <c r="H2519" t="inlineStr">
        <is>
          <t>yes</t>
        </is>
      </c>
      <c r="I2519" t="inlineStr"/>
      <c r="J2519" t="inlineStr"/>
      <c r="K2519" t="inlineStr"/>
      <c r="L2519" t="inlineStr"/>
      <c r="M2519" t="inlineStr"/>
      <c r="N2519" t="inlineStr"/>
    </row>
    <row r="2520">
      <c r="A2520" t="inlineStr">
        <is>
          <t>nz-wellington</t>
        </is>
      </c>
      <c r="B2520" t="inlineStr">
        <is>
          <t>Wellington</t>
        </is>
      </c>
      <c r="C2520" t="inlineStr">
        <is>
          <t>New Zealand</t>
        </is>
      </c>
      <c r="D2520" t="inlineStr">
        <is>
          <t>Oceania</t>
        </is>
      </c>
      <c r="E2520" t="inlineStr">
        <is>
          <t>innovation_research_intensity_raw</t>
        </is>
      </c>
      <c r="F2520" t="inlineStr">
        <is>
          <t>Innovation and research raw</t>
        </is>
      </c>
      <c r="G2520" t="inlineStr">
        <is>
          <t>creative</t>
        </is>
      </c>
      <c r="H2520" t="inlineStr">
        <is>
          <t>yes</t>
        </is>
      </c>
      <c r="I2520" t="inlineStr"/>
      <c r="J2520" t="inlineStr"/>
      <c r="K2520" t="inlineStr"/>
      <c r="L2520" t="inlineStr"/>
      <c r="M2520" t="inlineStr"/>
      <c r="N2520" t="inlineStr"/>
    </row>
    <row r="2521">
      <c r="A2521" t="inlineStr">
        <is>
          <t>nz-wellington</t>
        </is>
      </c>
      <c r="B2521" t="inlineStr">
        <is>
          <t>Wellington</t>
        </is>
      </c>
      <c r="C2521" t="inlineStr">
        <is>
          <t>New Zealand</t>
        </is>
      </c>
      <c r="D2521" t="inlineStr">
        <is>
          <t>Oceania</t>
        </is>
      </c>
      <c r="E2521" t="inlineStr">
        <is>
          <t>investment_signal_raw</t>
        </is>
      </c>
      <c r="F2521" t="inlineStr">
        <is>
          <t>Investment signal raw</t>
        </is>
      </c>
      <c r="G2521" t="inlineStr">
        <is>
          <t>creative</t>
        </is>
      </c>
      <c r="H2521" t="inlineStr">
        <is>
          <t>yes</t>
        </is>
      </c>
      <c r="I2521" t="inlineStr"/>
      <c r="J2521" t="inlineStr"/>
      <c r="K2521" t="inlineStr"/>
      <c r="L2521" t="inlineStr"/>
      <c r="M2521" t="inlineStr"/>
      <c r="N2521" t="inlineStr"/>
    </row>
    <row r="2522">
      <c r="A2522" t="inlineStr">
        <is>
          <t>nz-wellington</t>
        </is>
      </c>
      <c r="B2522" t="inlineStr">
        <is>
          <t>Wellington</t>
        </is>
      </c>
      <c r="C2522" t="inlineStr">
        <is>
          <t>New Zealand</t>
        </is>
      </c>
      <c r="D2522" t="inlineStr">
        <is>
          <t>Oceania</t>
        </is>
      </c>
      <c r="E2522" t="inlineStr">
        <is>
          <t>administrative_investment_friction_raw</t>
        </is>
      </c>
      <c r="F2522" t="inlineStr">
        <is>
          <t>Administrative investment friction raw</t>
        </is>
      </c>
      <c r="G2522" t="inlineStr">
        <is>
          <t>creative</t>
        </is>
      </c>
      <c r="H2522" t="inlineStr">
        <is>
          <t>yes</t>
        </is>
      </c>
      <c r="I2522" t="inlineStr"/>
      <c r="J2522" t="inlineStr"/>
      <c r="K2522" t="inlineStr"/>
      <c r="L2522" t="inlineStr"/>
      <c r="M2522" t="inlineStr"/>
      <c r="N2522" t="inlineStr"/>
    </row>
    <row r="2523">
      <c r="A2523" t="inlineStr">
        <is>
          <t>nz-wellington</t>
        </is>
      </c>
      <c r="B2523" t="inlineStr">
        <is>
          <t>Wellington</t>
        </is>
      </c>
      <c r="C2523" t="inlineStr">
        <is>
          <t>New Zealand</t>
        </is>
      </c>
      <c r="D2523" t="inlineStr">
        <is>
          <t>Oceania</t>
        </is>
      </c>
      <c r="E2523" t="inlineStr">
        <is>
          <t>visitor_flow_context_raw</t>
        </is>
      </c>
      <c r="F2523" t="inlineStr">
        <is>
          <t>Visitor flow context raw</t>
        </is>
      </c>
      <c r="G2523" t="inlineStr">
        <is>
          <t>creative</t>
        </is>
      </c>
      <c r="H2523" t="inlineStr">
        <is>
          <t>no</t>
        </is>
      </c>
      <c r="I2523" t="inlineStr"/>
      <c r="J2523" t="inlineStr"/>
      <c r="K2523" t="inlineStr"/>
      <c r="L2523" t="inlineStr"/>
      <c r="M2523" t="inlineStr"/>
      <c r="N2523" t="inlineStr"/>
    </row>
    <row r="2524">
      <c r="A2524" t="inlineStr">
        <is>
          <t>au-perth</t>
        </is>
      </c>
      <c r="B2524" t="inlineStr">
        <is>
          <t>Perth</t>
        </is>
      </c>
      <c r="C2524" t="inlineStr">
        <is>
          <t>Australia</t>
        </is>
      </c>
      <c r="D2524" t="inlineStr">
        <is>
          <t>Oceania</t>
        </is>
      </c>
      <c r="E2524" t="inlineStr">
        <is>
          <t>gross_income</t>
        </is>
      </c>
      <c r="F2524" t="inlineStr">
        <is>
          <t>Gross income</t>
        </is>
      </c>
      <c r="G2524" t="inlineStr">
        <is>
          <t>pressure</t>
        </is>
      </c>
      <c r="H2524" t="inlineStr">
        <is>
          <t>yes</t>
        </is>
      </c>
      <c r="I2524" t="inlineStr"/>
      <c r="J2524" t="inlineStr"/>
      <c r="K2524" t="inlineStr"/>
      <c r="L2524" t="inlineStr"/>
      <c r="M2524" t="inlineStr"/>
      <c r="N2524" t="inlineStr"/>
    </row>
    <row r="2525">
      <c r="A2525" t="inlineStr">
        <is>
          <t>au-perth</t>
        </is>
      </c>
      <c r="B2525" t="inlineStr">
        <is>
          <t>Perth</t>
        </is>
      </c>
      <c r="C2525" t="inlineStr">
        <is>
          <t>Australia</t>
        </is>
      </c>
      <c r="D2525" t="inlineStr">
        <is>
          <t>Oceania</t>
        </is>
      </c>
      <c r="E2525" t="inlineStr">
        <is>
          <t>rent</t>
        </is>
      </c>
      <c r="F2525" t="inlineStr">
        <is>
          <t>Rent</t>
        </is>
      </c>
      <c r="G2525" t="inlineStr">
        <is>
          <t>pressure</t>
        </is>
      </c>
      <c r="H2525" t="inlineStr">
        <is>
          <t>yes</t>
        </is>
      </c>
      <c r="I2525" t="inlineStr"/>
      <c r="J2525" t="inlineStr"/>
      <c r="K2525" t="inlineStr"/>
      <c r="L2525" t="inlineStr"/>
      <c r="M2525" t="inlineStr"/>
      <c r="N2525" t="inlineStr"/>
    </row>
    <row r="2526">
      <c r="A2526" t="inlineStr">
        <is>
          <t>au-perth</t>
        </is>
      </c>
      <c r="B2526" t="inlineStr">
        <is>
          <t>Perth</t>
        </is>
      </c>
      <c r="C2526" t="inlineStr">
        <is>
          <t>Australia</t>
        </is>
      </c>
      <c r="D2526" t="inlineStr">
        <is>
          <t>Oceania</t>
        </is>
      </c>
      <c r="E2526" t="inlineStr">
        <is>
          <t>utilities</t>
        </is>
      </c>
      <c r="F2526" t="inlineStr">
        <is>
          <t>Utilities</t>
        </is>
      </c>
      <c r="G2526" t="inlineStr">
        <is>
          <t>pressure</t>
        </is>
      </c>
      <c r="H2526" t="inlineStr">
        <is>
          <t>yes</t>
        </is>
      </c>
      <c r="I2526" t="inlineStr"/>
      <c r="J2526" t="inlineStr"/>
      <c r="K2526" t="inlineStr"/>
      <c r="L2526" t="inlineStr"/>
      <c r="M2526" t="inlineStr"/>
      <c r="N2526" t="inlineStr"/>
    </row>
    <row r="2527">
      <c r="A2527" t="inlineStr">
        <is>
          <t>au-perth</t>
        </is>
      </c>
      <c r="B2527" t="inlineStr">
        <is>
          <t>Perth</t>
        </is>
      </c>
      <c r="C2527" t="inlineStr">
        <is>
          <t>Australia</t>
        </is>
      </c>
      <c r="D2527" t="inlineStr">
        <is>
          <t>Oceania</t>
        </is>
      </c>
      <c r="E2527" t="inlineStr">
        <is>
          <t>transit_cost</t>
        </is>
      </c>
      <c r="F2527" t="inlineStr">
        <is>
          <t>Transit cost</t>
        </is>
      </c>
      <c r="G2527" t="inlineStr">
        <is>
          <t>pressure</t>
        </is>
      </c>
      <c r="H2527" t="inlineStr">
        <is>
          <t>yes</t>
        </is>
      </c>
      <c r="I2527" t="inlineStr"/>
      <c r="J2527" t="inlineStr"/>
      <c r="K2527" t="inlineStr"/>
      <c r="L2527" t="inlineStr"/>
      <c r="M2527" t="inlineStr"/>
      <c r="N2527" t="inlineStr"/>
    </row>
    <row r="2528">
      <c r="A2528" t="inlineStr">
        <is>
          <t>au-perth</t>
        </is>
      </c>
      <c r="B2528" t="inlineStr">
        <is>
          <t>Perth</t>
        </is>
      </c>
      <c r="C2528" t="inlineStr">
        <is>
          <t>Australia</t>
        </is>
      </c>
      <c r="D2528" t="inlineStr">
        <is>
          <t>Oceania</t>
        </is>
      </c>
      <c r="E2528" t="inlineStr">
        <is>
          <t>internet_cost</t>
        </is>
      </c>
      <c r="F2528" t="inlineStr">
        <is>
          <t>Internet cost</t>
        </is>
      </c>
      <c r="G2528" t="inlineStr">
        <is>
          <t>pressure</t>
        </is>
      </c>
      <c r="H2528" t="inlineStr">
        <is>
          <t>yes</t>
        </is>
      </c>
      <c r="I2528" t="inlineStr"/>
      <c r="J2528" t="inlineStr"/>
      <c r="K2528" t="inlineStr"/>
      <c r="L2528" t="inlineStr"/>
      <c r="M2528" t="inlineStr"/>
      <c r="N2528" t="inlineStr"/>
    </row>
    <row r="2529">
      <c r="A2529" t="inlineStr">
        <is>
          <t>au-perth</t>
        </is>
      </c>
      <c r="B2529" t="inlineStr">
        <is>
          <t>Perth</t>
        </is>
      </c>
      <c r="C2529" t="inlineStr">
        <is>
          <t>Australia</t>
        </is>
      </c>
      <c r="D2529" t="inlineStr">
        <is>
          <t>Oceania</t>
        </is>
      </c>
      <c r="E2529" t="inlineStr">
        <is>
          <t>food_cost</t>
        </is>
      </c>
      <c r="F2529" t="inlineStr">
        <is>
          <t>Food cost</t>
        </is>
      </c>
      <c r="G2529" t="inlineStr">
        <is>
          <t>pressure</t>
        </is>
      </c>
      <c r="H2529" t="inlineStr">
        <is>
          <t>yes</t>
        </is>
      </c>
      <c r="I2529" t="inlineStr"/>
      <c r="J2529" t="inlineStr"/>
      <c r="K2529" t="inlineStr"/>
      <c r="L2529" t="inlineStr"/>
      <c r="M2529" t="inlineStr"/>
      <c r="N2529" t="inlineStr"/>
    </row>
    <row r="2530">
      <c r="A2530" t="inlineStr">
        <is>
          <t>au-perth</t>
        </is>
      </c>
      <c r="B2530" t="inlineStr">
        <is>
          <t>Perth</t>
        </is>
      </c>
      <c r="C2530" t="inlineStr">
        <is>
          <t>Australia</t>
        </is>
      </c>
      <c r="D2530" t="inlineStr">
        <is>
          <t>Oceania</t>
        </is>
      </c>
      <c r="E2530" t="inlineStr">
        <is>
          <t>housing_burden_raw</t>
        </is>
      </c>
      <c r="F2530" t="inlineStr">
        <is>
          <t>Housing burden raw</t>
        </is>
      </c>
      <c r="G2530" t="inlineStr">
        <is>
          <t>pressure</t>
        </is>
      </c>
      <c r="H2530" t="inlineStr">
        <is>
          <t>yes</t>
        </is>
      </c>
      <c r="I2530" t="inlineStr"/>
      <c r="J2530" t="inlineStr"/>
      <c r="K2530" t="inlineStr"/>
      <c r="L2530" t="inlineStr"/>
      <c r="M2530" t="inlineStr"/>
      <c r="N2530" t="inlineStr"/>
    </row>
    <row r="2531">
      <c r="A2531" t="inlineStr">
        <is>
          <t>au-perth</t>
        </is>
      </c>
      <c r="B2531" t="inlineStr">
        <is>
          <t>Perth</t>
        </is>
      </c>
      <c r="C2531" t="inlineStr">
        <is>
          <t>Australia</t>
        </is>
      </c>
      <c r="D2531" t="inlineStr">
        <is>
          <t>Oceania</t>
        </is>
      </c>
      <c r="E2531" t="inlineStr">
        <is>
          <t>household_debt_burden_raw</t>
        </is>
      </c>
      <c r="F2531" t="inlineStr">
        <is>
          <t>Household debt burden raw</t>
        </is>
      </c>
      <c r="G2531" t="inlineStr">
        <is>
          <t>pressure</t>
        </is>
      </c>
      <c r="H2531" t="inlineStr">
        <is>
          <t>yes</t>
        </is>
      </c>
      <c r="I2531" t="inlineStr"/>
      <c r="J2531" t="inlineStr"/>
      <c r="K2531" t="inlineStr"/>
      <c r="L2531" t="inlineStr"/>
      <c r="M2531" t="inlineStr"/>
      <c r="N2531" t="inlineStr"/>
    </row>
    <row r="2532">
      <c r="A2532" t="inlineStr">
        <is>
          <t>au-perth</t>
        </is>
      </c>
      <c r="B2532" t="inlineStr">
        <is>
          <t>Perth</t>
        </is>
      </c>
      <c r="C2532" t="inlineStr">
        <is>
          <t>Australia</t>
        </is>
      </c>
      <c r="D2532" t="inlineStr">
        <is>
          <t>Oceania</t>
        </is>
      </c>
      <c r="E2532" t="inlineStr">
        <is>
          <t>working_time_pressure_raw</t>
        </is>
      </c>
      <c r="F2532" t="inlineStr">
        <is>
          <t>Working time pressure raw</t>
        </is>
      </c>
      <c r="G2532" t="inlineStr">
        <is>
          <t>pressure</t>
        </is>
      </c>
      <c r="H2532" t="inlineStr">
        <is>
          <t>yes</t>
        </is>
      </c>
      <c r="I2532" t="inlineStr"/>
      <c r="J2532" t="inlineStr"/>
      <c r="K2532" t="inlineStr"/>
      <c r="L2532" t="inlineStr"/>
      <c r="M2532" t="inlineStr"/>
      <c r="N2532" t="inlineStr"/>
    </row>
    <row r="2533">
      <c r="A2533" t="inlineStr">
        <is>
          <t>au-perth</t>
        </is>
      </c>
      <c r="B2533" t="inlineStr">
        <is>
          <t>Perth</t>
        </is>
      </c>
      <c r="C2533" t="inlineStr">
        <is>
          <t>Australia</t>
        </is>
      </c>
      <c r="D2533" t="inlineStr">
        <is>
          <t>Oceania</t>
        </is>
      </c>
      <c r="E2533" t="inlineStr">
        <is>
          <t>suicide_mental_strain_raw</t>
        </is>
      </c>
      <c r="F2533" t="inlineStr">
        <is>
          <t>Suicide or mental strain raw</t>
        </is>
      </c>
      <c r="G2533" t="inlineStr">
        <is>
          <t>pressure</t>
        </is>
      </c>
      <c r="H2533" t="inlineStr">
        <is>
          <t>yes</t>
        </is>
      </c>
      <c r="I2533" t="inlineStr"/>
      <c r="J2533" t="inlineStr"/>
      <c r="K2533" t="inlineStr"/>
      <c r="L2533" t="inlineStr"/>
      <c r="M2533" t="inlineStr"/>
      <c r="N2533" t="inlineStr"/>
    </row>
    <row r="2534">
      <c r="A2534" t="inlineStr">
        <is>
          <t>au-perth</t>
        </is>
      </c>
      <c r="B2534" t="inlineStr">
        <is>
          <t>Perth</t>
        </is>
      </c>
      <c r="C2534" t="inlineStr">
        <is>
          <t>Australia</t>
        </is>
      </c>
      <c r="D2534" t="inlineStr">
        <is>
          <t>Oceania</t>
        </is>
      </c>
      <c r="E2534" t="inlineStr">
        <is>
          <t>personal_safety_raw</t>
        </is>
      </c>
      <c r="F2534" t="inlineStr">
        <is>
          <t>Personal safety raw</t>
        </is>
      </c>
      <c r="G2534" t="inlineStr">
        <is>
          <t>viability</t>
        </is>
      </c>
      <c r="H2534" t="inlineStr">
        <is>
          <t>yes</t>
        </is>
      </c>
      <c r="I2534" t="inlineStr"/>
      <c r="J2534" t="inlineStr"/>
      <c r="K2534" t="inlineStr"/>
      <c r="L2534" t="inlineStr"/>
      <c r="M2534" t="inlineStr"/>
      <c r="N2534" t="inlineStr"/>
    </row>
    <row r="2535">
      <c r="A2535" t="inlineStr">
        <is>
          <t>au-perth</t>
        </is>
      </c>
      <c r="B2535" t="inlineStr">
        <is>
          <t>Perth</t>
        </is>
      </c>
      <c r="C2535" t="inlineStr">
        <is>
          <t>Australia</t>
        </is>
      </c>
      <c r="D2535" t="inlineStr">
        <is>
          <t>Oceania</t>
        </is>
      </c>
      <c r="E2535" t="inlineStr">
        <is>
          <t>transit_access_commute_raw</t>
        </is>
      </c>
      <c r="F2535" t="inlineStr">
        <is>
          <t>Transit access and commute raw</t>
        </is>
      </c>
      <c r="G2535" t="inlineStr">
        <is>
          <t>viability</t>
        </is>
      </c>
      <c r="H2535" t="inlineStr">
        <is>
          <t>yes</t>
        </is>
      </c>
      <c r="I2535" t="inlineStr"/>
      <c r="J2535" t="inlineStr"/>
      <c r="K2535" t="inlineStr"/>
      <c r="L2535" t="inlineStr"/>
      <c r="M2535" t="inlineStr"/>
      <c r="N2535" t="inlineStr"/>
    </row>
    <row r="2536">
      <c r="A2536" t="inlineStr">
        <is>
          <t>au-perth</t>
        </is>
      </c>
      <c r="B2536" t="inlineStr">
        <is>
          <t>Perth</t>
        </is>
      </c>
      <c r="C2536" t="inlineStr">
        <is>
          <t>Australia</t>
        </is>
      </c>
      <c r="D2536" t="inlineStr">
        <is>
          <t>Oceania</t>
        </is>
      </c>
      <c r="E2536" t="inlineStr">
        <is>
          <t>clean_air_raw</t>
        </is>
      </c>
      <c r="F2536" t="inlineStr">
        <is>
          <t>Clean air raw</t>
        </is>
      </c>
      <c r="G2536" t="inlineStr">
        <is>
          <t>viability</t>
        </is>
      </c>
      <c r="H2536" t="inlineStr">
        <is>
          <t>yes</t>
        </is>
      </c>
      <c r="I2536" t="inlineStr"/>
      <c r="J2536" t="inlineStr"/>
      <c r="K2536" t="inlineStr"/>
      <c r="L2536" t="inlineStr"/>
      <c r="M2536" t="inlineStr"/>
      <c r="N2536" t="inlineStr"/>
    </row>
    <row r="2537">
      <c r="A2537" t="inlineStr">
        <is>
          <t>au-perth</t>
        </is>
      </c>
      <c r="B2537" t="inlineStr">
        <is>
          <t>Perth</t>
        </is>
      </c>
      <c r="C2537" t="inlineStr">
        <is>
          <t>Australia</t>
        </is>
      </c>
      <c r="D2537" t="inlineStr">
        <is>
          <t>Oceania</t>
        </is>
      </c>
      <c r="E2537" t="inlineStr">
        <is>
          <t>water_sanitation_utility_raw</t>
        </is>
      </c>
      <c r="F2537" t="inlineStr">
        <is>
          <t>Water, sanitation, and utility raw</t>
        </is>
      </c>
      <c r="G2537" t="inlineStr">
        <is>
          <t>viability</t>
        </is>
      </c>
      <c r="H2537" t="inlineStr">
        <is>
          <t>yes</t>
        </is>
      </c>
      <c r="I2537" t="inlineStr"/>
      <c r="J2537" t="inlineStr"/>
      <c r="K2537" t="inlineStr"/>
      <c r="L2537" t="inlineStr"/>
      <c r="M2537" t="inlineStr"/>
      <c r="N2537" t="inlineStr"/>
    </row>
    <row r="2538">
      <c r="A2538" t="inlineStr">
        <is>
          <t>au-perth</t>
        </is>
      </c>
      <c r="B2538" t="inlineStr">
        <is>
          <t>Perth</t>
        </is>
      </c>
      <c r="C2538" t="inlineStr">
        <is>
          <t>Australia</t>
        </is>
      </c>
      <c r="D2538" t="inlineStr">
        <is>
          <t>Oceania</t>
        </is>
      </c>
      <c r="E2538" t="inlineStr">
        <is>
          <t>digital_infrastructure_raw</t>
        </is>
      </c>
      <c r="F2538" t="inlineStr">
        <is>
          <t>Digital infrastructure raw</t>
        </is>
      </c>
      <c r="G2538" t="inlineStr">
        <is>
          <t>viability</t>
        </is>
      </c>
      <c r="H2538" t="inlineStr">
        <is>
          <t>yes</t>
        </is>
      </c>
      <c r="I2538" t="inlineStr"/>
      <c r="J2538" t="inlineStr"/>
      <c r="K2538" t="inlineStr"/>
      <c r="L2538" t="inlineStr"/>
      <c r="M2538" t="inlineStr"/>
      <c r="N2538" t="inlineStr"/>
    </row>
    <row r="2539">
      <c r="A2539" t="inlineStr">
        <is>
          <t>au-perth</t>
        </is>
      </c>
      <c r="B2539" t="inlineStr">
        <is>
          <t>Perth</t>
        </is>
      </c>
      <c r="C2539" t="inlineStr">
        <is>
          <t>Australia</t>
        </is>
      </c>
      <c r="D2539" t="inlineStr">
        <is>
          <t>Oceania</t>
        </is>
      </c>
      <c r="E2539" t="inlineStr">
        <is>
          <t>healthcare_quality_raw</t>
        </is>
      </c>
      <c r="F2539" t="inlineStr">
        <is>
          <t>Healthcare quality raw</t>
        </is>
      </c>
      <c r="G2539" t="inlineStr">
        <is>
          <t>capability</t>
        </is>
      </c>
      <c r="H2539" t="inlineStr">
        <is>
          <t>yes</t>
        </is>
      </c>
      <c r="I2539" t="inlineStr"/>
      <c r="J2539" t="inlineStr"/>
      <c r="K2539" t="inlineStr"/>
      <c r="L2539" t="inlineStr"/>
      <c r="M2539" t="inlineStr"/>
      <c r="N2539" t="inlineStr"/>
    </row>
    <row r="2540">
      <c r="A2540" t="inlineStr">
        <is>
          <t>au-perth</t>
        </is>
      </c>
      <c r="B2540" t="inlineStr">
        <is>
          <t>Perth</t>
        </is>
      </c>
      <c r="C2540" t="inlineStr">
        <is>
          <t>Australia</t>
        </is>
      </c>
      <c r="D2540" t="inlineStr">
        <is>
          <t>Oceania</t>
        </is>
      </c>
      <c r="E2540" t="inlineStr">
        <is>
          <t>education_quality_raw</t>
        </is>
      </c>
      <c r="F2540" t="inlineStr">
        <is>
          <t>Education quality raw</t>
        </is>
      </c>
      <c r="G2540" t="inlineStr">
        <is>
          <t>capability</t>
        </is>
      </c>
      <c r="H2540" t="inlineStr">
        <is>
          <t>yes</t>
        </is>
      </c>
      <c r="I2540" t="inlineStr"/>
      <c r="J2540" t="inlineStr"/>
      <c r="K2540" t="inlineStr"/>
      <c r="L2540" t="inlineStr"/>
      <c r="M2540" t="inlineStr"/>
      <c r="N2540" t="inlineStr"/>
    </row>
    <row r="2541">
      <c r="A2541" t="inlineStr">
        <is>
          <t>au-perth</t>
        </is>
      </c>
      <c r="B2541" t="inlineStr">
        <is>
          <t>Perth</t>
        </is>
      </c>
      <c r="C2541" t="inlineStr">
        <is>
          <t>Australia</t>
        </is>
      </c>
      <c r="D2541" t="inlineStr">
        <is>
          <t>Oceania</t>
        </is>
      </c>
      <c r="E2541" t="inlineStr">
        <is>
          <t>equal_opportunity_raw</t>
        </is>
      </c>
      <c r="F2541" t="inlineStr">
        <is>
          <t>Equal opportunity raw</t>
        </is>
      </c>
      <c r="G2541" t="inlineStr">
        <is>
          <t>capability</t>
        </is>
      </c>
      <c r="H2541" t="inlineStr">
        <is>
          <t>yes</t>
        </is>
      </c>
      <c r="I2541" t="inlineStr"/>
      <c r="J2541" t="inlineStr"/>
      <c r="K2541" t="inlineStr"/>
      <c r="L2541" t="inlineStr"/>
      <c r="M2541" t="inlineStr"/>
      <c r="N2541" t="inlineStr"/>
    </row>
    <row r="2542">
      <c r="A2542" t="inlineStr">
        <is>
          <t>au-perth</t>
        </is>
      </c>
      <c r="B2542" t="inlineStr">
        <is>
          <t>Perth</t>
        </is>
      </c>
      <c r="C2542" t="inlineStr">
        <is>
          <t>Australia</t>
        </is>
      </c>
      <c r="D2542" t="inlineStr">
        <is>
          <t>Oceania</t>
        </is>
      </c>
      <c r="E2542" t="inlineStr">
        <is>
          <t>hospitality_belonging_raw</t>
        </is>
      </c>
      <c r="F2542" t="inlineStr">
        <is>
          <t>Hospitality and belonging raw</t>
        </is>
      </c>
      <c r="G2542" t="inlineStr">
        <is>
          <t>community</t>
        </is>
      </c>
      <c r="H2542" t="inlineStr">
        <is>
          <t>yes</t>
        </is>
      </c>
      <c r="I2542" t="inlineStr"/>
      <c r="J2542" t="inlineStr"/>
      <c r="K2542" t="inlineStr"/>
      <c r="L2542" t="inlineStr"/>
      <c r="M2542" t="inlineStr"/>
      <c r="N2542" t="inlineStr"/>
    </row>
    <row r="2543">
      <c r="A2543" t="inlineStr">
        <is>
          <t>au-perth</t>
        </is>
      </c>
      <c r="B2543" t="inlineStr">
        <is>
          <t>Perth</t>
        </is>
      </c>
      <c r="C2543" t="inlineStr">
        <is>
          <t>Australia</t>
        </is>
      </c>
      <c r="D2543" t="inlineStr">
        <is>
          <t>Oceania</t>
        </is>
      </c>
      <c r="E2543" t="inlineStr">
        <is>
          <t>tolerance_pluralism_raw</t>
        </is>
      </c>
      <c r="F2543" t="inlineStr">
        <is>
          <t>Tolerance and pluralism raw</t>
        </is>
      </c>
      <c r="G2543" t="inlineStr">
        <is>
          <t>community</t>
        </is>
      </c>
      <c r="H2543" t="inlineStr">
        <is>
          <t>yes</t>
        </is>
      </c>
      <c r="I2543" t="inlineStr"/>
      <c r="J2543" t="inlineStr"/>
      <c r="K2543" t="inlineStr"/>
      <c r="L2543" t="inlineStr"/>
      <c r="M2543" t="inlineStr"/>
      <c r="N2543" t="inlineStr"/>
    </row>
    <row r="2544">
      <c r="A2544" t="inlineStr">
        <is>
          <t>au-perth</t>
        </is>
      </c>
      <c r="B2544" t="inlineStr">
        <is>
          <t>Perth</t>
        </is>
      </c>
      <c r="C2544" t="inlineStr">
        <is>
          <t>Australia</t>
        </is>
      </c>
      <c r="D2544" t="inlineStr">
        <is>
          <t>Oceania</t>
        </is>
      </c>
      <c r="E2544" t="inlineStr">
        <is>
          <t>cultural_public_life_raw</t>
        </is>
      </c>
      <c r="F2544" t="inlineStr">
        <is>
          <t>Cultural public life raw</t>
        </is>
      </c>
      <c r="G2544" t="inlineStr">
        <is>
          <t>community</t>
        </is>
      </c>
      <c r="H2544" t="inlineStr">
        <is>
          <t>yes</t>
        </is>
      </c>
      <c r="I2544" t="inlineStr"/>
      <c r="J2544" t="inlineStr"/>
      <c r="K2544" t="inlineStr"/>
      <c r="L2544" t="inlineStr"/>
      <c r="M2544" t="inlineStr"/>
      <c r="N2544" t="inlineStr"/>
    </row>
    <row r="2545">
      <c r="A2545" t="inlineStr">
        <is>
          <t>au-perth</t>
        </is>
      </c>
      <c r="B2545" t="inlineStr">
        <is>
          <t>Perth</t>
        </is>
      </c>
      <c r="C2545" t="inlineStr">
        <is>
          <t>Australia</t>
        </is>
      </c>
      <c r="D2545" t="inlineStr">
        <is>
          <t>Oceania</t>
        </is>
      </c>
      <c r="E2545" t="inlineStr">
        <is>
          <t>entrepreneurial_dynamism_raw</t>
        </is>
      </c>
      <c r="F2545" t="inlineStr">
        <is>
          <t>Entrepreneurial dynamism raw</t>
        </is>
      </c>
      <c r="G2545" t="inlineStr">
        <is>
          <t>creative</t>
        </is>
      </c>
      <c r="H2545" t="inlineStr">
        <is>
          <t>yes</t>
        </is>
      </c>
      <c r="I2545" t="inlineStr"/>
      <c r="J2545" t="inlineStr"/>
      <c r="K2545" t="inlineStr"/>
      <c r="L2545" t="inlineStr"/>
      <c r="M2545" t="inlineStr"/>
      <c r="N2545" t="inlineStr"/>
    </row>
    <row r="2546">
      <c r="A2546" t="inlineStr">
        <is>
          <t>au-perth</t>
        </is>
      </c>
      <c r="B2546" t="inlineStr">
        <is>
          <t>Perth</t>
        </is>
      </c>
      <c r="C2546" t="inlineStr">
        <is>
          <t>Australia</t>
        </is>
      </c>
      <c r="D2546" t="inlineStr">
        <is>
          <t>Oceania</t>
        </is>
      </c>
      <c r="E2546" t="inlineStr">
        <is>
          <t>innovation_research_intensity_raw</t>
        </is>
      </c>
      <c r="F2546" t="inlineStr">
        <is>
          <t>Innovation and research raw</t>
        </is>
      </c>
      <c r="G2546" t="inlineStr">
        <is>
          <t>creative</t>
        </is>
      </c>
      <c r="H2546" t="inlineStr">
        <is>
          <t>yes</t>
        </is>
      </c>
      <c r="I2546" t="inlineStr"/>
      <c r="J2546" t="inlineStr"/>
      <c r="K2546" t="inlineStr"/>
      <c r="L2546" t="inlineStr"/>
      <c r="M2546" t="inlineStr"/>
      <c r="N2546" t="inlineStr"/>
    </row>
    <row r="2547">
      <c r="A2547" t="inlineStr">
        <is>
          <t>au-perth</t>
        </is>
      </c>
      <c r="B2547" t="inlineStr">
        <is>
          <t>Perth</t>
        </is>
      </c>
      <c r="C2547" t="inlineStr">
        <is>
          <t>Australia</t>
        </is>
      </c>
      <c r="D2547" t="inlineStr">
        <is>
          <t>Oceania</t>
        </is>
      </c>
      <c r="E2547" t="inlineStr">
        <is>
          <t>investment_signal_raw</t>
        </is>
      </c>
      <c r="F2547" t="inlineStr">
        <is>
          <t>Investment signal raw</t>
        </is>
      </c>
      <c r="G2547" t="inlineStr">
        <is>
          <t>creative</t>
        </is>
      </c>
      <c r="H2547" t="inlineStr">
        <is>
          <t>yes</t>
        </is>
      </c>
      <c r="I2547" t="inlineStr"/>
      <c r="J2547" t="inlineStr"/>
      <c r="K2547" t="inlineStr"/>
      <c r="L2547" t="inlineStr"/>
      <c r="M2547" t="inlineStr"/>
      <c r="N2547" t="inlineStr"/>
    </row>
    <row r="2548">
      <c r="A2548" t="inlineStr">
        <is>
          <t>au-perth</t>
        </is>
      </c>
      <c r="B2548" t="inlineStr">
        <is>
          <t>Perth</t>
        </is>
      </c>
      <c r="C2548" t="inlineStr">
        <is>
          <t>Australia</t>
        </is>
      </c>
      <c r="D2548" t="inlineStr">
        <is>
          <t>Oceania</t>
        </is>
      </c>
      <c r="E2548" t="inlineStr">
        <is>
          <t>administrative_investment_friction_raw</t>
        </is>
      </c>
      <c r="F2548" t="inlineStr">
        <is>
          <t>Administrative investment friction raw</t>
        </is>
      </c>
      <c r="G2548" t="inlineStr">
        <is>
          <t>creative</t>
        </is>
      </c>
      <c r="H2548" t="inlineStr">
        <is>
          <t>yes</t>
        </is>
      </c>
      <c r="I2548" t="inlineStr"/>
      <c r="J2548" t="inlineStr"/>
      <c r="K2548" t="inlineStr"/>
      <c r="L2548" t="inlineStr"/>
      <c r="M2548" t="inlineStr"/>
      <c r="N2548" t="inlineStr"/>
    </row>
    <row r="2549">
      <c r="A2549" t="inlineStr">
        <is>
          <t>au-perth</t>
        </is>
      </c>
      <c r="B2549" t="inlineStr">
        <is>
          <t>Perth</t>
        </is>
      </c>
      <c r="C2549" t="inlineStr">
        <is>
          <t>Australia</t>
        </is>
      </c>
      <c r="D2549" t="inlineStr">
        <is>
          <t>Oceania</t>
        </is>
      </c>
      <c r="E2549" t="inlineStr">
        <is>
          <t>visitor_flow_context_raw</t>
        </is>
      </c>
      <c r="F2549" t="inlineStr">
        <is>
          <t>Visitor flow context raw</t>
        </is>
      </c>
      <c r="G2549" t="inlineStr">
        <is>
          <t>creative</t>
        </is>
      </c>
      <c r="H2549" t="inlineStr">
        <is>
          <t>no</t>
        </is>
      </c>
      <c r="I2549" t="inlineStr"/>
      <c r="J2549" t="inlineStr"/>
      <c r="K2549" t="inlineStr"/>
      <c r="L2549" t="inlineStr"/>
      <c r="M2549" t="inlineStr"/>
      <c r="N2549" t="inlineStr"/>
    </row>
    <row r="2550">
      <c r="A2550" t="inlineStr">
        <is>
          <t>au-adelaide</t>
        </is>
      </c>
      <c r="B2550" t="inlineStr">
        <is>
          <t>Adelaide</t>
        </is>
      </c>
      <c r="C2550" t="inlineStr">
        <is>
          <t>Australia</t>
        </is>
      </c>
      <c r="D2550" t="inlineStr">
        <is>
          <t>Oceania</t>
        </is>
      </c>
      <c r="E2550" t="inlineStr">
        <is>
          <t>gross_income</t>
        </is>
      </c>
      <c r="F2550" t="inlineStr">
        <is>
          <t>Gross income</t>
        </is>
      </c>
      <c r="G2550" t="inlineStr">
        <is>
          <t>pressure</t>
        </is>
      </c>
      <c r="H2550" t="inlineStr">
        <is>
          <t>yes</t>
        </is>
      </c>
      <c r="I2550" t="inlineStr"/>
      <c r="J2550" t="inlineStr"/>
      <c r="K2550" t="inlineStr"/>
      <c r="L2550" t="inlineStr"/>
      <c r="M2550" t="inlineStr"/>
      <c r="N2550" t="inlineStr"/>
    </row>
    <row r="2551">
      <c r="A2551" t="inlineStr">
        <is>
          <t>au-adelaide</t>
        </is>
      </c>
      <c r="B2551" t="inlineStr">
        <is>
          <t>Adelaide</t>
        </is>
      </c>
      <c r="C2551" t="inlineStr">
        <is>
          <t>Australia</t>
        </is>
      </c>
      <c r="D2551" t="inlineStr">
        <is>
          <t>Oceania</t>
        </is>
      </c>
      <c r="E2551" t="inlineStr">
        <is>
          <t>rent</t>
        </is>
      </c>
      <c r="F2551" t="inlineStr">
        <is>
          <t>Rent</t>
        </is>
      </c>
      <c r="G2551" t="inlineStr">
        <is>
          <t>pressure</t>
        </is>
      </c>
      <c r="H2551" t="inlineStr">
        <is>
          <t>yes</t>
        </is>
      </c>
      <c r="I2551" t="inlineStr"/>
      <c r="J2551" t="inlineStr"/>
      <c r="K2551" t="inlineStr"/>
      <c r="L2551" t="inlineStr"/>
      <c r="M2551" t="inlineStr"/>
      <c r="N2551" t="inlineStr"/>
    </row>
    <row r="2552">
      <c r="A2552" t="inlineStr">
        <is>
          <t>au-adelaide</t>
        </is>
      </c>
      <c r="B2552" t="inlineStr">
        <is>
          <t>Adelaide</t>
        </is>
      </c>
      <c r="C2552" t="inlineStr">
        <is>
          <t>Australia</t>
        </is>
      </c>
      <c r="D2552" t="inlineStr">
        <is>
          <t>Oceania</t>
        </is>
      </c>
      <c r="E2552" t="inlineStr">
        <is>
          <t>utilities</t>
        </is>
      </c>
      <c r="F2552" t="inlineStr">
        <is>
          <t>Utilities</t>
        </is>
      </c>
      <c r="G2552" t="inlineStr">
        <is>
          <t>pressure</t>
        </is>
      </c>
      <c r="H2552" t="inlineStr">
        <is>
          <t>yes</t>
        </is>
      </c>
      <c r="I2552" t="inlineStr"/>
      <c r="J2552" t="inlineStr"/>
      <c r="K2552" t="inlineStr"/>
      <c r="L2552" t="inlineStr"/>
      <c r="M2552" t="inlineStr"/>
      <c r="N2552" t="inlineStr"/>
    </row>
    <row r="2553">
      <c r="A2553" t="inlineStr">
        <is>
          <t>au-adelaide</t>
        </is>
      </c>
      <c r="B2553" t="inlineStr">
        <is>
          <t>Adelaide</t>
        </is>
      </c>
      <c r="C2553" t="inlineStr">
        <is>
          <t>Australia</t>
        </is>
      </c>
      <c r="D2553" t="inlineStr">
        <is>
          <t>Oceania</t>
        </is>
      </c>
      <c r="E2553" t="inlineStr">
        <is>
          <t>transit_cost</t>
        </is>
      </c>
      <c r="F2553" t="inlineStr">
        <is>
          <t>Transit cost</t>
        </is>
      </c>
      <c r="G2553" t="inlineStr">
        <is>
          <t>pressure</t>
        </is>
      </c>
      <c r="H2553" t="inlineStr">
        <is>
          <t>yes</t>
        </is>
      </c>
      <c r="I2553" t="inlineStr"/>
      <c r="J2553" t="inlineStr"/>
      <c r="K2553" t="inlineStr"/>
      <c r="L2553" t="inlineStr"/>
      <c r="M2553" t="inlineStr"/>
      <c r="N2553" t="inlineStr"/>
    </row>
    <row r="2554">
      <c r="A2554" t="inlineStr">
        <is>
          <t>au-adelaide</t>
        </is>
      </c>
      <c r="B2554" t="inlineStr">
        <is>
          <t>Adelaide</t>
        </is>
      </c>
      <c r="C2554" t="inlineStr">
        <is>
          <t>Australia</t>
        </is>
      </c>
      <c r="D2554" t="inlineStr">
        <is>
          <t>Oceania</t>
        </is>
      </c>
      <c r="E2554" t="inlineStr">
        <is>
          <t>internet_cost</t>
        </is>
      </c>
      <c r="F2554" t="inlineStr">
        <is>
          <t>Internet cost</t>
        </is>
      </c>
      <c r="G2554" t="inlineStr">
        <is>
          <t>pressure</t>
        </is>
      </c>
      <c r="H2554" t="inlineStr">
        <is>
          <t>yes</t>
        </is>
      </c>
      <c r="I2554" t="inlineStr"/>
      <c r="J2554" t="inlineStr"/>
      <c r="K2554" t="inlineStr"/>
      <c r="L2554" t="inlineStr"/>
      <c r="M2554" t="inlineStr"/>
      <c r="N2554" t="inlineStr"/>
    </row>
    <row r="2555">
      <c r="A2555" t="inlineStr">
        <is>
          <t>au-adelaide</t>
        </is>
      </c>
      <c r="B2555" t="inlineStr">
        <is>
          <t>Adelaide</t>
        </is>
      </c>
      <c r="C2555" t="inlineStr">
        <is>
          <t>Australia</t>
        </is>
      </c>
      <c r="D2555" t="inlineStr">
        <is>
          <t>Oceania</t>
        </is>
      </c>
      <c r="E2555" t="inlineStr">
        <is>
          <t>food_cost</t>
        </is>
      </c>
      <c r="F2555" t="inlineStr">
        <is>
          <t>Food cost</t>
        </is>
      </c>
      <c r="G2555" t="inlineStr">
        <is>
          <t>pressure</t>
        </is>
      </c>
      <c r="H2555" t="inlineStr">
        <is>
          <t>yes</t>
        </is>
      </c>
      <c r="I2555" t="inlineStr"/>
      <c r="J2555" t="inlineStr"/>
      <c r="K2555" t="inlineStr"/>
      <c r="L2555" t="inlineStr"/>
      <c r="M2555" t="inlineStr"/>
      <c r="N2555" t="inlineStr"/>
    </row>
    <row r="2556">
      <c r="A2556" t="inlineStr">
        <is>
          <t>au-adelaide</t>
        </is>
      </c>
      <c r="B2556" t="inlineStr">
        <is>
          <t>Adelaide</t>
        </is>
      </c>
      <c r="C2556" t="inlineStr">
        <is>
          <t>Australia</t>
        </is>
      </c>
      <c r="D2556" t="inlineStr">
        <is>
          <t>Oceania</t>
        </is>
      </c>
      <c r="E2556" t="inlineStr">
        <is>
          <t>housing_burden_raw</t>
        </is>
      </c>
      <c r="F2556" t="inlineStr">
        <is>
          <t>Housing burden raw</t>
        </is>
      </c>
      <c r="G2556" t="inlineStr">
        <is>
          <t>pressure</t>
        </is>
      </c>
      <c r="H2556" t="inlineStr">
        <is>
          <t>yes</t>
        </is>
      </c>
      <c r="I2556" t="inlineStr"/>
      <c r="J2556" t="inlineStr"/>
      <c r="K2556" t="inlineStr"/>
      <c r="L2556" t="inlineStr"/>
      <c r="M2556" t="inlineStr"/>
      <c r="N2556" t="inlineStr"/>
    </row>
    <row r="2557">
      <c r="A2557" t="inlineStr">
        <is>
          <t>au-adelaide</t>
        </is>
      </c>
      <c r="B2557" t="inlineStr">
        <is>
          <t>Adelaide</t>
        </is>
      </c>
      <c r="C2557" t="inlineStr">
        <is>
          <t>Australia</t>
        </is>
      </c>
      <c r="D2557" t="inlineStr">
        <is>
          <t>Oceania</t>
        </is>
      </c>
      <c r="E2557" t="inlineStr">
        <is>
          <t>household_debt_burden_raw</t>
        </is>
      </c>
      <c r="F2557" t="inlineStr">
        <is>
          <t>Household debt burden raw</t>
        </is>
      </c>
      <c r="G2557" t="inlineStr">
        <is>
          <t>pressure</t>
        </is>
      </c>
      <c r="H2557" t="inlineStr">
        <is>
          <t>yes</t>
        </is>
      </c>
      <c r="I2557" t="inlineStr"/>
      <c r="J2557" t="inlineStr"/>
      <c r="K2557" t="inlineStr"/>
      <c r="L2557" t="inlineStr"/>
      <c r="M2557" t="inlineStr"/>
      <c r="N2557" t="inlineStr"/>
    </row>
    <row r="2558">
      <c r="A2558" t="inlineStr">
        <is>
          <t>au-adelaide</t>
        </is>
      </c>
      <c r="B2558" t="inlineStr">
        <is>
          <t>Adelaide</t>
        </is>
      </c>
      <c r="C2558" t="inlineStr">
        <is>
          <t>Australia</t>
        </is>
      </c>
      <c r="D2558" t="inlineStr">
        <is>
          <t>Oceania</t>
        </is>
      </c>
      <c r="E2558" t="inlineStr">
        <is>
          <t>working_time_pressure_raw</t>
        </is>
      </c>
      <c r="F2558" t="inlineStr">
        <is>
          <t>Working time pressure raw</t>
        </is>
      </c>
      <c r="G2558" t="inlineStr">
        <is>
          <t>pressure</t>
        </is>
      </c>
      <c r="H2558" t="inlineStr">
        <is>
          <t>yes</t>
        </is>
      </c>
      <c r="I2558" t="inlineStr"/>
      <c r="J2558" t="inlineStr"/>
      <c r="K2558" t="inlineStr"/>
      <c r="L2558" t="inlineStr"/>
      <c r="M2558" t="inlineStr"/>
      <c r="N2558" t="inlineStr"/>
    </row>
    <row r="2559">
      <c r="A2559" t="inlineStr">
        <is>
          <t>au-adelaide</t>
        </is>
      </c>
      <c r="B2559" t="inlineStr">
        <is>
          <t>Adelaide</t>
        </is>
      </c>
      <c r="C2559" t="inlineStr">
        <is>
          <t>Australia</t>
        </is>
      </c>
      <c r="D2559" t="inlineStr">
        <is>
          <t>Oceania</t>
        </is>
      </c>
      <c r="E2559" t="inlineStr">
        <is>
          <t>suicide_mental_strain_raw</t>
        </is>
      </c>
      <c r="F2559" t="inlineStr">
        <is>
          <t>Suicide or mental strain raw</t>
        </is>
      </c>
      <c r="G2559" t="inlineStr">
        <is>
          <t>pressure</t>
        </is>
      </c>
      <c r="H2559" t="inlineStr">
        <is>
          <t>yes</t>
        </is>
      </c>
      <c r="I2559" t="inlineStr"/>
      <c r="J2559" t="inlineStr"/>
      <c r="K2559" t="inlineStr"/>
      <c r="L2559" t="inlineStr"/>
      <c r="M2559" t="inlineStr"/>
      <c r="N2559" t="inlineStr"/>
    </row>
    <row r="2560">
      <c r="A2560" t="inlineStr">
        <is>
          <t>au-adelaide</t>
        </is>
      </c>
      <c r="B2560" t="inlineStr">
        <is>
          <t>Adelaide</t>
        </is>
      </c>
      <c r="C2560" t="inlineStr">
        <is>
          <t>Australia</t>
        </is>
      </c>
      <c r="D2560" t="inlineStr">
        <is>
          <t>Oceania</t>
        </is>
      </c>
      <c r="E2560" t="inlineStr">
        <is>
          <t>personal_safety_raw</t>
        </is>
      </c>
      <c r="F2560" t="inlineStr">
        <is>
          <t>Personal safety raw</t>
        </is>
      </c>
      <c r="G2560" t="inlineStr">
        <is>
          <t>viability</t>
        </is>
      </c>
      <c r="H2560" t="inlineStr">
        <is>
          <t>yes</t>
        </is>
      </c>
      <c r="I2560" t="inlineStr"/>
      <c r="J2560" t="inlineStr"/>
      <c r="K2560" t="inlineStr"/>
      <c r="L2560" t="inlineStr"/>
      <c r="M2560" t="inlineStr"/>
      <c r="N2560" t="inlineStr"/>
    </row>
    <row r="2561">
      <c r="A2561" t="inlineStr">
        <is>
          <t>au-adelaide</t>
        </is>
      </c>
      <c r="B2561" t="inlineStr">
        <is>
          <t>Adelaide</t>
        </is>
      </c>
      <c r="C2561" t="inlineStr">
        <is>
          <t>Australia</t>
        </is>
      </c>
      <c r="D2561" t="inlineStr">
        <is>
          <t>Oceania</t>
        </is>
      </c>
      <c r="E2561" t="inlineStr">
        <is>
          <t>transit_access_commute_raw</t>
        </is>
      </c>
      <c r="F2561" t="inlineStr">
        <is>
          <t>Transit access and commute raw</t>
        </is>
      </c>
      <c r="G2561" t="inlineStr">
        <is>
          <t>viability</t>
        </is>
      </c>
      <c r="H2561" t="inlineStr">
        <is>
          <t>yes</t>
        </is>
      </c>
      <c r="I2561" t="inlineStr"/>
      <c r="J2561" t="inlineStr"/>
      <c r="K2561" t="inlineStr"/>
      <c r="L2561" t="inlineStr"/>
      <c r="M2561" t="inlineStr"/>
      <c r="N2561" t="inlineStr"/>
    </row>
    <row r="2562">
      <c r="A2562" t="inlineStr">
        <is>
          <t>au-adelaide</t>
        </is>
      </c>
      <c r="B2562" t="inlineStr">
        <is>
          <t>Adelaide</t>
        </is>
      </c>
      <c r="C2562" t="inlineStr">
        <is>
          <t>Australia</t>
        </is>
      </c>
      <c r="D2562" t="inlineStr">
        <is>
          <t>Oceania</t>
        </is>
      </c>
      <c r="E2562" t="inlineStr">
        <is>
          <t>clean_air_raw</t>
        </is>
      </c>
      <c r="F2562" t="inlineStr">
        <is>
          <t>Clean air raw</t>
        </is>
      </c>
      <c r="G2562" t="inlineStr">
        <is>
          <t>viability</t>
        </is>
      </c>
      <c r="H2562" t="inlineStr">
        <is>
          <t>yes</t>
        </is>
      </c>
      <c r="I2562" t="inlineStr"/>
      <c r="J2562" t="inlineStr"/>
      <c r="K2562" t="inlineStr"/>
      <c r="L2562" t="inlineStr"/>
      <c r="M2562" t="inlineStr"/>
      <c r="N2562" t="inlineStr"/>
    </row>
    <row r="2563">
      <c r="A2563" t="inlineStr">
        <is>
          <t>au-adelaide</t>
        </is>
      </c>
      <c r="B2563" t="inlineStr">
        <is>
          <t>Adelaide</t>
        </is>
      </c>
      <c r="C2563" t="inlineStr">
        <is>
          <t>Australia</t>
        </is>
      </c>
      <c r="D2563" t="inlineStr">
        <is>
          <t>Oceania</t>
        </is>
      </c>
      <c r="E2563" t="inlineStr">
        <is>
          <t>water_sanitation_utility_raw</t>
        </is>
      </c>
      <c r="F2563" t="inlineStr">
        <is>
          <t>Water, sanitation, and utility raw</t>
        </is>
      </c>
      <c r="G2563" t="inlineStr">
        <is>
          <t>viability</t>
        </is>
      </c>
      <c r="H2563" t="inlineStr">
        <is>
          <t>yes</t>
        </is>
      </c>
      <c r="I2563" t="inlineStr"/>
      <c r="J2563" t="inlineStr"/>
      <c r="K2563" t="inlineStr"/>
      <c r="L2563" t="inlineStr"/>
      <c r="M2563" t="inlineStr"/>
      <c r="N2563" t="inlineStr"/>
    </row>
    <row r="2564">
      <c r="A2564" t="inlineStr">
        <is>
          <t>au-adelaide</t>
        </is>
      </c>
      <c r="B2564" t="inlineStr">
        <is>
          <t>Adelaide</t>
        </is>
      </c>
      <c r="C2564" t="inlineStr">
        <is>
          <t>Australia</t>
        </is>
      </c>
      <c r="D2564" t="inlineStr">
        <is>
          <t>Oceania</t>
        </is>
      </c>
      <c r="E2564" t="inlineStr">
        <is>
          <t>digital_infrastructure_raw</t>
        </is>
      </c>
      <c r="F2564" t="inlineStr">
        <is>
          <t>Digital infrastructure raw</t>
        </is>
      </c>
      <c r="G2564" t="inlineStr">
        <is>
          <t>viability</t>
        </is>
      </c>
      <c r="H2564" t="inlineStr">
        <is>
          <t>yes</t>
        </is>
      </c>
      <c r="I2564" t="inlineStr"/>
      <c r="J2564" t="inlineStr"/>
      <c r="K2564" t="inlineStr"/>
      <c r="L2564" t="inlineStr"/>
      <c r="M2564" t="inlineStr"/>
      <c r="N2564" t="inlineStr"/>
    </row>
    <row r="2565">
      <c r="A2565" t="inlineStr">
        <is>
          <t>au-adelaide</t>
        </is>
      </c>
      <c r="B2565" t="inlineStr">
        <is>
          <t>Adelaide</t>
        </is>
      </c>
      <c r="C2565" t="inlineStr">
        <is>
          <t>Australia</t>
        </is>
      </c>
      <c r="D2565" t="inlineStr">
        <is>
          <t>Oceania</t>
        </is>
      </c>
      <c r="E2565" t="inlineStr">
        <is>
          <t>healthcare_quality_raw</t>
        </is>
      </c>
      <c r="F2565" t="inlineStr">
        <is>
          <t>Healthcare quality raw</t>
        </is>
      </c>
      <c r="G2565" t="inlineStr">
        <is>
          <t>capability</t>
        </is>
      </c>
      <c r="H2565" t="inlineStr">
        <is>
          <t>yes</t>
        </is>
      </c>
      <c r="I2565" t="inlineStr"/>
      <c r="J2565" t="inlineStr"/>
      <c r="K2565" t="inlineStr"/>
      <c r="L2565" t="inlineStr"/>
      <c r="M2565" t="inlineStr"/>
      <c r="N2565" t="inlineStr"/>
    </row>
    <row r="2566">
      <c r="A2566" t="inlineStr">
        <is>
          <t>au-adelaide</t>
        </is>
      </c>
      <c r="B2566" t="inlineStr">
        <is>
          <t>Adelaide</t>
        </is>
      </c>
      <c r="C2566" t="inlineStr">
        <is>
          <t>Australia</t>
        </is>
      </c>
      <c r="D2566" t="inlineStr">
        <is>
          <t>Oceania</t>
        </is>
      </c>
      <c r="E2566" t="inlineStr">
        <is>
          <t>education_quality_raw</t>
        </is>
      </c>
      <c r="F2566" t="inlineStr">
        <is>
          <t>Education quality raw</t>
        </is>
      </c>
      <c r="G2566" t="inlineStr">
        <is>
          <t>capability</t>
        </is>
      </c>
      <c r="H2566" t="inlineStr">
        <is>
          <t>yes</t>
        </is>
      </c>
      <c r="I2566" t="inlineStr"/>
      <c r="J2566" t="inlineStr"/>
      <c r="K2566" t="inlineStr"/>
      <c r="L2566" t="inlineStr"/>
      <c r="M2566" t="inlineStr"/>
      <c r="N2566" t="inlineStr"/>
    </row>
    <row r="2567">
      <c r="A2567" t="inlineStr">
        <is>
          <t>au-adelaide</t>
        </is>
      </c>
      <c r="B2567" t="inlineStr">
        <is>
          <t>Adelaide</t>
        </is>
      </c>
      <c r="C2567" t="inlineStr">
        <is>
          <t>Australia</t>
        </is>
      </c>
      <c r="D2567" t="inlineStr">
        <is>
          <t>Oceania</t>
        </is>
      </c>
      <c r="E2567" t="inlineStr">
        <is>
          <t>equal_opportunity_raw</t>
        </is>
      </c>
      <c r="F2567" t="inlineStr">
        <is>
          <t>Equal opportunity raw</t>
        </is>
      </c>
      <c r="G2567" t="inlineStr">
        <is>
          <t>capability</t>
        </is>
      </c>
      <c r="H2567" t="inlineStr">
        <is>
          <t>yes</t>
        </is>
      </c>
      <c r="I2567" t="inlineStr"/>
      <c r="J2567" t="inlineStr"/>
      <c r="K2567" t="inlineStr"/>
      <c r="L2567" t="inlineStr"/>
      <c r="M2567" t="inlineStr"/>
      <c r="N2567" t="inlineStr"/>
    </row>
    <row r="2568">
      <c r="A2568" t="inlineStr">
        <is>
          <t>au-adelaide</t>
        </is>
      </c>
      <c r="B2568" t="inlineStr">
        <is>
          <t>Adelaide</t>
        </is>
      </c>
      <c r="C2568" t="inlineStr">
        <is>
          <t>Australia</t>
        </is>
      </c>
      <c r="D2568" t="inlineStr">
        <is>
          <t>Oceania</t>
        </is>
      </c>
      <c r="E2568" t="inlineStr">
        <is>
          <t>hospitality_belonging_raw</t>
        </is>
      </c>
      <c r="F2568" t="inlineStr">
        <is>
          <t>Hospitality and belonging raw</t>
        </is>
      </c>
      <c r="G2568" t="inlineStr">
        <is>
          <t>community</t>
        </is>
      </c>
      <c r="H2568" t="inlineStr">
        <is>
          <t>yes</t>
        </is>
      </c>
      <c r="I2568" t="inlineStr"/>
      <c r="J2568" t="inlineStr"/>
      <c r="K2568" t="inlineStr"/>
      <c r="L2568" t="inlineStr"/>
      <c r="M2568" t="inlineStr"/>
      <c r="N2568" t="inlineStr"/>
    </row>
    <row r="2569">
      <c r="A2569" t="inlineStr">
        <is>
          <t>au-adelaide</t>
        </is>
      </c>
      <c r="B2569" t="inlineStr">
        <is>
          <t>Adelaide</t>
        </is>
      </c>
      <c r="C2569" t="inlineStr">
        <is>
          <t>Australia</t>
        </is>
      </c>
      <c r="D2569" t="inlineStr">
        <is>
          <t>Oceania</t>
        </is>
      </c>
      <c r="E2569" t="inlineStr">
        <is>
          <t>tolerance_pluralism_raw</t>
        </is>
      </c>
      <c r="F2569" t="inlineStr">
        <is>
          <t>Tolerance and pluralism raw</t>
        </is>
      </c>
      <c r="G2569" t="inlineStr">
        <is>
          <t>community</t>
        </is>
      </c>
      <c r="H2569" t="inlineStr">
        <is>
          <t>yes</t>
        </is>
      </c>
      <c r="I2569" t="inlineStr"/>
      <c r="J2569" t="inlineStr"/>
      <c r="K2569" t="inlineStr"/>
      <c r="L2569" t="inlineStr"/>
      <c r="M2569" t="inlineStr"/>
      <c r="N2569" t="inlineStr"/>
    </row>
    <row r="2570">
      <c r="A2570" t="inlineStr">
        <is>
          <t>au-adelaide</t>
        </is>
      </c>
      <c r="B2570" t="inlineStr">
        <is>
          <t>Adelaide</t>
        </is>
      </c>
      <c r="C2570" t="inlineStr">
        <is>
          <t>Australia</t>
        </is>
      </c>
      <c r="D2570" t="inlineStr">
        <is>
          <t>Oceania</t>
        </is>
      </c>
      <c r="E2570" t="inlineStr">
        <is>
          <t>cultural_public_life_raw</t>
        </is>
      </c>
      <c r="F2570" t="inlineStr">
        <is>
          <t>Cultural public life raw</t>
        </is>
      </c>
      <c r="G2570" t="inlineStr">
        <is>
          <t>community</t>
        </is>
      </c>
      <c r="H2570" t="inlineStr">
        <is>
          <t>yes</t>
        </is>
      </c>
      <c r="I2570" t="inlineStr"/>
      <c r="J2570" t="inlineStr"/>
      <c r="K2570" t="inlineStr"/>
      <c r="L2570" t="inlineStr"/>
      <c r="M2570" t="inlineStr"/>
      <c r="N2570" t="inlineStr"/>
    </row>
    <row r="2571">
      <c r="A2571" t="inlineStr">
        <is>
          <t>au-adelaide</t>
        </is>
      </c>
      <c r="B2571" t="inlineStr">
        <is>
          <t>Adelaide</t>
        </is>
      </c>
      <c r="C2571" t="inlineStr">
        <is>
          <t>Australia</t>
        </is>
      </c>
      <c r="D2571" t="inlineStr">
        <is>
          <t>Oceania</t>
        </is>
      </c>
      <c r="E2571" t="inlineStr">
        <is>
          <t>entrepreneurial_dynamism_raw</t>
        </is>
      </c>
      <c r="F2571" t="inlineStr">
        <is>
          <t>Entrepreneurial dynamism raw</t>
        </is>
      </c>
      <c r="G2571" t="inlineStr">
        <is>
          <t>creative</t>
        </is>
      </c>
      <c r="H2571" t="inlineStr">
        <is>
          <t>yes</t>
        </is>
      </c>
      <c r="I2571" t="inlineStr"/>
      <c r="J2571" t="inlineStr"/>
      <c r="K2571" t="inlineStr"/>
      <c r="L2571" t="inlineStr"/>
      <c r="M2571" t="inlineStr"/>
      <c r="N2571" t="inlineStr"/>
    </row>
    <row r="2572">
      <c r="A2572" t="inlineStr">
        <is>
          <t>au-adelaide</t>
        </is>
      </c>
      <c r="B2572" t="inlineStr">
        <is>
          <t>Adelaide</t>
        </is>
      </c>
      <c r="C2572" t="inlineStr">
        <is>
          <t>Australia</t>
        </is>
      </c>
      <c r="D2572" t="inlineStr">
        <is>
          <t>Oceania</t>
        </is>
      </c>
      <c r="E2572" t="inlineStr">
        <is>
          <t>innovation_research_intensity_raw</t>
        </is>
      </c>
      <c r="F2572" t="inlineStr">
        <is>
          <t>Innovation and research raw</t>
        </is>
      </c>
      <c r="G2572" t="inlineStr">
        <is>
          <t>creative</t>
        </is>
      </c>
      <c r="H2572" t="inlineStr">
        <is>
          <t>yes</t>
        </is>
      </c>
      <c r="I2572" t="inlineStr"/>
      <c r="J2572" t="inlineStr"/>
      <c r="K2572" t="inlineStr"/>
      <c r="L2572" t="inlineStr"/>
      <c r="M2572" t="inlineStr"/>
      <c r="N2572" t="inlineStr"/>
    </row>
    <row r="2573">
      <c r="A2573" t="inlineStr">
        <is>
          <t>au-adelaide</t>
        </is>
      </c>
      <c r="B2573" t="inlineStr">
        <is>
          <t>Adelaide</t>
        </is>
      </c>
      <c r="C2573" t="inlineStr">
        <is>
          <t>Australia</t>
        </is>
      </c>
      <c r="D2573" t="inlineStr">
        <is>
          <t>Oceania</t>
        </is>
      </c>
      <c r="E2573" t="inlineStr">
        <is>
          <t>investment_signal_raw</t>
        </is>
      </c>
      <c r="F2573" t="inlineStr">
        <is>
          <t>Investment signal raw</t>
        </is>
      </c>
      <c r="G2573" t="inlineStr">
        <is>
          <t>creative</t>
        </is>
      </c>
      <c r="H2573" t="inlineStr">
        <is>
          <t>yes</t>
        </is>
      </c>
      <c r="I2573" t="inlineStr"/>
      <c r="J2573" t="inlineStr"/>
      <c r="K2573" t="inlineStr"/>
      <c r="L2573" t="inlineStr"/>
      <c r="M2573" t="inlineStr"/>
      <c r="N2573" t="inlineStr"/>
    </row>
    <row r="2574">
      <c r="A2574" t="inlineStr">
        <is>
          <t>au-adelaide</t>
        </is>
      </c>
      <c r="B2574" t="inlineStr">
        <is>
          <t>Adelaide</t>
        </is>
      </c>
      <c r="C2574" t="inlineStr">
        <is>
          <t>Australia</t>
        </is>
      </c>
      <c r="D2574" t="inlineStr">
        <is>
          <t>Oceania</t>
        </is>
      </c>
      <c r="E2574" t="inlineStr">
        <is>
          <t>administrative_investment_friction_raw</t>
        </is>
      </c>
      <c r="F2574" t="inlineStr">
        <is>
          <t>Administrative investment friction raw</t>
        </is>
      </c>
      <c r="G2574" t="inlineStr">
        <is>
          <t>creative</t>
        </is>
      </c>
      <c r="H2574" t="inlineStr">
        <is>
          <t>yes</t>
        </is>
      </c>
      <c r="I2574" t="inlineStr"/>
      <c r="J2574" t="inlineStr"/>
      <c r="K2574" t="inlineStr"/>
      <c r="L2574" t="inlineStr"/>
      <c r="M2574" t="inlineStr"/>
      <c r="N2574" t="inlineStr"/>
    </row>
    <row r="2575">
      <c r="A2575" t="inlineStr">
        <is>
          <t>au-adelaide</t>
        </is>
      </c>
      <c r="B2575" t="inlineStr">
        <is>
          <t>Adelaide</t>
        </is>
      </c>
      <c r="C2575" t="inlineStr">
        <is>
          <t>Australia</t>
        </is>
      </c>
      <c r="D2575" t="inlineStr">
        <is>
          <t>Oceania</t>
        </is>
      </c>
      <c r="E2575" t="inlineStr">
        <is>
          <t>visitor_flow_context_raw</t>
        </is>
      </c>
      <c r="F2575" t="inlineStr">
        <is>
          <t>Visitor flow context raw</t>
        </is>
      </c>
      <c r="G2575" t="inlineStr">
        <is>
          <t>creative</t>
        </is>
      </c>
      <c r="H2575" t="inlineStr">
        <is>
          <t>no</t>
        </is>
      </c>
      <c r="I2575" t="inlineStr"/>
      <c r="J2575" t="inlineStr"/>
      <c r="K2575" t="inlineStr"/>
      <c r="L2575" t="inlineStr"/>
      <c r="M2575" t="inlineStr"/>
      <c r="N2575" t="inlineStr"/>
    </row>
    <row r="2576">
      <c r="A2576" t="inlineStr">
        <is>
          <t>au-hobart</t>
        </is>
      </c>
      <c r="B2576" t="inlineStr">
        <is>
          <t>Hobart</t>
        </is>
      </c>
      <c r="C2576" t="inlineStr">
        <is>
          <t>Australia</t>
        </is>
      </c>
      <c r="D2576" t="inlineStr">
        <is>
          <t>Oceania</t>
        </is>
      </c>
      <c r="E2576" t="inlineStr">
        <is>
          <t>gross_income</t>
        </is>
      </c>
      <c r="F2576" t="inlineStr">
        <is>
          <t>Gross income</t>
        </is>
      </c>
      <c r="G2576" t="inlineStr">
        <is>
          <t>pressure</t>
        </is>
      </c>
      <c r="H2576" t="inlineStr">
        <is>
          <t>yes</t>
        </is>
      </c>
      <c r="I2576" t="inlineStr"/>
      <c r="J2576" t="inlineStr"/>
      <c r="K2576" t="inlineStr"/>
      <c r="L2576" t="inlineStr"/>
      <c r="M2576" t="inlineStr"/>
      <c r="N2576" t="inlineStr"/>
    </row>
    <row r="2577">
      <c r="A2577" t="inlineStr">
        <is>
          <t>au-hobart</t>
        </is>
      </c>
      <c r="B2577" t="inlineStr">
        <is>
          <t>Hobart</t>
        </is>
      </c>
      <c r="C2577" t="inlineStr">
        <is>
          <t>Australia</t>
        </is>
      </c>
      <c r="D2577" t="inlineStr">
        <is>
          <t>Oceania</t>
        </is>
      </c>
      <c r="E2577" t="inlineStr">
        <is>
          <t>rent</t>
        </is>
      </c>
      <c r="F2577" t="inlineStr">
        <is>
          <t>Rent</t>
        </is>
      </c>
      <c r="G2577" t="inlineStr">
        <is>
          <t>pressure</t>
        </is>
      </c>
      <c r="H2577" t="inlineStr">
        <is>
          <t>yes</t>
        </is>
      </c>
      <c r="I2577" t="inlineStr"/>
      <c r="J2577" t="inlineStr"/>
      <c r="K2577" t="inlineStr"/>
      <c r="L2577" t="inlineStr"/>
      <c r="M2577" t="inlineStr"/>
      <c r="N2577" t="inlineStr"/>
    </row>
    <row r="2578">
      <c r="A2578" t="inlineStr">
        <is>
          <t>au-hobart</t>
        </is>
      </c>
      <c r="B2578" t="inlineStr">
        <is>
          <t>Hobart</t>
        </is>
      </c>
      <c r="C2578" t="inlineStr">
        <is>
          <t>Australia</t>
        </is>
      </c>
      <c r="D2578" t="inlineStr">
        <is>
          <t>Oceania</t>
        </is>
      </c>
      <c r="E2578" t="inlineStr">
        <is>
          <t>utilities</t>
        </is>
      </c>
      <c r="F2578" t="inlineStr">
        <is>
          <t>Utilities</t>
        </is>
      </c>
      <c r="G2578" t="inlineStr">
        <is>
          <t>pressure</t>
        </is>
      </c>
      <c r="H2578" t="inlineStr">
        <is>
          <t>yes</t>
        </is>
      </c>
      <c r="I2578" t="inlineStr"/>
      <c r="J2578" t="inlineStr"/>
      <c r="K2578" t="inlineStr"/>
      <c r="L2578" t="inlineStr"/>
      <c r="M2578" t="inlineStr"/>
      <c r="N2578" t="inlineStr"/>
    </row>
    <row r="2579">
      <c r="A2579" t="inlineStr">
        <is>
          <t>au-hobart</t>
        </is>
      </c>
      <c r="B2579" t="inlineStr">
        <is>
          <t>Hobart</t>
        </is>
      </c>
      <c r="C2579" t="inlineStr">
        <is>
          <t>Australia</t>
        </is>
      </c>
      <c r="D2579" t="inlineStr">
        <is>
          <t>Oceania</t>
        </is>
      </c>
      <c r="E2579" t="inlineStr">
        <is>
          <t>transit_cost</t>
        </is>
      </c>
      <c r="F2579" t="inlineStr">
        <is>
          <t>Transit cost</t>
        </is>
      </c>
      <c r="G2579" t="inlineStr">
        <is>
          <t>pressure</t>
        </is>
      </c>
      <c r="H2579" t="inlineStr">
        <is>
          <t>yes</t>
        </is>
      </c>
      <c r="I2579" t="inlineStr"/>
      <c r="J2579" t="inlineStr"/>
      <c r="K2579" t="inlineStr"/>
      <c r="L2579" t="inlineStr"/>
      <c r="M2579" t="inlineStr"/>
      <c r="N2579" t="inlineStr"/>
    </row>
    <row r="2580">
      <c r="A2580" t="inlineStr">
        <is>
          <t>au-hobart</t>
        </is>
      </c>
      <c r="B2580" t="inlineStr">
        <is>
          <t>Hobart</t>
        </is>
      </c>
      <c r="C2580" t="inlineStr">
        <is>
          <t>Australia</t>
        </is>
      </c>
      <c r="D2580" t="inlineStr">
        <is>
          <t>Oceania</t>
        </is>
      </c>
      <c r="E2580" t="inlineStr">
        <is>
          <t>internet_cost</t>
        </is>
      </c>
      <c r="F2580" t="inlineStr">
        <is>
          <t>Internet cost</t>
        </is>
      </c>
      <c r="G2580" t="inlineStr">
        <is>
          <t>pressure</t>
        </is>
      </c>
      <c r="H2580" t="inlineStr">
        <is>
          <t>yes</t>
        </is>
      </c>
      <c r="I2580" t="inlineStr"/>
      <c r="J2580" t="inlineStr"/>
      <c r="K2580" t="inlineStr"/>
      <c r="L2580" t="inlineStr"/>
      <c r="M2580" t="inlineStr"/>
      <c r="N2580" t="inlineStr"/>
    </row>
    <row r="2581">
      <c r="A2581" t="inlineStr">
        <is>
          <t>au-hobart</t>
        </is>
      </c>
      <c r="B2581" t="inlineStr">
        <is>
          <t>Hobart</t>
        </is>
      </c>
      <c r="C2581" t="inlineStr">
        <is>
          <t>Australia</t>
        </is>
      </c>
      <c r="D2581" t="inlineStr">
        <is>
          <t>Oceania</t>
        </is>
      </c>
      <c r="E2581" t="inlineStr">
        <is>
          <t>food_cost</t>
        </is>
      </c>
      <c r="F2581" t="inlineStr">
        <is>
          <t>Food cost</t>
        </is>
      </c>
      <c r="G2581" t="inlineStr">
        <is>
          <t>pressure</t>
        </is>
      </c>
      <c r="H2581" t="inlineStr">
        <is>
          <t>yes</t>
        </is>
      </c>
      <c r="I2581" t="inlineStr"/>
      <c r="J2581" t="inlineStr"/>
      <c r="K2581" t="inlineStr"/>
      <c r="L2581" t="inlineStr"/>
      <c r="M2581" t="inlineStr"/>
      <c r="N2581" t="inlineStr"/>
    </row>
    <row r="2582">
      <c r="A2582" t="inlineStr">
        <is>
          <t>au-hobart</t>
        </is>
      </c>
      <c r="B2582" t="inlineStr">
        <is>
          <t>Hobart</t>
        </is>
      </c>
      <c r="C2582" t="inlineStr">
        <is>
          <t>Australia</t>
        </is>
      </c>
      <c r="D2582" t="inlineStr">
        <is>
          <t>Oceania</t>
        </is>
      </c>
      <c r="E2582" t="inlineStr">
        <is>
          <t>housing_burden_raw</t>
        </is>
      </c>
      <c r="F2582" t="inlineStr">
        <is>
          <t>Housing burden raw</t>
        </is>
      </c>
      <c r="G2582" t="inlineStr">
        <is>
          <t>pressure</t>
        </is>
      </c>
      <c r="H2582" t="inlineStr">
        <is>
          <t>yes</t>
        </is>
      </c>
      <c r="I2582" t="inlineStr"/>
      <c r="J2582" t="inlineStr"/>
      <c r="K2582" t="inlineStr"/>
      <c r="L2582" t="inlineStr"/>
      <c r="M2582" t="inlineStr"/>
      <c r="N2582" t="inlineStr"/>
    </row>
    <row r="2583">
      <c r="A2583" t="inlineStr">
        <is>
          <t>au-hobart</t>
        </is>
      </c>
      <c r="B2583" t="inlineStr">
        <is>
          <t>Hobart</t>
        </is>
      </c>
      <c r="C2583" t="inlineStr">
        <is>
          <t>Australia</t>
        </is>
      </c>
      <c r="D2583" t="inlineStr">
        <is>
          <t>Oceania</t>
        </is>
      </c>
      <c r="E2583" t="inlineStr">
        <is>
          <t>household_debt_burden_raw</t>
        </is>
      </c>
      <c r="F2583" t="inlineStr">
        <is>
          <t>Household debt burden raw</t>
        </is>
      </c>
      <c r="G2583" t="inlineStr">
        <is>
          <t>pressure</t>
        </is>
      </c>
      <c r="H2583" t="inlineStr">
        <is>
          <t>yes</t>
        </is>
      </c>
      <c r="I2583" t="inlineStr"/>
      <c r="J2583" t="inlineStr"/>
      <c r="K2583" t="inlineStr"/>
      <c r="L2583" t="inlineStr"/>
      <c r="M2583" t="inlineStr"/>
      <c r="N2583" t="inlineStr"/>
    </row>
    <row r="2584">
      <c r="A2584" t="inlineStr">
        <is>
          <t>au-hobart</t>
        </is>
      </c>
      <c r="B2584" t="inlineStr">
        <is>
          <t>Hobart</t>
        </is>
      </c>
      <c r="C2584" t="inlineStr">
        <is>
          <t>Australia</t>
        </is>
      </c>
      <c r="D2584" t="inlineStr">
        <is>
          <t>Oceania</t>
        </is>
      </c>
      <c r="E2584" t="inlineStr">
        <is>
          <t>working_time_pressure_raw</t>
        </is>
      </c>
      <c r="F2584" t="inlineStr">
        <is>
          <t>Working time pressure raw</t>
        </is>
      </c>
      <c r="G2584" t="inlineStr">
        <is>
          <t>pressure</t>
        </is>
      </c>
      <c r="H2584" t="inlineStr">
        <is>
          <t>yes</t>
        </is>
      </c>
      <c r="I2584" t="inlineStr"/>
      <c r="J2584" t="inlineStr"/>
      <c r="K2584" t="inlineStr"/>
      <c r="L2584" t="inlineStr"/>
      <c r="M2584" t="inlineStr"/>
      <c r="N2584" t="inlineStr"/>
    </row>
    <row r="2585">
      <c r="A2585" t="inlineStr">
        <is>
          <t>au-hobart</t>
        </is>
      </c>
      <c r="B2585" t="inlineStr">
        <is>
          <t>Hobart</t>
        </is>
      </c>
      <c r="C2585" t="inlineStr">
        <is>
          <t>Australia</t>
        </is>
      </c>
      <c r="D2585" t="inlineStr">
        <is>
          <t>Oceania</t>
        </is>
      </c>
      <c r="E2585" t="inlineStr">
        <is>
          <t>suicide_mental_strain_raw</t>
        </is>
      </c>
      <c r="F2585" t="inlineStr">
        <is>
          <t>Suicide or mental strain raw</t>
        </is>
      </c>
      <c r="G2585" t="inlineStr">
        <is>
          <t>pressure</t>
        </is>
      </c>
      <c r="H2585" t="inlineStr">
        <is>
          <t>yes</t>
        </is>
      </c>
      <c r="I2585" t="inlineStr"/>
      <c r="J2585" t="inlineStr"/>
      <c r="K2585" t="inlineStr"/>
      <c r="L2585" t="inlineStr"/>
      <c r="M2585" t="inlineStr"/>
      <c r="N2585" t="inlineStr"/>
    </row>
    <row r="2586">
      <c r="A2586" t="inlineStr">
        <is>
          <t>au-hobart</t>
        </is>
      </c>
      <c r="B2586" t="inlineStr">
        <is>
          <t>Hobart</t>
        </is>
      </c>
      <c r="C2586" t="inlineStr">
        <is>
          <t>Australia</t>
        </is>
      </c>
      <c r="D2586" t="inlineStr">
        <is>
          <t>Oceania</t>
        </is>
      </c>
      <c r="E2586" t="inlineStr">
        <is>
          <t>personal_safety_raw</t>
        </is>
      </c>
      <c r="F2586" t="inlineStr">
        <is>
          <t>Personal safety raw</t>
        </is>
      </c>
      <c r="G2586" t="inlineStr">
        <is>
          <t>viability</t>
        </is>
      </c>
      <c r="H2586" t="inlineStr">
        <is>
          <t>yes</t>
        </is>
      </c>
      <c r="I2586" t="inlineStr"/>
      <c r="J2586" t="inlineStr"/>
      <c r="K2586" t="inlineStr"/>
      <c r="L2586" t="inlineStr"/>
      <c r="M2586" t="inlineStr"/>
      <c r="N2586" t="inlineStr"/>
    </row>
    <row r="2587">
      <c r="A2587" t="inlineStr">
        <is>
          <t>au-hobart</t>
        </is>
      </c>
      <c r="B2587" t="inlineStr">
        <is>
          <t>Hobart</t>
        </is>
      </c>
      <c r="C2587" t="inlineStr">
        <is>
          <t>Australia</t>
        </is>
      </c>
      <c r="D2587" t="inlineStr">
        <is>
          <t>Oceania</t>
        </is>
      </c>
      <c r="E2587" t="inlineStr">
        <is>
          <t>transit_access_commute_raw</t>
        </is>
      </c>
      <c r="F2587" t="inlineStr">
        <is>
          <t>Transit access and commute raw</t>
        </is>
      </c>
      <c r="G2587" t="inlineStr">
        <is>
          <t>viability</t>
        </is>
      </c>
      <c r="H2587" t="inlineStr">
        <is>
          <t>yes</t>
        </is>
      </c>
      <c r="I2587" t="inlineStr"/>
      <c r="J2587" t="inlineStr"/>
      <c r="K2587" t="inlineStr"/>
      <c r="L2587" t="inlineStr"/>
      <c r="M2587" t="inlineStr"/>
      <c r="N2587" t="inlineStr"/>
    </row>
    <row r="2588">
      <c r="A2588" t="inlineStr">
        <is>
          <t>au-hobart</t>
        </is>
      </c>
      <c r="B2588" t="inlineStr">
        <is>
          <t>Hobart</t>
        </is>
      </c>
      <c r="C2588" t="inlineStr">
        <is>
          <t>Australia</t>
        </is>
      </c>
      <c r="D2588" t="inlineStr">
        <is>
          <t>Oceania</t>
        </is>
      </c>
      <c r="E2588" t="inlineStr">
        <is>
          <t>clean_air_raw</t>
        </is>
      </c>
      <c r="F2588" t="inlineStr">
        <is>
          <t>Clean air raw</t>
        </is>
      </c>
      <c r="G2588" t="inlineStr">
        <is>
          <t>viability</t>
        </is>
      </c>
      <c r="H2588" t="inlineStr">
        <is>
          <t>yes</t>
        </is>
      </c>
      <c r="I2588" t="inlineStr"/>
      <c r="J2588" t="inlineStr"/>
      <c r="K2588" t="inlineStr"/>
      <c r="L2588" t="inlineStr"/>
      <c r="M2588" t="inlineStr"/>
      <c r="N2588" t="inlineStr"/>
    </row>
    <row r="2589">
      <c r="A2589" t="inlineStr">
        <is>
          <t>au-hobart</t>
        </is>
      </c>
      <c r="B2589" t="inlineStr">
        <is>
          <t>Hobart</t>
        </is>
      </c>
      <c r="C2589" t="inlineStr">
        <is>
          <t>Australia</t>
        </is>
      </c>
      <c r="D2589" t="inlineStr">
        <is>
          <t>Oceania</t>
        </is>
      </c>
      <c r="E2589" t="inlineStr">
        <is>
          <t>water_sanitation_utility_raw</t>
        </is>
      </c>
      <c r="F2589" t="inlineStr">
        <is>
          <t>Water, sanitation, and utility raw</t>
        </is>
      </c>
      <c r="G2589" t="inlineStr">
        <is>
          <t>viability</t>
        </is>
      </c>
      <c r="H2589" t="inlineStr">
        <is>
          <t>yes</t>
        </is>
      </c>
      <c r="I2589" t="inlineStr"/>
      <c r="J2589" t="inlineStr"/>
      <c r="K2589" t="inlineStr"/>
      <c r="L2589" t="inlineStr"/>
      <c r="M2589" t="inlineStr"/>
      <c r="N2589" t="inlineStr"/>
    </row>
    <row r="2590">
      <c r="A2590" t="inlineStr">
        <is>
          <t>au-hobart</t>
        </is>
      </c>
      <c r="B2590" t="inlineStr">
        <is>
          <t>Hobart</t>
        </is>
      </c>
      <c r="C2590" t="inlineStr">
        <is>
          <t>Australia</t>
        </is>
      </c>
      <c r="D2590" t="inlineStr">
        <is>
          <t>Oceania</t>
        </is>
      </c>
      <c r="E2590" t="inlineStr">
        <is>
          <t>digital_infrastructure_raw</t>
        </is>
      </c>
      <c r="F2590" t="inlineStr">
        <is>
          <t>Digital infrastructure raw</t>
        </is>
      </c>
      <c r="G2590" t="inlineStr">
        <is>
          <t>viability</t>
        </is>
      </c>
      <c r="H2590" t="inlineStr">
        <is>
          <t>yes</t>
        </is>
      </c>
      <c r="I2590" t="inlineStr"/>
      <c r="J2590" t="inlineStr"/>
      <c r="K2590" t="inlineStr"/>
      <c r="L2590" t="inlineStr"/>
      <c r="M2590" t="inlineStr"/>
      <c r="N2590" t="inlineStr"/>
    </row>
    <row r="2591">
      <c r="A2591" t="inlineStr">
        <is>
          <t>au-hobart</t>
        </is>
      </c>
      <c r="B2591" t="inlineStr">
        <is>
          <t>Hobart</t>
        </is>
      </c>
      <c r="C2591" t="inlineStr">
        <is>
          <t>Australia</t>
        </is>
      </c>
      <c r="D2591" t="inlineStr">
        <is>
          <t>Oceania</t>
        </is>
      </c>
      <c r="E2591" t="inlineStr">
        <is>
          <t>healthcare_quality_raw</t>
        </is>
      </c>
      <c r="F2591" t="inlineStr">
        <is>
          <t>Healthcare quality raw</t>
        </is>
      </c>
      <c r="G2591" t="inlineStr">
        <is>
          <t>capability</t>
        </is>
      </c>
      <c r="H2591" t="inlineStr">
        <is>
          <t>yes</t>
        </is>
      </c>
      <c r="I2591" t="inlineStr"/>
      <c r="J2591" t="inlineStr"/>
      <c r="K2591" t="inlineStr"/>
      <c r="L2591" t="inlineStr"/>
      <c r="M2591" t="inlineStr"/>
      <c r="N2591" t="inlineStr"/>
    </row>
    <row r="2592">
      <c r="A2592" t="inlineStr">
        <is>
          <t>au-hobart</t>
        </is>
      </c>
      <c r="B2592" t="inlineStr">
        <is>
          <t>Hobart</t>
        </is>
      </c>
      <c r="C2592" t="inlineStr">
        <is>
          <t>Australia</t>
        </is>
      </c>
      <c r="D2592" t="inlineStr">
        <is>
          <t>Oceania</t>
        </is>
      </c>
      <c r="E2592" t="inlineStr">
        <is>
          <t>education_quality_raw</t>
        </is>
      </c>
      <c r="F2592" t="inlineStr">
        <is>
          <t>Education quality raw</t>
        </is>
      </c>
      <c r="G2592" t="inlineStr">
        <is>
          <t>capability</t>
        </is>
      </c>
      <c r="H2592" t="inlineStr">
        <is>
          <t>yes</t>
        </is>
      </c>
      <c r="I2592" t="inlineStr"/>
      <c r="J2592" t="inlineStr"/>
      <c r="K2592" t="inlineStr"/>
      <c r="L2592" t="inlineStr"/>
      <c r="M2592" t="inlineStr"/>
      <c r="N2592" t="inlineStr"/>
    </row>
    <row r="2593">
      <c r="A2593" t="inlineStr">
        <is>
          <t>au-hobart</t>
        </is>
      </c>
      <c r="B2593" t="inlineStr">
        <is>
          <t>Hobart</t>
        </is>
      </c>
      <c r="C2593" t="inlineStr">
        <is>
          <t>Australia</t>
        </is>
      </c>
      <c r="D2593" t="inlineStr">
        <is>
          <t>Oceania</t>
        </is>
      </c>
      <c r="E2593" t="inlineStr">
        <is>
          <t>equal_opportunity_raw</t>
        </is>
      </c>
      <c r="F2593" t="inlineStr">
        <is>
          <t>Equal opportunity raw</t>
        </is>
      </c>
      <c r="G2593" t="inlineStr">
        <is>
          <t>capability</t>
        </is>
      </c>
      <c r="H2593" t="inlineStr">
        <is>
          <t>yes</t>
        </is>
      </c>
      <c r="I2593" t="inlineStr"/>
      <c r="J2593" t="inlineStr"/>
      <c r="K2593" t="inlineStr"/>
      <c r="L2593" t="inlineStr"/>
      <c r="M2593" t="inlineStr"/>
      <c r="N2593" t="inlineStr"/>
    </row>
    <row r="2594">
      <c r="A2594" t="inlineStr">
        <is>
          <t>au-hobart</t>
        </is>
      </c>
      <c r="B2594" t="inlineStr">
        <is>
          <t>Hobart</t>
        </is>
      </c>
      <c r="C2594" t="inlineStr">
        <is>
          <t>Australia</t>
        </is>
      </c>
      <c r="D2594" t="inlineStr">
        <is>
          <t>Oceania</t>
        </is>
      </c>
      <c r="E2594" t="inlineStr">
        <is>
          <t>hospitality_belonging_raw</t>
        </is>
      </c>
      <c r="F2594" t="inlineStr">
        <is>
          <t>Hospitality and belonging raw</t>
        </is>
      </c>
      <c r="G2594" t="inlineStr">
        <is>
          <t>community</t>
        </is>
      </c>
      <c r="H2594" t="inlineStr">
        <is>
          <t>yes</t>
        </is>
      </c>
      <c r="I2594" t="inlineStr"/>
      <c r="J2594" t="inlineStr"/>
      <c r="K2594" t="inlineStr"/>
      <c r="L2594" t="inlineStr"/>
      <c r="M2594" t="inlineStr"/>
      <c r="N2594" t="inlineStr"/>
    </row>
    <row r="2595">
      <c r="A2595" t="inlineStr">
        <is>
          <t>au-hobart</t>
        </is>
      </c>
      <c r="B2595" t="inlineStr">
        <is>
          <t>Hobart</t>
        </is>
      </c>
      <c r="C2595" t="inlineStr">
        <is>
          <t>Australia</t>
        </is>
      </c>
      <c r="D2595" t="inlineStr">
        <is>
          <t>Oceania</t>
        </is>
      </c>
      <c r="E2595" t="inlineStr">
        <is>
          <t>tolerance_pluralism_raw</t>
        </is>
      </c>
      <c r="F2595" t="inlineStr">
        <is>
          <t>Tolerance and pluralism raw</t>
        </is>
      </c>
      <c r="G2595" t="inlineStr">
        <is>
          <t>community</t>
        </is>
      </c>
      <c r="H2595" t="inlineStr">
        <is>
          <t>yes</t>
        </is>
      </c>
      <c r="I2595" t="inlineStr"/>
      <c r="J2595" t="inlineStr"/>
      <c r="K2595" t="inlineStr"/>
      <c r="L2595" t="inlineStr"/>
      <c r="M2595" t="inlineStr"/>
      <c r="N2595" t="inlineStr"/>
    </row>
    <row r="2596">
      <c r="A2596" t="inlineStr">
        <is>
          <t>au-hobart</t>
        </is>
      </c>
      <c r="B2596" t="inlineStr">
        <is>
          <t>Hobart</t>
        </is>
      </c>
      <c r="C2596" t="inlineStr">
        <is>
          <t>Australia</t>
        </is>
      </c>
      <c r="D2596" t="inlineStr">
        <is>
          <t>Oceania</t>
        </is>
      </c>
      <c r="E2596" t="inlineStr">
        <is>
          <t>cultural_public_life_raw</t>
        </is>
      </c>
      <c r="F2596" t="inlineStr">
        <is>
          <t>Cultural public life raw</t>
        </is>
      </c>
      <c r="G2596" t="inlineStr">
        <is>
          <t>community</t>
        </is>
      </c>
      <c r="H2596" t="inlineStr">
        <is>
          <t>yes</t>
        </is>
      </c>
      <c r="I2596" t="inlineStr"/>
      <c r="J2596" t="inlineStr"/>
      <c r="K2596" t="inlineStr"/>
      <c r="L2596" t="inlineStr"/>
      <c r="M2596" t="inlineStr"/>
      <c r="N2596" t="inlineStr"/>
    </row>
    <row r="2597">
      <c r="A2597" t="inlineStr">
        <is>
          <t>au-hobart</t>
        </is>
      </c>
      <c r="B2597" t="inlineStr">
        <is>
          <t>Hobart</t>
        </is>
      </c>
      <c r="C2597" t="inlineStr">
        <is>
          <t>Australia</t>
        </is>
      </c>
      <c r="D2597" t="inlineStr">
        <is>
          <t>Oceania</t>
        </is>
      </c>
      <c r="E2597" t="inlineStr">
        <is>
          <t>entrepreneurial_dynamism_raw</t>
        </is>
      </c>
      <c r="F2597" t="inlineStr">
        <is>
          <t>Entrepreneurial dynamism raw</t>
        </is>
      </c>
      <c r="G2597" t="inlineStr">
        <is>
          <t>creative</t>
        </is>
      </c>
      <c r="H2597" t="inlineStr">
        <is>
          <t>yes</t>
        </is>
      </c>
      <c r="I2597" t="inlineStr"/>
      <c r="J2597" t="inlineStr"/>
      <c r="K2597" t="inlineStr"/>
      <c r="L2597" t="inlineStr"/>
      <c r="M2597" t="inlineStr"/>
      <c r="N2597" t="inlineStr"/>
    </row>
    <row r="2598">
      <c r="A2598" t="inlineStr">
        <is>
          <t>au-hobart</t>
        </is>
      </c>
      <c r="B2598" t="inlineStr">
        <is>
          <t>Hobart</t>
        </is>
      </c>
      <c r="C2598" t="inlineStr">
        <is>
          <t>Australia</t>
        </is>
      </c>
      <c r="D2598" t="inlineStr">
        <is>
          <t>Oceania</t>
        </is>
      </c>
      <c r="E2598" t="inlineStr">
        <is>
          <t>innovation_research_intensity_raw</t>
        </is>
      </c>
      <c r="F2598" t="inlineStr">
        <is>
          <t>Innovation and research raw</t>
        </is>
      </c>
      <c r="G2598" t="inlineStr">
        <is>
          <t>creative</t>
        </is>
      </c>
      <c r="H2598" t="inlineStr">
        <is>
          <t>yes</t>
        </is>
      </c>
      <c r="I2598" t="inlineStr"/>
      <c r="J2598" t="inlineStr"/>
      <c r="K2598" t="inlineStr"/>
      <c r="L2598" t="inlineStr"/>
      <c r="M2598" t="inlineStr"/>
      <c r="N2598" t="inlineStr"/>
    </row>
    <row r="2599">
      <c r="A2599" t="inlineStr">
        <is>
          <t>au-hobart</t>
        </is>
      </c>
      <c r="B2599" t="inlineStr">
        <is>
          <t>Hobart</t>
        </is>
      </c>
      <c r="C2599" t="inlineStr">
        <is>
          <t>Australia</t>
        </is>
      </c>
      <c r="D2599" t="inlineStr">
        <is>
          <t>Oceania</t>
        </is>
      </c>
      <c r="E2599" t="inlineStr">
        <is>
          <t>investment_signal_raw</t>
        </is>
      </c>
      <c r="F2599" t="inlineStr">
        <is>
          <t>Investment signal raw</t>
        </is>
      </c>
      <c r="G2599" t="inlineStr">
        <is>
          <t>creative</t>
        </is>
      </c>
      <c r="H2599" t="inlineStr">
        <is>
          <t>yes</t>
        </is>
      </c>
      <c r="I2599" t="inlineStr"/>
      <c r="J2599" t="inlineStr"/>
      <c r="K2599" t="inlineStr"/>
      <c r="L2599" t="inlineStr"/>
      <c r="M2599" t="inlineStr"/>
      <c r="N2599" t="inlineStr"/>
    </row>
    <row r="2600">
      <c r="A2600" t="inlineStr">
        <is>
          <t>au-hobart</t>
        </is>
      </c>
      <c r="B2600" t="inlineStr">
        <is>
          <t>Hobart</t>
        </is>
      </c>
      <c r="C2600" t="inlineStr">
        <is>
          <t>Australia</t>
        </is>
      </c>
      <c r="D2600" t="inlineStr">
        <is>
          <t>Oceania</t>
        </is>
      </c>
      <c r="E2600" t="inlineStr">
        <is>
          <t>administrative_investment_friction_raw</t>
        </is>
      </c>
      <c r="F2600" t="inlineStr">
        <is>
          <t>Administrative investment friction raw</t>
        </is>
      </c>
      <c r="G2600" t="inlineStr">
        <is>
          <t>creative</t>
        </is>
      </c>
      <c r="H2600" t="inlineStr">
        <is>
          <t>yes</t>
        </is>
      </c>
      <c r="I2600" t="inlineStr"/>
      <c r="J2600" t="inlineStr"/>
      <c r="K2600" t="inlineStr"/>
      <c r="L2600" t="inlineStr"/>
      <c r="M2600" t="inlineStr"/>
      <c r="N2600" t="inlineStr"/>
    </row>
    <row r="2601">
      <c r="A2601" t="inlineStr">
        <is>
          <t>au-hobart</t>
        </is>
      </c>
      <c r="B2601" t="inlineStr">
        <is>
          <t>Hobart</t>
        </is>
      </c>
      <c r="C2601" t="inlineStr">
        <is>
          <t>Australia</t>
        </is>
      </c>
      <c r="D2601" t="inlineStr">
        <is>
          <t>Oceania</t>
        </is>
      </c>
      <c r="E2601" t="inlineStr">
        <is>
          <t>visitor_flow_context_raw</t>
        </is>
      </c>
      <c r="F2601" t="inlineStr">
        <is>
          <t>Visitor flow context raw</t>
        </is>
      </c>
      <c r="G2601" t="inlineStr">
        <is>
          <t>creative</t>
        </is>
      </c>
      <c r="H2601" t="inlineStr">
        <is>
          <t>no</t>
        </is>
      </c>
      <c r="I2601" t="inlineStr"/>
      <c r="J2601" t="inlineStr"/>
      <c r="K2601" t="inlineStr"/>
      <c r="L2601" t="inlineStr"/>
      <c r="M2601" t="inlineStr"/>
      <c r="N2601" t="inlineStr"/>
    </row>
    <row r="2602">
      <c r="A2602" t="inlineStr">
        <is>
          <t>nz-christchurch</t>
        </is>
      </c>
      <c r="B2602" t="inlineStr">
        <is>
          <t>Christchurch</t>
        </is>
      </c>
      <c r="C2602" t="inlineStr">
        <is>
          <t>New Zealand</t>
        </is>
      </c>
      <c r="D2602" t="inlineStr">
        <is>
          <t>Oceania</t>
        </is>
      </c>
      <c r="E2602" t="inlineStr">
        <is>
          <t>gross_income</t>
        </is>
      </c>
      <c r="F2602" t="inlineStr">
        <is>
          <t>Gross income</t>
        </is>
      </c>
      <c r="G2602" t="inlineStr">
        <is>
          <t>pressure</t>
        </is>
      </c>
      <c r="H2602" t="inlineStr">
        <is>
          <t>yes</t>
        </is>
      </c>
      <c r="I2602" t="inlineStr"/>
      <c r="J2602" t="inlineStr"/>
      <c r="K2602" t="inlineStr"/>
      <c r="L2602" t="inlineStr"/>
      <c r="M2602" t="inlineStr"/>
      <c r="N2602" t="inlineStr"/>
    </row>
    <row r="2603">
      <c r="A2603" t="inlineStr">
        <is>
          <t>nz-christchurch</t>
        </is>
      </c>
      <c r="B2603" t="inlineStr">
        <is>
          <t>Christchurch</t>
        </is>
      </c>
      <c r="C2603" t="inlineStr">
        <is>
          <t>New Zealand</t>
        </is>
      </c>
      <c r="D2603" t="inlineStr">
        <is>
          <t>Oceania</t>
        </is>
      </c>
      <c r="E2603" t="inlineStr">
        <is>
          <t>rent</t>
        </is>
      </c>
      <c r="F2603" t="inlineStr">
        <is>
          <t>Rent</t>
        </is>
      </c>
      <c r="G2603" t="inlineStr">
        <is>
          <t>pressure</t>
        </is>
      </c>
      <c r="H2603" t="inlineStr">
        <is>
          <t>yes</t>
        </is>
      </c>
      <c r="I2603" t="inlineStr"/>
      <c r="J2603" t="inlineStr"/>
      <c r="K2603" t="inlineStr"/>
      <c r="L2603" t="inlineStr"/>
      <c r="M2603" t="inlineStr"/>
      <c r="N2603" t="inlineStr"/>
    </row>
    <row r="2604">
      <c r="A2604" t="inlineStr">
        <is>
          <t>nz-christchurch</t>
        </is>
      </c>
      <c r="B2604" t="inlineStr">
        <is>
          <t>Christchurch</t>
        </is>
      </c>
      <c r="C2604" t="inlineStr">
        <is>
          <t>New Zealand</t>
        </is>
      </c>
      <c r="D2604" t="inlineStr">
        <is>
          <t>Oceania</t>
        </is>
      </c>
      <c r="E2604" t="inlineStr">
        <is>
          <t>utilities</t>
        </is>
      </c>
      <c r="F2604" t="inlineStr">
        <is>
          <t>Utilities</t>
        </is>
      </c>
      <c r="G2604" t="inlineStr">
        <is>
          <t>pressure</t>
        </is>
      </c>
      <c r="H2604" t="inlineStr">
        <is>
          <t>yes</t>
        </is>
      </c>
      <c r="I2604" t="inlineStr"/>
      <c r="J2604" t="inlineStr"/>
      <c r="K2604" t="inlineStr"/>
      <c r="L2604" t="inlineStr"/>
      <c r="M2604" t="inlineStr"/>
      <c r="N2604" t="inlineStr"/>
    </row>
    <row r="2605">
      <c r="A2605" t="inlineStr">
        <is>
          <t>nz-christchurch</t>
        </is>
      </c>
      <c r="B2605" t="inlineStr">
        <is>
          <t>Christchurch</t>
        </is>
      </c>
      <c r="C2605" t="inlineStr">
        <is>
          <t>New Zealand</t>
        </is>
      </c>
      <c r="D2605" t="inlineStr">
        <is>
          <t>Oceania</t>
        </is>
      </c>
      <c r="E2605" t="inlineStr">
        <is>
          <t>transit_cost</t>
        </is>
      </c>
      <c r="F2605" t="inlineStr">
        <is>
          <t>Transit cost</t>
        </is>
      </c>
      <c r="G2605" t="inlineStr">
        <is>
          <t>pressure</t>
        </is>
      </c>
      <c r="H2605" t="inlineStr">
        <is>
          <t>yes</t>
        </is>
      </c>
      <c r="I2605" t="inlineStr"/>
      <c r="J2605" t="inlineStr"/>
      <c r="K2605" t="inlineStr"/>
      <c r="L2605" t="inlineStr"/>
      <c r="M2605" t="inlineStr"/>
      <c r="N2605" t="inlineStr"/>
    </row>
    <row r="2606">
      <c r="A2606" t="inlineStr">
        <is>
          <t>nz-christchurch</t>
        </is>
      </c>
      <c r="B2606" t="inlineStr">
        <is>
          <t>Christchurch</t>
        </is>
      </c>
      <c r="C2606" t="inlineStr">
        <is>
          <t>New Zealand</t>
        </is>
      </c>
      <c r="D2606" t="inlineStr">
        <is>
          <t>Oceania</t>
        </is>
      </c>
      <c r="E2606" t="inlineStr">
        <is>
          <t>internet_cost</t>
        </is>
      </c>
      <c r="F2606" t="inlineStr">
        <is>
          <t>Internet cost</t>
        </is>
      </c>
      <c r="G2606" t="inlineStr">
        <is>
          <t>pressure</t>
        </is>
      </c>
      <c r="H2606" t="inlineStr">
        <is>
          <t>yes</t>
        </is>
      </c>
      <c r="I2606" t="inlineStr"/>
      <c r="J2606" t="inlineStr"/>
      <c r="K2606" t="inlineStr"/>
      <c r="L2606" t="inlineStr"/>
      <c r="M2606" t="inlineStr"/>
      <c r="N2606" t="inlineStr"/>
    </row>
    <row r="2607">
      <c r="A2607" t="inlineStr">
        <is>
          <t>nz-christchurch</t>
        </is>
      </c>
      <c r="B2607" t="inlineStr">
        <is>
          <t>Christchurch</t>
        </is>
      </c>
      <c r="C2607" t="inlineStr">
        <is>
          <t>New Zealand</t>
        </is>
      </c>
      <c r="D2607" t="inlineStr">
        <is>
          <t>Oceania</t>
        </is>
      </c>
      <c r="E2607" t="inlineStr">
        <is>
          <t>food_cost</t>
        </is>
      </c>
      <c r="F2607" t="inlineStr">
        <is>
          <t>Food cost</t>
        </is>
      </c>
      <c r="G2607" t="inlineStr">
        <is>
          <t>pressure</t>
        </is>
      </c>
      <c r="H2607" t="inlineStr">
        <is>
          <t>yes</t>
        </is>
      </c>
      <c r="I2607" t="inlineStr"/>
      <c r="J2607" t="inlineStr"/>
      <c r="K2607" t="inlineStr"/>
      <c r="L2607" t="inlineStr"/>
      <c r="M2607" t="inlineStr"/>
      <c r="N2607" t="inlineStr"/>
    </row>
    <row r="2608">
      <c r="A2608" t="inlineStr">
        <is>
          <t>nz-christchurch</t>
        </is>
      </c>
      <c r="B2608" t="inlineStr">
        <is>
          <t>Christchurch</t>
        </is>
      </c>
      <c r="C2608" t="inlineStr">
        <is>
          <t>New Zealand</t>
        </is>
      </c>
      <c r="D2608" t="inlineStr">
        <is>
          <t>Oceania</t>
        </is>
      </c>
      <c r="E2608" t="inlineStr">
        <is>
          <t>housing_burden_raw</t>
        </is>
      </c>
      <c r="F2608" t="inlineStr">
        <is>
          <t>Housing burden raw</t>
        </is>
      </c>
      <c r="G2608" t="inlineStr">
        <is>
          <t>pressure</t>
        </is>
      </c>
      <c r="H2608" t="inlineStr">
        <is>
          <t>yes</t>
        </is>
      </c>
      <c r="I2608" t="inlineStr"/>
      <c r="J2608" t="inlineStr"/>
      <c r="K2608" t="inlineStr"/>
      <c r="L2608" t="inlineStr"/>
      <c r="M2608" t="inlineStr"/>
      <c r="N2608" t="inlineStr"/>
    </row>
    <row r="2609">
      <c r="A2609" t="inlineStr">
        <is>
          <t>nz-christchurch</t>
        </is>
      </c>
      <c r="B2609" t="inlineStr">
        <is>
          <t>Christchurch</t>
        </is>
      </c>
      <c r="C2609" t="inlineStr">
        <is>
          <t>New Zealand</t>
        </is>
      </c>
      <c r="D2609" t="inlineStr">
        <is>
          <t>Oceania</t>
        </is>
      </c>
      <c r="E2609" t="inlineStr">
        <is>
          <t>household_debt_burden_raw</t>
        </is>
      </c>
      <c r="F2609" t="inlineStr">
        <is>
          <t>Household debt burden raw</t>
        </is>
      </c>
      <c r="G2609" t="inlineStr">
        <is>
          <t>pressure</t>
        </is>
      </c>
      <c r="H2609" t="inlineStr">
        <is>
          <t>yes</t>
        </is>
      </c>
      <c r="I2609" t="inlineStr"/>
      <c r="J2609" t="inlineStr"/>
      <c r="K2609" t="inlineStr"/>
      <c r="L2609" t="inlineStr"/>
      <c r="M2609" t="inlineStr"/>
      <c r="N2609" t="inlineStr"/>
    </row>
    <row r="2610">
      <c r="A2610" t="inlineStr">
        <is>
          <t>nz-christchurch</t>
        </is>
      </c>
      <c r="B2610" t="inlineStr">
        <is>
          <t>Christchurch</t>
        </is>
      </c>
      <c r="C2610" t="inlineStr">
        <is>
          <t>New Zealand</t>
        </is>
      </c>
      <c r="D2610" t="inlineStr">
        <is>
          <t>Oceania</t>
        </is>
      </c>
      <c r="E2610" t="inlineStr">
        <is>
          <t>working_time_pressure_raw</t>
        </is>
      </c>
      <c r="F2610" t="inlineStr">
        <is>
          <t>Working time pressure raw</t>
        </is>
      </c>
      <c r="G2610" t="inlineStr">
        <is>
          <t>pressure</t>
        </is>
      </c>
      <c r="H2610" t="inlineStr">
        <is>
          <t>yes</t>
        </is>
      </c>
      <c r="I2610" t="inlineStr"/>
      <c r="J2610" t="inlineStr"/>
      <c r="K2610" t="inlineStr"/>
      <c r="L2610" t="inlineStr"/>
      <c r="M2610" t="inlineStr"/>
      <c r="N2610" t="inlineStr"/>
    </row>
    <row r="2611">
      <c r="A2611" t="inlineStr">
        <is>
          <t>nz-christchurch</t>
        </is>
      </c>
      <c r="B2611" t="inlineStr">
        <is>
          <t>Christchurch</t>
        </is>
      </c>
      <c r="C2611" t="inlineStr">
        <is>
          <t>New Zealand</t>
        </is>
      </c>
      <c r="D2611" t="inlineStr">
        <is>
          <t>Oceania</t>
        </is>
      </c>
      <c r="E2611" t="inlineStr">
        <is>
          <t>suicide_mental_strain_raw</t>
        </is>
      </c>
      <c r="F2611" t="inlineStr">
        <is>
          <t>Suicide or mental strain raw</t>
        </is>
      </c>
      <c r="G2611" t="inlineStr">
        <is>
          <t>pressure</t>
        </is>
      </c>
      <c r="H2611" t="inlineStr">
        <is>
          <t>yes</t>
        </is>
      </c>
      <c r="I2611" t="inlineStr"/>
      <c r="J2611" t="inlineStr"/>
      <c r="K2611" t="inlineStr"/>
      <c r="L2611" t="inlineStr"/>
      <c r="M2611" t="inlineStr"/>
      <c r="N2611" t="inlineStr"/>
    </row>
    <row r="2612">
      <c r="A2612" t="inlineStr">
        <is>
          <t>nz-christchurch</t>
        </is>
      </c>
      <c r="B2612" t="inlineStr">
        <is>
          <t>Christchurch</t>
        </is>
      </c>
      <c r="C2612" t="inlineStr">
        <is>
          <t>New Zealand</t>
        </is>
      </c>
      <c r="D2612" t="inlineStr">
        <is>
          <t>Oceania</t>
        </is>
      </c>
      <c r="E2612" t="inlineStr">
        <is>
          <t>personal_safety_raw</t>
        </is>
      </c>
      <c r="F2612" t="inlineStr">
        <is>
          <t>Personal safety raw</t>
        </is>
      </c>
      <c r="G2612" t="inlineStr">
        <is>
          <t>viability</t>
        </is>
      </c>
      <c r="H2612" t="inlineStr">
        <is>
          <t>yes</t>
        </is>
      </c>
      <c r="I2612" t="inlineStr"/>
      <c r="J2612" t="inlineStr"/>
      <c r="K2612" t="inlineStr"/>
      <c r="L2612" t="inlineStr"/>
      <c r="M2612" t="inlineStr"/>
      <c r="N2612" t="inlineStr"/>
    </row>
    <row r="2613">
      <c r="A2613" t="inlineStr">
        <is>
          <t>nz-christchurch</t>
        </is>
      </c>
      <c r="B2613" t="inlineStr">
        <is>
          <t>Christchurch</t>
        </is>
      </c>
      <c r="C2613" t="inlineStr">
        <is>
          <t>New Zealand</t>
        </is>
      </c>
      <c r="D2613" t="inlineStr">
        <is>
          <t>Oceania</t>
        </is>
      </c>
      <c r="E2613" t="inlineStr">
        <is>
          <t>transit_access_commute_raw</t>
        </is>
      </c>
      <c r="F2613" t="inlineStr">
        <is>
          <t>Transit access and commute raw</t>
        </is>
      </c>
      <c r="G2613" t="inlineStr">
        <is>
          <t>viability</t>
        </is>
      </c>
      <c r="H2613" t="inlineStr">
        <is>
          <t>yes</t>
        </is>
      </c>
      <c r="I2613" t="inlineStr"/>
      <c r="J2613" t="inlineStr"/>
      <c r="K2613" t="inlineStr"/>
      <c r="L2613" t="inlineStr"/>
      <c r="M2613" t="inlineStr"/>
      <c r="N2613" t="inlineStr"/>
    </row>
    <row r="2614">
      <c r="A2614" t="inlineStr">
        <is>
          <t>nz-christchurch</t>
        </is>
      </c>
      <c r="B2614" t="inlineStr">
        <is>
          <t>Christchurch</t>
        </is>
      </c>
      <c r="C2614" t="inlineStr">
        <is>
          <t>New Zealand</t>
        </is>
      </c>
      <c r="D2614" t="inlineStr">
        <is>
          <t>Oceania</t>
        </is>
      </c>
      <c r="E2614" t="inlineStr">
        <is>
          <t>clean_air_raw</t>
        </is>
      </c>
      <c r="F2614" t="inlineStr">
        <is>
          <t>Clean air raw</t>
        </is>
      </c>
      <c r="G2614" t="inlineStr">
        <is>
          <t>viability</t>
        </is>
      </c>
      <c r="H2614" t="inlineStr">
        <is>
          <t>yes</t>
        </is>
      </c>
      <c r="I2614" t="inlineStr"/>
      <c r="J2614" t="inlineStr"/>
      <c r="K2614" t="inlineStr"/>
      <c r="L2614" t="inlineStr"/>
      <c r="M2614" t="inlineStr"/>
      <c r="N2614" t="inlineStr"/>
    </row>
    <row r="2615">
      <c r="A2615" t="inlineStr">
        <is>
          <t>nz-christchurch</t>
        </is>
      </c>
      <c r="B2615" t="inlineStr">
        <is>
          <t>Christchurch</t>
        </is>
      </c>
      <c r="C2615" t="inlineStr">
        <is>
          <t>New Zealand</t>
        </is>
      </c>
      <c r="D2615" t="inlineStr">
        <is>
          <t>Oceania</t>
        </is>
      </c>
      <c r="E2615" t="inlineStr">
        <is>
          <t>water_sanitation_utility_raw</t>
        </is>
      </c>
      <c r="F2615" t="inlineStr">
        <is>
          <t>Water, sanitation, and utility raw</t>
        </is>
      </c>
      <c r="G2615" t="inlineStr">
        <is>
          <t>viability</t>
        </is>
      </c>
      <c r="H2615" t="inlineStr">
        <is>
          <t>yes</t>
        </is>
      </c>
      <c r="I2615" t="inlineStr"/>
      <c r="J2615" t="inlineStr"/>
      <c r="K2615" t="inlineStr"/>
      <c r="L2615" t="inlineStr"/>
      <c r="M2615" t="inlineStr"/>
      <c r="N2615" t="inlineStr"/>
    </row>
    <row r="2616">
      <c r="A2616" t="inlineStr">
        <is>
          <t>nz-christchurch</t>
        </is>
      </c>
      <c r="B2616" t="inlineStr">
        <is>
          <t>Christchurch</t>
        </is>
      </c>
      <c r="C2616" t="inlineStr">
        <is>
          <t>New Zealand</t>
        </is>
      </c>
      <c r="D2616" t="inlineStr">
        <is>
          <t>Oceania</t>
        </is>
      </c>
      <c r="E2616" t="inlineStr">
        <is>
          <t>digital_infrastructure_raw</t>
        </is>
      </c>
      <c r="F2616" t="inlineStr">
        <is>
          <t>Digital infrastructure raw</t>
        </is>
      </c>
      <c r="G2616" t="inlineStr">
        <is>
          <t>viability</t>
        </is>
      </c>
      <c r="H2616" t="inlineStr">
        <is>
          <t>yes</t>
        </is>
      </c>
      <c r="I2616" t="inlineStr"/>
      <c r="J2616" t="inlineStr"/>
      <c r="K2616" t="inlineStr"/>
      <c r="L2616" t="inlineStr"/>
      <c r="M2616" t="inlineStr"/>
      <c r="N2616" t="inlineStr"/>
    </row>
    <row r="2617">
      <c r="A2617" t="inlineStr">
        <is>
          <t>nz-christchurch</t>
        </is>
      </c>
      <c r="B2617" t="inlineStr">
        <is>
          <t>Christchurch</t>
        </is>
      </c>
      <c r="C2617" t="inlineStr">
        <is>
          <t>New Zealand</t>
        </is>
      </c>
      <c r="D2617" t="inlineStr">
        <is>
          <t>Oceania</t>
        </is>
      </c>
      <c r="E2617" t="inlineStr">
        <is>
          <t>healthcare_quality_raw</t>
        </is>
      </c>
      <c r="F2617" t="inlineStr">
        <is>
          <t>Healthcare quality raw</t>
        </is>
      </c>
      <c r="G2617" t="inlineStr">
        <is>
          <t>capability</t>
        </is>
      </c>
      <c r="H2617" t="inlineStr">
        <is>
          <t>yes</t>
        </is>
      </c>
      <c r="I2617" t="inlineStr"/>
      <c r="J2617" t="inlineStr"/>
      <c r="K2617" t="inlineStr"/>
      <c r="L2617" t="inlineStr"/>
      <c r="M2617" t="inlineStr"/>
      <c r="N2617" t="inlineStr"/>
    </row>
    <row r="2618">
      <c r="A2618" t="inlineStr">
        <is>
          <t>nz-christchurch</t>
        </is>
      </c>
      <c r="B2618" t="inlineStr">
        <is>
          <t>Christchurch</t>
        </is>
      </c>
      <c r="C2618" t="inlineStr">
        <is>
          <t>New Zealand</t>
        </is>
      </c>
      <c r="D2618" t="inlineStr">
        <is>
          <t>Oceania</t>
        </is>
      </c>
      <c r="E2618" t="inlineStr">
        <is>
          <t>education_quality_raw</t>
        </is>
      </c>
      <c r="F2618" t="inlineStr">
        <is>
          <t>Education quality raw</t>
        </is>
      </c>
      <c r="G2618" t="inlineStr">
        <is>
          <t>capability</t>
        </is>
      </c>
      <c r="H2618" t="inlineStr">
        <is>
          <t>yes</t>
        </is>
      </c>
      <c r="I2618" t="inlineStr"/>
      <c r="J2618" t="inlineStr"/>
      <c r="K2618" t="inlineStr"/>
      <c r="L2618" t="inlineStr"/>
      <c r="M2618" t="inlineStr"/>
      <c r="N2618" t="inlineStr"/>
    </row>
    <row r="2619">
      <c r="A2619" t="inlineStr">
        <is>
          <t>nz-christchurch</t>
        </is>
      </c>
      <c r="B2619" t="inlineStr">
        <is>
          <t>Christchurch</t>
        </is>
      </c>
      <c r="C2619" t="inlineStr">
        <is>
          <t>New Zealand</t>
        </is>
      </c>
      <c r="D2619" t="inlineStr">
        <is>
          <t>Oceania</t>
        </is>
      </c>
      <c r="E2619" t="inlineStr">
        <is>
          <t>equal_opportunity_raw</t>
        </is>
      </c>
      <c r="F2619" t="inlineStr">
        <is>
          <t>Equal opportunity raw</t>
        </is>
      </c>
      <c r="G2619" t="inlineStr">
        <is>
          <t>capability</t>
        </is>
      </c>
      <c r="H2619" t="inlineStr">
        <is>
          <t>yes</t>
        </is>
      </c>
      <c r="I2619" t="inlineStr"/>
      <c r="J2619" t="inlineStr"/>
      <c r="K2619" t="inlineStr"/>
      <c r="L2619" t="inlineStr"/>
      <c r="M2619" t="inlineStr"/>
      <c r="N2619" t="inlineStr"/>
    </row>
    <row r="2620">
      <c r="A2620" t="inlineStr">
        <is>
          <t>nz-christchurch</t>
        </is>
      </c>
      <c r="B2620" t="inlineStr">
        <is>
          <t>Christchurch</t>
        </is>
      </c>
      <c r="C2620" t="inlineStr">
        <is>
          <t>New Zealand</t>
        </is>
      </c>
      <c r="D2620" t="inlineStr">
        <is>
          <t>Oceania</t>
        </is>
      </c>
      <c r="E2620" t="inlineStr">
        <is>
          <t>hospitality_belonging_raw</t>
        </is>
      </c>
      <c r="F2620" t="inlineStr">
        <is>
          <t>Hospitality and belonging raw</t>
        </is>
      </c>
      <c r="G2620" t="inlineStr">
        <is>
          <t>community</t>
        </is>
      </c>
      <c r="H2620" t="inlineStr">
        <is>
          <t>yes</t>
        </is>
      </c>
      <c r="I2620" t="inlineStr"/>
      <c r="J2620" t="inlineStr"/>
      <c r="K2620" t="inlineStr"/>
      <c r="L2620" t="inlineStr"/>
      <c r="M2620" t="inlineStr"/>
      <c r="N2620" t="inlineStr"/>
    </row>
    <row r="2621">
      <c r="A2621" t="inlineStr">
        <is>
          <t>nz-christchurch</t>
        </is>
      </c>
      <c r="B2621" t="inlineStr">
        <is>
          <t>Christchurch</t>
        </is>
      </c>
      <c r="C2621" t="inlineStr">
        <is>
          <t>New Zealand</t>
        </is>
      </c>
      <c r="D2621" t="inlineStr">
        <is>
          <t>Oceania</t>
        </is>
      </c>
      <c r="E2621" t="inlineStr">
        <is>
          <t>tolerance_pluralism_raw</t>
        </is>
      </c>
      <c r="F2621" t="inlineStr">
        <is>
          <t>Tolerance and pluralism raw</t>
        </is>
      </c>
      <c r="G2621" t="inlineStr">
        <is>
          <t>community</t>
        </is>
      </c>
      <c r="H2621" t="inlineStr">
        <is>
          <t>yes</t>
        </is>
      </c>
      <c r="I2621" t="inlineStr"/>
      <c r="J2621" t="inlineStr"/>
      <c r="K2621" t="inlineStr"/>
      <c r="L2621" t="inlineStr"/>
      <c r="M2621" t="inlineStr"/>
      <c r="N2621" t="inlineStr"/>
    </row>
    <row r="2622">
      <c r="A2622" t="inlineStr">
        <is>
          <t>nz-christchurch</t>
        </is>
      </c>
      <c r="B2622" t="inlineStr">
        <is>
          <t>Christchurch</t>
        </is>
      </c>
      <c r="C2622" t="inlineStr">
        <is>
          <t>New Zealand</t>
        </is>
      </c>
      <c r="D2622" t="inlineStr">
        <is>
          <t>Oceania</t>
        </is>
      </c>
      <c r="E2622" t="inlineStr">
        <is>
          <t>cultural_public_life_raw</t>
        </is>
      </c>
      <c r="F2622" t="inlineStr">
        <is>
          <t>Cultural public life raw</t>
        </is>
      </c>
      <c r="G2622" t="inlineStr">
        <is>
          <t>community</t>
        </is>
      </c>
      <c r="H2622" t="inlineStr">
        <is>
          <t>yes</t>
        </is>
      </c>
      <c r="I2622" t="inlineStr"/>
      <c r="J2622" t="inlineStr"/>
      <c r="K2622" t="inlineStr"/>
      <c r="L2622" t="inlineStr"/>
      <c r="M2622" t="inlineStr"/>
      <c r="N2622" t="inlineStr"/>
    </row>
    <row r="2623">
      <c r="A2623" t="inlineStr">
        <is>
          <t>nz-christchurch</t>
        </is>
      </c>
      <c r="B2623" t="inlineStr">
        <is>
          <t>Christchurch</t>
        </is>
      </c>
      <c r="C2623" t="inlineStr">
        <is>
          <t>New Zealand</t>
        </is>
      </c>
      <c r="D2623" t="inlineStr">
        <is>
          <t>Oceania</t>
        </is>
      </c>
      <c r="E2623" t="inlineStr">
        <is>
          <t>entrepreneurial_dynamism_raw</t>
        </is>
      </c>
      <c r="F2623" t="inlineStr">
        <is>
          <t>Entrepreneurial dynamism raw</t>
        </is>
      </c>
      <c r="G2623" t="inlineStr">
        <is>
          <t>creative</t>
        </is>
      </c>
      <c r="H2623" t="inlineStr">
        <is>
          <t>yes</t>
        </is>
      </c>
      <c r="I2623" t="inlineStr"/>
      <c r="J2623" t="inlineStr"/>
      <c r="K2623" t="inlineStr"/>
      <c r="L2623" t="inlineStr"/>
      <c r="M2623" t="inlineStr"/>
      <c r="N2623" t="inlineStr"/>
    </row>
    <row r="2624">
      <c r="A2624" t="inlineStr">
        <is>
          <t>nz-christchurch</t>
        </is>
      </c>
      <c r="B2624" t="inlineStr">
        <is>
          <t>Christchurch</t>
        </is>
      </c>
      <c r="C2624" t="inlineStr">
        <is>
          <t>New Zealand</t>
        </is>
      </c>
      <c r="D2624" t="inlineStr">
        <is>
          <t>Oceania</t>
        </is>
      </c>
      <c r="E2624" t="inlineStr">
        <is>
          <t>innovation_research_intensity_raw</t>
        </is>
      </c>
      <c r="F2624" t="inlineStr">
        <is>
          <t>Innovation and research raw</t>
        </is>
      </c>
      <c r="G2624" t="inlineStr">
        <is>
          <t>creative</t>
        </is>
      </c>
      <c r="H2624" t="inlineStr">
        <is>
          <t>yes</t>
        </is>
      </c>
      <c r="I2624" t="inlineStr"/>
      <c r="J2624" t="inlineStr"/>
      <c r="K2624" t="inlineStr"/>
      <c r="L2624" t="inlineStr"/>
      <c r="M2624" t="inlineStr"/>
      <c r="N2624" t="inlineStr"/>
    </row>
    <row r="2625">
      <c r="A2625" t="inlineStr">
        <is>
          <t>nz-christchurch</t>
        </is>
      </c>
      <c r="B2625" t="inlineStr">
        <is>
          <t>Christchurch</t>
        </is>
      </c>
      <c r="C2625" t="inlineStr">
        <is>
          <t>New Zealand</t>
        </is>
      </c>
      <c r="D2625" t="inlineStr">
        <is>
          <t>Oceania</t>
        </is>
      </c>
      <c r="E2625" t="inlineStr">
        <is>
          <t>investment_signal_raw</t>
        </is>
      </c>
      <c r="F2625" t="inlineStr">
        <is>
          <t>Investment signal raw</t>
        </is>
      </c>
      <c r="G2625" t="inlineStr">
        <is>
          <t>creative</t>
        </is>
      </c>
      <c r="H2625" t="inlineStr">
        <is>
          <t>yes</t>
        </is>
      </c>
      <c r="I2625" t="inlineStr"/>
      <c r="J2625" t="inlineStr"/>
      <c r="K2625" t="inlineStr"/>
      <c r="L2625" t="inlineStr"/>
      <c r="M2625" t="inlineStr"/>
      <c r="N2625" t="inlineStr"/>
    </row>
    <row r="2626">
      <c r="A2626" t="inlineStr">
        <is>
          <t>nz-christchurch</t>
        </is>
      </c>
      <c r="B2626" t="inlineStr">
        <is>
          <t>Christchurch</t>
        </is>
      </c>
      <c r="C2626" t="inlineStr">
        <is>
          <t>New Zealand</t>
        </is>
      </c>
      <c r="D2626" t="inlineStr">
        <is>
          <t>Oceania</t>
        </is>
      </c>
      <c r="E2626" t="inlineStr">
        <is>
          <t>administrative_investment_friction_raw</t>
        </is>
      </c>
      <c r="F2626" t="inlineStr">
        <is>
          <t>Administrative investment friction raw</t>
        </is>
      </c>
      <c r="G2626" t="inlineStr">
        <is>
          <t>creative</t>
        </is>
      </c>
      <c r="H2626" t="inlineStr">
        <is>
          <t>yes</t>
        </is>
      </c>
      <c r="I2626" t="inlineStr"/>
      <c r="J2626" t="inlineStr"/>
      <c r="K2626" t="inlineStr"/>
      <c r="L2626" t="inlineStr"/>
      <c r="M2626" t="inlineStr"/>
      <c r="N2626" t="inlineStr"/>
    </row>
    <row r="2627">
      <c r="A2627" t="inlineStr">
        <is>
          <t>nz-christchurch</t>
        </is>
      </c>
      <c r="B2627" t="inlineStr">
        <is>
          <t>Christchurch</t>
        </is>
      </c>
      <c r="C2627" t="inlineStr">
        <is>
          <t>New Zealand</t>
        </is>
      </c>
      <c r="D2627" t="inlineStr">
        <is>
          <t>Oceania</t>
        </is>
      </c>
      <c r="E2627" t="inlineStr">
        <is>
          <t>visitor_flow_context_raw</t>
        </is>
      </c>
      <c r="F2627" t="inlineStr">
        <is>
          <t>Visitor flow context raw</t>
        </is>
      </c>
      <c r="G2627" t="inlineStr">
        <is>
          <t>creative</t>
        </is>
      </c>
      <c r="H2627" t="inlineStr">
        <is>
          <t>no</t>
        </is>
      </c>
      <c r="I2627" t="inlineStr"/>
      <c r="J2627" t="inlineStr"/>
      <c r="K2627" t="inlineStr"/>
      <c r="L2627" t="inlineStr"/>
      <c r="M2627" t="inlineStr"/>
      <c r="N2627" t="inlineStr"/>
    </row>
    <row r="2628">
      <c r="A2628" t="inlineStr">
        <is>
          <t>fj-suva</t>
        </is>
      </c>
      <c r="B2628" t="inlineStr">
        <is>
          <t>Suva</t>
        </is>
      </c>
      <c r="C2628" t="inlineStr">
        <is>
          <t>Fiji</t>
        </is>
      </c>
      <c r="D2628" t="inlineStr">
        <is>
          <t>Oceania</t>
        </is>
      </c>
      <c r="E2628" t="inlineStr">
        <is>
          <t>gross_income</t>
        </is>
      </c>
      <c r="F2628" t="inlineStr">
        <is>
          <t>Gross income</t>
        </is>
      </c>
      <c r="G2628" t="inlineStr">
        <is>
          <t>pressure</t>
        </is>
      </c>
      <c r="H2628" t="inlineStr">
        <is>
          <t>yes</t>
        </is>
      </c>
      <c r="I2628" t="inlineStr"/>
      <c r="J2628" t="inlineStr"/>
      <c r="K2628" t="inlineStr"/>
      <c r="L2628" t="inlineStr"/>
      <c r="M2628" t="inlineStr"/>
      <c r="N2628" t="inlineStr"/>
    </row>
    <row r="2629">
      <c r="A2629" t="inlineStr">
        <is>
          <t>fj-suva</t>
        </is>
      </c>
      <c r="B2629" t="inlineStr">
        <is>
          <t>Suva</t>
        </is>
      </c>
      <c r="C2629" t="inlineStr">
        <is>
          <t>Fiji</t>
        </is>
      </c>
      <c r="D2629" t="inlineStr">
        <is>
          <t>Oceania</t>
        </is>
      </c>
      <c r="E2629" t="inlineStr">
        <is>
          <t>rent</t>
        </is>
      </c>
      <c r="F2629" t="inlineStr">
        <is>
          <t>Rent</t>
        </is>
      </c>
      <c r="G2629" t="inlineStr">
        <is>
          <t>pressure</t>
        </is>
      </c>
      <c r="H2629" t="inlineStr">
        <is>
          <t>yes</t>
        </is>
      </c>
      <c r="I2629" t="inlineStr"/>
      <c r="J2629" t="inlineStr"/>
      <c r="K2629" t="inlineStr"/>
      <c r="L2629" t="inlineStr"/>
      <c r="M2629" t="inlineStr"/>
      <c r="N2629" t="inlineStr"/>
    </row>
    <row r="2630">
      <c r="A2630" t="inlineStr">
        <is>
          <t>fj-suva</t>
        </is>
      </c>
      <c r="B2630" t="inlineStr">
        <is>
          <t>Suva</t>
        </is>
      </c>
      <c r="C2630" t="inlineStr">
        <is>
          <t>Fiji</t>
        </is>
      </c>
      <c r="D2630" t="inlineStr">
        <is>
          <t>Oceania</t>
        </is>
      </c>
      <c r="E2630" t="inlineStr">
        <is>
          <t>utilities</t>
        </is>
      </c>
      <c r="F2630" t="inlineStr">
        <is>
          <t>Utilities</t>
        </is>
      </c>
      <c r="G2630" t="inlineStr">
        <is>
          <t>pressure</t>
        </is>
      </c>
      <c r="H2630" t="inlineStr">
        <is>
          <t>yes</t>
        </is>
      </c>
      <c r="I2630" t="inlineStr"/>
      <c r="J2630" t="inlineStr"/>
      <c r="K2630" t="inlineStr"/>
      <c r="L2630" t="inlineStr"/>
      <c r="M2630" t="inlineStr"/>
      <c r="N2630" t="inlineStr"/>
    </row>
    <row r="2631">
      <c r="A2631" t="inlineStr">
        <is>
          <t>fj-suva</t>
        </is>
      </c>
      <c r="B2631" t="inlineStr">
        <is>
          <t>Suva</t>
        </is>
      </c>
      <c r="C2631" t="inlineStr">
        <is>
          <t>Fiji</t>
        </is>
      </c>
      <c r="D2631" t="inlineStr">
        <is>
          <t>Oceania</t>
        </is>
      </c>
      <c r="E2631" t="inlineStr">
        <is>
          <t>transit_cost</t>
        </is>
      </c>
      <c r="F2631" t="inlineStr">
        <is>
          <t>Transit cost</t>
        </is>
      </c>
      <c r="G2631" t="inlineStr">
        <is>
          <t>pressure</t>
        </is>
      </c>
      <c r="H2631" t="inlineStr">
        <is>
          <t>yes</t>
        </is>
      </c>
      <c r="I2631" t="inlineStr"/>
      <c r="J2631" t="inlineStr"/>
      <c r="K2631" t="inlineStr"/>
      <c r="L2631" t="inlineStr"/>
      <c r="M2631" t="inlineStr"/>
      <c r="N2631" t="inlineStr"/>
    </row>
    <row r="2632">
      <c r="A2632" t="inlineStr">
        <is>
          <t>fj-suva</t>
        </is>
      </c>
      <c r="B2632" t="inlineStr">
        <is>
          <t>Suva</t>
        </is>
      </c>
      <c r="C2632" t="inlineStr">
        <is>
          <t>Fiji</t>
        </is>
      </c>
      <c r="D2632" t="inlineStr">
        <is>
          <t>Oceania</t>
        </is>
      </c>
      <c r="E2632" t="inlineStr">
        <is>
          <t>internet_cost</t>
        </is>
      </c>
      <c r="F2632" t="inlineStr">
        <is>
          <t>Internet cost</t>
        </is>
      </c>
      <c r="G2632" t="inlineStr">
        <is>
          <t>pressure</t>
        </is>
      </c>
      <c r="H2632" t="inlineStr">
        <is>
          <t>yes</t>
        </is>
      </c>
      <c r="I2632" t="inlineStr"/>
      <c r="J2632" t="inlineStr"/>
      <c r="K2632" t="inlineStr"/>
      <c r="L2632" t="inlineStr"/>
      <c r="M2632" t="inlineStr"/>
      <c r="N2632" t="inlineStr"/>
    </row>
    <row r="2633">
      <c r="A2633" t="inlineStr">
        <is>
          <t>fj-suva</t>
        </is>
      </c>
      <c r="B2633" t="inlineStr">
        <is>
          <t>Suva</t>
        </is>
      </c>
      <c r="C2633" t="inlineStr">
        <is>
          <t>Fiji</t>
        </is>
      </c>
      <c r="D2633" t="inlineStr">
        <is>
          <t>Oceania</t>
        </is>
      </c>
      <c r="E2633" t="inlineStr">
        <is>
          <t>food_cost</t>
        </is>
      </c>
      <c r="F2633" t="inlineStr">
        <is>
          <t>Food cost</t>
        </is>
      </c>
      <c r="G2633" t="inlineStr">
        <is>
          <t>pressure</t>
        </is>
      </c>
      <c r="H2633" t="inlineStr">
        <is>
          <t>yes</t>
        </is>
      </c>
      <c r="I2633" t="inlineStr"/>
      <c r="J2633" t="inlineStr"/>
      <c r="K2633" t="inlineStr"/>
      <c r="L2633" t="inlineStr"/>
      <c r="M2633" t="inlineStr"/>
      <c r="N2633" t="inlineStr"/>
    </row>
    <row r="2634">
      <c r="A2634" t="inlineStr">
        <is>
          <t>fj-suva</t>
        </is>
      </c>
      <c r="B2634" t="inlineStr">
        <is>
          <t>Suva</t>
        </is>
      </c>
      <c r="C2634" t="inlineStr">
        <is>
          <t>Fiji</t>
        </is>
      </c>
      <c r="D2634" t="inlineStr">
        <is>
          <t>Oceania</t>
        </is>
      </c>
      <c r="E2634" t="inlineStr">
        <is>
          <t>housing_burden_raw</t>
        </is>
      </c>
      <c r="F2634" t="inlineStr">
        <is>
          <t>Housing burden raw</t>
        </is>
      </c>
      <c r="G2634" t="inlineStr">
        <is>
          <t>pressure</t>
        </is>
      </c>
      <c r="H2634" t="inlineStr">
        <is>
          <t>yes</t>
        </is>
      </c>
      <c r="I2634" t="inlineStr"/>
      <c r="J2634" t="inlineStr"/>
      <c r="K2634" t="inlineStr"/>
      <c r="L2634" t="inlineStr"/>
      <c r="M2634" t="inlineStr"/>
      <c r="N2634" t="inlineStr"/>
    </row>
    <row r="2635">
      <c r="A2635" t="inlineStr">
        <is>
          <t>fj-suva</t>
        </is>
      </c>
      <c r="B2635" t="inlineStr">
        <is>
          <t>Suva</t>
        </is>
      </c>
      <c r="C2635" t="inlineStr">
        <is>
          <t>Fiji</t>
        </is>
      </c>
      <c r="D2635" t="inlineStr">
        <is>
          <t>Oceania</t>
        </is>
      </c>
      <c r="E2635" t="inlineStr">
        <is>
          <t>household_debt_burden_raw</t>
        </is>
      </c>
      <c r="F2635" t="inlineStr">
        <is>
          <t>Household debt burden raw</t>
        </is>
      </c>
      <c r="G2635" t="inlineStr">
        <is>
          <t>pressure</t>
        </is>
      </c>
      <c r="H2635" t="inlineStr">
        <is>
          <t>yes</t>
        </is>
      </c>
      <c r="I2635" t="inlineStr"/>
      <c r="J2635" t="inlineStr"/>
      <c r="K2635" t="inlineStr"/>
      <c r="L2635" t="inlineStr"/>
      <c r="M2635" t="inlineStr"/>
      <c r="N2635" t="inlineStr"/>
    </row>
    <row r="2636">
      <c r="A2636" t="inlineStr">
        <is>
          <t>fj-suva</t>
        </is>
      </c>
      <c r="B2636" t="inlineStr">
        <is>
          <t>Suva</t>
        </is>
      </c>
      <c r="C2636" t="inlineStr">
        <is>
          <t>Fiji</t>
        </is>
      </c>
      <c r="D2636" t="inlineStr">
        <is>
          <t>Oceania</t>
        </is>
      </c>
      <c r="E2636" t="inlineStr">
        <is>
          <t>working_time_pressure_raw</t>
        </is>
      </c>
      <c r="F2636" t="inlineStr">
        <is>
          <t>Working time pressure raw</t>
        </is>
      </c>
      <c r="G2636" t="inlineStr">
        <is>
          <t>pressure</t>
        </is>
      </c>
      <c r="H2636" t="inlineStr">
        <is>
          <t>yes</t>
        </is>
      </c>
      <c r="I2636" t="inlineStr"/>
      <c r="J2636" t="inlineStr"/>
      <c r="K2636" t="inlineStr"/>
      <c r="L2636" t="inlineStr"/>
      <c r="M2636" t="inlineStr"/>
      <c r="N2636" t="inlineStr"/>
    </row>
    <row r="2637">
      <c r="A2637" t="inlineStr">
        <is>
          <t>fj-suva</t>
        </is>
      </c>
      <c r="B2637" t="inlineStr">
        <is>
          <t>Suva</t>
        </is>
      </c>
      <c r="C2637" t="inlineStr">
        <is>
          <t>Fiji</t>
        </is>
      </c>
      <c r="D2637" t="inlineStr">
        <is>
          <t>Oceania</t>
        </is>
      </c>
      <c r="E2637" t="inlineStr">
        <is>
          <t>suicide_mental_strain_raw</t>
        </is>
      </c>
      <c r="F2637" t="inlineStr">
        <is>
          <t>Suicide or mental strain raw</t>
        </is>
      </c>
      <c r="G2637" t="inlineStr">
        <is>
          <t>pressure</t>
        </is>
      </c>
      <c r="H2637" t="inlineStr">
        <is>
          <t>yes</t>
        </is>
      </c>
      <c r="I2637" t="inlineStr"/>
      <c r="J2637" t="inlineStr"/>
      <c r="K2637" t="inlineStr"/>
      <c r="L2637" t="inlineStr"/>
      <c r="M2637" t="inlineStr"/>
      <c r="N2637" t="inlineStr"/>
    </row>
    <row r="2638">
      <c r="A2638" t="inlineStr">
        <is>
          <t>fj-suva</t>
        </is>
      </c>
      <c r="B2638" t="inlineStr">
        <is>
          <t>Suva</t>
        </is>
      </c>
      <c r="C2638" t="inlineStr">
        <is>
          <t>Fiji</t>
        </is>
      </c>
      <c r="D2638" t="inlineStr">
        <is>
          <t>Oceania</t>
        </is>
      </c>
      <c r="E2638" t="inlineStr">
        <is>
          <t>personal_safety_raw</t>
        </is>
      </c>
      <c r="F2638" t="inlineStr">
        <is>
          <t>Personal safety raw</t>
        </is>
      </c>
      <c r="G2638" t="inlineStr">
        <is>
          <t>viability</t>
        </is>
      </c>
      <c r="H2638" t="inlineStr">
        <is>
          <t>yes</t>
        </is>
      </c>
      <c r="I2638" t="inlineStr"/>
      <c r="J2638" t="inlineStr"/>
      <c r="K2638" t="inlineStr"/>
      <c r="L2638" t="inlineStr"/>
      <c r="M2638" t="inlineStr"/>
      <c r="N2638" t="inlineStr"/>
    </row>
    <row r="2639">
      <c r="A2639" t="inlineStr">
        <is>
          <t>fj-suva</t>
        </is>
      </c>
      <c r="B2639" t="inlineStr">
        <is>
          <t>Suva</t>
        </is>
      </c>
      <c r="C2639" t="inlineStr">
        <is>
          <t>Fiji</t>
        </is>
      </c>
      <c r="D2639" t="inlineStr">
        <is>
          <t>Oceania</t>
        </is>
      </c>
      <c r="E2639" t="inlineStr">
        <is>
          <t>transit_access_commute_raw</t>
        </is>
      </c>
      <c r="F2639" t="inlineStr">
        <is>
          <t>Transit access and commute raw</t>
        </is>
      </c>
      <c r="G2639" t="inlineStr">
        <is>
          <t>viability</t>
        </is>
      </c>
      <c r="H2639" t="inlineStr">
        <is>
          <t>yes</t>
        </is>
      </c>
      <c r="I2639" t="inlineStr"/>
      <c r="J2639" t="inlineStr"/>
      <c r="K2639" t="inlineStr"/>
      <c r="L2639" t="inlineStr"/>
      <c r="M2639" t="inlineStr"/>
      <c r="N2639" t="inlineStr"/>
    </row>
    <row r="2640">
      <c r="A2640" t="inlineStr">
        <is>
          <t>fj-suva</t>
        </is>
      </c>
      <c r="B2640" t="inlineStr">
        <is>
          <t>Suva</t>
        </is>
      </c>
      <c r="C2640" t="inlineStr">
        <is>
          <t>Fiji</t>
        </is>
      </c>
      <c r="D2640" t="inlineStr">
        <is>
          <t>Oceania</t>
        </is>
      </c>
      <c r="E2640" t="inlineStr">
        <is>
          <t>clean_air_raw</t>
        </is>
      </c>
      <c r="F2640" t="inlineStr">
        <is>
          <t>Clean air raw</t>
        </is>
      </c>
      <c r="G2640" t="inlineStr">
        <is>
          <t>viability</t>
        </is>
      </c>
      <c r="H2640" t="inlineStr">
        <is>
          <t>yes</t>
        </is>
      </c>
      <c r="I2640" t="inlineStr"/>
      <c r="J2640" t="inlineStr"/>
      <c r="K2640" t="inlineStr"/>
      <c r="L2640" t="inlineStr"/>
      <c r="M2640" t="inlineStr"/>
      <c r="N2640" t="inlineStr"/>
    </row>
    <row r="2641">
      <c r="A2641" t="inlineStr">
        <is>
          <t>fj-suva</t>
        </is>
      </c>
      <c r="B2641" t="inlineStr">
        <is>
          <t>Suva</t>
        </is>
      </c>
      <c r="C2641" t="inlineStr">
        <is>
          <t>Fiji</t>
        </is>
      </c>
      <c r="D2641" t="inlineStr">
        <is>
          <t>Oceania</t>
        </is>
      </c>
      <c r="E2641" t="inlineStr">
        <is>
          <t>water_sanitation_utility_raw</t>
        </is>
      </c>
      <c r="F2641" t="inlineStr">
        <is>
          <t>Water, sanitation, and utility raw</t>
        </is>
      </c>
      <c r="G2641" t="inlineStr">
        <is>
          <t>viability</t>
        </is>
      </c>
      <c r="H2641" t="inlineStr">
        <is>
          <t>yes</t>
        </is>
      </c>
      <c r="I2641" t="inlineStr"/>
      <c r="J2641" t="inlineStr"/>
      <c r="K2641" t="inlineStr"/>
      <c r="L2641" t="inlineStr"/>
      <c r="M2641" t="inlineStr"/>
      <c r="N2641" t="inlineStr"/>
    </row>
    <row r="2642">
      <c r="A2642" t="inlineStr">
        <is>
          <t>fj-suva</t>
        </is>
      </c>
      <c r="B2642" t="inlineStr">
        <is>
          <t>Suva</t>
        </is>
      </c>
      <c r="C2642" t="inlineStr">
        <is>
          <t>Fiji</t>
        </is>
      </c>
      <c r="D2642" t="inlineStr">
        <is>
          <t>Oceania</t>
        </is>
      </c>
      <c r="E2642" t="inlineStr">
        <is>
          <t>digital_infrastructure_raw</t>
        </is>
      </c>
      <c r="F2642" t="inlineStr">
        <is>
          <t>Digital infrastructure raw</t>
        </is>
      </c>
      <c r="G2642" t="inlineStr">
        <is>
          <t>viability</t>
        </is>
      </c>
      <c r="H2642" t="inlineStr">
        <is>
          <t>yes</t>
        </is>
      </c>
      <c r="I2642" t="inlineStr"/>
      <c r="J2642" t="inlineStr"/>
      <c r="K2642" t="inlineStr"/>
      <c r="L2642" t="inlineStr"/>
      <c r="M2642" t="inlineStr"/>
      <c r="N2642" t="inlineStr"/>
    </row>
    <row r="2643">
      <c r="A2643" t="inlineStr">
        <is>
          <t>fj-suva</t>
        </is>
      </c>
      <c r="B2643" t="inlineStr">
        <is>
          <t>Suva</t>
        </is>
      </c>
      <c r="C2643" t="inlineStr">
        <is>
          <t>Fiji</t>
        </is>
      </c>
      <c r="D2643" t="inlineStr">
        <is>
          <t>Oceania</t>
        </is>
      </c>
      <c r="E2643" t="inlineStr">
        <is>
          <t>healthcare_quality_raw</t>
        </is>
      </c>
      <c r="F2643" t="inlineStr">
        <is>
          <t>Healthcare quality raw</t>
        </is>
      </c>
      <c r="G2643" t="inlineStr">
        <is>
          <t>capability</t>
        </is>
      </c>
      <c r="H2643" t="inlineStr">
        <is>
          <t>yes</t>
        </is>
      </c>
      <c r="I2643" t="inlineStr"/>
      <c r="J2643" t="inlineStr"/>
      <c r="K2643" t="inlineStr"/>
      <c r="L2643" t="inlineStr"/>
      <c r="M2643" t="inlineStr"/>
      <c r="N2643" t="inlineStr"/>
    </row>
    <row r="2644">
      <c r="A2644" t="inlineStr">
        <is>
          <t>fj-suva</t>
        </is>
      </c>
      <c r="B2644" t="inlineStr">
        <is>
          <t>Suva</t>
        </is>
      </c>
      <c r="C2644" t="inlineStr">
        <is>
          <t>Fiji</t>
        </is>
      </c>
      <c r="D2644" t="inlineStr">
        <is>
          <t>Oceania</t>
        </is>
      </c>
      <c r="E2644" t="inlineStr">
        <is>
          <t>education_quality_raw</t>
        </is>
      </c>
      <c r="F2644" t="inlineStr">
        <is>
          <t>Education quality raw</t>
        </is>
      </c>
      <c r="G2644" t="inlineStr">
        <is>
          <t>capability</t>
        </is>
      </c>
      <c r="H2644" t="inlineStr">
        <is>
          <t>yes</t>
        </is>
      </c>
      <c r="I2644" t="inlineStr"/>
      <c r="J2644" t="inlineStr"/>
      <c r="K2644" t="inlineStr"/>
      <c r="L2644" t="inlineStr"/>
      <c r="M2644" t="inlineStr"/>
      <c r="N2644" t="inlineStr"/>
    </row>
    <row r="2645">
      <c r="A2645" t="inlineStr">
        <is>
          <t>fj-suva</t>
        </is>
      </c>
      <c r="B2645" t="inlineStr">
        <is>
          <t>Suva</t>
        </is>
      </c>
      <c r="C2645" t="inlineStr">
        <is>
          <t>Fiji</t>
        </is>
      </c>
      <c r="D2645" t="inlineStr">
        <is>
          <t>Oceania</t>
        </is>
      </c>
      <c r="E2645" t="inlineStr">
        <is>
          <t>equal_opportunity_raw</t>
        </is>
      </c>
      <c r="F2645" t="inlineStr">
        <is>
          <t>Equal opportunity raw</t>
        </is>
      </c>
      <c r="G2645" t="inlineStr">
        <is>
          <t>capability</t>
        </is>
      </c>
      <c r="H2645" t="inlineStr">
        <is>
          <t>yes</t>
        </is>
      </c>
      <c r="I2645" t="inlineStr"/>
      <c r="J2645" t="inlineStr"/>
      <c r="K2645" t="inlineStr"/>
      <c r="L2645" t="inlineStr"/>
      <c r="M2645" t="inlineStr"/>
      <c r="N2645" t="inlineStr"/>
    </row>
    <row r="2646">
      <c r="A2646" t="inlineStr">
        <is>
          <t>fj-suva</t>
        </is>
      </c>
      <c r="B2646" t="inlineStr">
        <is>
          <t>Suva</t>
        </is>
      </c>
      <c r="C2646" t="inlineStr">
        <is>
          <t>Fiji</t>
        </is>
      </c>
      <c r="D2646" t="inlineStr">
        <is>
          <t>Oceania</t>
        </is>
      </c>
      <c r="E2646" t="inlineStr">
        <is>
          <t>hospitality_belonging_raw</t>
        </is>
      </c>
      <c r="F2646" t="inlineStr">
        <is>
          <t>Hospitality and belonging raw</t>
        </is>
      </c>
      <c r="G2646" t="inlineStr">
        <is>
          <t>community</t>
        </is>
      </c>
      <c r="H2646" t="inlineStr">
        <is>
          <t>yes</t>
        </is>
      </c>
      <c r="I2646" t="inlineStr"/>
      <c r="J2646" t="inlineStr"/>
      <c r="K2646" t="inlineStr"/>
      <c r="L2646" t="inlineStr"/>
      <c r="M2646" t="inlineStr"/>
      <c r="N2646" t="inlineStr"/>
    </row>
    <row r="2647">
      <c r="A2647" t="inlineStr">
        <is>
          <t>fj-suva</t>
        </is>
      </c>
      <c r="B2647" t="inlineStr">
        <is>
          <t>Suva</t>
        </is>
      </c>
      <c r="C2647" t="inlineStr">
        <is>
          <t>Fiji</t>
        </is>
      </c>
      <c r="D2647" t="inlineStr">
        <is>
          <t>Oceania</t>
        </is>
      </c>
      <c r="E2647" t="inlineStr">
        <is>
          <t>tolerance_pluralism_raw</t>
        </is>
      </c>
      <c r="F2647" t="inlineStr">
        <is>
          <t>Tolerance and pluralism raw</t>
        </is>
      </c>
      <c r="G2647" t="inlineStr">
        <is>
          <t>community</t>
        </is>
      </c>
      <c r="H2647" t="inlineStr">
        <is>
          <t>yes</t>
        </is>
      </c>
      <c r="I2647" t="inlineStr"/>
      <c r="J2647" t="inlineStr"/>
      <c r="K2647" t="inlineStr"/>
      <c r="L2647" t="inlineStr"/>
      <c r="M2647" t="inlineStr"/>
      <c r="N2647" t="inlineStr"/>
    </row>
    <row r="2648">
      <c r="A2648" t="inlineStr">
        <is>
          <t>fj-suva</t>
        </is>
      </c>
      <c r="B2648" t="inlineStr">
        <is>
          <t>Suva</t>
        </is>
      </c>
      <c r="C2648" t="inlineStr">
        <is>
          <t>Fiji</t>
        </is>
      </c>
      <c r="D2648" t="inlineStr">
        <is>
          <t>Oceania</t>
        </is>
      </c>
      <c r="E2648" t="inlineStr">
        <is>
          <t>cultural_public_life_raw</t>
        </is>
      </c>
      <c r="F2648" t="inlineStr">
        <is>
          <t>Cultural public life raw</t>
        </is>
      </c>
      <c r="G2648" t="inlineStr">
        <is>
          <t>community</t>
        </is>
      </c>
      <c r="H2648" t="inlineStr">
        <is>
          <t>yes</t>
        </is>
      </c>
      <c r="I2648" t="inlineStr"/>
      <c r="J2648" t="inlineStr"/>
      <c r="K2648" t="inlineStr"/>
      <c r="L2648" t="inlineStr"/>
      <c r="M2648" t="inlineStr"/>
      <c r="N2648" t="inlineStr"/>
    </row>
    <row r="2649">
      <c r="A2649" t="inlineStr">
        <is>
          <t>fj-suva</t>
        </is>
      </c>
      <c r="B2649" t="inlineStr">
        <is>
          <t>Suva</t>
        </is>
      </c>
      <c r="C2649" t="inlineStr">
        <is>
          <t>Fiji</t>
        </is>
      </c>
      <c r="D2649" t="inlineStr">
        <is>
          <t>Oceania</t>
        </is>
      </c>
      <c r="E2649" t="inlineStr">
        <is>
          <t>entrepreneurial_dynamism_raw</t>
        </is>
      </c>
      <c r="F2649" t="inlineStr">
        <is>
          <t>Entrepreneurial dynamism raw</t>
        </is>
      </c>
      <c r="G2649" t="inlineStr">
        <is>
          <t>creative</t>
        </is>
      </c>
      <c r="H2649" t="inlineStr">
        <is>
          <t>yes</t>
        </is>
      </c>
      <c r="I2649" t="inlineStr"/>
      <c r="J2649" t="inlineStr"/>
      <c r="K2649" t="inlineStr"/>
      <c r="L2649" t="inlineStr"/>
      <c r="M2649" t="inlineStr"/>
      <c r="N2649" t="inlineStr"/>
    </row>
    <row r="2650">
      <c r="A2650" t="inlineStr">
        <is>
          <t>fj-suva</t>
        </is>
      </c>
      <c r="B2650" t="inlineStr">
        <is>
          <t>Suva</t>
        </is>
      </c>
      <c r="C2650" t="inlineStr">
        <is>
          <t>Fiji</t>
        </is>
      </c>
      <c r="D2650" t="inlineStr">
        <is>
          <t>Oceania</t>
        </is>
      </c>
      <c r="E2650" t="inlineStr">
        <is>
          <t>innovation_research_intensity_raw</t>
        </is>
      </c>
      <c r="F2650" t="inlineStr">
        <is>
          <t>Innovation and research raw</t>
        </is>
      </c>
      <c r="G2650" t="inlineStr">
        <is>
          <t>creative</t>
        </is>
      </c>
      <c r="H2650" t="inlineStr">
        <is>
          <t>yes</t>
        </is>
      </c>
      <c r="I2650" t="inlineStr"/>
      <c r="J2650" t="inlineStr"/>
      <c r="K2650" t="inlineStr"/>
      <c r="L2650" t="inlineStr"/>
      <c r="M2650" t="inlineStr"/>
      <c r="N2650" t="inlineStr"/>
    </row>
    <row r="2651">
      <c r="A2651" t="inlineStr">
        <is>
          <t>fj-suva</t>
        </is>
      </c>
      <c r="B2651" t="inlineStr">
        <is>
          <t>Suva</t>
        </is>
      </c>
      <c r="C2651" t="inlineStr">
        <is>
          <t>Fiji</t>
        </is>
      </c>
      <c r="D2651" t="inlineStr">
        <is>
          <t>Oceania</t>
        </is>
      </c>
      <c r="E2651" t="inlineStr">
        <is>
          <t>investment_signal_raw</t>
        </is>
      </c>
      <c r="F2651" t="inlineStr">
        <is>
          <t>Investment signal raw</t>
        </is>
      </c>
      <c r="G2651" t="inlineStr">
        <is>
          <t>creative</t>
        </is>
      </c>
      <c r="H2651" t="inlineStr">
        <is>
          <t>yes</t>
        </is>
      </c>
      <c r="I2651" t="inlineStr"/>
      <c r="J2651" t="inlineStr"/>
      <c r="K2651" t="inlineStr"/>
      <c r="L2651" t="inlineStr"/>
      <c r="M2651" t="inlineStr"/>
      <c r="N2651" t="inlineStr"/>
    </row>
    <row r="2652">
      <c r="A2652" t="inlineStr">
        <is>
          <t>fj-suva</t>
        </is>
      </c>
      <c r="B2652" t="inlineStr">
        <is>
          <t>Suva</t>
        </is>
      </c>
      <c r="C2652" t="inlineStr">
        <is>
          <t>Fiji</t>
        </is>
      </c>
      <c r="D2652" t="inlineStr">
        <is>
          <t>Oceania</t>
        </is>
      </c>
      <c r="E2652" t="inlineStr">
        <is>
          <t>administrative_investment_friction_raw</t>
        </is>
      </c>
      <c r="F2652" t="inlineStr">
        <is>
          <t>Administrative investment friction raw</t>
        </is>
      </c>
      <c r="G2652" t="inlineStr">
        <is>
          <t>creative</t>
        </is>
      </c>
      <c r="H2652" t="inlineStr">
        <is>
          <t>yes</t>
        </is>
      </c>
      <c r="I2652" t="inlineStr"/>
      <c r="J2652" t="inlineStr"/>
      <c r="K2652" t="inlineStr"/>
      <c r="L2652" t="inlineStr"/>
      <c r="M2652" t="inlineStr"/>
      <c r="N2652" t="inlineStr"/>
    </row>
    <row r="2653">
      <c r="A2653" t="inlineStr">
        <is>
          <t>fj-suva</t>
        </is>
      </c>
      <c r="B2653" t="inlineStr">
        <is>
          <t>Suva</t>
        </is>
      </c>
      <c r="C2653" t="inlineStr">
        <is>
          <t>Fiji</t>
        </is>
      </c>
      <c r="D2653" t="inlineStr">
        <is>
          <t>Oceania</t>
        </is>
      </c>
      <c r="E2653" t="inlineStr">
        <is>
          <t>visitor_flow_context_raw</t>
        </is>
      </c>
      <c r="F2653" t="inlineStr">
        <is>
          <t>Visitor flow context raw</t>
        </is>
      </c>
      <c r="G2653" t="inlineStr">
        <is>
          <t>creative</t>
        </is>
      </c>
      <c r="H2653" t="inlineStr">
        <is>
          <t>no</t>
        </is>
      </c>
      <c r="I2653" t="inlineStr"/>
      <c r="J2653" t="inlineStr"/>
      <c r="K2653" t="inlineStr"/>
      <c r="L2653" t="inlineStr"/>
      <c r="M2653" t="inlineStr"/>
      <c r="N2653" t="inlineStr"/>
    </row>
  </sheetData>
  <autoFilter ref="A1:N265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6" customWidth="1" min="3" max="3"/>
    <col width="20" customWidth="1" min="4" max="4"/>
    <col width="24" customWidth="1" min="5" max="5"/>
    <col width="15" customWidth="1" min="6" max="6"/>
    <col width="24" customWidth="1" min="7" max="7"/>
    <col width="21" customWidth="1" min="8" max="8"/>
    <col width="40" customWidth="1" min="9" max="9"/>
    <col width="18" customWidth="1" min="10" max="10"/>
    <col width="15" customWidth="1" min="11" max="11"/>
    <col width="38" customWidth="1" min="12" max="12"/>
    <col width="13" customWidth="1" min="13" max="13"/>
  </cols>
  <sheetData>
    <row r="1">
      <c r="A1" s="19" t="inlineStr">
        <is>
          <t>country</t>
        </is>
      </c>
      <c r="B1" s="19" t="inlineStr">
        <is>
          <t>page_number</t>
        </is>
      </c>
      <c r="C1" s="19" t="inlineStr">
        <is>
          <t>gdp_growth_pct</t>
        </is>
      </c>
      <c r="D1" s="19" t="inlineStr">
        <is>
          <t>gdp_per_person_usd</t>
        </is>
      </c>
      <c r="E1" s="19" t="inlineStr">
        <is>
          <t>gdp_per_person_ppp_usd</t>
        </is>
      </c>
      <c r="F1" s="19" t="inlineStr">
        <is>
          <t>inflation_pct</t>
        </is>
      </c>
      <c r="G1" s="19" t="inlineStr">
        <is>
          <t>budget_balance_pct_gdp</t>
        </is>
      </c>
      <c r="H1" s="19" t="inlineStr">
        <is>
          <t>population_millions</t>
        </is>
      </c>
      <c r="I1" s="19" t="inlineStr">
        <is>
          <t>raw_block_text</t>
        </is>
      </c>
      <c r="J1" s="19" t="inlineStr">
        <is>
          <t>parse_confidence</t>
        </is>
      </c>
      <c r="K1" s="19" t="inlineStr">
        <is>
          <t>review_status</t>
        </is>
      </c>
      <c r="L1" s="19" t="inlineStr">
        <is>
          <t>source_label</t>
        </is>
      </c>
      <c r="M1" s="19" t="inlineStr">
        <is>
          <t>source_date</t>
        </is>
      </c>
    </row>
    <row r="2">
      <c r="A2" t="inlineStr">
        <is>
          <t>Austria</t>
        </is>
      </c>
      <c r="B2" t="inlineStr">
        <is>
          <t>2</t>
        </is>
      </c>
      <c r="C2" t="inlineStr">
        <is>
          <t>0.9</t>
        </is>
      </c>
      <c r="D2" t="inlineStr">
        <is>
          <t>69070</t>
        </is>
      </c>
      <c r="E2" t="inlineStr">
        <is>
          <t>80070</t>
        </is>
      </c>
      <c r="F2" t="inlineStr">
        <is>
          <t>2.2</t>
        </is>
      </c>
      <c r="G2" t="inlineStr">
        <is>
          <t>-4.2</t>
        </is>
      </c>
      <c r="H2" t="inlineStr">
        <is>
          <t>9.1</t>
        </is>
      </c>
      <c r="I2" t="inlineStr">
        <is>
          <t>Austria
GDP growth 0.9%
GDP per person $69,070 (PPP: $80,070)
Inflation 2.2%
Budget balance -4.2% of GDP
Population 9.1m
The coalition government under the chancellor, ChristianStocker of the centre-right Austrian People’s Party, and hiscentre-left Social Democratic Party and liberal NEOSpartners, faces tensions over the budget and social spending.Strict immigration rules are an area of agreement, butstability is not assured. The economy will grow modestly,American tariffs permitting.</t>
        </is>
      </c>
      <c r="J2" t="inlineStr">
        <is>
          <t>high</t>
        </is>
      </c>
      <c r="K2" t="inlineStr">
        <is>
          <t>needs_review</t>
        </is>
      </c>
      <c r="L2" t="inlineStr">
        <is>
          <t>The World in Numbers | The Economist</t>
        </is>
      </c>
      <c r="M2" t="inlineStr">
        <is>
          <t>2026-03-12</t>
        </is>
      </c>
    </row>
    <row r="3">
      <c r="A3" t="inlineStr">
        <is>
          <t>Belgium</t>
        </is>
      </c>
      <c r="B3" t="inlineStr">
        <is>
          <t>2</t>
        </is>
      </c>
      <c r="C3" t="inlineStr">
        <is>
          <t>1.1</t>
        </is>
      </c>
      <c r="D3" t="inlineStr">
        <is>
          <t>65410</t>
        </is>
      </c>
      <c r="E3" t="inlineStr">
        <is>
          <t>79760</t>
        </is>
      </c>
      <c r="F3" t="inlineStr">
        <is>
          <t>2.2</t>
        </is>
      </c>
      <c r="G3" t="inlineStr">
        <is>
          <t>-4.9</t>
        </is>
      </c>
      <c r="H3" t="inlineStr">
        <is>
          <t>11.8</t>
        </is>
      </c>
      <c r="I3" t="inlineStr">
        <is>
          <t>Belgium
GDP growth 1.1%
GDP per person $65,410 (PPP: $79,760)
Inflation 2.2%
Budget balance -4.9% of GDP
Population 11.8m
The coalition government installed in February 2025, madeup of five parties of both Dutch and French speakers underthe nationalist New Flemish Alliance, signals a rightwardshift. The coalition will aim to reduce public debt, raise theretirement age and limit jobless benefits. Wage indexation,declining inflation and lower interest rates will supportmodest economic growth, though global trade turmoil willbe a drag.</t>
        </is>
      </c>
      <c r="J3" t="inlineStr">
        <is>
          <t>high</t>
        </is>
      </c>
      <c r="K3" t="inlineStr">
        <is>
          <t>needs_review</t>
        </is>
      </c>
      <c r="L3" t="inlineStr">
        <is>
          <t>The World in Numbers | The Economist</t>
        </is>
      </c>
      <c r="M3" t="inlineStr">
        <is>
          <t>2026-03-12</t>
        </is>
      </c>
    </row>
    <row r="4">
      <c r="A4" t="inlineStr">
        <is>
          <t>Croatia</t>
        </is>
      </c>
      <c r="B4" t="inlineStr">
        <is>
          <t>2</t>
        </is>
      </c>
      <c r="C4" t="inlineStr">
        <is>
          <t>2.8</t>
        </is>
      </c>
      <c r="D4" t="inlineStr">
        <is>
          <t>29790</t>
        </is>
      </c>
      <c r="E4" t="inlineStr">
        <is>
          <t>55480</t>
        </is>
      </c>
      <c r="F4" t="inlineStr">
        <is>
          <t>3.1</t>
        </is>
      </c>
      <c r="G4" t="inlineStr">
        <is>
          <t>-2.4</t>
        </is>
      </c>
      <c r="H4" t="inlineStr">
        <is>
          <t>3.8</t>
        </is>
      </c>
      <c r="I4" t="inlineStr">
        <is>
          <t>Croatia
GDP growth 2.8%
GDP per person $29,790 (PPP: $55,480)
Inflation 3.1%
Budget balance -2.4% of GDP
Population 3.8m
3/12/26, 1:06 PM The World in Numbers | The Economist
The centre-right Croatian Democratic Union and itscoalition partner, the hard-right Homeland Movement,oversee a minority government and struggle with ideologicaldifferences. Even so, the coalition should complete its four-year term, maintaining a pro-EU stance. Strong consumerspending, real wage gains, lower interest rates and regionaldevelopment funds from the EU will support growth.Tourism, accounting for around 25% of GDP andemployment, will shine despite capacity and cost pressures.</t>
        </is>
      </c>
      <c r="J4" t="inlineStr">
        <is>
          <t>low</t>
        </is>
      </c>
      <c r="K4" t="inlineStr">
        <is>
          <t>needs_review</t>
        </is>
      </c>
      <c r="L4" t="inlineStr">
        <is>
          <t>The World in Numbers | The Economist</t>
        </is>
      </c>
      <c r="M4" t="inlineStr">
        <is>
          <t>2026-03-12</t>
        </is>
      </c>
    </row>
    <row r="5">
      <c r="A5" t="inlineStr">
        <is>
          <t>Denmark</t>
        </is>
      </c>
      <c r="B5" t="inlineStr">
        <is>
          <t>3</t>
        </is>
      </c>
      <c r="C5" t="inlineStr">
        <is>
          <t>1.9</t>
        </is>
      </c>
      <c r="D5" t="inlineStr">
        <is>
          <t>85210</t>
        </is>
      </c>
      <c r="E5" t="inlineStr">
        <is>
          <t>89160</t>
        </is>
      </c>
      <c r="F5" t="inlineStr">
        <is>
          <t>1.8</t>
        </is>
      </c>
      <c r="G5" t="inlineStr">
        <is>
          <t>1.3</t>
        </is>
      </c>
      <c r="H5" t="inlineStr">
        <is>
          <t>6</t>
        </is>
      </c>
      <c r="I5" t="inlineStr">
        <is>
          <t>Denmark
GDP growth 1.9%
GDP per person $85,210 (PPP: $89,160)
Inflation 1.8%
Budget balance 1.3% of GDP
Population 6m
Mette Frederiksen, the prime minister, and her centre-leftSocial Democrats will approach elections in Octoberconfident of retaining power. Her broad coalitiongovernment has been stable despite its narrowparliamentary majority and ideological differences, a patternthat will remain after the election. Pharma exports will helpgrowth, but global tariffs are a risk. Domestic spending willtick up.</t>
        </is>
      </c>
      <c r="J5" t="inlineStr">
        <is>
          <t>high</t>
        </is>
      </c>
      <c r="K5" t="inlineStr">
        <is>
          <t>needs_review</t>
        </is>
      </c>
      <c r="L5" t="inlineStr">
        <is>
          <t>The World in Numbers | The Economist</t>
        </is>
      </c>
      <c r="M5" t="inlineStr">
        <is>
          <t>2026-03-12</t>
        </is>
      </c>
    </row>
    <row r="6">
      <c r="A6" t="inlineStr">
        <is>
          <t>Finland</t>
        </is>
      </c>
      <c r="B6" t="inlineStr">
        <is>
          <t>3</t>
        </is>
      </c>
      <c r="C6" t="inlineStr">
        <is>
          <t>1.1</t>
        </is>
      </c>
      <c r="D6" t="inlineStr">
        <is>
          <t>59920</t>
        </is>
      </c>
      <c r="E6" t="inlineStr">
        <is>
          <t>69140</t>
        </is>
      </c>
      <c r="F6" t="inlineStr">
        <is>
          <t>1.8</t>
        </is>
      </c>
      <c r="G6" t="inlineStr">
        <is>
          <t>-3.3</t>
        </is>
      </c>
      <c r="H6" t="inlineStr">
        <is>
          <t>5.6</t>
        </is>
      </c>
      <c r="I6" t="inlineStr">
        <is>
          <t>Finland
GDP growth 1.1%
GDP per person $59,920 (PPP: $69,140)
Inflation 1.8%
Budget balance -3.3% of GDP
Population 5.6m
The centre-right coalition government headed by the primeminister, Petteri Orpo, is divided over policy priorities,especially immigration, the EU and climate, but shouldsurvive, supported by strong institutions. Economic growthwill hold steady around the euro-zone average, driven byconsumer and business spending and helped by lowerlending rates. But less demand in important export marketsand geopolitical risks to energy supplies will cap growth.
3/12/26, 1:06 PM The World in Numbers | The Economist
to watchNorthern exposure. Ovla, a Sami opera, will have itsworld premiere in January, part of the northern city of Oulu’soffering as European Capital of Culture.</t>
        </is>
      </c>
      <c r="J6" t="inlineStr">
        <is>
          <t>low</t>
        </is>
      </c>
      <c r="K6" t="inlineStr">
        <is>
          <t>needs_review</t>
        </is>
      </c>
      <c r="L6" t="inlineStr">
        <is>
          <t>The World in Numbers | The Economist</t>
        </is>
      </c>
      <c r="M6" t="inlineStr">
        <is>
          <t>2026-03-12</t>
        </is>
      </c>
    </row>
    <row r="7">
      <c r="A7" t="inlineStr">
        <is>
          <t>Germany</t>
        </is>
      </c>
      <c r="B7" t="inlineStr">
        <is>
          <t>4</t>
        </is>
      </c>
      <c r="C7" t="inlineStr">
        <is>
          <t>1</t>
        </is>
      </c>
      <c r="D7" t="inlineStr">
        <is>
          <t>65260</t>
        </is>
      </c>
      <c r="E7" t="inlineStr">
        <is>
          <t>79080</t>
        </is>
      </c>
      <c r="F7" t="inlineStr">
        <is>
          <t>2.2</t>
        </is>
      </c>
      <c r="G7" t="inlineStr">
        <is>
          <t>-3.6</t>
        </is>
      </c>
      <c r="H7" t="inlineStr">
        <is>
          <t>83.6</t>
        </is>
      </c>
      <c r="I7" t="inlineStr">
        <is>
          <t>Germany
GDP growth 1%
GDP per person $65,260 (PPP: $79,080)
Inflation 2.2%
Budget balance -3.6% of GDP
Population 83.6m
The broad-based coalition government under the chancellor,Friedrich Merz, is mostly united on fiscal policy but willstruggle to agree elsewhere. Surging support for the hard-right Alternative for Germany party will test political co-operation, as will American tariffs. A relaxation of rules ongovernment debt, adopted in 2025, will increase investmentin infrastructure and defence, offsetting some tradeuncertainty.</t>
        </is>
      </c>
      <c r="J7" t="inlineStr">
        <is>
          <t>high</t>
        </is>
      </c>
      <c r="K7" t="inlineStr">
        <is>
          <t>needs_review</t>
        </is>
      </c>
      <c r="L7" t="inlineStr">
        <is>
          <t>The World in Numbers | The Economist</t>
        </is>
      </c>
      <c r="M7" t="inlineStr">
        <is>
          <t>2026-03-12</t>
        </is>
      </c>
    </row>
    <row r="8">
      <c r="A8" t="inlineStr">
        <is>
          <t>Hungary</t>
        </is>
      </c>
      <c r="B8" t="inlineStr">
        <is>
          <t>4</t>
        </is>
      </c>
      <c r="C8" t="inlineStr">
        <is>
          <t>2.5</t>
        </is>
      </c>
      <c r="D8" t="inlineStr">
        <is>
          <t>29340</t>
        </is>
      </c>
      <c r="E8" t="inlineStr">
        <is>
          <t>52390</t>
        </is>
      </c>
      <c r="F8" t="inlineStr">
        <is>
          <t>3.6</t>
        </is>
      </c>
      <c r="G8" t="inlineStr">
        <is>
          <t>-4.1</t>
        </is>
      </c>
      <c r="H8" t="inlineStr">
        <is>
          <t>9.6</t>
        </is>
      </c>
      <c r="I8" t="inlineStr">
        <is>
          <t>Hungary
GDP growth 2.5%
GDP per person $29,340 (PPP: $52,390)
Inflation 3.6%
Budget balance -4.1% of GDP
Population 9.6m
Parliamentary elections in April will dominate the politicallandscape, with the Fidesz party of Viktor Orban, the primeminister, facing a strong challenge from the rising centre-
3/12/26, 1:06 PM The World in Numbers | The Economist
right Respect and Freedom Party (TISZA). Despite TISZA’spolling lead, Fidesz’s media control and pre-electionspending should secure a narrow win, though voter fatigueand economic woes could tip the scales. The economy willrebound, powered by household spending and rising realwages.
to watchFunding gap. The withholding of economic “cohesion”funds by the EU until Hungary restores the rule of law will constraingrowth.</t>
        </is>
      </c>
      <c r="J8" t="inlineStr">
        <is>
          <t>low</t>
        </is>
      </c>
      <c r="K8" t="inlineStr">
        <is>
          <t>needs_review</t>
        </is>
      </c>
      <c r="L8" t="inlineStr">
        <is>
          <t>The World in Numbers | The Economist</t>
        </is>
      </c>
      <c r="M8" t="inlineStr">
        <is>
          <t>2026-03-12</t>
        </is>
      </c>
    </row>
    <row r="9">
      <c r="A9" t="inlineStr">
        <is>
          <t>Italy</t>
        </is>
      </c>
      <c r="B9" t="inlineStr">
        <is>
          <t>5</t>
        </is>
      </c>
      <c r="C9" t="inlineStr">
        <is>
          <t>0.7</t>
        </is>
      </c>
      <c r="D9" t="inlineStr">
        <is>
          <t>45570</t>
        </is>
      </c>
      <c r="E9" t="inlineStr">
        <is>
          <t>65910</t>
        </is>
      </c>
      <c r="F9" t="inlineStr">
        <is>
          <t>1.5</t>
        </is>
      </c>
      <c r="G9" t="inlineStr">
        <is>
          <t>-3.1</t>
        </is>
      </c>
      <c r="H9" t="inlineStr">
        <is>
          <t>58.9</t>
        </is>
      </c>
      <c r="I9" t="inlineStr">
        <is>
          <t>Italy
GDP growth 0.7%
GDP per person $45,570 (PPP: $65,910)
Inflation 1.5%
Budget balance -3.1% of GDP
Population 58.9m
The right-wing Brothers of Italy government led by GiorgiaMeloni, the prime minister, is buoyed by a strongparliamentary majority and a fragmented opposition,minimising the risk of an early election. The economy will besluggish, with important exports such as machinery,pharmaceuticals and vehicles facing headwinds fromAmerican tariffs, which will also chill domestic businessinvestment. Consumer spending, though, will keep theeconomy ticking over, supported by historically lowunemployment, declining inflation and falling interest rates.</t>
        </is>
      </c>
      <c r="J9" t="inlineStr">
        <is>
          <t>high</t>
        </is>
      </c>
      <c r="K9" t="inlineStr">
        <is>
          <t>needs_review</t>
        </is>
      </c>
      <c r="L9" t="inlineStr">
        <is>
          <t>The World in Numbers | The Economist</t>
        </is>
      </c>
      <c r="M9" t="inlineStr">
        <is>
          <t>2026-03-12</t>
        </is>
      </c>
    </row>
    <row r="10">
      <c r="A10" t="inlineStr">
        <is>
          <t>Lithuania</t>
        </is>
      </c>
      <c r="B10" t="inlineStr">
        <is>
          <t>5</t>
        </is>
      </c>
      <c r="C10" t="inlineStr">
        <is>
          <t>2.7</t>
        </is>
      </c>
      <c r="D10" t="inlineStr">
        <is>
          <t>38430</t>
        </is>
      </c>
      <c r="E10" t="inlineStr">
        <is>
          <t>62980</t>
        </is>
      </c>
      <c r="F10" t="inlineStr">
        <is>
          <t>2</t>
        </is>
      </c>
      <c r="G10" t="inlineStr">
        <is>
          <t>-2.7</t>
        </is>
      </c>
      <c r="H10" t="inlineStr">
        <is>
          <t>2.8</t>
        </is>
      </c>
      <c r="I10" t="inlineStr">
        <is>
          <t>Lithuania
GDP growth 2.7%
GDP per person $38,430 (PPP: $62,980)
Inflation 2%
Budget balance -2.7% of GDP
Population 2.8m
3/12/26, 1:06 PM The World in Numbers | The Economist
Inga Ruginiene of the centre-left Social Democratic Party ofLithuania became prime minister in September 2025 afterthe previous leader, Gintautas Paluckas, stepped down amidprobes into his business dealings. The new coalition, like itspredecessor, includes the populist Dawn of Nemunas party,a wild card because its policies are unclear and its leader,Remigijus Zemaitaitis, faces legal troubles. A pro-Western,pro-EU stance will prevail regardless. Strong wage growthand more spending on defence will propel the economy.
to watchTrack changes. The economy will get a boost fromspending on Rail Baltica, a high-speed link through the Balticstates to Poland.</t>
        </is>
      </c>
      <c r="J10" t="inlineStr">
        <is>
          <t>low</t>
        </is>
      </c>
      <c r="K10" t="inlineStr">
        <is>
          <t>needs_review</t>
        </is>
      </c>
      <c r="L10" t="inlineStr">
        <is>
          <t>The World in Numbers | The Economist</t>
        </is>
      </c>
      <c r="M10" t="inlineStr">
        <is>
          <t>2026-03-12</t>
        </is>
      </c>
    </row>
    <row r="11">
      <c r="A11" t="inlineStr">
        <is>
          <t>Norway</t>
        </is>
      </c>
      <c r="B11" t="inlineStr">
        <is>
          <t>6</t>
        </is>
      </c>
      <c r="C11" t="inlineStr">
        <is>
          <t>1.6</t>
        </is>
      </c>
      <c r="D11" t="inlineStr">
        <is>
          <t>100740</t>
        </is>
      </c>
      <c r="E11" t="inlineStr">
        <is>
          <t>110190</t>
        </is>
      </c>
      <c r="F11" t="inlineStr">
        <is>
          <t>2.4</t>
        </is>
      </c>
      <c r="G11" t="inlineStr">
        <is>
          <t>8.9</t>
        </is>
      </c>
      <c r="H11" t="inlineStr">
        <is>
          <t>5.7</t>
        </is>
      </c>
      <c r="I11" t="inlineStr">
        <is>
          <t>Norway
GDP growth 1.6%
GDP per person $100,740 (PPP: $110,190)
Inflation 2.4%
Budget balance 8.9% of GDP
Population 5.7m
The centre-left Labour Party came first in elections inSeptember 2025, presaging another coalition government,although party talks may take months to resolve. Thegovernment will aim to strengthen the welfare state, butreliance on centrist or right-wing parties will prevent a shiftto a markedly leftist agenda. Lower inflation will boost realincomes, while the central bank trims borrowing rates.Robust consumer spending and strong oil and gas revenueswill keep the economy humming.
to watchCloud base. Governments, tech leaders and investorswill gather in Oslo in May for the Data Centre Expo, as Norwayestablishes its credentials as a sustainable tech hub.</t>
        </is>
      </c>
      <c r="J11" t="inlineStr">
        <is>
          <t>high</t>
        </is>
      </c>
      <c r="K11" t="inlineStr">
        <is>
          <t>needs_review</t>
        </is>
      </c>
      <c r="L11" t="inlineStr">
        <is>
          <t>The World in Numbers | The Economist</t>
        </is>
      </c>
      <c r="M11" t="inlineStr">
        <is>
          <t>2026-03-12</t>
        </is>
      </c>
    </row>
    <row r="12">
      <c r="A12" t="inlineStr">
        <is>
          <t>Portugal</t>
        </is>
      </c>
      <c r="B12" t="inlineStr">
        <is>
          <t>6</t>
        </is>
      </c>
      <c r="C12" t="inlineStr">
        <is>
          <t>1.9</t>
        </is>
      </c>
      <c r="D12" t="inlineStr">
        <is>
          <t>35970</t>
        </is>
      </c>
      <c r="E12" t="inlineStr">
        <is>
          <t>57430</t>
        </is>
      </c>
      <c r="F12" t="inlineStr">
        <is>
          <t>2</t>
        </is>
      </c>
      <c r="G12" t="inlineStr">
        <is>
          <t>0.1</t>
        </is>
      </c>
      <c r="H12" t="inlineStr">
        <is>
          <t>10.4</t>
        </is>
      </c>
      <c r="I12" t="inlineStr">
        <is>
          <t>Portugal
GDP growth 1.9%
GDP per person $35,970 (PPP: $57,430)
Inflation 2%
Budget balance 0.1% of GDP
Population 10.4m
The minority centre-right Democratic Alliance government,led by Luis Montenegro, depends on co-operation fromopposition parties—possibly including the hard-right
3/12/26, 1:06 PM The World in Numbers | The Economist
populist Chega party, now the largest opposition force. Thisprecarious balance risks derailing a government programmefocused on boosting salaries, tackling a housing crisis andlifting economic growth. Strong tourism will support theeconomy, but EU recovery funds will come to an end.</t>
        </is>
      </c>
      <c r="J12" t="inlineStr">
        <is>
          <t>low</t>
        </is>
      </c>
      <c r="K12" t="inlineStr">
        <is>
          <t>needs_review</t>
        </is>
      </c>
      <c r="L12" t="inlineStr">
        <is>
          <t>The World in Numbers | The Economist</t>
        </is>
      </c>
      <c r="M12" t="inlineStr">
        <is>
          <t>2026-03-12</t>
        </is>
      </c>
    </row>
    <row r="13">
      <c r="A13" t="inlineStr">
        <is>
          <t>Russia</t>
        </is>
      </c>
      <c r="B13" t="inlineStr">
        <is>
          <t>7</t>
        </is>
      </c>
      <c r="C13" t="inlineStr">
        <is>
          <t>0.7</t>
        </is>
      </c>
      <c r="D13" t="inlineStr">
        <is>
          <t>17240</t>
        </is>
      </c>
      <c r="E13" t="inlineStr">
        <is>
          <t>52200</t>
        </is>
      </c>
      <c r="F13" t="inlineStr">
        <is>
          <t>4.8</t>
        </is>
      </c>
      <c r="G13" t="inlineStr">
        <is>
          <t>-2.2</t>
        </is>
      </c>
      <c r="H13" t="inlineStr">
        <is>
          <t>143.4</t>
        </is>
      </c>
      <c r="I13" t="inlineStr">
        <is>
          <t>Russia
GDP growth 0.7%
GDP per person $17,240 (PPP: $52,200)
Inflation 4.8%
Budget balance -2.2% of GDP
Population 143.4m
The war against Ukraine may grind to an uneasy, negotiatedhalt, allowing some recovery in Russia’s non-oil exports, butthe shift away from a war economy will be slow. Endingbonuses for fighters and their families, and a looser jobsmarket, will hold down domestic demand, preventing muchof a peace dividend. If the war persists, it will be less intense,but with no chance of Russia re-integrating into global tradeand financial systems.
to watchSpoilt ballot. Legislative elections in September willdeliver the expected result.</t>
        </is>
      </c>
      <c r="J13" t="inlineStr">
        <is>
          <t>high</t>
        </is>
      </c>
      <c r="K13" t="inlineStr">
        <is>
          <t>needs_review</t>
        </is>
      </c>
      <c r="L13" t="inlineStr">
        <is>
          <t>The World in Numbers | The Economist</t>
        </is>
      </c>
      <c r="M13" t="inlineStr">
        <is>
          <t>2026-03-12</t>
        </is>
      </c>
    </row>
    <row r="14">
      <c r="A14" t="inlineStr">
        <is>
          <t>Slovenia</t>
        </is>
      </c>
      <c r="B14" t="inlineStr">
        <is>
          <t>7</t>
        </is>
      </c>
      <c r="C14" t="inlineStr">
        <is>
          <t>2.5</t>
        </is>
      </c>
      <c r="D14" t="inlineStr">
        <is>
          <t>39180</t>
        </is>
      </c>
      <c r="E14" t="inlineStr">
        <is>
          <t>62350</t>
        </is>
      </c>
      <c r="F14" t="inlineStr">
        <is>
          <t>2</t>
        </is>
      </c>
      <c r="G14" t="inlineStr">
        <is>
          <t>-2</t>
        </is>
      </c>
      <c r="H14" t="inlineStr">
        <is>
          <t>2.1</t>
        </is>
      </c>
      <c r="I14" t="inlineStr">
        <is>
          <t>Slovenia
GDP growth 2.5%
GDP per person $39,180 (PPP: $62,350)
Inflation 2%
Budget balance -2% of GDP
Population 2.1m
The governing Freedom Movement and its left-wingcoalition enjoys solid parliamentary support but trails thecentre-right Slovenian Democratic Party in polls ahead ofelections set for April 2026. New parties are likely tofragment the next parliament and complicate coalition-building. The export-oriented economy will face headwinds,but growth should rally.</t>
        </is>
      </c>
      <c r="J14" t="inlineStr">
        <is>
          <t>high</t>
        </is>
      </c>
      <c r="K14" t="inlineStr">
        <is>
          <t>needs_review</t>
        </is>
      </c>
      <c r="L14" t="inlineStr">
        <is>
          <t>The World in Numbers | The Economist</t>
        </is>
      </c>
      <c r="M14" t="inlineStr">
        <is>
          <t>2026-03-12</t>
        </is>
      </c>
    </row>
    <row r="15">
      <c r="A15" t="inlineStr">
        <is>
          <t>Sweden</t>
        </is>
      </c>
      <c r="B15" t="inlineStr">
        <is>
          <t>7</t>
        </is>
      </c>
      <c r="C15" t="inlineStr">
        <is>
          <t>2.1</t>
        </is>
      </c>
      <c r="D15" t="inlineStr">
        <is>
          <t>67310</t>
        </is>
      </c>
      <c r="E15" t="inlineStr">
        <is>
          <t>76900</t>
        </is>
      </c>
      <c r="F15" t="inlineStr">
        <is>
          <t>1.8</t>
        </is>
      </c>
      <c r="G15" t="inlineStr">
        <is>
          <t>-1.1</t>
        </is>
      </c>
      <c r="H15" t="inlineStr">
        <is>
          <t>10.7</t>
        </is>
      </c>
      <c r="I15" t="inlineStr">
        <is>
          <t>Sweden
GDP growth 2.1%
3/12/26, 1:06 PM The World in Numbers | The Economist
GDP per person $67,310 (PPP: $76,900)
Inflation 1.8%
Budget balance -1.1% of GDP
Population 10.7m
Ulf Kristersson, the prime minister, and his centre-rightminority coalition government will survive until theSeptember election, supported in parliament by the hard-right Sweden Democrats. The main opposition, the centre-left Social Democrats, are best placed to form the nextgovernment, heralding higher welfare spending and someeasing in immigration policy. Rising consumer spending andbusiness investment, plus lower inflation, will boost theeconomy despite high unemployment and household debt.</t>
        </is>
      </c>
      <c r="J15" t="inlineStr">
        <is>
          <t>low</t>
        </is>
      </c>
      <c r="K15" t="inlineStr">
        <is>
          <t>needs_review</t>
        </is>
      </c>
      <c r="L15" t="inlineStr">
        <is>
          <t>The World in Numbers | The Economist</t>
        </is>
      </c>
      <c r="M15" t="inlineStr">
        <is>
          <t>2026-03-12</t>
        </is>
      </c>
    </row>
    <row r="16">
      <c r="A16" t="inlineStr">
        <is>
          <t>Turkey</t>
        </is>
      </c>
      <c r="B16" t="inlineStr">
        <is>
          <t>8</t>
        </is>
      </c>
      <c r="C16" t="inlineStr">
        <is>
          <t>3.8</t>
        </is>
      </c>
      <c r="D16" t="inlineStr">
        <is>
          <t>18400</t>
        </is>
      </c>
      <c r="E16" t="inlineStr">
        <is>
          <t>51190</t>
        </is>
      </c>
      <c r="F16" t="inlineStr">
        <is>
          <t>23</t>
        </is>
      </c>
      <c r="G16" t="inlineStr">
        <is>
          <t>-3</t>
        </is>
      </c>
      <c r="H16" t="inlineStr">
        <is>
          <t>87.9</t>
        </is>
      </c>
      <c r="I16" t="inlineStr">
        <is>
          <t>Turkey
GDP growth 3.8%
GDP per person $18,400 (PPP: $51,190)
Inflation 23%
Budget balance -3% of GDP
Population 87.9m
The president, Recep Tayyip Erdogan, will further tightenhis grip on power after the arrest of Istanbul’s popular mayorin 2025 triggered protests. Backed by a solid parliamentarymajority, Mr Erdogan will do as he wishes. Falling inflationwill allow more government spending and lower interestrates, supporting growth, though high unemployment andfalling real wages will hold back consumer spending.
to watchOil drill. The annual Kirkpinar Oil Wrestling Festival willtake place in Edirne in July, featuring leather-clad pugilists dousedin olive oil.</t>
        </is>
      </c>
      <c r="J16" t="inlineStr">
        <is>
          <t>high</t>
        </is>
      </c>
      <c r="K16" t="inlineStr">
        <is>
          <t>needs_review</t>
        </is>
      </c>
      <c r="L16" t="inlineStr">
        <is>
          <t>The World in Numbers | The Economist</t>
        </is>
      </c>
      <c r="M16" t="inlineStr">
        <is>
          <t>2026-03-12</t>
        </is>
      </c>
    </row>
    <row r="17">
      <c r="A17" t="inlineStr">
        <is>
          <t>United Kingdom</t>
        </is>
      </c>
      <c r="B17" t="inlineStr">
        <is>
          <t>8</t>
        </is>
      </c>
      <c r="C17" t="inlineStr">
        <is>
          <t>1.3</t>
        </is>
      </c>
      <c r="D17" t="inlineStr">
        <is>
          <t>62470</t>
        </is>
      </c>
      <c r="E17" t="inlineStr">
        <is>
          <t>67130</t>
        </is>
      </c>
      <c r="F17" t="inlineStr">
        <is>
          <t>2.5</t>
        </is>
      </c>
      <c r="G17" t="inlineStr">
        <is>
          <t>-4</t>
        </is>
      </c>
      <c r="H17" t="inlineStr">
        <is>
          <t>69.9</t>
        </is>
      </c>
      <c r="I17" t="inlineStr">
        <is>
          <t>United Kingdom
GDP growth 1.3%
GDP per person $62,470 (PPP: $67,130)
Inflation 2.5%
Budget balance -4% of GDP
Population 69.9m
The Labour Party government under the prime minister, SirKeir Starmer, will try to regain public support amid risingcompetition from the hard-right and anti-immigrant Reform
3/12/26, 1:06 PM The World in Numbers | The Economist
UK, which poses a threat to the traditional two-party system.Labour’s reform and investment programmes will yieldbenefits only later in the decade, while tax rises and a tightbudget will dampen sentiment among businesses andconsumers. The economy will languish, but inflation will fall.
Milorad Dodik
During three decades in politics Milorad Dodik has morphed froma liberal anti-nationalist and darling of Western powers to acommitted supporter of independence for Republika Srbska, theSerb- majority entity within Bosnia and Herzegovina (BiH)established after the 1995 war. Having served as the semi-autonomous territory’s prime minister twice between 1998 and2010 and its president twice between 2010 and 2025, he is now afree-floating political agitator. He is an ally to both Serbia andRussia and a thorn in the side of the BiH government and itsWestern guarantors. The underlying ethnic and sectariandivisions that have long destabilised the Balkans will smoulder in2026. Mr Dodik could set them aflame once again.</t>
        </is>
      </c>
      <c r="J17" t="inlineStr">
        <is>
          <t>low</t>
        </is>
      </c>
      <c r="K17" t="inlineStr">
        <is>
          <t>needs_review</t>
        </is>
      </c>
      <c r="L17" t="inlineStr">
        <is>
          <t>The World in Numbers | The Economist</t>
        </is>
      </c>
      <c r="M17" t="inlineStr">
        <is>
          <t>2026-03-12</t>
        </is>
      </c>
    </row>
    <row r="18">
      <c r="A18" t="inlineStr">
        <is>
          <t>Bulgaria</t>
        </is>
      </c>
      <c r="B18" t="inlineStr">
        <is>
          <t>9</t>
        </is>
      </c>
      <c r="C18" t="inlineStr">
        <is>
          <t>2.9</t>
        </is>
      </c>
      <c r="D18" t="inlineStr">
        <is>
          <t>19920</t>
        </is>
      </c>
      <c r="E18" t="inlineStr">
        <is>
          <t>44660</t>
        </is>
      </c>
      <c r="F18" t="inlineStr">
        <is>
          <t>2.3</t>
        </is>
      </c>
      <c r="G18" t="inlineStr">
        <is>
          <t>-2.8</t>
        </is>
      </c>
      <c r="H18" t="inlineStr">
        <is>
          <t>6.7</t>
        </is>
      </c>
      <c r="I18" t="inlineStr">
        <is>
          <t>Bulgaria
GDP growth 2.9%
GDP per person $19,920 (PPP: $44,660)
Inflation 2.3%
Budget balance -2.8% of GDP
Population 6.7m
Adopting the euro in January 2026, one year after Bulgariaentered the passport-free Schengen zone, will bolster tradeand financial transactions. Consumer and business spendingwill remain robust, boosted by real wage gains, keeping theeconomy growing faster than the EU average. But the rulingcoalition, led by the centre-right Citizens for EuropeanDevelopment of Bulgaria under the prime minister, Rosen
3/12/26, 1:06 PM The World in Numbers | The Economist
Zhelyazkov, faces internal splits and will not last until itsterm ends in 2028.
to watchPetal power. The June Rose Festival will celebrateproduction of rose oil, of which Bulgaria provides 70% of theworld’s supply.</t>
        </is>
      </c>
      <c r="J18" t="inlineStr">
        <is>
          <t>low</t>
        </is>
      </c>
      <c r="K18" t="inlineStr">
        <is>
          <t>needs_review</t>
        </is>
      </c>
      <c r="L18" t="inlineStr">
        <is>
          <t>The World in Numbers | The Economist</t>
        </is>
      </c>
      <c r="M18" t="inlineStr">
        <is>
          <t>2026-03-12</t>
        </is>
      </c>
    </row>
    <row r="19">
      <c r="A19" t="inlineStr">
        <is>
          <t>Czech Republic</t>
        </is>
      </c>
      <c r="B19" t="inlineStr">
        <is>
          <t>10</t>
        </is>
      </c>
      <c r="C19" t="inlineStr">
        <is>
          <t>2</t>
        </is>
      </c>
      <c r="D19" t="inlineStr">
        <is>
          <t>40860</t>
        </is>
      </c>
      <c r="E19" t="inlineStr">
        <is>
          <t>65680</t>
        </is>
      </c>
      <c r="F19" t="inlineStr">
        <is>
          <t>2.8</t>
        </is>
      </c>
      <c r="G19" t="inlineStr">
        <is>
          <t>-2.5</t>
        </is>
      </c>
      <c r="H19" t="inlineStr">
        <is>
          <t>10.5</t>
        </is>
      </c>
      <c r="I19" t="inlineStr">
        <is>
          <t>Czech Republic
GDP growth 2%
GDP per person $40,860 (PPP: $65,680)
Inflation 2.8%
Budget balance -2.5% of GDP
Population 10.5m
The populist ANO party under Andrej Babis, a once andlikely future prime minister, came first in the parliamentaryelection in October 2025 and quickly secured the support oftwo hard-right parties to form a majority. Strong demandfrom consumers and recovering investment, supported byEU funding and lower interest rates, will drive a modest rallyin the economy, though trade tensions, partly reflectingAmerican tariffs, will hobble export growth.
to watchBullet points. Increased defence spending in line withNATO commitments will widen the fiscal deficit.</t>
        </is>
      </c>
      <c r="J19" t="inlineStr">
        <is>
          <t>high</t>
        </is>
      </c>
      <c r="K19" t="inlineStr">
        <is>
          <t>needs_review</t>
        </is>
      </c>
      <c r="L19" t="inlineStr">
        <is>
          <t>The World in Numbers | The Economist</t>
        </is>
      </c>
      <c r="M19" t="inlineStr">
        <is>
          <t>2026-03-12</t>
        </is>
      </c>
    </row>
    <row r="20">
      <c r="A20" t="inlineStr">
        <is>
          <t>Estonia</t>
        </is>
      </c>
      <c r="B20" t="inlineStr">
        <is>
          <t>10</t>
        </is>
      </c>
      <c r="C20" t="inlineStr">
        <is>
          <t>2.1</t>
        </is>
      </c>
      <c r="D20" t="inlineStr">
        <is>
          <t>38780</t>
        </is>
      </c>
      <c r="E20" t="inlineStr">
        <is>
          <t>56550</t>
        </is>
      </c>
      <c r="F20" t="inlineStr">
        <is>
          <t>2.8</t>
        </is>
      </c>
      <c r="G20" t="inlineStr">
        <is>
          <t>-3</t>
        </is>
      </c>
      <c r="H20" t="inlineStr">
        <is>
          <t>1.3</t>
        </is>
      </c>
      <c r="I20" t="inlineStr">
        <is>
          <t>Estonia
GDP growth 2.1%
GDP per person $38,780 (PPP: $56,550)
Inflation 2.8%
Budget balance -3% of GDP
Population 1.3m
The governing coalition, comprising the Reform Party andEstonia 200, will operate with a reduced parliamentarymajority after the expulsion in 2025 of the Social DemocraticParty, but should make it to elections in 2027. Estonia’sstrong pro-Ukraine stance will keep relations with Russiafrosty, raising the risk of “grey zone” attacks—cyberwarfare,for example. The economy will recover slowly after severalstagnant years.
to watchPrecedented president. The incumbent, Alar Karis, islikely to be elected by parliament for a second presidential term inlate 2026.
3/12/26, 1:06 PM The World in Numbers | The Economist</t>
        </is>
      </c>
      <c r="J20" t="inlineStr">
        <is>
          <t>high</t>
        </is>
      </c>
      <c r="K20" t="inlineStr">
        <is>
          <t>needs_review</t>
        </is>
      </c>
      <c r="L20" t="inlineStr">
        <is>
          <t>The World in Numbers | The Economist</t>
        </is>
      </c>
      <c r="M20" t="inlineStr">
        <is>
          <t>2026-03-12</t>
        </is>
      </c>
    </row>
    <row r="21">
      <c r="A21" t="inlineStr">
        <is>
          <t>France</t>
        </is>
      </c>
      <c r="B21" t="inlineStr">
        <is>
          <t>11</t>
        </is>
      </c>
      <c r="C21" t="inlineStr">
        <is>
          <t>1</t>
        </is>
      </c>
      <c r="D21" t="inlineStr">
        <is>
          <t>53940</t>
        </is>
      </c>
      <c r="E21" t="inlineStr">
        <is>
          <t>68370</t>
        </is>
      </c>
      <c r="F21" t="inlineStr">
        <is>
          <t>1.6</t>
        </is>
      </c>
      <c r="G21" t="inlineStr">
        <is>
          <t>-5.2</t>
        </is>
      </c>
      <c r="H21" t="inlineStr">
        <is>
          <t>66.7</t>
        </is>
      </c>
      <c r="I21" t="inlineStr">
        <is>
          <t>France
GDP growth 1%
GDP per person $53,940 (PPP: $68,370)
Inflation 1.6%
Budget balance -5.2% of GDP
Population 66.7m
The country is facing political turmoil, having had five primeministers in two years. The latest, Sébastien Lecornu,resigned in October and was promptly reappointed. Theproblem is that parliament is split into three hostile blocs,none of which is willing to compromise. Any governmentwill face the same difficulties passing laws. Tackling thebudget deficit, which may involve freezing the indexation ofpension and welfare payments and cutting spending onhealth, will face fierce opposition. The economy will edgehigher, but austerity will weigh on spending.
to watchSo nice. The Nice Carnival in February will salute thegreat heroines of fiction and history.</t>
        </is>
      </c>
      <c r="J21" t="inlineStr">
        <is>
          <t>high</t>
        </is>
      </c>
      <c r="K21" t="inlineStr">
        <is>
          <t>needs_review</t>
        </is>
      </c>
      <c r="L21" t="inlineStr">
        <is>
          <t>The World in Numbers | The Economist</t>
        </is>
      </c>
      <c r="M21" t="inlineStr">
        <is>
          <t>2026-03-12</t>
        </is>
      </c>
    </row>
    <row r="22">
      <c r="A22" t="inlineStr">
        <is>
          <t>Greece</t>
        </is>
      </c>
      <c r="B22" t="inlineStr">
        <is>
          <t>11</t>
        </is>
      </c>
      <c r="C22" t="inlineStr">
        <is>
          <t>2.4</t>
        </is>
      </c>
      <c r="D22" t="inlineStr">
        <is>
          <t>31380</t>
        </is>
      </c>
      <c r="E22" t="inlineStr">
        <is>
          <t>51930</t>
        </is>
      </c>
      <c r="F22" t="inlineStr">
        <is>
          <t>2.4</t>
        </is>
      </c>
      <c r="G22" t="inlineStr">
        <is>
          <t>-0.1</t>
        </is>
      </c>
      <c r="H22" t="inlineStr">
        <is>
          <t>9.9</t>
        </is>
      </c>
      <c r="I22" t="inlineStr">
        <is>
          <t>Greece
GDP growth 2.4%
GDP per person $31,380 (PPP: $51,930)
Inflation 2.4%
Budget balance -0.1% of GDP
Population 9.9m
Facing no credible challenge from the opposition, thecentre-right New Democracy government under the primeminister, Kyriakos Mitsotakis, will press on with reformsaimed at modernising and diversifying the economy. Stillrecovering from the turmoil that followed the globalfinancial crisis of 2007-09, the economy will perform abovethe EU average, supported by strong business spending andhelped by wage gains and labour-market improvements,alongside EU funding.
to watchAdapt and survive. Work will be completed on the firstphase of a climate-change adaptation project, focused oncoastlines, flood risk, forest-fire prevention and watermanagement.
3/12/26, 1:06 PM The World in Numbers | The Economist</t>
        </is>
      </c>
      <c r="J22" t="inlineStr">
        <is>
          <t>high</t>
        </is>
      </c>
      <c r="K22" t="inlineStr">
        <is>
          <t>needs_review</t>
        </is>
      </c>
      <c r="L22" t="inlineStr">
        <is>
          <t>The World in Numbers | The Economist</t>
        </is>
      </c>
      <c r="M22" t="inlineStr">
        <is>
          <t>2026-03-12</t>
        </is>
      </c>
    </row>
    <row r="23">
      <c r="A23" t="inlineStr">
        <is>
          <t>Ireland</t>
        </is>
      </c>
      <c r="B23" t="inlineStr">
        <is>
          <t>12</t>
        </is>
      </c>
      <c r="C23" t="inlineStr">
        <is>
          <t>1.3</t>
        </is>
      </c>
      <c r="D23" t="inlineStr">
        <is>
          <t>142650</t>
        </is>
      </c>
      <c r="E23" t="inlineStr">
        <is>
          <t>169970</t>
        </is>
      </c>
      <c r="F23" t="inlineStr">
        <is>
          <t>1.9</t>
        </is>
      </c>
      <c r="G23" t="inlineStr">
        <is>
          <t>1.4</t>
        </is>
      </c>
      <c r="H23" t="inlineStr">
        <is>
          <t>5.4</t>
        </is>
      </c>
      <c r="I23" t="inlineStr">
        <is>
          <t>Ireland
GDP growth 1.3%
GDP per person $142,650 (PPP: $169,970)
Inflation 1.9%
Budget balance 1.4% of GDP
Population 5.4m
The coalition government led by the taoiseach, MicheálMartin of Fianna Fáil, with support from Fine Gael andindependents, is ideologically divided but should survive,using budget surpluses to pursue tax cuts, home-purchasesubsidies and more housing. Economic growth willmoderate but remain relatively strong, though Americantariffs loom over export-heavy industries likepharmaceuticals, and volatile (and mobile) tax revenue frombig global companies remains a vulnerability.
to watchWho’s there? The Knock Shrine will celebrate the 50thanniversary of the completion of the Basilica of Our Lady, Queen ofIreland, a strong draw for Catholic pilgrims.</t>
        </is>
      </c>
      <c r="J23" t="inlineStr">
        <is>
          <t>high</t>
        </is>
      </c>
      <c r="K23" t="inlineStr">
        <is>
          <t>needs_review</t>
        </is>
      </c>
      <c r="L23" t="inlineStr">
        <is>
          <t>The World in Numbers | The Economist</t>
        </is>
      </c>
      <c r="M23" t="inlineStr">
        <is>
          <t>2026-03-12</t>
        </is>
      </c>
    </row>
    <row r="24">
      <c r="A24" t="inlineStr">
        <is>
          <t>Latvia</t>
        </is>
      </c>
      <c r="B24" t="inlineStr">
        <is>
          <t>12</t>
        </is>
      </c>
      <c r="C24" t="inlineStr">
        <is>
          <t>1.4</t>
        </is>
      </c>
      <c r="D24" t="inlineStr">
        <is>
          <t>27150</t>
        </is>
      </c>
      <c r="E24" t="inlineStr">
        <is>
          <t>48270</t>
        </is>
      </c>
      <c r="F24" t="inlineStr">
        <is>
          <t>2.5</t>
        </is>
      </c>
      <c r="G24" t="inlineStr">
        <is>
          <t>-2.9</t>
        </is>
      </c>
      <c r="H24" t="inlineStr">
        <is>
          <t>1.8</t>
        </is>
      </c>
      <c r="I24" t="inlineStr">
        <is>
          <t>Latvia
GDP growth 1.4%
GDP per person $27,150 (PPP: $48,270)
Inflation 2.5%
Budget balance -2.9% of GDP
Population 1.8m
Evika Silina, the prime minister, and her New Unity partylead a fragile three-party coalition with the Union of Greensand Farmers and the Progressives, holding a bare majority inthe 100-seat parliament. The coalition will be ousted inelections set for October, though the vote could come earlierif the government collapses. Whatever happens, a pro-EUand pro-NATO consensus will survive. The economy will behurt by American tariffs, curbing precision-equipment andchemicals exports. But trade diversification, defencespending and EU-funded investments will support a modesteconomic recovery.</t>
        </is>
      </c>
      <c r="J24" t="inlineStr">
        <is>
          <t>high</t>
        </is>
      </c>
      <c r="K24" t="inlineStr">
        <is>
          <t>needs_review</t>
        </is>
      </c>
      <c r="L24" t="inlineStr">
        <is>
          <t>The World in Numbers | The Economist</t>
        </is>
      </c>
      <c r="M24" t="inlineStr">
        <is>
          <t>2026-03-12</t>
        </is>
      </c>
    </row>
    <row r="25">
      <c r="A25" t="inlineStr">
        <is>
          <t>Netherlands</t>
        </is>
      </c>
      <c r="B25" t="inlineStr">
        <is>
          <t>12</t>
        </is>
      </c>
      <c r="C25" t="inlineStr">
        <is>
          <t>0.5</t>
        </is>
      </c>
      <c r="D25" t="inlineStr">
        <is>
          <t>75530</t>
        </is>
      </c>
      <c r="E25" t="inlineStr">
        <is>
          <t>88870</t>
        </is>
      </c>
      <c r="F25" t="inlineStr">
        <is>
          <t>2.8</t>
        </is>
      </c>
      <c r="G25" t="inlineStr">
        <is>
          <t>-2.9</t>
        </is>
      </c>
      <c r="H25" t="inlineStr">
        <is>
          <t>18.4</t>
        </is>
      </c>
      <c r="I25" t="inlineStr">
        <is>
          <t>Netherlands
GDP growth 0.5%
GDP per person $75,530 (PPP: $88,870)
3/12/26, 1:06 PM The World in Numbers | The Economist
Inflation 2.8%
Budget balance -2.9% of GDP
Population 18.4m
The centre-left Democrats 66 (D66) party was poised toform the next government after the hard-right Party forFreedom lost ground in elections in late 2025. Still, D66 willneed the support of other parties to form a coalitiongovernment, and negotiations could stretch into 2026. Theexport-driven economy will be slowed by American tariffsand cuts to investment, but will benefit from fiscal stimulus.
to watchGas giant. The first phase of a national hydrogenpipeline network will start operating in Rotterdam.</t>
        </is>
      </c>
      <c r="J25" t="inlineStr">
        <is>
          <t>low</t>
        </is>
      </c>
      <c r="K25" t="inlineStr">
        <is>
          <t>needs_review</t>
        </is>
      </c>
      <c r="L25" t="inlineStr">
        <is>
          <t>The World in Numbers | The Economist</t>
        </is>
      </c>
      <c r="M25" t="inlineStr">
        <is>
          <t>2026-03-12</t>
        </is>
      </c>
    </row>
    <row r="26">
      <c r="A26" t="inlineStr">
        <is>
          <t>Poland</t>
        </is>
      </c>
      <c r="B26" t="inlineStr">
        <is>
          <t>13</t>
        </is>
      </c>
      <c r="C26" t="inlineStr">
        <is>
          <t>3.2</t>
        </is>
      </c>
      <c r="D26" t="inlineStr">
        <is>
          <t>29160</t>
        </is>
      </c>
      <c r="E26" t="inlineStr">
        <is>
          <t>55560</t>
        </is>
      </c>
      <c r="F26" t="inlineStr">
        <is>
          <t>2.9</t>
        </is>
      </c>
      <c r="G26" t="inlineStr">
        <is>
          <t>-6.4</t>
        </is>
      </c>
      <c r="H26" t="inlineStr">
        <is>
          <t>37.8</t>
        </is>
      </c>
      <c r="I26" t="inlineStr">
        <is>
          <t>Poland
GDP growth 3.2%
GDP per person $29,160 (PPP: $55,560)
Inflation 2.9%
Budget balance -6.4% of GDP
Population 37.8m
EU relations and funding flows are back on track after thereturn to government of the centrist Civic Coalition, led bythe two-time prime minister, Donald Tusk. He will pushahead with pro-business, socially liberal policies, althoughthe opposition-aligned president will throw up obstacles.Defence ties with Western allies will deepen. Economicgrowth will outpace the EU average, with investment andfiscal easing offsetting uncertain export prospects.
3/12/26, 1:06 PM The World in Numbers | The Economist</t>
        </is>
      </c>
      <c r="J26" t="inlineStr">
        <is>
          <t>high</t>
        </is>
      </c>
      <c r="K26" t="inlineStr">
        <is>
          <t>needs_review</t>
        </is>
      </c>
      <c r="L26" t="inlineStr">
        <is>
          <t>The World in Numbers | The Economist</t>
        </is>
      </c>
      <c r="M26" t="inlineStr">
        <is>
          <t>2026-03-12</t>
        </is>
      </c>
    </row>
    <row r="27">
      <c r="A27" t="inlineStr">
        <is>
          <t>Romania</t>
        </is>
      </c>
      <c r="B27" t="inlineStr">
        <is>
          <t>14</t>
        </is>
      </c>
      <c r="C27" t="inlineStr">
        <is>
          <t>1.5</t>
        </is>
      </c>
      <c r="D27" t="inlineStr">
        <is>
          <t>25190</t>
        </is>
      </c>
      <c r="E27" t="inlineStr">
        <is>
          <t>54290</t>
        </is>
      </c>
      <c r="F27" t="inlineStr">
        <is>
          <t>5.9</t>
        </is>
      </c>
      <c r="G27" t="inlineStr">
        <is>
          <t>-6.2</t>
        </is>
      </c>
      <c r="H27" t="inlineStr">
        <is>
          <t>18.8</t>
        </is>
      </c>
      <c r="I27" t="inlineStr">
        <is>
          <t>Romania
GDP growth 1.5%
GDP per person $25,190 (PPP: $54,290)
Inflation 5.9%
Budget balance -6.2% of GDP
Population 18.8m
Unity in the four-party coalition government led by theprime minister, Ilie Bolojan, is threatened by disagreementover austerity measures needed to rein in a budget deficit farabove the EU’s 3% of GDP limit. The hard right, meanwhile, isgaining momentum among disillusioned voters. Tight publicspending, soft domestic demand and poor absorption of EUfunds will weigh on economic growth, though industrialproduction will rebound.</t>
        </is>
      </c>
      <c r="J27" t="inlineStr">
        <is>
          <t>high</t>
        </is>
      </c>
      <c r="K27" t="inlineStr">
        <is>
          <t>needs_review</t>
        </is>
      </c>
      <c r="L27" t="inlineStr">
        <is>
          <t>The World in Numbers | The Economist</t>
        </is>
      </c>
      <c r="M27" t="inlineStr">
        <is>
          <t>2026-03-12</t>
        </is>
      </c>
    </row>
    <row r="28">
      <c r="A28" t="inlineStr">
        <is>
          <t>Slovakia</t>
        </is>
      </c>
      <c r="B28" t="inlineStr">
        <is>
          <t>14</t>
        </is>
      </c>
      <c r="C28" t="inlineStr">
        <is>
          <t>1.6</t>
        </is>
      </c>
      <c r="D28" t="inlineStr">
        <is>
          <t>31930</t>
        </is>
      </c>
      <c r="E28" t="inlineStr">
        <is>
          <t>51180</t>
        </is>
      </c>
      <c r="F28" t="inlineStr">
        <is>
          <t>2.8</t>
        </is>
      </c>
      <c r="G28" t="inlineStr">
        <is>
          <t>-4.5</t>
        </is>
      </c>
      <c r="H28" t="inlineStr">
        <is>
          <t>5.5</t>
        </is>
      </c>
      <c r="I28" t="inlineStr">
        <is>
          <t>Slovakia
GDP growth 1.6%
GDP per person $31,930 (PPP: $51,180)
Inflation 2.8%
Budget balance -4.5% of GDP
Population 5.5m
The populist-nationalist Smer-SD government, which leads afragile coalition with a slim parliamentary majority, willtussle again with the EU over judicial reforms. Even so, EUfunding critical to financing public debt will flow. Weakforeign demand, especially from Germany, will weigh on aneconomy that relies heavily on cars, car parts and otherindustrial goods, though diversification will progress.
3/12/26, 1:06 PM The World in Numbers | The Economist</t>
        </is>
      </c>
      <c r="J28" t="inlineStr">
        <is>
          <t>high</t>
        </is>
      </c>
      <c r="K28" t="inlineStr">
        <is>
          <t>needs_review</t>
        </is>
      </c>
      <c r="L28" t="inlineStr">
        <is>
          <t>The World in Numbers | The Economist</t>
        </is>
      </c>
      <c r="M28" t="inlineStr">
        <is>
          <t>2026-03-12</t>
        </is>
      </c>
    </row>
    <row r="29">
      <c r="A29" t="inlineStr">
        <is>
          <t>Spain</t>
        </is>
      </c>
      <c r="B29" t="inlineStr">
        <is>
          <t>15</t>
        </is>
      </c>
      <c r="C29" t="inlineStr">
        <is>
          <t>2</t>
        </is>
      </c>
      <c r="D29" t="inlineStr">
        <is>
          <t>42220</t>
        </is>
      </c>
      <c r="E29" t="inlineStr">
        <is>
          <t>65280</t>
        </is>
      </c>
      <c r="F29" t="inlineStr">
        <is>
          <t>2</t>
        </is>
      </c>
      <c r="G29" t="inlineStr">
        <is>
          <t>-2.6</t>
        </is>
      </c>
      <c r="H29" t="inlineStr">
        <is>
          <t>47.9</t>
        </is>
      </c>
      <c r="I29" t="inlineStr">
        <is>
          <t>Spain
GDP growth 2%
GDP per person $42,220 (PPP: $65,280)
Inflation 2%
Budget balance -2.6% of GDP
Population 47.9m
The left-wing minority coalition government of the primeminister, Pedro Sánchez, will deliver above-EU-averagegrowth, reflecting solid domestic demand, strong tourism,wage increases and EU-funded investment, especially indigital and green infrastructure. Still, risks to export growthwill persist. Corruption scandals have weakened thegovernment, but it will limp on through the year, untilelections in 2027.
to watchNew Formula. In September Madrid will host a Formula 1motor race for the first time, on a new circuit combining city streetsand dedicated track.</t>
        </is>
      </c>
      <c r="J29" t="inlineStr">
        <is>
          <t>high</t>
        </is>
      </c>
      <c r="K29" t="inlineStr">
        <is>
          <t>needs_review</t>
        </is>
      </c>
      <c r="L29" t="inlineStr">
        <is>
          <t>The World in Numbers | The Economist</t>
        </is>
      </c>
      <c r="M29" t="inlineStr">
        <is>
          <t>2026-03-12</t>
        </is>
      </c>
    </row>
    <row r="30">
      <c r="A30" t="inlineStr">
        <is>
          <t>Switzerland</t>
        </is>
      </c>
      <c r="B30" t="inlineStr">
        <is>
          <t>15</t>
        </is>
      </c>
      <c r="C30" t="inlineStr">
        <is>
          <t>0.8</t>
        </is>
      </c>
      <c r="D30" t="inlineStr">
        <is>
          <t>120010</t>
        </is>
      </c>
      <c r="E30" t="inlineStr">
        <is>
          <t>102790</t>
        </is>
      </c>
      <c r="F30" t="inlineStr">
        <is>
          <t>0.6</t>
        </is>
      </c>
      <c r="G30" t="inlineStr">
        <is>
          <t>0.2</t>
        </is>
      </c>
      <c r="H30" t="inlineStr">
        <is>
          <t>9</t>
        </is>
      </c>
      <c r="I30" t="inlineStr">
        <is>
          <t>Switzerland
GDP growth 0.8%
GDP per person $120,010 (PPP: $102,790)
Inflation 0.6%
Budget balance 0.2% of GDP
Population 9m
Much will depend on the government’s attempts tonegotiate down punitive American import tariffs—which aretwice as high as those on the EU. The Swiss franc is likely tobe under pressure until the relationship is stabilised.
3/12/26, 1:06 PM The World in Numbers | The Economist
Inflation will stay low, perhaps prompting a return tonegative interest rates. Economic policy will focus ontightening regulation of too-big-to-fail banks and winningparliamentary approval for a new agreement with the EUcovering trade, energy and food safety.</t>
        </is>
      </c>
      <c r="J30" t="inlineStr">
        <is>
          <t>low</t>
        </is>
      </c>
      <c r="K30" t="inlineStr">
        <is>
          <t>needs_review</t>
        </is>
      </c>
      <c r="L30" t="inlineStr">
        <is>
          <t>The World in Numbers | The Economist</t>
        </is>
      </c>
      <c r="M30" t="inlineStr">
        <is>
          <t>2026-03-12</t>
        </is>
      </c>
    </row>
    <row r="31">
      <c r="A31" t="inlineStr">
        <is>
          <t>Ukraine</t>
        </is>
      </c>
      <c r="B31" t="inlineStr">
        <is>
          <t>16</t>
        </is>
      </c>
      <c r="C31" t="inlineStr">
        <is>
          <t>2.4</t>
        </is>
      </c>
      <c r="D31" t="inlineStr">
        <is>
          <t>5630</t>
        </is>
      </c>
      <c r="E31" t="inlineStr">
        <is>
          <t>18430</t>
        </is>
      </c>
      <c r="F31" t="inlineStr">
        <is>
          <t>7.5</t>
        </is>
      </c>
      <c r="G31" t="inlineStr">
        <is>
          <t>-18.7</t>
        </is>
      </c>
      <c r="H31" t="inlineStr">
        <is>
          <t>39.5</t>
        </is>
      </c>
      <c r="I31" t="inlineStr">
        <is>
          <t>Ukraine
GDP growth 2.4%
GDP per person $5,630 (PPP: $18,430)
Inflation 7.5%
Budget balance -18.7% of GDP
Population 39.5m
If no peace deal is forthcoming in the war with Russia, thecurrent front line is likely to become frozen in place as bothsides dig in. If an agreement emerges, it will probablyinvolve the concession of territory and limited securityguarantees from Ukraine’s Western allies. The president,Volodymyr Zelensky, may choose to seek popularendorsement for a deal via a referendum. The economy willpost modest growth as fighting slows, supported byspending on reconstruction.</t>
        </is>
      </c>
      <c r="J31" t="inlineStr">
        <is>
          <t>high</t>
        </is>
      </c>
      <c r="K31" t="inlineStr">
        <is>
          <t>needs_review</t>
        </is>
      </c>
      <c r="L31" t="inlineStr">
        <is>
          <t>The World in Numbers | The Economist</t>
        </is>
      </c>
      <c r="M31" t="inlineStr">
        <is>
          <t>2026-03-12</t>
        </is>
      </c>
    </row>
    <row r="32">
      <c r="A32" t="inlineStr">
        <is>
          <t>Australia</t>
        </is>
      </c>
      <c r="B32" t="inlineStr">
        <is>
          <t>16</t>
        </is>
      </c>
      <c r="C32" t="inlineStr">
        <is>
          <t>2.4</t>
        </is>
      </c>
      <c r="D32" t="inlineStr">
        <is>
          <t>71270</t>
        </is>
      </c>
      <c r="E32" t="inlineStr">
        <is>
          <t>80120</t>
        </is>
      </c>
      <c r="F32" t="inlineStr">
        <is>
          <t>2.6</t>
        </is>
      </c>
      <c r="G32" t="inlineStr">
        <is>
          <t>-1.6</t>
        </is>
      </c>
      <c r="H32" t="inlineStr">
        <is>
          <t>27.2</t>
        </is>
      </c>
      <c r="I32" t="inlineStr">
        <is>
          <t>Australia
GDP growth 2.4%
GDP per person $71,270 (PPP: $80,120)
Inflation 2.6%
Budget balance -1.6% of GDP
Population 27.2m
Anthony Albanese, the prime minister, heads a Labor Partygovernment that commands a strong lower-house majority,though it needs support from the Greens in the Senate. The
3/12/26, 1:06 PM The World in Numbers | The Economist
parties will co-operate on workplace relations andcost-of-living measures, but housing policy could provecontentious.
to watchEasier credit. Lower interest rates should help revivedomestic demand after a period of depressed consumer spendingand business investment.</t>
        </is>
      </c>
      <c r="J32" t="inlineStr">
        <is>
          <t>low</t>
        </is>
      </c>
      <c r="K32" t="inlineStr">
        <is>
          <t>needs_review</t>
        </is>
      </c>
      <c r="L32" t="inlineStr">
        <is>
          <t>The World in Numbers | The Economist</t>
        </is>
      </c>
      <c r="M32" t="inlineStr">
        <is>
          <t>2026-03-12</t>
        </is>
      </c>
    </row>
    <row r="33">
      <c r="A33" t="inlineStr">
        <is>
          <t>Bangladesh</t>
        </is>
      </c>
      <c r="B33" t="inlineStr">
        <is>
          <t>17</t>
        </is>
      </c>
      <c r="C33" t="inlineStr">
        <is>
          <t>4.3</t>
        </is>
      </c>
      <c r="D33" t="inlineStr">
        <is>
          <t>2720</t>
        </is>
      </c>
      <c r="E33" t="inlineStr">
        <is>
          <t>10820</t>
        </is>
      </c>
      <c r="F33" t="inlineStr">
        <is>
          <t>6.9</t>
        </is>
      </c>
      <c r="G33" t="inlineStr">
        <is>
          <t>-3.8</t>
        </is>
      </c>
      <c r="H33" t="inlineStr">
        <is>
          <t>177.8</t>
        </is>
      </c>
      <c r="I33" t="inlineStr">
        <is>
          <t>Bangladesh
GDP growth 4.3%
GDP per person $2,720 (PPP: $10,820)
Inflation 6.9%
Budget balance -3.8% of GDP
Population 177.8m
Elections are planned for February, with the BangladeshNationalist Party expected to win. Since the collapse of theprevious government amid student protests in 2024, thetechnocratic interim administration led by MuhammadYunus, a Nobel peace-prize laureate, has worked to rebuildinstitutions, which will influence the pace of IMF loandisbursements. Cost-of-living pressures will make austeritymeasures unpopular.</t>
        </is>
      </c>
      <c r="J33" t="inlineStr">
        <is>
          <t>high</t>
        </is>
      </c>
      <c r="K33" t="inlineStr">
        <is>
          <t>needs_review</t>
        </is>
      </c>
      <c r="L33" t="inlineStr">
        <is>
          <t>The World in Numbers | The Economist</t>
        </is>
      </c>
      <c r="M33" t="inlineStr">
        <is>
          <t>2026-03-12</t>
        </is>
      </c>
    </row>
    <row r="34">
      <c r="A34" t="inlineStr">
        <is>
          <t>Hong Kong</t>
        </is>
      </c>
      <c r="B34" t="inlineStr">
        <is>
          <t>17</t>
        </is>
      </c>
      <c r="C34" t="inlineStr">
        <is>
          <t>1.9</t>
        </is>
      </c>
      <c r="D34" t="inlineStr">
        <is>
          <t>60040</t>
        </is>
      </c>
      <c r="E34" t="inlineStr">
        <is>
          <t>85210</t>
        </is>
      </c>
      <c r="F34" t="inlineStr">
        <is>
          <t>2.1</t>
        </is>
      </c>
      <c r="G34" t="inlineStr">
        <is>
          <t>-3.7</t>
        </is>
      </c>
      <c r="H34" t="inlineStr">
        <is>
          <t>7.4</t>
        </is>
      </c>
      <c r="I34" t="inlineStr">
        <is>
          <t>Hong Kong
GDP growth 1.9%
GDP per person $60,040 (PPP: $85,210)
Inflation 2.1%
Budget balance -3.7% of GDP
Population 7.4m
Economic and political prospects will be shaped by therivalry between China and America, with global traderestrictions, technology controls and investment screeningconstraining the territory’s role as an international trade andfinance hub. Even so, the economy will rally later in 2026 aslocal financial services attract more mainland Chinese firmslooking to list. Beijing’s influence over Hong Kong’sleadership will deepen, while local voices stay muted.
to watchLook north. The Northern Metropolis infrastructureproject will advance, creating new housing and road and rail links.
3/12/26, 1:06 PM The World in Numbers | The Economist</t>
        </is>
      </c>
      <c r="J34" t="inlineStr">
        <is>
          <t>high</t>
        </is>
      </c>
      <c r="K34" t="inlineStr">
        <is>
          <t>needs_review</t>
        </is>
      </c>
      <c r="L34" t="inlineStr">
        <is>
          <t>The World in Numbers | The Economist</t>
        </is>
      </c>
      <c r="M34" t="inlineStr">
        <is>
          <t>2026-03-12</t>
        </is>
      </c>
    </row>
    <row r="35">
      <c r="A35" t="inlineStr">
        <is>
          <t>Indonesia</t>
        </is>
      </c>
      <c r="B35" t="inlineStr">
        <is>
          <t>18</t>
        </is>
      </c>
      <c r="C35" t="inlineStr">
        <is>
          <t>4.6</t>
        </is>
      </c>
      <c r="D35" t="inlineStr">
        <is>
          <t>5340</t>
        </is>
      </c>
      <c r="E35" t="inlineStr">
        <is>
          <t>18890</t>
        </is>
      </c>
      <c r="F35" t="inlineStr">
        <is>
          <t>2.7</t>
        </is>
      </c>
      <c r="G35" t="inlineStr">
        <is>
          <t>-3.2</t>
        </is>
      </c>
      <c r="H35" t="inlineStr">
        <is>
          <t>287.9</t>
        </is>
      </c>
      <c r="I35" t="inlineStr">
        <is>
          <t>Indonesia
GDP growth 4.6%
GDP per person $5,340 (PPP: $18,890)
Inflation 2.7%
Budget balance -3.2% of GDP
Population 287.9m
The government of the president, Prabowo Subianto, willfocus on food security, trade diversification and attractingforeign investment in heavy industry and infrastructure.Expansion of the cabinet promises greater policy expertisebut risks bloated spending and red tape. Flagship initiativeslike the free-lunch programme will take priority overambitious undertakings like the development of Nusantara,Indonesia’s new capital. GDP will grow, but by nowhere nearMr Prabowo’s target of 8%.
to watchTime-saver. Work will start on the Jakarta-Surabayahigh-speed rail link, which will cut travel time from ten hours to lessthan four.</t>
        </is>
      </c>
      <c r="J35" t="inlineStr">
        <is>
          <t>high</t>
        </is>
      </c>
      <c r="K35" t="inlineStr">
        <is>
          <t>needs_review</t>
        </is>
      </c>
      <c r="L35" t="inlineStr">
        <is>
          <t>The World in Numbers | The Economist</t>
        </is>
      </c>
      <c r="M35" t="inlineStr">
        <is>
          <t>2026-03-12</t>
        </is>
      </c>
    </row>
    <row r="36">
      <c r="A36" t="inlineStr">
        <is>
          <t>Kazakhstan</t>
        </is>
      </c>
      <c r="B36" t="inlineStr">
        <is>
          <t>18</t>
        </is>
      </c>
      <c r="C36" t="inlineStr">
        <is>
          <t>4.8</t>
        </is>
      </c>
      <c r="D36" t="inlineStr">
        <is>
          <t>13620</t>
        </is>
      </c>
      <c r="E36" t="inlineStr">
        <is>
          <t>45800</t>
        </is>
      </c>
      <c r="F36" t="inlineStr">
        <is>
          <t>11.3</t>
        </is>
      </c>
      <c r="G36" t="inlineStr">
        <is>
          <t>-2.7</t>
        </is>
      </c>
      <c r="H36" t="inlineStr">
        <is>
          <t>21.1</t>
        </is>
      </c>
      <c r="I36" t="inlineStr">
        <is>
          <t>Kazakhstan
GDP growth 4.8%
GDP per person $13,620 (PPP: $45,800)
Inflation 11.3%
Budget balance -2.7% of GDP
Population 21.1m
The authoritarian regime under the president, Kassym-Jomart Tokayev, will stifle dissent, keep tight control ofcommunity groups and the media, and marginalise figuresfrom the Nazarbayev era, buying loyalty when necessary.Despite superficial reforms, genuine political liberalisationis unlikely; instead, any signs of industrial strife will be metwith sharp repression, especially in the oil-and-gas sector.Growth will moderate in response to faltering privatedemand.
to watchDigital arena. Astana will host the 2026 Games of theFuture in July, a hybrid event mixing physical and digital sport.</t>
        </is>
      </c>
      <c r="J36" t="inlineStr">
        <is>
          <t>high</t>
        </is>
      </c>
      <c r="K36" t="inlineStr">
        <is>
          <t>needs_review</t>
        </is>
      </c>
      <c r="L36" t="inlineStr">
        <is>
          <t>The World in Numbers | The Economist</t>
        </is>
      </c>
      <c r="M36" t="inlineStr">
        <is>
          <t>2026-03-12</t>
        </is>
      </c>
    </row>
    <row r="37">
      <c r="A37" t="inlineStr">
        <is>
          <t>New Zealand</t>
        </is>
      </c>
      <c r="B37" t="inlineStr">
        <is>
          <t>18</t>
        </is>
      </c>
      <c r="C37" t="inlineStr">
        <is>
          <t>0.9</t>
        </is>
      </c>
      <c r="D37" t="inlineStr">
        <is>
          <t>52390</t>
        </is>
      </c>
      <c r="E37" t="inlineStr">
        <is>
          <t>60510</t>
        </is>
      </c>
      <c r="F37" t="inlineStr">
        <is>
          <t>2.2</t>
        </is>
      </c>
      <c r="G37" t="inlineStr">
        <is>
          <t>-2.5</t>
        </is>
      </c>
      <c r="H37" t="inlineStr">
        <is>
          <t>5.3</t>
        </is>
      </c>
      <c r="I37" t="inlineStr">
        <is>
          <t>New Zealand
GDP growth 0.9%
GDP per person $52,390 (PPP: $60,510)
3/12/26, 1:06 PM The World in Numbers | The Economist
Inflation 2.2%
Budget balance -2.5% of GDP
Population 5.3m
The coalition government led by the prime minister,Christopher Luxon, and comprising the centre-rightNational Party, NZ First and ACT, may fall out over calls toscale back preferences for the Maori people and toreinterpret a treaty that recognised Maori land ownership.This could energise opposition parties, though the coalitionshould survive. Government infrastructure and relaxedforeign-investment rules will boost the economy, despiteweak demand from China.</t>
        </is>
      </c>
      <c r="J37" t="inlineStr">
        <is>
          <t>low</t>
        </is>
      </c>
      <c r="K37" t="inlineStr">
        <is>
          <t>needs_review</t>
        </is>
      </c>
      <c r="L37" t="inlineStr">
        <is>
          <t>The World in Numbers | The Economist</t>
        </is>
      </c>
      <c r="M37" t="inlineStr">
        <is>
          <t>2026-03-12</t>
        </is>
      </c>
    </row>
    <row r="38">
      <c r="A38" t="inlineStr">
        <is>
          <t>Philippines</t>
        </is>
      </c>
      <c r="B38" t="inlineStr">
        <is>
          <t>19</t>
        </is>
      </c>
      <c r="C38" t="inlineStr">
        <is>
          <t>4.6</t>
        </is>
      </c>
      <c r="D38" t="inlineStr">
        <is>
          <t>4750</t>
        </is>
      </c>
      <c r="E38" t="inlineStr">
        <is>
          <t>13630</t>
        </is>
      </c>
      <c r="F38" t="inlineStr">
        <is>
          <t>2.6</t>
        </is>
      </c>
      <c r="G38" t="inlineStr">
        <is>
          <t>-6</t>
        </is>
      </c>
      <c r="H38" t="inlineStr">
        <is>
          <t>117.7</t>
        </is>
      </c>
      <c r="I38" t="inlineStr">
        <is>
          <t>Philippines
GDP growth 4.6%
GDP per person $4,750 (PPP: $13,630)
Inflation 2.6%
Budget balance -6% of GDP
Population 117.7m
Recurring factional feuds will shake the political scene, butallies of the president, Ferdinand “Bongbong” Marcos junior,retained the senate in midterm elections in May 2025,supporting policies such as stabilising prices. The economywill slow after a pre-election stimulus splurge. Inflation andinterest rates will be subdued and consumer spending andinvestment resilient, but waning trade momentum andfading post-election demand will act as headwinds.
to watchAmerican bounty. Deepening economic and military co-operation with America will aggravate tensions with China.</t>
        </is>
      </c>
      <c r="J38" t="inlineStr">
        <is>
          <t>high</t>
        </is>
      </c>
      <c r="K38" t="inlineStr">
        <is>
          <t>needs_review</t>
        </is>
      </c>
      <c r="L38" t="inlineStr">
        <is>
          <t>The World in Numbers | The Economist</t>
        </is>
      </c>
      <c r="M38" t="inlineStr">
        <is>
          <t>2026-03-12</t>
        </is>
      </c>
    </row>
    <row r="39">
      <c r="A39" t="inlineStr">
        <is>
          <t>South Korea</t>
        </is>
      </c>
      <c r="B39" t="inlineStr">
        <is>
          <t>19</t>
        </is>
      </c>
      <c r="C39" t="inlineStr">
        <is>
          <t>1.4</t>
        </is>
      </c>
      <c r="D39" t="inlineStr">
        <is>
          <t>38690</t>
        </is>
      </c>
      <c r="E39" t="inlineStr">
        <is>
          <t>64490</t>
        </is>
      </c>
      <c r="F39" t="inlineStr">
        <is>
          <t>1.7</t>
        </is>
      </c>
      <c r="G39" t="inlineStr">
        <is>
          <t>-2.4</t>
        </is>
      </c>
      <c r="H39" t="inlineStr">
        <is>
          <t>51.6</t>
        </is>
      </c>
      <c r="I39" t="inlineStr">
        <is>
          <t>South Korea
GDP growth 1.4%
GDP per person $38,690 (PPP: $64,490)
Inflation 1.7%
Budget balance -2.4% of GDP
Population 51.6m
The liberal Democratic Party wields firm control over boththe presidency and the legislature. Lee Jae-myung’s electionas president in June 2025, following his predecessor’simpeachment, ended much of the political paralysis that had
3/12/26, 1:06 PM The World in Numbers | The Economist
hampered the country. Policy will focus on youthemployment, elder care and small- and medium-sizedenterprises, but growth will be constrained by Americantariffs, weak global demand and competition from China.
to watchVirtually there. Seoul will launch its own government-services and cultural-metaverse platform, pioneering digital urbanaccess.</t>
        </is>
      </c>
      <c r="J39" t="inlineStr">
        <is>
          <t>low</t>
        </is>
      </c>
      <c r="K39" t="inlineStr">
        <is>
          <t>needs_review</t>
        </is>
      </c>
      <c r="L39" t="inlineStr">
        <is>
          <t>The World in Numbers | The Economist</t>
        </is>
      </c>
      <c r="M39" t="inlineStr">
        <is>
          <t>2026-03-12</t>
        </is>
      </c>
    </row>
    <row r="40">
      <c r="A40" t="inlineStr">
        <is>
          <t>Taiwan</t>
        </is>
      </c>
      <c r="B40" t="inlineStr">
        <is>
          <t>20</t>
        </is>
      </c>
      <c r="C40" t="inlineStr">
        <is>
          <t>2.2</t>
        </is>
      </c>
      <c r="D40" t="inlineStr">
        <is>
          <t>39780</t>
        </is>
      </c>
      <c r="E40" t="inlineStr">
        <is>
          <t>92540</t>
        </is>
      </c>
      <c r="F40" t="inlineStr">
        <is>
          <t>1.7</t>
        </is>
      </c>
      <c r="G40" t="inlineStr">
        <is>
          <t>0.2</t>
        </is>
      </c>
      <c r="H40" t="inlineStr">
        <is>
          <t>23</t>
        </is>
      </c>
      <c r="I40" t="inlineStr">
        <is>
          <t>Taiwan
GDP growth 2.2%
GDP per person $39,780 (PPP: $92,540)
Inflation 1.7%
Budget balance 0.2% of GDP
Population 23m
Parliamentary gridlock will persist, given divisions betweenthe Democratic Progressive Party of the president, LaiChing-te, the Kuomintang opposition and the TaiwanPeople’s Party. This will curb plans for more spending onwelfare and defence. Tension across the Taiwan Strait willremain high as the threat from China grows. The economywill slow as the front-loading of exports to America fades,but global demand for artificial intelligence will help, givenTaiwan’s role in technology supply chains.</t>
        </is>
      </c>
      <c r="J40" t="inlineStr">
        <is>
          <t>high</t>
        </is>
      </c>
      <c r="K40" t="inlineStr">
        <is>
          <t>needs_review</t>
        </is>
      </c>
      <c r="L40" t="inlineStr">
        <is>
          <t>The World in Numbers | The Economist</t>
        </is>
      </c>
      <c r="M40" t="inlineStr">
        <is>
          <t>2026-03-12</t>
        </is>
      </c>
    </row>
    <row r="41">
      <c r="A41" t="inlineStr">
        <is>
          <t>Uzbekistan</t>
        </is>
      </c>
      <c r="B41" t="inlineStr">
        <is>
          <t>20</t>
        </is>
      </c>
      <c r="C41" t="inlineStr">
        <is>
          <t>5.5</t>
        </is>
      </c>
      <c r="D41" t="inlineStr">
        <is>
          <t>3760</t>
        </is>
      </c>
      <c r="E41" t="inlineStr">
        <is>
          <t>13560</t>
        </is>
      </c>
      <c r="F41" t="inlineStr">
        <is>
          <t>7.5</t>
        </is>
      </c>
      <c r="G41" t="inlineStr">
        <is>
          <t>-2.9</t>
        </is>
      </c>
      <c r="H41" t="inlineStr">
        <is>
          <t>37.7</t>
        </is>
      </c>
      <c r="I41" t="inlineStr">
        <is>
          <t>Uzbekistan
GDP growth 5.5%
GDP per person $3,760 (PPP: $13,560)
Inflation 7.5%
Budget balance -2.9% of GDP
Population 37.7m
The political tone will remain firmly authoritarian under thepresident, Shavkat Mirziyoyev, and his pliant LiberalDemocratic Party government. Despite public frustrationover corruption and energy shortages, strict governmentcontrol and swift suppression of dissent will assure stability.Growth will be propelled by robust investment in energy andinfrastructure, strong domestic demand, firm exports, highgold prices and steady remittance inflows, though at aslightly reduced pace.
3/12/26, 1:06 PM The World in Numbers | The Economist
To LamTo Lam, general secretary of the Communist Party of Vietnamsince his predecessor died in 2024, is likely to be confirmed in therole at January’s party congress. To prepare he has centralisedcontrol of government and consolidated his authority andpatronage power. He will also press ahead with a highlypoliticised anti-corruption crackdown. It won’t be plain sailing. Inrecent years Vietnam has inserted itself between Westerneconomies and a Chinese export machine of which they are wary—a strategy threatened by Donald Trump’s unpredictable tariffs.Mr Lam, like his father a former head of the national police, willrespond by diversifying Vietnam’s trade and investment ties,without angering America and China or sacrificing centralisedpolitical control.</t>
        </is>
      </c>
      <c r="J41" t="inlineStr">
        <is>
          <t>low</t>
        </is>
      </c>
      <c r="K41" t="inlineStr">
        <is>
          <t>needs_review</t>
        </is>
      </c>
      <c r="L41" t="inlineStr">
        <is>
          <t>The World in Numbers | The Economist</t>
        </is>
      </c>
      <c r="M41" t="inlineStr">
        <is>
          <t>2026-03-12</t>
        </is>
      </c>
    </row>
    <row r="42">
      <c r="A42" t="inlineStr">
        <is>
          <t>China</t>
        </is>
      </c>
      <c r="B42" t="inlineStr">
        <is>
          <t>21</t>
        </is>
      </c>
      <c r="C42" t="inlineStr">
        <is>
          <t>4.6</t>
        </is>
      </c>
      <c r="D42" t="inlineStr">
        <is>
          <t>14690</t>
        </is>
      </c>
      <c r="E42" t="inlineStr">
        <is>
          <t>31310</t>
        </is>
      </c>
      <c r="F42" t="inlineStr">
        <is>
          <t>0.2</t>
        </is>
      </c>
      <c r="G42" t="inlineStr">
        <is>
          <t>-5.7</t>
        </is>
      </c>
      <c r="H42" t="inlineStr">
        <is>
          <t>1413</t>
        </is>
      </c>
      <c r="I42" t="inlineStr">
        <is>
          <t>China
GDP growth 4.6%
GDP per person $14,690 (PPP: $31,310)
Inflation 0.2%
Budget balance -5.7% of GDP
Population 1413m
Xi Jinping enjoys unchallenged control, with his alliesdominating the Communist Party, armed forces andbureaucracy, ensuring decision-making remains in his hands.But age and health concerns pose risks, while the lack of aclear successor may trigger a power struggle should he fallill. Under pressure from American containment and lessdemand for the country’s exports, economic growth willslow. The government will push stimulus measures andinfrastructure investment to support domestic spendingamid a soft property market.
to watchPlan view. China will begin its 15th five-year plan,emphasising economic resilience, technology gains and growth,balanced with national security.
3/12/26, 1:06 PM The World in Numbers | The Economist</t>
        </is>
      </c>
      <c r="J42" t="inlineStr">
        <is>
          <t>high</t>
        </is>
      </c>
      <c r="K42" t="inlineStr">
        <is>
          <t>needs_review</t>
        </is>
      </c>
      <c r="L42" t="inlineStr">
        <is>
          <t>The World in Numbers | The Economist</t>
        </is>
      </c>
      <c r="M42" t="inlineStr">
        <is>
          <t>2026-03-12</t>
        </is>
      </c>
    </row>
    <row r="43">
      <c r="A43" t="inlineStr">
        <is>
          <t>India</t>
        </is>
      </c>
      <c r="B43" t="inlineStr">
        <is>
          <t>22</t>
        </is>
      </c>
      <c r="C43" t="inlineStr">
        <is>
          <t>6.2</t>
        </is>
      </c>
      <c r="D43" t="inlineStr">
        <is>
          <t>2990</t>
        </is>
      </c>
      <c r="E43" t="inlineStr">
        <is>
          <t>13140</t>
        </is>
      </c>
      <c r="F43" t="inlineStr">
        <is>
          <t>3.8</t>
        </is>
      </c>
      <c r="G43" t="inlineStr">
        <is>
          <t>-4</t>
        </is>
      </c>
      <c r="H43" t="inlineStr">
        <is>
          <t>1476.6</t>
        </is>
      </c>
      <c r="I43" t="inlineStr">
        <is>
          <t>India
GDP growth 6.2%
GDP per person $2,990 (PPP: $13,140)
Inflation 3.8%
Budget balance -4% of GDP
Population 1476.6m
The reduced parliamentary majority of the coalitiongovernment led by the Bharatiya Janata Party will slowprogress on business reforms and weigh on investorconfidence. The economy, though, will post another year ofstrong growth, supported by looser money, publicinvestment, resilient services exports and robust ruraldemand. Foreign direct investment will be buoyed by a largeand growing consumer market.
to watchRepairing relations. India will look for ways to sootheDonald Trump’s ego and restore fractured economic ties.</t>
        </is>
      </c>
      <c r="J43" t="inlineStr">
        <is>
          <t>high</t>
        </is>
      </c>
      <c r="K43" t="inlineStr">
        <is>
          <t>needs_review</t>
        </is>
      </c>
      <c r="L43" t="inlineStr">
        <is>
          <t>The World in Numbers | The Economist</t>
        </is>
      </c>
      <c r="M43" t="inlineStr">
        <is>
          <t>2026-03-12</t>
        </is>
      </c>
    </row>
    <row r="44">
      <c r="A44" t="inlineStr">
        <is>
          <t>Japan</t>
        </is>
      </c>
      <c r="B44" t="inlineStr">
        <is>
          <t>22</t>
        </is>
      </c>
      <c r="C44" t="inlineStr">
        <is>
          <t>0.7</t>
        </is>
      </c>
      <c r="D44" t="inlineStr">
        <is>
          <t>35670</t>
        </is>
      </c>
      <c r="E44" t="inlineStr">
        <is>
          <t>56900</t>
        </is>
      </c>
      <c r="F44" t="inlineStr">
        <is>
          <t>1.5</t>
        </is>
      </c>
      <c r="G44" t="inlineStr">
        <is>
          <t>-3.5</t>
        </is>
      </c>
      <c r="H44" t="inlineStr">
        <is>
          <t>122.4</t>
        </is>
      </c>
      <c r="I44" t="inlineStr">
        <is>
          <t>Japan
GDP growth 0.7%
GDP per person $35,670 (PPP: $56,900)
Inflation 1.5%
Budget balance -3.5% of GDP
Population 122.4m
Takaichi Sanae became Japan’s first female prime minister inlate 2025 after winning the leadership of the ruling LiberalDemocratic Party. Japan’s third prime minister in just over ayear, Ms Takaichi represents a clear shift to the right. She islikely to mirror the pro-growth policies of her mentor, thelate Abe Shinzo, by favouring looser fiscal and monetary
3/12/26, 1:06 PM The World in Numbers | The Economist
policy. Freer spending will boost the economy but also pushup debt.</t>
        </is>
      </c>
      <c r="J44" t="inlineStr">
        <is>
          <t>low</t>
        </is>
      </c>
      <c r="K44" t="inlineStr">
        <is>
          <t>needs_review</t>
        </is>
      </c>
      <c r="L44" t="inlineStr">
        <is>
          <t>The World in Numbers | The Economist</t>
        </is>
      </c>
      <c r="M44" t="inlineStr">
        <is>
          <t>2026-03-12</t>
        </is>
      </c>
    </row>
    <row r="45">
      <c r="A45" t="inlineStr">
        <is>
          <t>Malaysia</t>
        </is>
      </c>
      <c r="B45" t="inlineStr">
        <is>
          <t>23</t>
        </is>
      </c>
      <c r="C45" t="inlineStr">
        <is>
          <t>4</t>
        </is>
      </c>
      <c r="D45" t="inlineStr">
        <is>
          <t>13320</t>
        </is>
      </c>
      <c r="E45" t="inlineStr">
        <is>
          <t>43210</t>
        </is>
      </c>
      <c r="F45" t="inlineStr">
        <is>
          <t>1.6</t>
        </is>
      </c>
      <c r="G45" t="inlineStr">
        <is>
          <t>-3.9</t>
        </is>
      </c>
      <c r="H45" t="inlineStr">
        <is>
          <t>36.4</t>
        </is>
      </c>
      <c r="I45" t="inlineStr">
        <is>
          <t>Malaysia
GDP growth 4%
GDP per person $13,320 (PPP: $43,210)
Inflation 1.6%
Budget balance -3.9% of GDP
Population 36.4m
The prime minister, Anwar Ibrahim, and his broad coalitiongovernment will work to balance pro-Malay and non-Malayinterests, limiting the risk of social unrest. Economic growthwill slip, constrained by rising global protectionism andweakening export demand, particularly from America.Consumer spending, buoyed by resilient wage growth andrising disposable incomes, will remain the main growthdriver.
to watchValue judgment. The New Industrial Master Plan, whichaims to advance digitisation, electric-vehicle manufacturing andpharmaceutical production by 2030, will get its midterm review.</t>
        </is>
      </c>
      <c r="J45" t="inlineStr">
        <is>
          <t>high</t>
        </is>
      </c>
      <c r="K45" t="inlineStr">
        <is>
          <t>needs_review</t>
        </is>
      </c>
      <c r="L45" t="inlineStr">
        <is>
          <t>The World in Numbers | The Economist</t>
        </is>
      </c>
      <c r="M45" t="inlineStr">
        <is>
          <t>2026-03-12</t>
        </is>
      </c>
    </row>
    <row r="46">
      <c r="A46" t="inlineStr">
        <is>
          <t>Pakistan</t>
        </is>
      </c>
      <c r="B46" t="inlineStr">
        <is>
          <t>23</t>
        </is>
      </c>
      <c r="C46" t="inlineStr">
        <is>
          <t>4.5</t>
        </is>
      </c>
      <c r="D46" t="inlineStr">
        <is>
          <t>1660</t>
        </is>
      </c>
      <c r="E46" t="inlineStr">
        <is>
          <t>7000</t>
        </is>
      </c>
      <c r="F46" t="inlineStr">
        <is>
          <t>5</t>
        </is>
      </c>
      <c r="G46" t="inlineStr">
        <is>
          <t>-5</t>
        </is>
      </c>
      <c r="H46" t="inlineStr">
        <is>
          <t>259.3</t>
        </is>
      </c>
      <c r="I46" t="inlineStr">
        <is>
          <t>Pakistan
GDP growth 4.5%
GDP per person $1,660 (PPP: $7,000)
Inflation 5%
Budget balance -5% of GDP
Population 259.3m
3/12/26, 1:06 PM The World in Numbers | The Economist
The coalition government led by the Pakistan MuslimLeague Nawaz and the Pakistan Peoples Party holds afragile majority and relies on backing from the army,granting it sway over policy. Looser money and improvedaccess to credit will support the economy, but it will be heldback by American tariffs and the effects of India’ssuspension of a water treaty that allocates use of the Indusriver between the two countries.
to watchTrust fund. IMF assistance will stave off default, butfiscal strains and sluggish reforms will test the fund’s commitment.</t>
        </is>
      </c>
      <c r="J46" t="inlineStr">
        <is>
          <t>low</t>
        </is>
      </c>
      <c r="K46" t="inlineStr">
        <is>
          <t>needs_review</t>
        </is>
      </c>
      <c r="L46" t="inlineStr">
        <is>
          <t>The World in Numbers | The Economist</t>
        </is>
      </c>
      <c r="M46" t="inlineStr">
        <is>
          <t>2026-03-12</t>
        </is>
      </c>
    </row>
    <row r="47">
      <c r="A47" t="inlineStr">
        <is>
          <t>Singapore</t>
        </is>
      </c>
      <c r="B47" t="inlineStr">
        <is>
          <t>24</t>
        </is>
      </c>
      <c r="C47" t="inlineStr">
        <is>
          <t>2.6</t>
        </is>
      </c>
      <c r="D47" t="inlineStr">
        <is>
          <t>109340</t>
        </is>
      </c>
      <c r="E47" t="inlineStr">
        <is>
          <t>167950</t>
        </is>
      </c>
      <c r="F47" t="inlineStr">
        <is>
          <t>1.1</t>
        </is>
      </c>
      <c r="G47" t="inlineStr">
        <is>
          <t>0.4</t>
        </is>
      </c>
      <c r="H47" t="inlineStr">
        <is>
          <t>5.9</t>
        </is>
      </c>
      <c r="I47" t="inlineStr">
        <is>
          <t>Singapore
GDP growth 2.6%
GDP per person $109,340 (PPP: $167,950)
Inflation 1.1%
Budget balance 0.4% of GDP
Population 5.9m
The long-ruling People’s Action Party under the primeminister, Lawrence Wong, will maintain its dominance,though the opposition Workers’ Party will build support,particularly among younger, reform-minded voters.Frustration over high living costs, housing affordability andincome inequality will require a response. Domestic demandand fiscal support will partly offset a weak trade outlook.</t>
        </is>
      </c>
      <c r="J47" t="inlineStr">
        <is>
          <t>high</t>
        </is>
      </c>
      <c r="K47" t="inlineStr">
        <is>
          <t>needs_review</t>
        </is>
      </c>
      <c r="L47" t="inlineStr">
        <is>
          <t>The World in Numbers | The Economist</t>
        </is>
      </c>
      <c r="M47" t="inlineStr">
        <is>
          <t>2026-03-12</t>
        </is>
      </c>
    </row>
    <row r="48">
      <c r="A48" t="inlineStr">
        <is>
          <t>Sri Lanka</t>
        </is>
      </c>
      <c r="B48" t="inlineStr">
        <is>
          <t>24</t>
        </is>
      </c>
      <c r="C48" t="inlineStr">
        <is>
          <t>4</t>
        </is>
      </c>
      <c r="D48" t="inlineStr">
        <is>
          <t>4930</t>
        </is>
      </c>
      <c r="E48" t="inlineStr">
        <is>
          <t>16960</t>
        </is>
      </c>
      <c r="F48" t="inlineStr">
        <is>
          <t>4</t>
        </is>
      </c>
      <c r="G48" t="inlineStr">
        <is>
          <t>-4</t>
        </is>
      </c>
      <c r="H48" t="inlineStr">
        <is>
          <t>23.3</t>
        </is>
      </c>
      <c r="I48" t="inlineStr">
        <is>
          <t>Sri Lanka
GDP growth 4%
GDP per person $4,930 (PPP: $16,960)
Inflation 4%
3/12/26, 1:06 PM The World in Numbers | The Economist
Budget balance -4% of GDP
Population 23.3m
The ruling National People’s Power alliance under thepresident, Aruna Kumara Dissanayake, wields strongsupport, though its electoral honeymoon is ending. With thelegislature and the executive aligned, it can push ahead onredistributing wealth and boosting salaries. Economicrecovery will progress, with rising incomes supportingspending. Moderate interest rates and more tourism willhelp offset weak exports tied to American tariffs.</t>
        </is>
      </c>
      <c r="J48" t="inlineStr">
        <is>
          <t>low</t>
        </is>
      </c>
      <c r="K48" t="inlineStr">
        <is>
          <t>needs_review</t>
        </is>
      </c>
      <c r="L48" t="inlineStr">
        <is>
          <t>The World in Numbers | The Economist</t>
        </is>
      </c>
      <c r="M48" t="inlineStr">
        <is>
          <t>2026-03-12</t>
        </is>
      </c>
    </row>
    <row r="49">
      <c r="A49" t="inlineStr">
        <is>
          <t>Thailand</t>
        </is>
      </c>
      <c r="B49" t="inlineStr">
        <is>
          <t>25</t>
        </is>
      </c>
      <c r="C49" t="inlineStr">
        <is>
          <t>1.7</t>
        </is>
      </c>
      <c r="D49" t="inlineStr">
        <is>
          <t>8580</t>
        </is>
      </c>
      <c r="E49" t="inlineStr">
        <is>
          <t>27080</t>
        </is>
      </c>
      <c r="F49" t="inlineStr">
        <is>
          <t>1</t>
        </is>
      </c>
      <c r="G49" t="inlineStr">
        <is>
          <t>-5.2</t>
        </is>
      </c>
      <c r="H49" t="inlineStr">
        <is>
          <t>71.6</t>
        </is>
      </c>
      <c r="I49" t="inlineStr">
        <is>
          <t>Thailand
GDP growth 1.7%
GDP per person $8,580 (PPP: $27,080)
Inflation 1%
Budget balance -5.2% of GDP
Population 71.6m
Anutin Charnvirakul, leader of the Bhumjaithai Party, wasnamed prime minister in September 2025 after theconstitutional court ousted the previous leader, PaetongtarnShinawatra, on ethics charges. An election is likely in early2026, which will produce a new and more reform-friendlygovernment. Despite a peaceful transition of power, tensionswill flare between army-aligned conservatives and pro-reform groups. Weaker trade will hold back the economy.
to watchRave review. Fans of electronic dance music willdescend on Wisdom Valley in Pattaya in December for Asia’s firstversion of the giant Tomorrowland festival.</t>
        </is>
      </c>
      <c r="J49" t="inlineStr">
        <is>
          <t>high</t>
        </is>
      </c>
      <c r="K49" t="inlineStr">
        <is>
          <t>needs_review</t>
        </is>
      </c>
      <c r="L49" t="inlineStr">
        <is>
          <t>The World in Numbers | The Economist</t>
        </is>
      </c>
      <c r="M49" t="inlineStr">
        <is>
          <t>2026-03-12</t>
        </is>
      </c>
    </row>
    <row r="50">
      <c r="A50" t="inlineStr">
        <is>
          <t>Vietnam</t>
        </is>
      </c>
      <c r="B50" t="inlineStr">
        <is>
          <t>25</t>
        </is>
      </c>
      <c r="C50" t="inlineStr">
        <is>
          <t>4.4</t>
        </is>
      </c>
      <c r="D50" t="inlineStr">
        <is>
          <t>4980</t>
        </is>
      </c>
      <c r="E50" t="inlineStr">
        <is>
          <t>19100</t>
        </is>
      </c>
      <c r="F50" t="inlineStr">
        <is>
          <t>3</t>
        </is>
      </c>
      <c r="G50" t="inlineStr">
        <is>
          <t>-4.1</t>
        </is>
      </c>
      <c r="H50" t="inlineStr">
        <is>
          <t>102.2</t>
        </is>
      </c>
      <c r="I50" t="inlineStr">
        <is>
          <t>Vietnam
GDP growth 4.4%
GDP per person $4,980 (PPP: $19,100)
Inflation 3%
Budget balance -4.1% of GDP
Population 102.2m
To Lam, the general secretary, is poised to consolidatecontrol ahead of the Communist Party’s 14th nationalcongress early in January, riding the progress of his “BlazingFurnaces” anti-corruption drive (see In Person). Economicpolicy will remain broadly open and pro-business, focusingon foreign direct investment, reducing bureaucracy and
3/12/26, 1:06 PM The World in Numbers | The Economist
lowering tariffs, especially for American goods. Still, theeconomy will decelerate after strong growth in 2024 and2025 as American protectionism and limits on trans-shipments from other countries in Asia weigh on investment,exports and consumption.</t>
        </is>
      </c>
      <c r="J50" t="inlineStr">
        <is>
          <t>low</t>
        </is>
      </c>
      <c r="K50" t="inlineStr">
        <is>
          <t>needs_review</t>
        </is>
      </c>
      <c r="L50" t="inlineStr">
        <is>
          <t>The World in Numbers | The Economist</t>
        </is>
      </c>
      <c r="M50" t="inlineStr">
        <is>
          <t>2026-03-12</t>
        </is>
      </c>
    </row>
    <row r="51">
      <c r="A51" t="inlineStr">
        <is>
          <t>Canada</t>
        </is>
      </c>
      <c r="B51" t="inlineStr">
        <is>
          <t>26</t>
        </is>
      </c>
      <c r="C51" t="inlineStr">
        <is>
          <t>0.9</t>
        </is>
      </c>
      <c r="D51" t="inlineStr">
        <is>
          <t>59240</t>
        </is>
      </c>
      <c r="E51" t="inlineStr">
        <is>
          <t>72470</t>
        </is>
      </c>
      <c r="F51" t="inlineStr">
        <is>
          <t>2.1</t>
        </is>
      </c>
      <c r="G51" t="inlineStr">
        <is>
          <t>-1.8</t>
        </is>
      </c>
      <c r="H51" t="inlineStr">
        <is>
          <t>40.5</t>
        </is>
      </c>
      <c r="I51" t="inlineStr">
        <is>
          <t>Canada
GDP growth 0.9%
GDP per person $59,240 (PPP: $72,470)
Inflation 2.1%
Budget balance -1.8% of GDP
Population 40.5m
The prime minister, Mark Carney, leads a minority LiberalParty government, and a revived Conservative Party willoffer stiff opposition. Mr Carney’s forces will benefit from asurge in nationalist sentiment arising from Donald Trump’shostile attitude towards Canada. Punitive American tariffswill do genuine damage, with further integration amongCanada’s provinces failing to offset fully the impact ofhigher import prices on consumers. Growth will be tepid.</t>
        </is>
      </c>
      <c r="J51" t="inlineStr">
        <is>
          <t>high</t>
        </is>
      </c>
      <c r="K51" t="inlineStr">
        <is>
          <t>needs_review</t>
        </is>
      </c>
      <c r="L51" t="inlineStr">
        <is>
          <t>The World in Numbers | The Economist</t>
        </is>
      </c>
      <c r="M51" t="inlineStr">
        <is>
          <t>2026-03-12</t>
        </is>
      </c>
    </row>
    <row r="52">
      <c r="A52" t="inlineStr">
        <is>
          <t>United States</t>
        </is>
      </c>
      <c r="B52" t="inlineStr">
        <is>
          <t>26</t>
        </is>
      </c>
      <c r="C52" t="inlineStr">
        <is>
          <t>1.4</t>
        </is>
      </c>
      <c r="D52" t="inlineStr">
        <is>
          <t>92170</t>
        </is>
      </c>
      <c r="E52" t="inlineStr">
        <is>
          <t>92170</t>
        </is>
      </c>
      <c r="F52" t="inlineStr">
        <is>
          <t>3.1</t>
        </is>
      </c>
      <c r="G52" t="inlineStr">
        <is>
          <t>-6.6</t>
        </is>
      </c>
      <c r="H52" t="inlineStr">
        <is>
          <t>349</t>
        </is>
      </c>
      <c r="I52" t="inlineStr">
        <is>
          <t>United States
GDP growth 1.4%
GDP per person $92,170 (PPP: $92,170)
Inflation 3.1%
Budget balance -6.6% of GDP
Population 349m
Donald Trump’s norm-shattering behaviour shows no sign ofabating. He has cemented power in the presidency, which hewill use ruthlessly, notably on trade and immigration. Hewill remain brutally transactional, unnerving friends andfoes. Legal setbacks will slow his pace, but he will win morecourt cases than he loses. Legislative elections in Novemberpose a risk if the opposition Democrats win the lower house.The economy will flirt with stagflation, ending years ofproductivity-driven gains. Still, spending on AI will supportgrowth.
3/12/26, 1:06 PM The World in Numbers | The Economist</t>
        </is>
      </c>
      <c r="J52" t="inlineStr">
        <is>
          <t>high</t>
        </is>
      </c>
      <c r="K52" t="inlineStr">
        <is>
          <t>needs_review</t>
        </is>
      </c>
      <c r="L52" t="inlineStr">
        <is>
          <t>The World in Numbers | The Economist</t>
        </is>
      </c>
      <c r="M52" t="inlineStr">
        <is>
          <t>2026-03-12</t>
        </is>
      </c>
    </row>
    <row r="53">
      <c r="A53" t="inlineStr">
        <is>
          <t>Mexico</t>
        </is>
      </c>
      <c r="B53" t="inlineStr">
        <is>
          <t>27</t>
        </is>
      </c>
      <c r="C53" t="inlineStr">
        <is>
          <t>1.4</t>
        </is>
      </c>
      <c r="D53" t="inlineStr">
        <is>
          <t>13720</t>
        </is>
      </c>
      <c r="E53" t="inlineStr">
        <is>
          <t>27520</t>
        </is>
      </c>
      <c r="F53" t="inlineStr">
        <is>
          <t>3.5</t>
        </is>
      </c>
      <c r="G53" t="inlineStr">
        <is>
          <t>-3.7</t>
        </is>
      </c>
      <c r="H53" t="inlineStr">
        <is>
          <t>133</t>
        </is>
      </c>
      <c r="I53" t="inlineStr">
        <is>
          <t>Mexico
GDP growth 1.4%
GDP per person $13,720 (PPP: $27,520)
Inflation 3.5%
Budget balance -3.7% of GDP
Population 133m
The renegotiation of the trade agreement between Canada,Mexico and the United States, due for completion by mid-2026, injects uncertainty into economic policy, with thepresident, Claudia Sheinbaum, already navigating a difficultrelationship with the confrontational Trump administration.She may need to adjust spending priorities and run a looserbudget, putting fiscal targets at risk. She remains populardespite a controversial overhaul of the judiciary. But foreigninvestors worry about creeping authoritarianism; economicgrowth will be below its potential.
to watchKicking off. On June 11th Mexico City will stage the firstmatch of the FIFA World Cup, which Mexico will host jointly withCanada and America.</t>
        </is>
      </c>
      <c r="J53" t="inlineStr">
        <is>
          <t>high</t>
        </is>
      </c>
      <c r="K53" t="inlineStr">
        <is>
          <t>needs_review</t>
        </is>
      </c>
      <c r="L53" t="inlineStr">
        <is>
          <t>The World in Numbers | The Economist</t>
        </is>
      </c>
      <c r="M53" t="inlineStr">
        <is>
          <t>2026-03-12</t>
        </is>
      </c>
    </row>
    <row r="54">
      <c r="A54" t="inlineStr">
        <is>
          <t>Argentina</t>
        </is>
      </c>
      <c r="B54" t="inlineStr">
        <is>
          <t>27</t>
        </is>
      </c>
      <c r="C54" t="inlineStr">
        <is>
          <t>2.6</t>
        </is>
      </c>
      <c r="D54" t="inlineStr">
        <is>
          <t>12780</t>
        </is>
      </c>
      <c r="E54" t="inlineStr">
        <is>
          <t>35430</t>
        </is>
      </c>
      <c r="F54" t="inlineStr">
        <is>
          <t>18.7</t>
        </is>
      </c>
      <c r="G54" t="inlineStr">
        <is>
          <t>-0.3</t>
        </is>
      </c>
      <c r="H54" t="inlineStr">
        <is>
          <t>46</t>
        </is>
      </c>
      <c r="I54" t="inlineStr">
        <is>
          <t>Argentina
GDP growth 2.6%
GDP per person $12,780 (PPP: $35,430)
Inflation 18.7%
Budget balance -0.3% of GDP
Population 46m
The government of Javier Milei, the libertarian president,won a decisive victory in midterm legislative elections inOctober 2025, easing a period of market stress. Foreigninvestment will rise, and Mr Milei will press ahead withmarket-friendly reforms, though budget-cutting will be lesssevere amid pressure to spend more. As political andeconomic conditions stabilise, GDP will expand modestly.
to watchUS bail-out. Donald Trump’s government is pledging upto $40bn to support the economic programme of Mr Milei, an ally.
3/12/26, 1:06 PM The World in Numbers | The Economist</t>
        </is>
      </c>
      <c r="J54" t="inlineStr">
        <is>
          <t>high</t>
        </is>
      </c>
      <c r="K54" t="inlineStr">
        <is>
          <t>needs_review</t>
        </is>
      </c>
      <c r="L54" t="inlineStr">
        <is>
          <t>The World in Numbers | The Economist</t>
        </is>
      </c>
      <c r="M54" t="inlineStr">
        <is>
          <t>2026-03-12</t>
        </is>
      </c>
    </row>
    <row r="55">
      <c r="A55" t="inlineStr">
        <is>
          <t>Bolivia</t>
        </is>
      </c>
      <c r="B55" t="inlineStr">
        <is>
          <t>28</t>
        </is>
      </c>
      <c r="C55" t="inlineStr">
        <is>
          <t>0.7</t>
        </is>
      </c>
      <c r="D55" t="inlineStr">
        <is>
          <t>3620</t>
        </is>
      </c>
      <c r="E55" t="inlineStr">
        <is>
          <t>11100</t>
        </is>
      </c>
      <c r="F55" t="inlineStr">
        <is>
          <t>22</t>
        </is>
      </c>
      <c r="G55" t="inlineStr">
        <is>
          <t>-8.1</t>
        </is>
      </c>
      <c r="H55" t="inlineStr">
        <is>
          <t>12.7</t>
        </is>
      </c>
      <c r="I55" t="inlineStr">
        <is>
          <t>Bolivia
GDP growth 0.7%
GDP per person $3,620 (PPP: $11,100)
Inflation 22%
Budget balance -8.1% of GDP
Population 12.7m
Rodrigo Paz of the centrist Christian Democratic Party wonthe presidential election in late 2025, marking the end ofnearly 20 years of dominance by the left. With a clearmandate and a legislative tilt towards the centre-right, MrPaz will be pro-market and support pragmatic investmentstrategies and smaller deficits, though an overvaluedexchange rate will hold back growth.</t>
        </is>
      </c>
      <c r="J55" t="inlineStr">
        <is>
          <t>high</t>
        </is>
      </c>
      <c r="K55" t="inlineStr">
        <is>
          <t>needs_review</t>
        </is>
      </c>
      <c r="L55" t="inlineStr">
        <is>
          <t>The World in Numbers | The Economist</t>
        </is>
      </c>
      <c r="M55" t="inlineStr">
        <is>
          <t>2026-03-12</t>
        </is>
      </c>
    </row>
    <row r="56">
      <c r="A56" t="inlineStr">
        <is>
          <t>Chile</t>
        </is>
      </c>
      <c r="B56" t="inlineStr">
        <is>
          <t>28</t>
        </is>
      </c>
      <c r="C56" t="inlineStr">
        <is>
          <t>2</t>
        </is>
      </c>
      <c r="D56" t="inlineStr">
        <is>
          <t>18650</t>
        </is>
      </c>
      <c r="E56" t="inlineStr">
        <is>
          <t>38180</t>
        </is>
      </c>
      <c r="F56" t="inlineStr">
        <is>
          <t>2.9</t>
        </is>
      </c>
      <c r="G56" t="inlineStr">
        <is>
          <t>-1.5</t>
        </is>
      </c>
      <c r="H56" t="inlineStr">
        <is>
          <t>19.9</t>
        </is>
      </c>
      <c r="I56" t="inlineStr">
        <is>
          <t>Chile
GDP growth 2%
GDP per person $18,650 (PPP: $38,180)
Inflation 2.9%
Budget balance -1.5% of GDP
Population 19.9m
Public concerns about crime and economic stagnationfavoured the right-wing opposition parties in elections setfor late 2025. José Antonio Kast of the ultra-conservativeChilean Republican Party was the favourite to win in a run-off. Pre-election turbulence will give way to a more stableeconomic outlook, with deregulation and investmentincentives boosting growth, though schemes to supportinvestment in renewable energy may falter.
to watchFar Reich. The election of Mr Kast, the son of a fleeingGerman Nazi, would mark a sharp rightward swing at home andboost regional right-wing sentiment.</t>
        </is>
      </c>
      <c r="J56" t="inlineStr">
        <is>
          <t>high</t>
        </is>
      </c>
      <c r="K56" t="inlineStr">
        <is>
          <t>needs_review</t>
        </is>
      </c>
      <c r="L56" t="inlineStr">
        <is>
          <t>The World in Numbers | The Economist</t>
        </is>
      </c>
      <c r="M56" t="inlineStr">
        <is>
          <t>2026-03-12</t>
        </is>
      </c>
    </row>
    <row r="57">
      <c r="A57" t="inlineStr">
        <is>
          <t>Cuba</t>
        </is>
      </c>
      <c r="B57" t="inlineStr">
        <is>
          <t>28</t>
        </is>
      </c>
      <c r="C57" t="inlineStr">
        <is>
          <t>0.8</t>
        </is>
      </c>
      <c r="D57" t="inlineStr">
        <is>
          <t>3310</t>
        </is>
      </c>
      <c r="E57" t="inlineStr">
        <is>
          <t>16480</t>
        </is>
      </c>
      <c r="F57" t="inlineStr">
        <is>
          <t>13.4</t>
        </is>
      </c>
      <c r="G57" t="inlineStr">
        <is>
          <t>-6</t>
        </is>
      </c>
      <c r="H57" t="inlineStr">
        <is>
          <t>10.9</t>
        </is>
      </c>
      <c r="I57" t="inlineStr">
        <is>
          <t>Cuba
GDP growth 0.8%
GDP per person $3,310 (PPP: $16,480)
Inflation 13.4%
Budget balance -6% of GDP
Population 10.9m
3/12/26, 1:06 PM The World in Numbers | The Economist
The president, Miguel Díaz-Canel, advocates limited reform,but his political priorities remain firmly authoritarian, withrestrictions on private-sector imports and tight state controlover most of the economy. Tourism and foreign investmentwill remain depressed under harsh sanctions and badrelations with the United States, limiting Cuba’s recovery.With no prospect of significant reform, the economy willstagnate.</t>
        </is>
      </c>
      <c r="J57" t="inlineStr">
        <is>
          <t>low</t>
        </is>
      </c>
      <c r="K57" t="inlineStr">
        <is>
          <t>needs_review</t>
        </is>
      </c>
      <c r="L57" t="inlineStr">
        <is>
          <t>The World in Numbers | The Economist</t>
        </is>
      </c>
      <c r="M57" t="inlineStr">
        <is>
          <t>2026-03-12</t>
        </is>
      </c>
    </row>
    <row r="58">
      <c r="A58" t="inlineStr">
        <is>
          <t>Paraguay</t>
        </is>
      </c>
      <c r="B58" t="inlineStr">
        <is>
          <t>29</t>
        </is>
      </c>
      <c r="C58" t="inlineStr">
        <is>
          <t>4.2</t>
        </is>
      </c>
      <c r="D58" t="inlineStr">
        <is>
          <t>7490</t>
        </is>
      </c>
      <c r="E58" t="inlineStr">
        <is>
          <t>21110</t>
        </is>
      </c>
      <c r="F58" t="inlineStr">
        <is>
          <t>3.8</t>
        </is>
      </c>
      <c r="G58" t="inlineStr">
        <is>
          <t>-1.5</t>
        </is>
      </c>
      <c r="H58" t="inlineStr">
        <is>
          <t>7.1</t>
        </is>
      </c>
      <c r="I58" t="inlineStr">
        <is>
          <t>Paraguay
GDP growth 4.2%
GDP per person $7,490 (PPP: $21,110)
Inflation 3.8%
Budget balance -1.5% of GDP
Population 7.1m
The president, Santiago Peña, and his Colorado Party willpursue market-friendly policies focused on reducing thebudget deficit and improving infrastructure, though politicaltensions may hold things up. Investor confidence andpublic-private partnerships will sustain large public-worksprojects and help with regional integration. The economywill do well, but bad weather is always a risk to farming andhydropower output.
to watchCurrent arrangement. The fee Brazil pays for Paraguay’ssurplus electricity output from the Itaipu dam will fall by almost50%.</t>
        </is>
      </c>
      <c r="J58" t="inlineStr">
        <is>
          <t>high</t>
        </is>
      </c>
      <c r="K58" t="inlineStr">
        <is>
          <t>needs_review</t>
        </is>
      </c>
      <c r="L58" t="inlineStr">
        <is>
          <t>The World in Numbers | The Economist</t>
        </is>
      </c>
      <c r="M58" t="inlineStr">
        <is>
          <t>2026-03-12</t>
        </is>
      </c>
    </row>
    <row r="59">
      <c r="A59" t="inlineStr">
        <is>
          <t>Uruguay</t>
        </is>
      </c>
      <c r="B59" t="inlineStr">
        <is>
          <t>29</t>
        </is>
      </c>
      <c r="C59" t="inlineStr">
        <is>
          <t>2.2</t>
        </is>
      </c>
      <c r="D59" t="inlineStr">
        <is>
          <t>26270</t>
        </is>
      </c>
      <c r="E59" t="inlineStr">
        <is>
          <t>40470</t>
        </is>
      </c>
      <c r="F59" t="inlineStr">
        <is>
          <t>4.2</t>
        </is>
      </c>
      <c r="G59" t="inlineStr">
        <is>
          <t>-4.1</t>
        </is>
      </c>
      <c r="H59" t="inlineStr">
        <is>
          <t>3.4</t>
        </is>
      </c>
      <c r="I59" t="inlineStr">
        <is>
          <t>Uruguay
GDP growth 2.2%
GDP per person $26,270 (PPP: $40,470)
Inflation 4.2%
Budget balance -4.1% of GDP
Population 3.4m
Yamandú Orsi’s left-wing Broad Front will seek to expandstate involvement in the economy, increase social spendingand deepen regional integration, but will be hampered by aweak position in the legislature and internal rifts. Economicgrowth will be supported by increased governmentspending, a better jobs market and exports from a projectedstrong harvest.
3/12/26, 1:06 PM The World in Numbers | The Economist
Mohamed Irfaan Ali
While some might struggle to place Guyana on a map, that maychange in 2026 as its second-term president, Mohamed IrfaanAli, puts a tiny economy on the road to becoming a petro-state.The Britain- sized country is sparsely populated, but has fabulousreserves of oil and gas. Production in 2026, projected to be nearly1m barrels a day, could equal that of neighbouring Venezuela,which lays claim to a chunk of Guyana and could be source ofconflict. “Dutch disease”, whose symptoms include the stuntingof non-oil industries and over-valuation of the currency,threatens, but Mr Ali, an economist, will instead try to use the oilwealth to fund much-needed development.</t>
        </is>
      </c>
      <c r="J59" t="inlineStr">
        <is>
          <t>low</t>
        </is>
      </c>
      <c r="K59" t="inlineStr">
        <is>
          <t>needs_review</t>
        </is>
      </c>
      <c r="L59" t="inlineStr">
        <is>
          <t>The World in Numbers | The Economist</t>
        </is>
      </c>
      <c r="M59" t="inlineStr">
        <is>
          <t>2026-03-12</t>
        </is>
      </c>
    </row>
    <row r="60">
      <c r="A60" t="inlineStr">
        <is>
          <t>Brazil</t>
        </is>
      </c>
      <c r="B60" t="inlineStr">
        <is>
          <t>30</t>
        </is>
      </c>
      <c r="C60" t="inlineStr">
        <is>
          <t>1.7</t>
        </is>
      </c>
      <c r="D60" t="inlineStr">
        <is>
          <t>11390</t>
        </is>
      </c>
      <c r="E60" t="inlineStr">
        <is>
          <t>24660</t>
        </is>
      </c>
      <c r="F60" t="inlineStr">
        <is>
          <t>4.2</t>
        </is>
      </c>
      <c r="G60" t="inlineStr">
        <is>
          <t>-7.6</t>
        </is>
      </c>
      <c r="H60" t="inlineStr">
        <is>
          <t>213.6</t>
        </is>
      </c>
      <c r="I60" t="inlineStr">
        <is>
          <t>Brazil
GDP growth 1.7%
GDP per person $11,390 (PPP: $24,660)
Inflation 4.2%
Budget balance -7.6% of GDP
Population 213.6m
3/12/26, 1:06 PM The World in Numbers | The Economist
Campaigning for the October general election will be spicedby Donald Trump’s pointed support for Jair Bolsonaro, theformer right-wing president, who was convicted in late 2025of attempting a coup and banned by the courts fromrunning. Mr Trump’s meddling could rally support for theincumbent, leftist Luiz Inácio Lula da Silva, who will runagain, but might favour a united right-wing challenger,Should one emerge. A centre-right government would aim toreduce government deficits and debt and boost growthprospects.</t>
        </is>
      </c>
      <c r="J60" t="inlineStr">
        <is>
          <t>low</t>
        </is>
      </c>
      <c r="K60" t="inlineStr">
        <is>
          <t>needs_review</t>
        </is>
      </c>
      <c r="L60" t="inlineStr">
        <is>
          <t>The World in Numbers | The Economist</t>
        </is>
      </c>
      <c r="M60" t="inlineStr">
        <is>
          <t>2026-03-12</t>
        </is>
      </c>
    </row>
    <row r="61">
      <c r="A61" t="inlineStr">
        <is>
          <t>Colombia</t>
        </is>
      </c>
      <c r="B61" t="inlineStr">
        <is>
          <t>31</t>
        </is>
      </c>
      <c r="C61" t="inlineStr">
        <is>
          <t>2.8</t>
        </is>
      </c>
      <c r="D61" t="inlineStr">
        <is>
          <t>8790</t>
        </is>
      </c>
      <c r="E61" t="inlineStr">
        <is>
          <t>23970</t>
        </is>
      </c>
      <c r="F61" t="inlineStr">
        <is>
          <t>3.4</t>
        </is>
      </c>
      <c r="G61" t="inlineStr">
        <is>
          <t>-6.4</t>
        </is>
      </c>
      <c r="H61" t="inlineStr">
        <is>
          <t>53.9</t>
        </is>
      </c>
      <c r="I61" t="inlineStr">
        <is>
          <t>Colombia
GDP growth 2.8%
GDP per person $8,790 (PPP: $23,970)
Inflation 3.4%
Budget balance -6.4% of GDP
Population 53.9m
The run-up to the presidential election in May will featurerumblings of unrest as both sides mobilise their bases, butthe left-wing incumbent, Gustavo Petro, who is term-limited,and his party will probably lose to a candidate from thecentre-right opposition. More bank lending will supportinvestment, but slower export growth owing to weakerdemand in America, along with declining oil production andprices, will temper the economic recovery.</t>
        </is>
      </c>
      <c r="J61" t="inlineStr">
        <is>
          <t>high</t>
        </is>
      </c>
      <c r="K61" t="inlineStr">
        <is>
          <t>needs_review</t>
        </is>
      </c>
      <c r="L61" t="inlineStr">
        <is>
          <t>The World in Numbers | The Economist</t>
        </is>
      </c>
      <c r="M61" t="inlineStr">
        <is>
          <t>2026-03-12</t>
        </is>
      </c>
    </row>
    <row r="62">
      <c r="A62" t="inlineStr">
        <is>
          <t>Ecuador</t>
        </is>
      </c>
      <c r="B62" t="inlineStr">
        <is>
          <t>31</t>
        </is>
      </c>
      <c r="C62" t="inlineStr">
        <is>
          <t>2.4</t>
        </is>
      </c>
      <c r="D62" t="inlineStr">
        <is>
          <t>7310</t>
        </is>
      </c>
      <c r="E62" t="inlineStr">
        <is>
          <t>17560</t>
        </is>
      </c>
      <c r="F62" t="inlineStr">
        <is>
          <t>1.3</t>
        </is>
      </c>
      <c r="G62" t="inlineStr">
        <is>
          <t>-0.9</t>
        </is>
      </c>
      <c r="H62" t="inlineStr">
        <is>
          <t>18.4</t>
        </is>
      </c>
      <c r="I62" t="inlineStr">
        <is>
          <t>Ecuador
GDP growth 2.4%
GDP per person $7,310 (PPP: $17,560)
Inflation 1.3%
Budget balance -0.9% of GDP
Population 18.4m
Daniel Noboa’s decisive re-election as president in 2025 andthe strengthening of his National Democratic Action bloc inthe legislature will ensure steady policy during his term,especially efforts to close the budget gap and advancemarket-based reforms. Still, sporadic unrest is likely anddrug cartels will remain a destabilising force. Rising investorconfidence, mining expansion and more favourable financialconditions will boost the economy.
3/12/26, 1:06 PM The World in Numbers | The Economist</t>
        </is>
      </c>
      <c r="J62" t="inlineStr">
        <is>
          <t>high</t>
        </is>
      </c>
      <c r="K62" t="inlineStr">
        <is>
          <t>needs_review</t>
        </is>
      </c>
      <c r="L62" t="inlineStr">
        <is>
          <t>The World in Numbers | The Economist</t>
        </is>
      </c>
      <c r="M62" t="inlineStr">
        <is>
          <t>2026-03-12</t>
        </is>
      </c>
    </row>
    <row r="63">
      <c r="A63" t="inlineStr">
        <is>
          <t>Peru</t>
        </is>
      </c>
      <c r="B63" t="inlineStr">
        <is>
          <t>32</t>
        </is>
      </c>
      <c r="C63" t="inlineStr">
        <is>
          <t>2.6</t>
        </is>
      </c>
      <c r="D63" t="inlineStr">
        <is>
          <t>10110</t>
        </is>
      </c>
      <c r="E63" t="inlineStr">
        <is>
          <t>19360</t>
        </is>
      </c>
      <c r="F63" t="inlineStr">
        <is>
          <t>2.8</t>
        </is>
      </c>
      <c r="G63" t="inlineStr">
        <is>
          <t>-2.8</t>
        </is>
      </c>
      <c r="H63" t="inlineStr">
        <is>
          <t>34.9</t>
        </is>
      </c>
      <c r="I63" t="inlineStr">
        <is>
          <t>Peru
GDP growth 2.6%
GDP per person $10,110 (PPP: $19,360)
Inflation 2.8%
Budget balance -2.8% of GDP
Population 34.9m
Corruption scandals and rising crime have made DinaBoluarte deeply unpopular, and she cannot run again forpresident in April’s election. Her successor, to be pickedfrom a broad field of hopefuls, will face similar problems,including a fragmented legislature and little public trust.Candidates on the right are favourites, but populism maystifle reforms. Softer growth in mining and farm output anduncertainty over global trade will hold back the economy.</t>
        </is>
      </c>
      <c r="J63" t="inlineStr">
        <is>
          <t>high</t>
        </is>
      </c>
      <c r="K63" t="inlineStr">
        <is>
          <t>needs_review</t>
        </is>
      </c>
      <c r="L63" t="inlineStr">
        <is>
          <t>The World in Numbers | The Economist</t>
        </is>
      </c>
      <c r="M63" t="inlineStr">
        <is>
          <t>2026-03-12</t>
        </is>
      </c>
    </row>
    <row r="64">
      <c r="A64" t="inlineStr">
        <is>
          <t>Venezuela</t>
        </is>
      </c>
      <c r="B64" t="inlineStr">
        <is>
          <t>32</t>
        </is>
      </c>
      <c r="C64" t="inlineStr">
        <is>
          <t>2.8</t>
        </is>
      </c>
      <c r="D64" t="inlineStr">
        <is>
          <t>3870</t>
        </is>
      </c>
      <c r="E64" t="inlineStr">
        <is>
          <t>8540</t>
        </is>
      </c>
      <c r="F64" t="inlineStr">
        <is>
          <t>130.7</t>
        </is>
      </c>
      <c r="G64" t="inlineStr">
        <is>
          <t>-3.6</t>
        </is>
      </c>
      <c r="H64" t="inlineStr">
        <is>
          <t>28.6</t>
        </is>
      </c>
      <c r="I64" t="inlineStr">
        <is>
          <t>Venezuela
GDP growth 2.8%
GDP per person $3,870 (PPP: $8,540)
Inflation 130.7%
Budget balance -3.6% of GDP
Population 28.6m
Nicolás Maduro, the authoritarian left-wing president, willremain in control of a country in sustained decline, althoughthe presence of the American navy near Venezuelan waters—ostensibly for anti-drug patrols—means a toppling of hisregime cannot be ruled out. The return of Chevron, a bigenergy company, will support oil production and boost theeconomy.</t>
        </is>
      </c>
      <c r="J64" t="inlineStr">
        <is>
          <t>high</t>
        </is>
      </c>
      <c r="K64" t="inlineStr">
        <is>
          <t>needs_review</t>
        </is>
      </c>
      <c r="L64" t="inlineStr">
        <is>
          <t>The World in Numbers | The Economist</t>
        </is>
      </c>
      <c r="M64" t="inlineStr">
        <is>
          <t>2026-03-12</t>
        </is>
      </c>
    </row>
    <row r="65">
      <c r="A65" t="inlineStr">
        <is>
          <t>Algeria</t>
        </is>
      </c>
      <c r="B65" t="inlineStr">
        <is>
          <t>32</t>
        </is>
      </c>
      <c r="C65" t="inlineStr">
        <is>
          <t>3.7</t>
        </is>
      </c>
      <c r="D65" t="inlineStr">
        <is>
          <t>6370</t>
        </is>
      </c>
      <c r="E65" t="inlineStr">
        <is>
          <t>19640</t>
        </is>
      </c>
      <c r="F65" t="inlineStr">
        <is>
          <t>3.9</t>
        </is>
      </c>
      <c r="G65" t="inlineStr">
        <is>
          <t>-12.7</t>
        </is>
      </c>
      <c r="H65" t="inlineStr">
        <is>
          <t>48</t>
        </is>
      </c>
      <c r="I65" t="inlineStr">
        <is>
          <t>Algeria
GDP growth 3.7%
GDP per person $6,370 (PPP: $19,640)
Inflation 3.9%
Budget balance -12.7% of GDP
Population 48m
Abdelmadjid Tebboune, in his second term as president, willrely on firm army backing to keep a lid on unrest, while his
3/12/26, 1:06 PM The World in Numbers | The Economist
long-ruling National Liberation Front will win elections tothe rubber-stamp legislature in June. Oil and gas output willexpand modestly, but a weak investment climate will deterprivate capital. Strong public spending will boost theeconomy.</t>
        </is>
      </c>
      <c r="J65" t="inlineStr">
        <is>
          <t>low</t>
        </is>
      </c>
      <c r="K65" t="inlineStr">
        <is>
          <t>needs_review</t>
        </is>
      </c>
      <c r="L65" t="inlineStr">
        <is>
          <t>The World in Numbers | The Economist</t>
        </is>
      </c>
      <c r="M65" t="inlineStr">
        <is>
          <t>2026-03-12</t>
        </is>
      </c>
    </row>
    <row r="66">
      <c r="A66" t="inlineStr">
        <is>
          <t>Angola</t>
        </is>
      </c>
      <c r="B66" t="inlineStr">
        <is>
          <t>33</t>
        </is>
      </c>
      <c r="C66" t="inlineStr">
        <is>
          <t>2.6</t>
        </is>
      </c>
      <c r="D66" t="inlineStr">
        <is>
          <t>3270</t>
        </is>
      </c>
      <c r="E66" t="inlineStr">
        <is>
          <t>8780</t>
        </is>
      </c>
      <c r="F66" t="inlineStr">
        <is>
          <t>16.3</t>
        </is>
      </c>
      <c r="G66" t="inlineStr">
        <is>
          <t>-3.2</t>
        </is>
      </c>
      <c r="H66" t="inlineStr">
        <is>
          <t>40.2</t>
        </is>
      </c>
      <c r="I66" t="inlineStr">
        <is>
          <t>Angola
GDP growth 2.6%
GDP per person $3,270 (PPP: $8,780)
Inflation 16.3%
Budget balance -3.2% of GDP
Population 40.2m
Violent protests sparked by fuel-subsidy cuts and decliningeconomic opportunities will meet equally violentcrackdowns from the government and security forces of thepresident, João Lourenço. The ruling People’s Movement forthe Liberation of Angola, in power since 1975, is unpopular,and repression is likely to increase ahead of elections in2027. Oil exports will deliver some growth.</t>
        </is>
      </c>
      <c r="J66" t="inlineStr">
        <is>
          <t>high</t>
        </is>
      </c>
      <c r="K66" t="inlineStr">
        <is>
          <t>needs_review</t>
        </is>
      </c>
      <c r="L66" t="inlineStr">
        <is>
          <t>The World in Numbers | The Economist</t>
        </is>
      </c>
      <c r="M66" t="inlineStr">
        <is>
          <t>2026-03-12</t>
        </is>
      </c>
    </row>
    <row r="67">
      <c r="A67" t="inlineStr">
        <is>
          <t>Egypt</t>
        </is>
      </c>
      <c r="B67" t="inlineStr">
        <is>
          <t>33</t>
        </is>
      </c>
      <c r="C67" t="inlineStr">
        <is>
          <t>5.3</t>
        </is>
      </c>
      <c r="D67" t="inlineStr">
        <is>
          <t>2830</t>
        </is>
      </c>
      <c r="E67" t="inlineStr">
        <is>
          <t>21630</t>
        </is>
      </c>
      <c r="F67" t="inlineStr">
        <is>
          <t>10.8</t>
        </is>
      </c>
      <c r="G67" t="inlineStr">
        <is>
          <t>-7.5</t>
        </is>
      </c>
      <c r="H67" t="inlineStr">
        <is>
          <t>120.1</t>
        </is>
      </c>
      <c r="I67" t="inlineStr">
        <is>
          <t>Egypt
GDP growth 5.3%
GDP per person $2,830 (PPP: $21,630)
Inflation 10.8%
Budget balance -7.5% of GDP
Population 120.1m
The president, Abdel Fattah el-Sisi, will retain near-absolutecontrol during his final term, but will nevertheless tread anarrow line between reforms, including fiscal austerity andprivatisation, and popular discontent. Public unease over thesituation in Gaza, as well as regional geopolitical tensions,should ease if the ceasefire in Gaza holds. The economy willpick up pace, supported by improved business confidence,declining inflation and a more flexible currency.
to watchMoving in. The first wave of residences will be ready atthe Ras al-Hekma sustainable city being built on theMediterranean coast west of Alexandria.</t>
        </is>
      </c>
      <c r="J67" t="inlineStr">
        <is>
          <t>high</t>
        </is>
      </c>
      <c r="K67" t="inlineStr">
        <is>
          <t>needs_review</t>
        </is>
      </c>
      <c r="L67" t="inlineStr">
        <is>
          <t>The World in Numbers | The Economist</t>
        </is>
      </c>
      <c r="M67" t="inlineStr">
        <is>
          <t>2026-03-12</t>
        </is>
      </c>
    </row>
    <row r="68">
      <c r="A68" t="inlineStr">
        <is>
          <t>Iran</t>
        </is>
      </c>
      <c r="B68" t="inlineStr">
        <is>
          <t>33</t>
        </is>
      </c>
      <c r="C68" t="inlineStr">
        <is>
          <t>-1.8</t>
        </is>
      </c>
      <c r="D68" t="inlineStr">
        <is>
          <t>3810</t>
        </is>
      </c>
      <c r="E68" t="inlineStr">
        <is>
          <t>20360</t>
        </is>
      </c>
      <c r="F68" t="inlineStr">
        <is>
          <t>45</t>
        </is>
      </c>
      <c r="G68" t="inlineStr">
        <is>
          <t>-3.9</t>
        </is>
      </c>
      <c r="H68" t="inlineStr">
        <is>
          <t>93.2</t>
        </is>
      </c>
      <c r="I68" t="inlineStr">
        <is>
          <t>Iran
GDP growth -1.8%
3/12/26, 1:06 PM The World in Numbers | The Economist
GDP per person $3,810 (PPP: $20,360)
Inflation 45%
Budget balance -3.9% of GDP
Population 93.2m
Hardliners at the helm of big institutions will resist nuclearconcessions after resounding defeat in the brief conflict withIsrael in 2025, but attention will focus on picking a successorto Ayatollah Ali Khamenei, the fragile, 86-year-old supremeleader. Chances for sanctions relief are slim, and theeconomy will contract for a second straight year as oiloutput eases.
to watchSupreme confidence. Ayatollah Khamenei’s son,Mojtaba, is a possible successor for the top job, should it becomevacant.</t>
        </is>
      </c>
      <c r="J68" t="inlineStr">
        <is>
          <t>low</t>
        </is>
      </c>
      <c r="K68" t="inlineStr">
        <is>
          <t>needs_review</t>
        </is>
      </c>
      <c r="L68" t="inlineStr">
        <is>
          <t>The World in Numbers | The Economist</t>
        </is>
      </c>
      <c r="M68" t="inlineStr">
        <is>
          <t>2026-03-12</t>
        </is>
      </c>
    </row>
    <row r="69">
      <c r="A69" t="inlineStr">
        <is>
          <t>Israel</t>
        </is>
      </c>
      <c r="B69" t="inlineStr">
        <is>
          <t>34</t>
        </is>
      </c>
      <c r="C69" t="inlineStr">
        <is>
          <t>4.5</t>
        </is>
      </c>
      <c r="D69" t="inlineStr">
        <is>
          <t>70610</t>
        </is>
      </c>
      <c r="E69" t="inlineStr">
        <is>
          <t>66710</t>
        </is>
      </c>
      <c r="F69" t="inlineStr">
        <is>
          <t>2.2</t>
        </is>
      </c>
      <c r="G69" t="inlineStr">
        <is>
          <t>-4.2</t>
        </is>
      </c>
      <c r="H69" t="inlineStr">
        <is>
          <t>9.6</t>
        </is>
      </c>
      <c r="I69" t="inlineStr">
        <is>
          <t>Israel
GDP growth 4.5%
GDP per person $70,610 (PPP: $66,710)
Inflation 2.2%
Budget balance -4.2% of GDP
Population 9.6m
The ceasefire in Gaza, if it holds, will be a relief toPalestinians and to an Israeli public weary of wars. Thecoalition led by the prime minister, Binyamin Netanyahu, islikely to collapse, with an election possible in early 2026;subsequent horse-trading should result in an ideologicallydiverse centre-right government, but decision-making willbe difficult. The de-escalation of external conflicts will buoyconsumer sentiment.</t>
        </is>
      </c>
      <c r="J69" t="inlineStr">
        <is>
          <t>high</t>
        </is>
      </c>
      <c r="K69" t="inlineStr">
        <is>
          <t>needs_review</t>
        </is>
      </c>
      <c r="L69" t="inlineStr">
        <is>
          <t>The World in Numbers | The Economist</t>
        </is>
      </c>
      <c r="M69" t="inlineStr">
        <is>
          <t>2026-03-12</t>
        </is>
      </c>
    </row>
    <row r="70">
      <c r="A70" t="inlineStr">
        <is>
          <t>Kenya</t>
        </is>
      </c>
      <c r="B70" t="inlineStr">
        <is>
          <t>34</t>
        </is>
      </c>
      <c r="C70" t="inlineStr">
        <is>
          <t>5.4</t>
        </is>
      </c>
      <c r="D70" t="inlineStr">
        <is>
          <t>2530</t>
        </is>
      </c>
      <c r="E70" t="inlineStr">
        <is>
          <t>7260</t>
        </is>
      </c>
      <c r="F70" t="inlineStr">
        <is>
          <t>4.8</t>
        </is>
      </c>
      <c r="G70" t="inlineStr">
        <is>
          <t>-5.1</t>
        </is>
      </c>
      <c r="H70" t="inlineStr">
        <is>
          <t>58.6</t>
        </is>
      </c>
      <c r="I70" t="inlineStr">
        <is>
          <t>Kenya
GDP growth 5.4%
GDP per person $2,530 (PPP: $7,260)
Inflation 4.8%
Budget balance -5.1% of GDP
Population 58.6m
The president, William Ruto, entering the last year of histerm, will be focused on securing another in 2027, though apoor response from testy young people angered by tax hikesand police brutality will boost rival parties. By contrast the
3/12/26, 1:06 PM The World in Numbers | The Economist
economy will enjoy renewed momentum as infrastructureinvestment, digitisation and regional integration start todeliver.</t>
        </is>
      </c>
      <c r="J70" t="inlineStr">
        <is>
          <t>low</t>
        </is>
      </c>
      <c r="K70" t="inlineStr">
        <is>
          <t>needs_review</t>
        </is>
      </c>
      <c r="L70" t="inlineStr">
        <is>
          <t>The World in Numbers | The Economist</t>
        </is>
      </c>
      <c r="M70" t="inlineStr">
        <is>
          <t>2026-03-12</t>
        </is>
      </c>
    </row>
    <row r="71">
      <c r="A71" t="inlineStr">
        <is>
          <t>Libya</t>
        </is>
      </c>
      <c r="B71" t="inlineStr">
        <is>
          <t>35</t>
        </is>
      </c>
      <c r="C71" t="inlineStr">
        <is>
          <t>7.5</t>
        </is>
      </c>
      <c r="D71" t="inlineStr">
        <is>
          <t>6370</t>
        </is>
      </c>
      <c r="E71" t="inlineStr">
        <is>
          <t>16720</t>
        </is>
      </c>
      <c r="F71" t="inlineStr">
        <is>
          <t>2.3</t>
        </is>
      </c>
      <c r="G71" t="inlineStr">
        <is>
          <t>1</t>
        </is>
      </c>
      <c r="H71" t="inlineStr">
        <is>
          <t>7.5</t>
        </is>
      </c>
      <c r="I71" t="inlineStr">
        <is>
          <t>Libya
GDP growth 7.5%
GDP per person $6,370 (PPP: $16,720)
Inflation 2.3%
Budget balance 1% of GDP
Population 7.5m
Power will remain contested by the UN-recognisedGovernment of National Unity in the north-west andwarlord Khalifa Haftar’s Libyan National Army in the east,while long-awaited elections are further delayed. Disputesover oil earnings will persist, but revenue will rise as outputslowly climbs, though economic growth will fall short of its2025 high.</t>
        </is>
      </c>
      <c r="J71" t="inlineStr">
        <is>
          <t>high</t>
        </is>
      </c>
      <c r="K71" t="inlineStr">
        <is>
          <t>needs_review</t>
        </is>
      </c>
      <c r="L71" t="inlineStr">
        <is>
          <t>The World in Numbers | The Economist</t>
        </is>
      </c>
      <c r="M71" t="inlineStr">
        <is>
          <t>2026-03-12</t>
        </is>
      </c>
    </row>
    <row r="72">
      <c r="A72" t="inlineStr">
        <is>
          <t>Nigeria</t>
        </is>
      </c>
      <c r="B72" t="inlineStr">
        <is>
          <t>35</t>
        </is>
      </c>
      <c r="C72" t="inlineStr">
        <is>
          <t>4.2</t>
        </is>
      </c>
      <c r="D72" t="inlineStr">
        <is>
          <t>1360</t>
        </is>
      </c>
      <c r="E72" t="inlineStr">
        <is>
          <t>9510</t>
        </is>
      </c>
      <c r="F72" t="inlineStr">
        <is>
          <t>14.9</t>
        </is>
      </c>
      <c r="G72" t="inlineStr">
        <is>
          <t>-4.4</t>
        </is>
      </c>
      <c r="H72" t="inlineStr">
        <is>
          <t>242.4</t>
        </is>
      </c>
      <c r="I72" t="inlineStr">
        <is>
          <t>Nigeria
GDP growth 4.2%
GDP per person $1,360 (PPP: $9,510)
Inflation 14.9%
Budget balance -4.4% of GDP
Population 242.4m
The country is deeply unstable, owing to weak institutions,ethnic and religious conflicts, and militant violence—particularly from Boko Haram and emerging groups in thenorth-west and Middle Belt. The president, Bola Tinubu, hasrolled out much-needed market reforms, but they have madehim unpopular. Falling inflation and rising output from thegiant Dangote oil refinery will support growth.</t>
        </is>
      </c>
      <c r="J72" t="inlineStr">
        <is>
          <t>high</t>
        </is>
      </c>
      <c r="K72" t="inlineStr">
        <is>
          <t>needs_review</t>
        </is>
      </c>
      <c r="L72" t="inlineStr">
        <is>
          <t>The World in Numbers | The Economist</t>
        </is>
      </c>
      <c r="M72" t="inlineStr">
        <is>
          <t>2026-03-12</t>
        </is>
      </c>
    </row>
    <row r="73">
      <c r="A73" t="inlineStr">
        <is>
          <t>South Africa</t>
        </is>
      </c>
      <c r="B73" t="inlineStr">
        <is>
          <t>35</t>
        </is>
      </c>
      <c r="C73" t="inlineStr">
        <is>
          <t>1.9</t>
        </is>
      </c>
      <c r="D73" t="inlineStr">
        <is>
          <t>6860</t>
        </is>
      </c>
      <c r="E73" t="inlineStr">
        <is>
          <t>16610</t>
        </is>
      </c>
      <c r="F73" t="inlineStr">
        <is>
          <t>2.7</t>
        </is>
      </c>
      <c r="G73" t="inlineStr">
        <is>
          <t>-5.1</t>
        </is>
      </c>
      <c r="H73" t="inlineStr">
        <is>
          <t>65.5</t>
        </is>
      </c>
      <c r="I73" t="inlineStr">
        <is>
          <t>South Africa
GDP growth 1.9%
GDP per person $6,860 (PPP: $16,610)
Inflation 2.7%
Budget balance -5.1% of GDP
Population 65.5m
3/12/26, 1:06 PM The World in Numbers | The Economist
The coalition government formed after the African NationalCongress lost its majority in 2024, which includes the pro-business Democratic Alliance, will shore up investorconfidence and make for smoother progress on policy,including tackling power shortages. American tariffs willhurt exports, but retail sales will remain strong.</t>
        </is>
      </c>
      <c r="J73" t="inlineStr">
        <is>
          <t>low</t>
        </is>
      </c>
      <c r="K73" t="inlineStr">
        <is>
          <t>needs_review</t>
        </is>
      </c>
      <c r="L73" t="inlineStr">
        <is>
          <t>The World in Numbers | The Economist</t>
        </is>
      </c>
      <c r="M73" t="inlineStr">
        <is>
          <t>2026-03-12</t>
        </is>
      </c>
    </row>
    <row r="74">
      <c r="A74" t="inlineStr">
        <is>
          <t>Zimbabwe</t>
        </is>
      </c>
      <c r="B74" t="inlineStr">
        <is>
          <t>36</t>
        </is>
      </c>
      <c r="C74" t="inlineStr">
        <is>
          <t>4</t>
        </is>
      </c>
      <c r="D74" t="inlineStr">
        <is>
          <t>1450</t>
        </is>
      </c>
      <c r="E74" t="inlineStr">
        <is>
          <t>4430</t>
        </is>
      </c>
      <c r="F74" t="inlineStr">
        <is>
          <t>68.5</t>
        </is>
      </c>
      <c r="G74" t="inlineStr">
        <is>
          <t>-1.1</t>
        </is>
      </c>
      <c r="H74" t="inlineStr">
        <is>
          <t>17.3</t>
        </is>
      </c>
      <c r="I74" t="inlineStr">
        <is>
          <t>Zimbabwe
GDP growth 4%
GDP per person $1,450 (PPP: $4,430)
Inflation 68.5%
Budget balance -1.1% of GDP
Population 17.3m
The ruling Zimbabwe African National Union-PatrioticFront will maintain a tight grip on power, even though morethan a third of the country lives in poverty. The military willstep in if public protest gets out of hand. Rising lithium andgold production will sustain economic growth.
Netumbo Nandi-Ndaitwah
As Namibia’s first female president and Africa’s second directlyelected woman head of state, Netumbo Nandi-Ndaitwah, whotook office in March 2025, blends her party’s socialist roots withpragmatic, market-friendly policies. Born in 1952 under SouthAfrican apartheid to an Anglican clergyman, educated in theSoviet Union and Britain, she aims to streamline government andpromote youth employment, while tackling post-colonialinequities and negotiating reparations with Germany over the1904–08 Herero-Nama genocide in what was then German SouthWest Africa—all against the background of strained fiscal andtrade accounts.
3/12/26, 1:06 PM The World in Numbers | The Economist</t>
        </is>
      </c>
      <c r="J74" t="inlineStr">
        <is>
          <t>high</t>
        </is>
      </c>
      <c r="K74" t="inlineStr">
        <is>
          <t>needs_review</t>
        </is>
      </c>
      <c r="L74" t="inlineStr">
        <is>
          <t>The World in Numbers | The Economist</t>
        </is>
      </c>
      <c r="M74" t="inlineStr">
        <is>
          <t>2026-03-12</t>
        </is>
      </c>
    </row>
    <row r="75">
      <c r="A75" t="inlineStr">
        <is>
          <t>Cameroon</t>
        </is>
      </c>
      <c r="B75" t="inlineStr">
        <is>
          <t>37</t>
        </is>
      </c>
      <c r="C75" t="inlineStr">
        <is>
          <t>3.8</t>
        </is>
      </c>
      <c r="D75" t="inlineStr">
        <is>
          <t>2070</t>
        </is>
      </c>
      <c r="E75" t="inlineStr">
        <is>
          <t>6060</t>
        </is>
      </c>
      <c r="F75" t="inlineStr">
        <is>
          <t>2.8</t>
        </is>
      </c>
      <c r="G75" t="inlineStr">
        <is>
          <t>-2.1</t>
        </is>
      </c>
      <c r="H75" t="inlineStr">
        <is>
          <t>30.6</t>
        </is>
      </c>
      <c r="I75" t="inlineStr">
        <is>
          <t>Cameroon
GDP growth 3.8%
GDP per person $2,070 (PPP: $6,060)
Inflation 2.8%
Budget balance -2.1% of GDP
Population 30.6m
Paul Biya won an eighth term as president in late 2025, butthe election was marred by allegations of fraud and violenceagainst protesters. At 92 he may struggle to finish his term,and his exit would spark a succession battle, all amidinsurgencies in the English-speaking and far north regions.Iron ore and gas will buoy the economy.</t>
        </is>
      </c>
      <c r="J75" t="inlineStr">
        <is>
          <t>high</t>
        </is>
      </c>
      <c r="K75" t="inlineStr">
        <is>
          <t>needs_review</t>
        </is>
      </c>
      <c r="L75" t="inlineStr">
        <is>
          <t>The World in Numbers | The Economist</t>
        </is>
      </c>
      <c r="M75" t="inlineStr">
        <is>
          <t>2026-03-12</t>
        </is>
      </c>
    </row>
    <row r="76">
      <c r="A76" t="inlineStr">
        <is>
          <t>Ethiopia</t>
        </is>
      </c>
      <c r="B76" t="inlineStr">
        <is>
          <t>37</t>
        </is>
      </c>
      <c r="C76" t="inlineStr">
        <is>
          <t>7.6</t>
        </is>
      </c>
      <c r="D76" t="inlineStr">
        <is>
          <t>780</t>
        </is>
      </c>
      <c r="E76" t="inlineStr">
        <is>
          <t>3830</t>
        </is>
      </c>
      <c r="F76" t="inlineStr">
        <is>
          <t>13</t>
        </is>
      </c>
      <c r="G76" t="inlineStr">
        <is>
          <t>-3.1</t>
        </is>
      </c>
      <c r="H76" t="inlineStr">
        <is>
          <t>138.9</t>
        </is>
      </c>
      <c r="I76" t="inlineStr">
        <is>
          <t>Ethiopia
GDP growth 7.6%
GDP per person $780 (PPP: $3,830)
Inflation 13%
Budget balance -3.1% of GDP
Population 138.9m
The Prosperity Party government under the prime minister,Abiy Ahmed, will face growing instability as insurgencies inthe Amhara and Oromia regions bring long-standing ethnictensions to the fore. A long-promised referendum ondisputed territories may ease tensions, though it is not clearif or when this will happen. Mr Abiy and his party will winthe election due in June, though it may be delayed. Despitethe conflict, the economy will grow strongly.
to watchTigray fire. Incomplete implementation of the 2022Tigray peace treaty could allow simmering tensions in the northernregion to boil over.</t>
        </is>
      </c>
      <c r="J76" t="inlineStr">
        <is>
          <t>high</t>
        </is>
      </c>
      <c r="K76" t="inlineStr">
        <is>
          <t>needs_review</t>
        </is>
      </c>
      <c r="L76" t="inlineStr">
        <is>
          <t>The World in Numbers | The Economist</t>
        </is>
      </c>
      <c r="M76" t="inlineStr">
        <is>
          <t>2026-03-12</t>
        </is>
      </c>
    </row>
    <row r="77">
      <c r="A77" t="inlineStr">
        <is>
          <t>Iraq</t>
        </is>
      </c>
      <c r="B77" t="inlineStr">
        <is>
          <t>37</t>
        </is>
      </c>
      <c r="C77" t="inlineStr">
        <is>
          <t>3.1</t>
        </is>
      </c>
      <c r="D77" t="inlineStr">
        <is>
          <t>6320</t>
        </is>
      </c>
      <c r="E77" t="inlineStr">
        <is>
          <t>15630</t>
        </is>
      </c>
      <c r="F77" t="inlineStr">
        <is>
          <t>2</t>
        </is>
      </c>
      <c r="G77" t="inlineStr">
        <is>
          <t>-5.4</t>
        </is>
      </c>
      <c r="H77" t="inlineStr">
        <is>
          <t>48</t>
        </is>
      </c>
      <c r="I77" t="inlineStr">
        <is>
          <t>Iraq
GDP growth 3.1%
GDP per person $6,320 (PPP: $15,630)
Inflation 2%
Budget balance -5.4% of GDP
Population 48m
Iraq is enjoying a period of relative stability during a lull inpolitical violence. Elections in late 2025 were likely to favour
3/12/26, 1:06 PM The World in Numbers | The Economist
parties of the Iran-backed, Shia-dominated Co-ordinationFramework coalition. Civil unrest and threats to Iraq’sreform agenda, however, remain. Oil output will spike ascapacity increases, pushing growth higher.</t>
        </is>
      </c>
      <c r="J77" t="inlineStr">
        <is>
          <t>low</t>
        </is>
      </c>
      <c r="K77" t="inlineStr">
        <is>
          <t>needs_review</t>
        </is>
      </c>
      <c r="L77" t="inlineStr">
        <is>
          <t>The World in Numbers | The Economist</t>
        </is>
      </c>
      <c r="M77" t="inlineStr">
        <is>
          <t>2026-03-12</t>
        </is>
      </c>
    </row>
    <row r="78">
      <c r="A78" t="inlineStr">
        <is>
          <t>Jordan</t>
        </is>
      </c>
      <c r="B78" t="inlineStr">
        <is>
          <t>38</t>
        </is>
      </c>
      <c r="C78" t="inlineStr">
        <is>
          <t>2.5</t>
        </is>
      </c>
      <c r="D78" t="inlineStr">
        <is>
          <t>5030</t>
        </is>
      </c>
      <c r="E78" t="inlineStr">
        <is>
          <t>11990</t>
        </is>
      </c>
      <c r="F78" t="inlineStr">
        <is>
          <t>2</t>
        </is>
      </c>
      <c r="G78" t="inlineStr">
        <is>
          <t>-4.7</t>
        </is>
      </c>
      <c r="H78" t="inlineStr">
        <is>
          <t>11.6</t>
        </is>
      </c>
      <c r="I78" t="inlineStr">
        <is>
          <t>Jordan
GDP growth 2.5%
GDP per person $5,030 (PPP: $11,990)
Inflation 2%
Budget balance -4.7% of GDP
Population 11.6m
King Abdullah bin Hussein al-Hashemi’s firm grip on power,backed up by the army, means the main sources of instabilitywill come from beyond the country’s borders. Economicgrowth will be boosted by foreign investment andmultilateral grants, and as regional tensions ease. Risingtourism will narrow the current-account deficit, helped byIMF funding.</t>
        </is>
      </c>
      <c r="J78" t="inlineStr">
        <is>
          <t>high</t>
        </is>
      </c>
      <c r="K78" t="inlineStr">
        <is>
          <t>needs_review</t>
        </is>
      </c>
      <c r="L78" t="inlineStr">
        <is>
          <t>The World in Numbers | The Economist</t>
        </is>
      </c>
      <c r="M78" t="inlineStr">
        <is>
          <t>2026-03-12</t>
        </is>
      </c>
    </row>
    <row r="79">
      <c r="A79" t="inlineStr">
        <is>
          <t>Lebanon</t>
        </is>
      </c>
      <c r="B79" t="inlineStr">
        <is>
          <t>38</t>
        </is>
      </c>
      <c r="C79" t="inlineStr">
        <is>
          <t>4.4</t>
        </is>
      </c>
      <c r="D79" t="inlineStr">
        <is>
          <t>5590</t>
        </is>
      </c>
      <c r="E79" t="inlineStr">
        <is>
          <t>13540</t>
        </is>
      </c>
      <c r="F79" t="inlineStr">
        <is>
          <t>18</t>
        </is>
      </c>
      <c r="G79" t="inlineStr">
        <is>
          <t>-1.5</t>
        </is>
      </c>
      <c r="H79" t="inlineStr">
        <is>
          <t>5.9</t>
        </is>
      </c>
      <c r="I79" t="inlineStr">
        <is>
          <t>Lebanon
GDP growth 4.4%
GDP per person $5,590 (PPP: $13,540)
Inflation 18%
Budget balance -1.5% of GDP
Population 5.9m
The diminished capacity of Hizbullah, an Iranian-backedmilitia that has dominated Lebanon for years, and regimechange in neighbouring Syria promise improved governance
3/12/26, 1:06 PM The World in Numbers | The Economist
under the prime minister, Nawaf Salam. Political gridlock iseasing, but progress will be piecemeal and the economy willrally only slowly.</t>
        </is>
      </c>
      <c r="J79" t="inlineStr">
        <is>
          <t>low</t>
        </is>
      </c>
      <c r="K79" t="inlineStr">
        <is>
          <t>needs_review</t>
        </is>
      </c>
      <c r="L79" t="inlineStr">
        <is>
          <t>The World in Numbers | The Economist</t>
        </is>
      </c>
      <c r="M79" t="inlineStr">
        <is>
          <t>2026-03-12</t>
        </is>
      </c>
    </row>
    <row r="80">
      <c r="A80" t="inlineStr">
        <is>
          <t>Morocco</t>
        </is>
      </c>
      <c r="B80" t="inlineStr">
        <is>
          <t>39</t>
        </is>
      </c>
      <c r="C80" t="inlineStr">
        <is>
          <t>4.1</t>
        </is>
      </c>
      <c r="D80" t="inlineStr">
        <is>
          <t>5150</t>
        </is>
      </c>
      <c r="E80" t="inlineStr">
        <is>
          <t>12370</t>
        </is>
      </c>
      <c r="F80" t="inlineStr">
        <is>
          <t>1.9</t>
        </is>
      </c>
      <c r="G80" t="inlineStr">
        <is>
          <t>-3</t>
        </is>
      </c>
      <c r="H80" t="inlineStr">
        <is>
          <t>38.8</t>
        </is>
      </c>
      <c r="I80" t="inlineStr">
        <is>
          <t>Morocco
GDP growth 4.1%
GDP per person $5,150 (PPP: $12,370)
Inflation 1.9%
Budget balance -3% of GDP
Population 38.8m
Despite public frustration over unresolved problems such ashigh unemployment, the government and monarchy face noserious threats, and the ruling coalition will refresh itsmajority in legislative elections set for September. Stronginfrastructure investment and solid tourism will propel theeconomy.
to watchH2, oh! Work is set to start on the White Dunes project,creating green hydrogen through electrolysis of water.</t>
        </is>
      </c>
      <c r="J80" t="inlineStr">
        <is>
          <t>high</t>
        </is>
      </c>
      <c r="K80" t="inlineStr">
        <is>
          <t>needs_review</t>
        </is>
      </c>
      <c r="L80" t="inlineStr">
        <is>
          <t>The World in Numbers | The Economist</t>
        </is>
      </c>
      <c r="M80" t="inlineStr">
        <is>
          <t>2026-03-12</t>
        </is>
      </c>
    </row>
    <row r="81">
      <c r="A81" t="inlineStr">
        <is>
          <t>Saudi Arabia</t>
        </is>
      </c>
      <c r="B81" t="inlineStr">
        <is>
          <t>39</t>
        </is>
      </c>
      <c r="C81" t="inlineStr">
        <is>
          <t>4.5</t>
        </is>
      </c>
      <c r="D81" t="inlineStr">
        <is>
          <t>43060</t>
        </is>
      </c>
      <c r="E81" t="inlineStr">
        <is>
          <t>83210</t>
        </is>
      </c>
      <c r="F81" t="inlineStr">
        <is>
          <t>1.9</t>
        </is>
      </c>
      <c r="G81" t="inlineStr">
        <is>
          <t>-4.1</t>
        </is>
      </c>
      <c r="H81" t="inlineStr">
        <is>
          <t>35.2</t>
        </is>
      </c>
      <c r="I81" t="inlineStr">
        <is>
          <t>Saudi Arabia
GDP growth 4.5%
GDP per person $43,060 (PPP: $83,210)
Inflation 1.9%
Budget balance -4.1% of GDP
Population 35.2m
Mohammed bin Salman, the crown prince and de factoleader, blends authoritarianism with ambitious economicreforms. Investment in manufacturing, electric-vehicleproduction, tourism, mining, logistics, renewables andartificial intelligence will help reduce oil dependency andsustain growth.</t>
        </is>
      </c>
      <c r="J81" t="inlineStr">
        <is>
          <t>high</t>
        </is>
      </c>
      <c r="K81" t="inlineStr">
        <is>
          <t>needs_review</t>
        </is>
      </c>
      <c r="L81" t="inlineStr">
        <is>
          <t>The World in Numbers | The Economist</t>
        </is>
      </c>
      <c r="M81" t="inlineStr">
        <is>
          <t>2026-03-12</t>
        </is>
      </c>
    </row>
    <row r="82">
      <c r="A82" t="inlineStr">
        <is>
          <t>Syria</t>
        </is>
      </c>
      <c r="B82" t="inlineStr">
        <is>
          <t>39</t>
        </is>
      </c>
      <c r="C82" t="inlineStr">
        <is>
          <t>-1.8</t>
        </is>
      </c>
      <c r="D82" t="inlineStr">
        <is>
          <t>820</t>
        </is>
      </c>
      <c r="E82" t="inlineStr">
        <is>
          <t>2790</t>
        </is>
      </c>
      <c r="F82" t="inlineStr">
        <is>
          <t>-5.2</t>
        </is>
      </c>
      <c r="G82" t="inlineStr">
        <is>
          <t>-2.8</t>
        </is>
      </c>
      <c r="H82" t="inlineStr">
        <is>
          <t>26.5</t>
        </is>
      </c>
      <c r="I82" t="inlineStr">
        <is>
          <t>Syria
GDP growth -1.8%
GDP per person $820 (PPP: $2,790)
Inflation -5.2%
Budget balance -2.8% of GDP
Population 26.5m
3/12/26, 1:06 PM The World in Numbers | The Economist
A transitional government under the president, Ahmed al-Sharaa, will begin to stabilise the economy, though growth isa year away and a local-currency shortage will causedeflation. Still, surging exports and remittances will help.Sweeping political and economic changes will advance,backed by foreign cash, as Western sanctions ease. Sectarianviolence and tensions with Kurdish factions remain threats.
3/12/26, 1:06 PM The World in Numbers | The Economist</t>
        </is>
      </c>
      <c r="J82" t="inlineStr">
        <is>
          <t>low</t>
        </is>
      </c>
      <c r="K82" t="inlineStr">
        <is>
          <t>needs_review</t>
        </is>
      </c>
      <c r="L82" t="inlineStr">
        <is>
          <t>The World in Numbers | The Economist</t>
        </is>
      </c>
      <c r="M82" t="inlineStr">
        <is>
          <t>2026-03-12</t>
        </is>
      </c>
    </row>
  </sheetData>
  <autoFilter ref="A1:M8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27" customWidth="1" min="3" max="3"/>
    <col width="13" customWidth="1" min="4" max="4"/>
    <col width="16" customWidth="1" min="5" max="5"/>
    <col width="20" customWidth="1" min="6" max="6"/>
    <col width="24" customWidth="1" min="7" max="7"/>
    <col width="15" customWidth="1" min="8" max="8"/>
    <col width="24" customWidth="1" min="9" max="9"/>
    <col width="21" customWidth="1" min="10" max="10"/>
    <col width="18" customWidth="1" min="11" max="11"/>
    <col width="15" customWidth="1" min="12" max="12"/>
    <col width="38" customWidth="1" min="13" max="13"/>
    <col width="13" customWidth="1" min="14" max="14"/>
    <col width="28" customWidth="1" min="15" max="15"/>
    <col width="15" customWidth="1" min="16" max="16"/>
  </cols>
  <sheetData>
    <row r="1">
      <c r="A1" s="19" t="inlineStr">
        <is>
          <t>slic_country</t>
        </is>
      </c>
      <c r="B1" s="19" t="inlineStr">
        <is>
          <t>match_status</t>
        </is>
      </c>
      <c r="C1" s="19" t="inlineStr">
        <is>
          <t>matched_economist_country</t>
        </is>
      </c>
      <c r="D1" s="19" t="inlineStr">
        <is>
          <t>page_number</t>
        </is>
      </c>
      <c r="E1" s="19" t="inlineStr">
        <is>
          <t>gdp_growth_pct</t>
        </is>
      </c>
      <c r="F1" s="19" t="inlineStr">
        <is>
          <t>gdp_per_person_usd</t>
        </is>
      </c>
      <c r="G1" s="19" t="inlineStr">
        <is>
          <t>gdp_per_person_ppp_usd</t>
        </is>
      </c>
      <c r="H1" s="19" t="inlineStr">
        <is>
          <t>inflation_pct</t>
        </is>
      </c>
      <c r="I1" s="19" t="inlineStr">
        <is>
          <t>budget_balance_pct_gdp</t>
        </is>
      </c>
      <c r="J1" s="19" t="inlineStr">
        <is>
          <t>population_millions</t>
        </is>
      </c>
      <c r="K1" s="19" t="inlineStr">
        <is>
          <t>parse_confidence</t>
        </is>
      </c>
      <c r="L1" s="19" t="inlineStr">
        <is>
          <t>review_status</t>
        </is>
      </c>
      <c r="M1" s="19" t="inlineStr">
        <is>
          <t>source_label</t>
        </is>
      </c>
      <c r="N1" s="19" t="inlineStr">
        <is>
          <t>source_date</t>
        </is>
      </c>
      <c r="O1" s="19" t="inlineStr">
        <is>
          <t>promote_to_country_context</t>
        </is>
      </c>
      <c r="P1" s="19" t="inlineStr">
        <is>
          <t>analyst_notes</t>
        </is>
      </c>
    </row>
    <row r="2">
      <c r="A2" t="inlineStr">
        <is>
          <t>Thailand</t>
        </is>
      </c>
      <c r="B2" t="inlineStr">
        <is>
          <t>matched</t>
        </is>
      </c>
      <c r="C2" t="inlineStr">
        <is>
          <t>Thailand</t>
        </is>
      </c>
      <c r="D2" t="inlineStr">
        <is>
          <t>25</t>
        </is>
      </c>
      <c r="E2" t="inlineStr">
        <is>
          <t>1.7</t>
        </is>
      </c>
      <c r="F2" t="inlineStr">
        <is>
          <t>8580</t>
        </is>
      </c>
      <c r="G2" t="inlineStr">
        <is>
          <t>27080</t>
        </is>
      </c>
      <c r="H2" t="inlineStr">
        <is>
          <t>1</t>
        </is>
      </c>
      <c r="I2" t="inlineStr">
        <is>
          <t>-5.2</t>
        </is>
      </c>
      <c r="J2" t="inlineStr">
        <is>
          <t>71.6</t>
        </is>
      </c>
      <c r="K2" t="inlineStr">
        <is>
          <t>high</t>
        </is>
      </c>
      <c r="L2" t="inlineStr">
        <is>
          <t>needs_review</t>
        </is>
      </c>
      <c r="M2" t="inlineStr">
        <is>
          <t>The World in Numbers | The Economist</t>
        </is>
      </c>
      <c r="N2" t="inlineStr">
        <is>
          <t>2026-03-12</t>
        </is>
      </c>
      <c r="O2" t="inlineStr"/>
      <c r="P2" t="inlineStr"/>
    </row>
    <row r="3">
      <c r="A3" t="inlineStr">
        <is>
          <t>Singapore</t>
        </is>
      </c>
      <c r="B3" t="inlineStr">
        <is>
          <t>matched</t>
        </is>
      </c>
      <c r="C3" t="inlineStr">
        <is>
          <t>Singapore</t>
        </is>
      </c>
      <c r="D3" t="inlineStr">
        <is>
          <t>24</t>
        </is>
      </c>
      <c r="E3" t="inlineStr">
        <is>
          <t>2.6</t>
        </is>
      </c>
      <c r="F3" t="inlineStr">
        <is>
          <t>109340</t>
        </is>
      </c>
      <c r="G3" t="inlineStr">
        <is>
          <t>167950</t>
        </is>
      </c>
      <c r="H3" t="inlineStr">
        <is>
          <t>1.1</t>
        </is>
      </c>
      <c r="I3" t="inlineStr">
        <is>
          <t>0.4</t>
        </is>
      </c>
      <c r="J3" t="inlineStr">
        <is>
          <t>5.9</t>
        </is>
      </c>
      <c r="K3" t="inlineStr">
        <is>
          <t>high</t>
        </is>
      </c>
      <c r="L3" t="inlineStr">
        <is>
          <t>needs_review</t>
        </is>
      </c>
      <c r="M3" t="inlineStr">
        <is>
          <t>The World in Numbers | The Economist</t>
        </is>
      </c>
      <c r="N3" t="inlineStr">
        <is>
          <t>2026-03-12</t>
        </is>
      </c>
      <c r="O3" t="inlineStr"/>
      <c r="P3" t="inlineStr"/>
    </row>
    <row r="4">
      <c r="A4" t="inlineStr">
        <is>
          <t>Malaysia</t>
        </is>
      </c>
      <c r="B4" t="inlineStr">
        <is>
          <t>matched</t>
        </is>
      </c>
      <c r="C4" t="inlineStr">
        <is>
          <t>Malaysia</t>
        </is>
      </c>
      <c r="D4" t="inlineStr">
        <is>
          <t>23</t>
        </is>
      </c>
      <c r="E4" t="inlineStr">
        <is>
          <t>4</t>
        </is>
      </c>
      <c r="F4" t="inlineStr">
        <is>
          <t>13320</t>
        </is>
      </c>
      <c r="G4" t="inlineStr">
        <is>
          <t>43210</t>
        </is>
      </c>
      <c r="H4" t="inlineStr">
        <is>
          <t>1.6</t>
        </is>
      </c>
      <c r="I4" t="inlineStr">
        <is>
          <t>-3.9</t>
        </is>
      </c>
      <c r="J4" t="inlineStr">
        <is>
          <t>36.4</t>
        </is>
      </c>
      <c r="K4" t="inlineStr">
        <is>
          <t>high</t>
        </is>
      </c>
      <c r="L4" t="inlineStr">
        <is>
          <t>needs_review</t>
        </is>
      </c>
      <c r="M4" t="inlineStr">
        <is>
          <t>The World in Numbers | The Economist</t>
        </is>
      </c>
      <c r="N4" t="inlineStr">
        <is>
          <t>2026-03-12</t>
        </is>
      </c>
      <c r="O4" t="inlineStr"/>
      <c r="P4" t="inlineStr"/>
    </row>
    <row r="5">
      <c r="A5" t="inlineStr">
        <is>
          <t>Indonesia</t>
        </is>
      </c>
      <c r="B5" t="inlineStr">
        <is>
          <t>matched</t>
        </is>
      </c>
      <c r="C5" t="inlineStr">
        <is>
          <t>Indonesia</t>
        </is>
      </c>
      <c r="D5" t="inlineStr">
        <is>
          <t>18</t>
        </is>
      </c>
      <c r="E5" t="inlineStr">
        <is>
          <t>4.6</t>
        </is>
      </c>
      <c r="F5" t="inlineStr">
        <is>
          <t>5340</t>
        </is>
      </c>
      <c r="G5" t="inlineStr">
        <is>
          <t>18890</t>
        </is>
      </c>
      <c r="H5" t="inlineStr">
        <is>
          <t>2.7</t>
        </is>
      </c>
      <c r="I5" t="inlineStr">
        <is>
          <t>-3.2</t>
        </is>
      </c>
      <c r="J5" t="inlineStr">
        <is>
          <t>287.9</t>
        </is>
      </c>
      <c r="K5" t="inlineStr">
        <is>
          <t>high</t>
        </is>
      </c>
      <c r="L5" t="inlineStr">
        <is>
          <t>needs_review</t>
        </is>
      </c>
      <c r="M5" t="inlineStr">
        <is>
          <t>The World in Numbers | The Economist</t>
        </is>
      </c>
      <c r="N5" t="inlineStr">
        <is>
          <t>2026-03-12</t>
        </is>
      </c>
      <c r="O5" t="inlineStr"/>
      <c r="P5" t="inlineStr"/>
    </row>
    <row r="6">
      <c r="A6" t="inlineStr">
        <is>
          <t>Philippines</t>
        </is>
      </c>
      <c r="B6" t="inlineStr">
        <is>
          <t>matched</t>
        </is>
      </c>
      <c r="C6" t="inlineStr">
        <is>
          <t>Philippines</t>
        </is>
      </c>
      <c r="D6" t="inlineStr">
        <is>
          <t>19</t>
        </is>
      </c>
      <c r="E6" t="inlineStr">
        <is>
          <t>4.6</t>
        </is>
      </c>
      <c r="F6" t="inlineStr">
        <is>
          <t>4750</t>
        </is>
      </c>
      <c r="G6" t="inlineStr">
        <is>
          <t>13630</t>
        </is>
      </c>
      <c r="H6" t="inlineStr">
        <is>
          <t>2.6</t>
        </is>
      </c>
      <c r="I6" t="inlineStr">
        <is>
          <t>-6</t>
        </is>
      </c>
      <c r="J6" t="inlineStr">
        <is>
          <t>117.7</t>
        </is>
      </c>
      <c r="K6" t="inlineStr">
        <is>
          <t>high</t>
        </is>
      </c>
      <c r="L6" t="inlineStr">
        <is>
          <t>needs_review</t>
        </is>
      </c>
      <c r="M6" t="inlineStr">
        <is>
          <t>The World in Numbers | The Economist</t>
        </is>
      </c>
      <c r="N6" t="inlineStr">
        <is>
          <t>2026-03-12</t>
        </is>
      </c>
      <c r="O6" t="inlineStr"/>
      <c r="P6" t="inlineStr"/>
    </row>
    <row r="7">
      <c r="A7" t="inlineStr">
        <is>
          <t>Taiwan</t>
        </is>
      </c>
      <c r="B7" t="inlineStr">
        <is>
          <t>matched</t>
        </is>
      </c>
      <c r="C7" t="inlineStr">
        <is>
          <t>Taiwan</t>
        </is>
      </c>
      <c r="D7" t="inlineStr">
        <is>
          <t>20</t>
        </is>
      </c>
      <c r="E7" t="inlineStr">
        <is>
          <t>2.2</t>
        </is>
      </c>
      <c r="F7" t="inlineStr">
        <is>
          <t>39780</t>
        </is>
      </c>
      <c r="G7" t="inlineStr">
        <is>
          <t>92540</t>
        </is>
      </c>
      <c r="H7" t="inlineStr">
        <is>
          <t>1.7</t>
        </is>
      </c>
      <c r="I7" t="inlineStr">
        <is>
          <t>0.2</t>
        </is>
      </c>
      <c r="J7" t="inlineStr">
        <is>
          <t>23</t>
        </is>
      </c>
      <c r="K7" t="inlineStr">
        <is>
          <t>high</t>
        </is>
      </c>
      <c r="L7" t="inlineStr">
        <is>
          <t>needs_review</t>
        </is>
      </c>
      <c r="M7" t="inlineStr">
        <is>
          <t>The World in Numbers | The Economist</t>
        </is>
      </c>
      <c r="N7" t="inlineStr">
        <is>
          <t>2026-03-12</t>
        </is>
      </c>
      <c r="O7" t="inlineStr"/>
      <c r="P7" t="inlineStr"/>
    </row>
    <row r="8">
      <c r="A8" t="inlineStr">
        <is>
          <t>South Korea</t>
        </is>
      </c>
      <c r="B8" t="inlineStr">
        <is>
          <t>matched</t>
        </is>
      </c>
      <c r="C8" t="inlineStr">
        <is>
          <t>South Korea</t>
        </is>
      </c>
      <c r="D8" t="inlineStr">
        <is>
          <t>19</t>
        </is>
      </c>
      <c r="E8" t="inlineStr">
        <is>
          <t>1.4</t>
        </is>
      </c>
      <c r="F8" t="inlineStr">
        <is>
          <t>38690</t>
        </is>
      </c>
      <c r="G8" t="inlineStr">
        <is>
          <t>64490</t>
        </is>
      </c>
      <c r="H8" t="inlineStr">
        <is>
          <t>1.7</t>
        </is>
      </c>
      <c r="I8" t="inlineStr">
        <is>
          <t>-2.4</t>
        </is>
      </c>
      <c r="J8" t="inlineStr">
        <is>
          <t>51.6</t>
        </is>
      </c>
      <c r="K8" t="inlineStr">
        <is>
          <t>low</t>
        </is>
      </c>
      <c r="L8" t="inlineStr">
        <is>
          <t>needs_review</t>
        </is>
      </c>
      <c r="M8" t="inlineStr">
        <is>
          <t>The World in Numbers | The Economist</t>
        </is>
      </c>
      <c r="N8" t="inlineStr">
        <is>
          <t>2026-03-12</t>
        </is>
      </c>
      <c r="O8" t="inlineStr"/>
      <c r="P8" t="inlineStr"/>
    </row>
    <row r="9">
      <c r="A9" t="inlineStr">
        <is>
          <t>China</t>
        </is>
      </c>
      <c r="B9" t="inlineStr">
        <is>
          <t>matched</t>
        </is>
      </c>
      <c r="C9" t="inlineStr">
        <is>
          <t>China</t>
        </is>
      </c>
      <c r="D9" t="inlineStr">
        <is>
          <t>21</t>
        </is>
      </c>
      <c r="E9" t="inlineStr">
        <is>
          <t>4.6</t>
        </is>
      </c>
      <c r="F9" t="inlineStr">
        <is>
          <t>14690</t>
        </is>
      </c>
      <c r="G9" t="inlineStr">
        <is>
          <t>31310</t>
        </is>
      </c>
      <c r="H9" t="inlineStr">
        <is>
          <t>0.2</t>
        </is>
      </c>
      <c r="I9" t="inlineStr">
        <is>
          <t>-5.7</t>
        </is>
      </c>
      <c r="J9" t="inlineStr">
        <is>
          <t>1413</t>
        </is>
      </c>
      <c r="K9" t="inlineStr">
        <is>
          <t>high</t>
        </is>
      </c>
      <c r="L9" t="inlineStr">
        <is>
          <t>needs_review</t>
        </is>
      </c>
      <c r="M9" t="inlineStr">
        <is>
          <t>The World in Numbers | The Economist</t>
        </is>
      </c>
      <c r="N9" t="inlineStr">
        <is>
          <t>2026-03-12</t>
        </is>
      </c>
      <c r="O9" t="inlineStr"/>
      <c r="P9" t="inlineStr"/>
    </row>
    <row r="10">
      <c r="A10" t="inlineStr">
        <is>
          <t>Japan</t>
        </is>
      </c>
      <c r="B10" t="inlineStr">
        <is>
          <t>matched</t>
        </is>
      </c>
      <c r="C10" t="inlineStr">
        <is>
          <t>Japan</t>
        </is>
      </c>
      <c r="D10" t="inlineStr">
        <is>
          <t>22</t>
        </is>
      </c>
      <c r="E10" t="inlineStr">
        <is>
          <t>0.7</t>
        </is>
      </c>
      <c r="F10" t="inlineStr">
        <is>
          <t>35670</t>
        </is>
      </c>
      <c r="G10" t="inlineStr">
        <is>
          <t>56900</t>
        </is>
      </c>
      <c r="H10" t="inlineStr">
        <is>
          <t>1.5</t>
        </is>
      </c>
      <c r="I10" t="inlineStr">
        <is>
          <t>-3.5</t>
        </is>
      </c>
      <c r="J10" t="inlineStr">
        <is>
          <t>122.4</t>
        </is>
      </c>
      <c r="K10" t="inlineStr">
        <is>
          <t>low</t>
        </is>
      </c>
      <c r="L10" t="inlineStr">
        <is>
          <t>needs_review</t>
        </is>
      </c>
      <c r="M10" t="inlineStr">
        <is>
          <t>The World in Numbers | The Economist</t>
        </is>
      </c>
      <c r="N10" t="inlineStr">
        <is>
          <t>2026-03-12</t>
        </is>
      </c>
      <c r="O10" t="inlineStr"/>
      <c r="P10" t="inlineStr"/>
    </row>
    <row r="11">
      <c r="A11" t="inlineStr">
        <is>
          <t>India</t>
        </is>
      </c>
      <c r="B11" t="inlineStr">
        <is>
          <t>matched</t>
        </is>
      </c>
      <c r="C11" t="inlineStr">
        <is>
          <t>India</t>
        </is>
      </c>
      <c r="D11" t="inlineStr">
        <is>
          <t>22</t>
        </is>
      </c>
      <c r="E11" t="inlineStr">
        <is>
          <t>6.2</t>
        </is>
      </c>
      <c r="F11" t="inlineStr">
        <is>
          <t>2990</t>
        </is>
      </c>
      <c r="G11" t="inlineStr">
        <is>
          <t>13140</t>
        </is>
      </c>
      <c r="H11" t="inlineStr">
        <is>
          <t>3.8</t>
        </is>
      </c>
      <c r="I11" t="inlineStr">
        <is>
          <t>-4</t>
        </is>
      </c>
      <c r="J11" t="inlineStr">
        <is>
          <t>1476.6</t>
        </is>
      </c>
      <c r="K11" t="inlineStr">
        <is>
          <t>high</t>
        </is>
      </c>
      <c r="L11" t="inlineStr">
        <is>
          <t>needs_review</t>
        </is>
      </c>
      <c r="M11" t="inlineStr">
        <is>
          <t>The World in Numbers | The Economist</t>
        </is>
      </c>
      <c r="N11" t="inlineStr">
        <is>
          <t>2026-03-12</t>
        </is>
      </c>
      <c r="O11" t="inlineStr"/>
      <c r="P11" t="inlineStr"/>
    </row>
    <row r="12">
      <c r="A12" t="inlineStr">
        <is>
          <t>Sri Lanka</t>
        </is>
      </c>
      <c r="B12" t="inlineStr">
        <is>
          <t>matched</t>
        </is>
      </c>
      <c r="C12" t="inlineStr">
        <is>
          <t>Sri Lanka</t>
        </is>
      </c>
      <c r="D12" t="inlineStr">
        <is>
          <t>24</t>
        </is>
      </c>
      <c r="E12" t="inlineStr">
        <is>
          <t>4</t>
        </is>
      </c>
      <c r="F12" t="inlineStr">
        <is>
          <t>4930</t>
        </is>
      </c>
      <c r="G12" t="inlineStr">
        <is>
          <t>16960</t>
        </is>
      </c>
      <c r="H12" t="inlineStr">
        <is>
          <t>4</t>
        </is>
      </c>
      <c r="I12" t="inlineStr">
        <is>
          <t>-4</t>
        </is>
      </c>
      <c r="J12" t="inlineStr">
        <is>
          <t>23.3</t>
        </is>
      </c>
      <c r="K12" t="inlineStr">
        <is>
          <t>low</t>
        </is>
      </c>
      <c r="L12" t="inlineStr">
        <is>
          <t>needs_review</t>
        </is>
      </c>
      <c r="M12" t="inlineStr">
        <is>
          <t>The World in Numbers | The Economist</t>
        </is>
      </c>
      <c r="N12" t="inlineStr">
        <is>
          <t>2026-03-12</t>
        </is>
      </c>
      <c r="O12" t="inlineStr"/>
      <c r="P12" t="inlineStr"/>
    </row>
    <row r="13">
      <c r="A13" t="inlineStr">
        <is>
          <t>Bangladesh</t>
        </is>
      </c>
      <c r="B13" t="inlineStr">
        <is>
          <t>matched</t>
        </is>
      </c>
      <c r="C13" t="inlineStr">
        <is>
          <t>Bangladesh</t>
        </is>
      </c>
      <c r="D13" t="inlineStr">
        <is>
          <t>17</t>
        </is>
      </c>
      <c r="E13" t="inlineStr">
        <is>
          <t>4.3</t>
        </is>
      </c>
      <c r="F13" t="inlineStr">
        <is>
          <t>2720</t>
        </is>
      </c>
      <c r="G13" t="inlineStr">
        <is>
          <t>10820</t>
        </is>
      </c>
      <c r="H13" t="inlineStr">
        <is>
          <t>6.9</t>
        </is>
      </c>
      <c r="I13" t="inlineStr">
        <is>
          <t>-3.8</t>
        </is>
      </c>
      <c r="J13" t="inlineStr">
        <is>
          <t>177.8</t>
        </is>
      </c>
      <c r="K13" t="inlineStr">
        <is>
          <t>high</t>
        </is>
      </c>
      <c r="L13" t="inlineStr">
        <is>
          <t>needs_review</t>
        </is>
      </c>
      <c r="M13" t="inlineStr">
        <is>
          <t>The World in Numbers | The Economist</t>
        </is>
      </c>
      <c r="N13" t="inlineStr">
        <is>
          <t>2026-03-12</t>
        </is>
      </c>
      <c r="O13" t="inlineStr"/>
      <c r="P13" t="inlineStr"/>
    </row>
    <row r="14">
      <c r="A14" t="inlineStr">
        <is>
          <t>Pakistan</t>
        </is>
      </c>
      <c r="B14" t="inlineStr">
        <is>
          <t>matched</t>
        </is>
      </c>
      <c r="C14" t="inlineStr">
        <is>
          <t>Pakistan</t>
        </is>
      </c>
      <c r="D14" t="inlineStr">
        <is>
          <t>23</t>
        </is>
      </c>
      <c r="E14" t="inlineStr">
        <is>
          <t>4.5</t>
        </is>
      </c>
      <c r="F14" t="inlineStr">
        <is>
          <t>1660</t>
        </is>
      </c>
      <c r="G14" t="inlineStr">
        <is>
          <t>7000</t>
        </is>
      </c>
      <c r="H14" t="inlineStr">
        <is>
          <t>5</t>
        </is>
      </c>
      <c r="I14" t="inlineStr">
        <is>
          <t>-5</t>
        </is>
      </c>
      <c r="J14" t="inlineStr">
        <is>
          <t>259.3</t>
        </is>
      </c>
      <c r="K14" t="inlineStr">
        <is>
          <t>low</t>
        </is>
      </c>
      <c r="L14" t="inlineStr">
        <is>
          <t>needs_review</t>
        </is>
      </c>
      <c r="M14" t="inlineStr">
        <is>
          <t>The World in Numbers | The Economist</t>
        </is>
      </c>
      <c r="N14" t="inlineStr">
        <is>
          <t>2026-03-12</t>
        </is>
      </c>
      <c r="O14" t="inlineStr"/>
      <c r="P14" t="inlineStr"/>
    </row>
    <row r="15">
      <c r="A15" t="inlineStr">
        <is>
          <t>Nepal</t>
        </is>
      </c>
      <c r="B15" t="inlineStr">
        <is>
          <t>unmatched</t>
        </is>
      </c>
      <c r="C15" t="inlineStr"/>
      <c r="D15" t="inlineStr"/>
      <c r="E15" t="inlineStr"/>
      <c r="F15" t="inlineStr"/>
      <c r="G15" t="inlineStr"/>
      <c r="H15" t="inlineStr"/>
      <c r="I15" t="inlineStr"/>
      <c r="J15" t="inlineStr"/>
      <c r="K15" t="inlineStr"/>
      <c r="L15" t="inlineStr">
        <is>
          <t>needs_match</t>
        </is>
      </c>
      <c r="M15" t="inlineStr"/>
      <c r="N15" t="inlineStr"/>
      <c r="O15" t="inlineStr"/>
      <c r="P15" t="inlineStr"/>
    </row>
    <row r="16">
      <c r="A16" t="inlineStr">
        <is>
          <t>Bhutan</t>
        </is>
      </c>
      <c r="B16" t="inlineStr">
        <is>
          <t>unmatched</t>
        </is>
      </c>
      <c r="C16" t="inlineStr"/>
      <c r="D16" t="inlineStr"/>
      <c r="E16" t="inlineStr"/>
      <c r="F16" t="inlineStr"/>
      <c r="G16" t="inlineStr"/>
      <c r="H16" t="inlineStr"/>
      <c r="I16" t="inlineStr"/>
      <c r="J16" t="inlineStr"/>
      <c r="K16" t="inlineStr"/>
      <c r="L16" t="inlineStr">
        <is>
          <t>needs_match</t>
        </is>
      </c>
      <c r="M16" t="inlineStr"/>
      <c r="N16" t="inlineStr"/>
      <c r="O16" t="inlineStr"/>
      <c r="P16" t="inlineStr"/>
    </row>
    <row r="17">
      <c r="A17" t="inlineStr">
        <is>
          <t>Maldives</t>
        </is>
      </c>
      <c r="B17" t="inlineStr">
        <is>
          <t>unmatched</t>
        </is>
      </c>
      <c r="C17" t="inlineStr"/>
      <c r="D17" t="inlineStr"/>
      <c r="E17" t="inlineStr"/>
      <c r="F17" t="inlineStr"/>
      <c r="G17" t="inlineStr"/>
      <c r="H17" t="inlineStr"/>
      <c r="I17" t="inlineStr"/>
      <c r="J17" t="inlineStr"/>
      <c r="K17" t="inlineStr"/>
      <c r="L17" t="inlineStr">
        <is>
          <t>needs_match</t>
        </is>
      </c>
      <c r="M17" t="inlineStr"/>
      <c r="N17" t="inlineStr"/>
      <c r="O17" t="inlineStr"/>
      <c r="P17" t="inlineStr"/>
    </row>
    <row r="18">
      <c r="A18" t="inlineStr">
        <is>
          <t>France</t>
        </is>
      </c>
      <c r="B18" t="inlineStr">
        <is>
          <t>matched</t>
        </is>
      </c>
      <c r="C18" t="inlineStr">
        <is>
          <t>France</t>
        </is>
      </c>
      <c r="D18" t="inlineStr">
        <is>
          <t>11</t>
        </is>
      </c>
      <c r="E18" t="inlineStr">
        <is>
          <t>1</t>
        </is>
      </c>
      <c r="F18" t="inlineStr">
        <is>
          <t>53940</t>
        </is>
      </c>
      <c r="G18" t="inlineStr">
        <is>
          <t>68370</t>
        </is>
      </c>
      <c r="H18" t="inlineStr">
        <is>
          <t>1.6</t>
        </is>
      </c>
      <c r="I18" t="inlineStr">
        <is>
          <t>-5.2</t>
        </is>
      </c>
      <c r="J18" t="inlineStr">
        <is>
          <t>66.7</t>
        </is>
      </c>
      <c r="K18" t="inlineStr">
        <is>
          <t>high</t>
        </is>
      </c>
      <c r="L18" t="inlineStr">
        <is>
          <t>needs_review</t>
        </is>
      </c>
      <c r="M18" t="inlineStr">
        <is>
          <t>The World in Numbers | The Economist</t>
        </is>
      </c>
      <c r="N18" t="inlineStr">
        <is>
          <t>2026-03-12</t>
        </is>
      </c>
      <c r="O18" t="inlineStr"/>
      <c r="P18" t="inlineStr"/>
    </row>
    <row r="19">
      <c r="A19" t="inlineStr">
        <is>
          <t>Austria</t>
        </is>
      </c>
      <c r="B19" t="inlineStr">
        <is>
          <t>matched</t>
        </is>
      </c>
      <c r="C19" t="inlineStr">
        <is>
          <t>Austria</t>
        </is>
      </c>
      <c r="D19" t="inlineStr">
        <is>
          <t>2</t>
        </is>
      </c>
      <c r="E19" t="inlineStr">
        <is>
          <t>0.9</t>
        </is>
      </c>
      <c r="F19" t="inlineStr">
        <is>
          <t>69070</t>
        </is>
      </c>
      <c r="G19" t="inlineStr">
        <is>
          <t>80070</t>
        </is>
      </c>
      <c r="H19" t="inlineStr">
        <is>
          <t>2.2</t>
        </is>
      </c>
      <c r="I19" t="inlineStr">
        <is>
          <t>-4.2</t>
        </is>
      </c>
      <c r="J19" t="inlineStr">
        <is>
          <t>9.1</t>
        </is>
      </c>
      <c r="K19" t="inlineStr">
        <is>
          <t>high</t>
        </is>
      </c>
      <c r="L19" t="inlineStr">
        <is>
          <t>needs_review</t>
        </is>
      </c>
      <c r="M19" t="inlineStr">
        <is>
          <t>The World in Numbers | The Economist</t>
        </is>
      </c>
      <c r="N19" t="inlineStr">
        <is>
          <t>2026-03-12</t>
        </is>
      </c>
      <c r="O19" t="inlineStr"/>
      <c r="P19" t="inlineStr"/>
    </row>
    <row r="20">
      <c r="A20" t="inlineStr">
        <is>
          <t>Switzerland</t>
        </is>
      </c>
      <c r="B20" t="inlineStr">
        <is>
          <t>matched</t>
        </is>
      </c>
      <c r="C20" t="inlineStr">
        <is>
          <t>Switzerland</t>
        </is>
      </c>
      <c r="D20" t="inlineStr">
        <is>
          <t>15</t>
        </is>
      </c>
      <c r="E20" t="inlineStr">
        <is>
          <t>0.8</t>
        </is>
      </c>
      <c r="F20" t="inlineStr">
        <is>
          <t>120010</t>
        </is>
      </c>
      <c r="G20" t="inlineStr">
        <is>
          <t>102790</t>
        </is>
      </c>
      <c r="H20" t="inlineStr">
        <is>
          <t>0.6</t>
        </is>
      </c>
      <c r="I20" t="inlineStr">
        <is>
          <t>0.2</t>
        </is>
      </c>
      <c r="J20" t="inlineStr">
        <is>
          <t>9</t>
        </is>
      </c>
      <c r="K20" t="inlineStr">
        <is>
          <t>low</t>
        </is>
      </c>
      <c r="L20" t="inlineStr">
        <is>
          <t>needs_review</t>
        </is>
      </c>
      <c r="M20" t="inlineStr">
        <is>
          <t>The World in Numbers | The Economist</t>
        </is>
      </c>
      <c r="N20" t="inlineStr">
        <is>
          <t>2026-03-12</t>
        </is>
      </c>
      <c r="O20" t="inlineStr"/>
      <c r="P20" t="inlineStr"/>
    </row>
    <row r="21">
      <c r="A21" t="inlineStr">
        <is>
          <t>Netherlands</t>
        </is>
      </c>
      <c r="B21" t="inlineStr">
        <is>
          <t>matched</t>
        </is>
      </c>
      <c r="C21" t="inlineStr">
        <is>
          <t>Netherlands</t>
        </is>
      </c>
      <c r="D21" t="inlineStr">
        <is>
          <t>12</t>
        </is>
      </c>
      <c r="E21" t="inlineStr">
        <is>
          <t>0.5</t>
        </is>
      </c>
      <c r="F21" t="inlineStr">
        <is>
          <t>75530</t>
        </is>
      </c>
      <c r="G21" t="inlineStr">
        <is>
          <t>88870</t>
        </is>
      </c>
      <c r="H21" t="inlineStr">
        <is>
          <t>2.8</t>
        </is>
      </c>
      <c r="I21" t="inlineStr">
        <is>
          <t>-2.9</t>
        </is>
      </c>
      <c r="J21" t="inlineStr">
        <is>
          <t>18.4</t>
        </is>
      </c>
      <c r="K21" t="inlineStr">
        <is>
          <t>low</t>
        </is>
      </c>
      <c r="L21" t="inlineStr">
        <is>
          <t>needs_review</t>
        </is>
      </c>
      <c r="M21" t="inlineStr">
        <is>
          <t>The World in Numbers | The Economist</t>
        </is>
      </c>
      <c r="N21" t="inlineStr">
        <is>
          <t>2026-03-12</t>
        </is>
      </c>
      <c r="O21" t="inlineStr"/>
      <c r="P21" t="inlineStr"/>
    </row>
    <row r="22">
      <c r="A22" t="inlineStr">
        <is>
          <t>Denmark</t>
        </is>
      </c>
      <c r="B22" t="inlineStr">
        <is>
          <t>matched</t>
        </is>
      </c>
      <c r="C22" t="inlineStr">
        <is>
          <t>Denmark</t>
        </is>
      </c>
      <c r="D22" t="inlineStr">
        <is>
          <t>3</t>
        </is>
      </c>
      <c r="E22" t="inlineStr">
        <is>
          <t>1.9</t>
        </is>
      </c>
      <c r="F22" t="inlineStr">
        <is>
          <t>85210</t>
        </is>
      </c>
      <c r="G22" t="inlineStr">
        <is>
          <t>89160</t>
        </is>
      </c>
      <c r="H22" t="inlineStr">
        <is>
          <t>1.8</t>
        </is>
      </c>
      <c r="I22" t="inlineStr">
        <is>
          <t>1.3</t>
        </is>
      </c>
      <c r="J22" t="inlineStr">
        <is>
          <t>6</t>
        </is>
      </c>
      <c r="K22" t="inlineStr">
        <is>
          <t>high</t>
        </is>
      </c>
      <c r="L22" t="inlineStr">
        <is>
          <t>needs_review</t>
        </is>
      </c>
      <c r="M22" t="inlineStr">
        <is>
          <t>The World in Numbers | The Economist</t>
        </is>
      </c>
      <c r="N22" t="inlineStr">
        <is>
          <t>2026-03-12</t>
        </is>
      </c>
      <c r="O22" t="inlineStr"/>
      <c r="P22" t="inlineStr"/>
    </row>
    <row r="23">
      <c r="A23" t="inlineStr">
        <is>
          <t>Italy</t>
        </is>
      </c>
      <c r="B23" t="inlineStr">
        <is>
          <t>matched</t>
        </is>
      </c>
      <c r="C23" t="inlineStr">
        <is>
          <t>Italy</t>
        </is>
      </c>
      <c r="D23" t="inlineStr">
        <is>
          <t>5</t>
        </is>
      </c>
      <c r="E23" t="inlineStr">
        <is>
          <t>0.7</t>
        </is>
      </c>
      <c r="F23" t="inlineStr">
        <is>
          <t>45570</t>
        </is>
      </c>
      <c r="G23" t="inlineStr">
        <is>
          <t>65910</t>
        </is>
      </c>
      <c r="H23" t="inlineStr">
        <is>
          <t>1.5</t>
        </is>
      </c>
      <c r="I23" t="inlineStr">
        <is>
          <t>-3.1</t>
        </is>
      </c>
      <c r="J23" t="inlineStr">
        <is>
          <t>58.9</t>
        </is>
      </c>
      <c r="K23" t="inlineStr">
        <is>
          <t>high</t>
        </is>
      </c>
      <c r="L23" t="inlineStr">
        <is>
          <t>needs_review</t>
        </is>
      </c>
      <c r="M23" t="inlineStr">
        <is>
          <t>The World in Numbers | The Economist</t>
        </is>
      </c>
      <c r="N23" t="inlineStr">
        <is>
          <t>2026-03-12</t>
        </is>
      </c>
      <c r="O23" t="inlineStr"/>
      <c r="P23" t="inlineStr"/>
    </row>
    <row r="24">
      <c r="A24" t="inlineStr">
        <is>
          <t>Portugal</t>
        </is>
      </c>
      <c r="B24" t="inlineStr">
        <is>
          <t>matched</t>
        </is>
      </c>
      <c r="C24" t="inlineStr">
        <is>
          <t>Portugal</t>
        </is>
      </c>
      <c r="D24" t="inlineStr">
        <is>
          <t>6</t>
        </is>
      </c>
      <c r="E24" t="inlineStr">
        <is>
          <t>1.9</t>
        </is>
      </c>
      <c r="F24" t="inlineStr">
        <is>
          <t>35970</t>
        </is>
      </c>
      <c r="G24" t="inlineStr">
        <is>
          <t>57430</t>
        </is>
      </c>
      <c r="H24" t="inlineStr">
        <is>
          <t>2</t>
        </is>
      </c>
      <c r="I24" t="inlineStr">
        <is>
          <t>0.1</t>
        </is>
      </c>
      <c r="J24" t="inlineStr">
        <is>
          <t>10.4</t>
        </is>
      </c>
      <c r="K24" t="inlineStr">
        <is>
          <t>low</t>
        </is>
      </c>
      <c r="L24" t="inlineStr">
        <is>
          <t>needs_review</t>
        </is>
      </c>
      <c r="M24" t="inlineStr">
        <is>
          <t>The World in Numbers | The Economist</t>
        </is>
      </c>
      <c r="N24" t="inlineStr">
        <is>
          <t>2026-03-12</t>
        </is>
      </c>
      <c r="O24" t="inlineStr"/>
      <c r="P24" t="inlineStr"/>
    </row>
    <row r="25">
      <c r="A25" t="inlineStr">
        <is>
          <t>Estonia</t>
        </is>
      </c>
      <c r="B25" t="inlineStr">
        <is>
          <t>matched</t>
        </is>
      </c>
      <c r="C25" t="inlineStr">
        <is>
          <t>Estonia</t>
        </is>
      </c>
      <c r="D25" t="inlineStr">
        <is>
          <t>10</t>
        </is>
      </c>
      <c r="E25" t="inlineStr">
        <is>
          <t>2.1</t>
        </is>
      </c>
      <c r="F25" t="inlineStr">
        <is>
          <t>38780</t>
        </is>
      </c>
      <c r="G25" t="inlineStr">
        <is>
          <t>56550</t>
        </is>
      </c>
      <c r="H25" t="inlineStr">
        <is>
          <t>2.8</t>
        </is>
      </c>
      <c r="I25" t="inlineStr">
        <is>
          <t>-3</t>
        </is>
      </c>
      <c r="J25" t="inlineStr">
        <is>
          <t>1.3</t>
        </is>
      </c>
      <c r="K25" t="inlineStr">
        <is>
          <t>high</t>
        </is>
      </c>
      <c r="L25" t="inlineStr">
        <is>
          <t>needs_review</t>
        </is>
      </c>
      <c r="M25" t="inlineStr">
        <is>
          <t>The World in Numbers | The Economist</t>
        </is>
      </c>
      <c r="N25" t="inlineStr">
        <is>
          <t>2026-03-12</t>
        </is>
      </c>
      <c r="O25" t="inlineStr"/>
      <c r="P25" t="inlineStr"/>
    </row>
    <row r="26">
      <c r="A26" t="inlineStr">
        <is>
          <t>Finland</t>
        </is>
      </c>
      <c r="B26" t="inlineStr">
        <is>
          <t>matched</t>
        </is>
      </c>
      <c r="C26" t="inlineStr">
        <is>
          <t>Finland</t>
        </is>
      </c>
      <c r="D26" t="inlineStr">
        <is>
          <t>3</t>
        </is>
      </c>
      <c r="E26" t="inlineStr">
        <is>
          <t>1.1</t>
        </is>
      </c>
      <c r="F26" t="inlineStr">
        <is>
          <t>59920</t>
        </is>
      </c>
      <c r="G26" t="inlineStr">
        <is>
          <t>69140</t>
        </is>
      </c>
      <c r="H26" t="inlineStr">
        <is>
          <t>1.8</t>
        </is>
      </c>
      <c r="I26" t="inlineStr">
        <is>
          <t>-3.3</t>
        </is>
      </c>
      <c r="J26" t="inlineStr">
        <is>
          <t>5.6</t>
        </is>
      </c>
      <c r="K26" t="inlineStr">
        <is>
          <t>low</t>
        </is>
      </c>
      <c r="L26" t="inlineStr">
        <is>
          <t>needs_review</t>
        </is>
      </c>
      <c r="M26" t="inlineStr">
        <is>
          <t>The World in Numbers | The Economist</t>
        </is>
      </c>
      <c r="N26" t="inlineStr">
        <is>
          <t>2026-03-12</t>
        </is>
      </c>
      <c r="O26" t="inlineStr"/>
      <c r="P26" t="inlineStr"/>
    </row>
    <row r="27">
      <c r="A27" t="inlineStr">
        <is>
          <t>Russia</t>
        </is>
      </c>
      <c r="B27" t="inlineStr">
        <is>
          <t>matched</t>
        </is>
      </c>
      <c r="C27" t="inlineStr">
        <is>
          <t>Russia</t>
        </is>
      </c>
      <c r="D27" t="inlineStr">
        <is>
          <t>7</t>
        </is>
      </c>
      <c r="E27" t="inlineStr">
        <is>
          <t>0.7</t>
        </is>
      </c>
      <c r="F27" t="inlineStr">
        <is>
          <t>17240</t>
        </is>
      </c>
      <c r="G27" t="inlineStr">
        <is>
          <t>52200</t>
        </is>
      </c>
      <c r="H27" t="inlineStr">
        <is>
          <t>4.8</t>
        </is>
      </c>
      <c r="I27" t="inlineStr">
        <is>
          <t>-2.2</t>
        </is>
      </c>
      <c r="J27" t="inlineStr">
        <is>
          <t>143.4</t>
        </is>
      </c>
      <c r="K27" t="inlineStr">
        <is>
          <t>high</t>
        </is>
      </c>
      <c r="L27" t="inlineStr">
        <is>
          <t>needs_review</t>
        </is>
      </c>
      <c r="M27" t="inlineStr">
        <is>
          <t>The World in Numbers | The Economist</t>
        </is>
      </c>
      <c r="N27" t="inlineStr">
        <is>
          <t>2026-03-12</t>
        </is>
      </c>
      <c r="O27" t="inlineStr"/>
      <c r="P27" t="inlineStr"/>
    </row>
    <row r="28">
      <c r="A28" t="inlineStr">
        <is>
          <t>Hungary</t>
        </is>
      </c>
      <c r="B28" t="inlineStr">
        <is>
          <t>matched</t>
        </is>
      </c>
      <c r="C28" t="inlineStr">
        <is>
          <t>Hungary</t>
        </is>
      </c>
      <c r="D28" t="inlineStr">
        <is>
          <t>4</t>
        </is>
      </c>
      <c r="E28" t="inlineStr">
        <is>
          <t>2.5</t>
        </is>
      </c>
      <c r="F28" t="inlineStr">
        <is>
          <t>29340</t>
        </is>
      </c>
      <c r="G28" t="inlineStr">
        <is>
          <t>52390</t>
        </is>
      </c>
      <c r="H28" t="inlineStr">
        <is>
          <t>3.6</t>
        </is>
      </c>
      <c r="I28" t="inlineStr">
        <is>
          <t>-4.1</t>
        </is>
      </c>
      <c r="J28" t="inlineStr">
        <is>
          <t>9.6</t>
        </is>
      </c>
      <c r="K28" t="inlineStr">
        <is>
          <t>low</t>
        </is>
      </c>
      <c r="L28" t="inlineStr">
        <is>
          <t>needs_review</t>
        </is>
      </c>
      <c r="M28" t="inlineStr">
        <is>
          <t>The World in Numbers | The Economist</t>
        </is>
      </c>
      <c r="N28" t="inlineStr">
        <is>
          <t>2026-03-12</t>
        </is>
      </c>
      <c r="O28" t="inlineStr"/>
      <c r="P28" t="inlineStr"/>
    </row>
    <row r="29">
      <c r="A29" t="inlineStr">
        <is>
          <t>Poland</t>
        </is>
      </c>
      <c r="B29" t="inlineStr">
        <is>
          <t>matched</t>
        </is>
      </c>
      <c r="C29" t="inlineStr">
        <is>
          <t>Poland</t>
        </is>
      </c>
      <c r="D29" t="inlineStr">
        <is>
          <t>13</t>
        </is>
      </c>
      <c r="E29" t="inlineStr">
        <is>
          <t>3.2</t>
        </is>
      </c>
      <c r="F29" t="inlineStr">
        <is>
          <t>29160</t>
        </is>
      </c>
      <c r="G29" t="inlineStr">
        <is>
          <t>55560</t>
        </is>
      </c>
      <c r="H29" t="inlineStr">
        <is>
          <t>2.9</t>
        </is>
      </c>
      <c r="I29" t="inlineStr">
        <is>
          <t>-6.4</t>
        </is>
      </c>
      <c r="J29" t="inlineStr">
        <is>
          <t>37.8</t>
        </is>
      </c>
      <c r="K29" t="inlineStr">
        <is>
          <t>high</t>
        </is>
      </c>
      <c r="L29" t="inlineStr">
        <is>
          <t>needs_review</t>
        </is>
      </c>
      <c r="M29" t="inlineStr">
        <is>
          <t>The World in Numbers | The Economist</t>
        </is>
      </c>
      <c r="N29" t="inlineStr">
        <is>
          <t>2026-03-12</t>
        </is>
      </c>
      <c r="O29" t="inlineStr"/>
      <c r="P29" t="inlineStr"/>
    </row>
    <row r="30">
      <c r="A30" t="inlineStr">
        <is>
          <t>Romania</t>
        </is>
      </c>
      <c r="B30" t="inlineStr">
        <is>
          <t>matched</t>
        </is>
      </c>
      <c r="C30" t="inlineStr">
        <is>
          <t>Romania</t>
        </is>
      </c>
      <c r="D30" t="inlineStr">
        <is>
          <t>14</t>
        </is>
      </c>
      <c r="E30" t="inlineStr">
        <is>
          <t>1.5</t>
        </is>
      </c>
      <c r="F30" t="inlineStr">
        <is>
          <t>25190</t>
        </is>
      </c>
      <c r="G30" t="inlineStr">
        <is>
          <t>54290</t>
        </is>
      </c>
      <c r="H30" t="inlineStr">
        <is>
          <t>5.9</t>
        </is>
      </c>
      <c r="I30" t="inlineStr">
        <is>
          <t>-6.2</t>
        </is>
      </c>
      <c r="J30" t="inlineStr">
        <is>
          <t>18.8</t>
        </is>
      </c>
      <c r="K30" t="inlineStr">
        <is>
          <t>high</t>
        </is>
      </c>
      <c r="L30" t="inlineStr">
        <is>
          <t>needs_review</t>
        </is>
      </c>
      <c r="M30" t="inlineStr">
        <is>
          <t>The World in Numbers | The Economist</t>
        </is>
      </c>
      <c r="N30" t="inlineStr">
        <is>
          <t>2026-03-12</t>
        </is>
      </c>
      <c r="O30" t="inlineStr"/>
      <c r="P30" t="inlineStr"/>
    </row>
    <row r="31">
      <c r="A31" t="inlineStr">
        <is>
          <t>Serbia</t>
        </is>
      </c>
      <c r="B31" t="inlineStr">
        <is>
          <t>unmatched</t>
        </is>
      </c>
      <c r="C31" t="inlineStr"/>
      <c r="D31" t="inlineStr"/>
      <c r="E31" t="inlineStr"/>
      <c r="F31" t="inlineStr"/>
      <c r="G31" t="inlineStr"/>
      <c r="H31" t="inlineStr"/>
      <c r="I31" t="inlineStr"/>
      <c r="J31" t="inlineStr"/>
      <c r="K31" t="inlineStr"/>
      <c r="L31" t="inlineStr">
        <is>
          <t>needs_match</t>
        </is>
      </c>
      <c r="M31" t="inlineStr"/>
      <c r="N31" t="inlineStr"/>
      <c r="O31" t="inlineStr"/>
      <c r="P31" t="inlineStr"/>
    </row>
    <row r="32">
      <c r="A32" t="inlineStr">
        <is>
          <t>Slovakia</t>
        </is>
      </c>
      <c r="B32" t="inlineStr">
        <is>
          <t>matched</t>
        </is>
      </c>
      <c r="C32" t="inlineStr">
        <is>
          <t>Slovakia</t>
        </is>
      </c>
      <c r="D32" t="inlineStr">
        <is>
          <t>14</t>
        </is>
      </c>
      <c r="E32" t="inlineStr">
        <is>
          <t>1.6</t>
        </is>
      </c>
      <c r="F32" t="inlineStr">
        <is>
          <t>31930</t>
        </is>
      </c>
      <c r="G32" t="inlineStr">
        <is>
          <t>51180</t>
        </is>
      </c>
      <c r="H32" t="inlineStr">
        <is>
          <t>2.8</t>
        </is>
      </c>
      <c r="I32" t="inlineStr">
        <is>
          <t>-4.5</t>
        </is>
      </c>
      <c r="J32" t="inlineStr">
        <is>
          <t>5.5</t>
        </is>
      </c>
      <c r="K32" t="inlineStr">
        <is>
          <t>high</t>
        </is>
      </c>
      <c r="L32" t="inlineStr">
        <is>
          <t>needs_review</t>
        </is>
      </c>
      <c r="M32" t="inlineStr">
        <is>
          <t>The World in Numbers | The Economist</t>
        </is>
      </c>
      <c r="N32" t="inlineStr">
        <is>
          <t>2026-03-12</t>
        </is>
      </c>
      <c r="O32" t="inlineStr"/>
      <c r="P32" t="inlineStr"/>
    </row>
    <row r="33">
      <c r="A33" t="inlineStr">
        <is>
          <t>United States</t>
        </is>
      </c>
      <c r="B33" t="inlineStr">
        <is>
          <t>matched</t>
        </is>
      </c>
      <c r="C33" t="inlineStr">
        <is>
          <t>United States</t>
        </is>
      </c>
      <c r="D33" t="inlineStr">
        <is>
          <t>26</t>
        </is>
      </c>
      <c r="E33" t="inlineStr">
        <is>
          <t>1.4</t>
        </is>
      </c>
      <c r="F33" t="inlineStr">
        <is>
          <t>92170</t>
        </is>
      </c>
      <c r="G33" t="inlineStr">
        <is>
          <t>92170</t>
        </is>
      </c>
      <c r="H33" t="inlineStr">
        <is>
          <t>3.1</t>
        </is>
      </c>
      <c r="I33" t="inlineStr">
        <is>
          <t>-6.6</t>
        </is>
      </c>
      <c r="J33" t="inlineStr">
        <is>
          <t>349</t>
        </is>
      </c>
      <c r="K33" t="inlineStr">
        <is>
          <t>high</t>
        </is>
      </c>
      <c r="L33" t="inlineStr">
        <is>
          <t>needs_review</t>
        </is>
      </c>
      <c r="M33" t="inlineStr">
        <is>
          <t>The World in Numbers | The Economist</t>
        </is>
      </c>
      <c r="N33" t="inlineStr">
        <is>
          <t>2026-03-12</t>
        </is>
      </c>
      <c r="O33" t="inlineStr"/>
      <c r="P33" t="inlineStr"/>
    </row>
    <row r="34">
      <c r="A34" t="inlineStr">
        <is>
          <t>Mexico</t>
        </is>
      </c>
      <c r="B34" t="inlineStr">
        <is>
          <t>matched</t>
        </is>
      </c>
      <c r="C34" t="inlineStr">
        <is>
          <t>Mexico</t>
        </is>
      </c>
      <c r="D34" t="inlineStr">
        <is>
          <t>27</t>
        </is>
      </c>
      <c r="E34" t="inlineStr">
        <is>
          <t>1.4</t>
        </is>
      </c>
      <c r="F34" t="inlineStr">
        <is>
          <t>13720</t>
        </is>
      </c>
      <c r="G34" t="inlineStr">
        <is>
          <t>27520</t>
        </is>
      </c>
      <c r="H34" t="inlineStr">
        <is>
          <t>3.5</t>
        </is>
      </c>
      <c r="I34" t="inlineStr">
        <is>
          <t>-3.7</t>
        </is>
      </c>
      <c r="J34" t="inlineStr">
        <is>
          <t>133</t>
        </is>
      </c>
      <c r="K34" t="inlineStr">
        <is>
          <t>high</t>
        </is>
      </c>
      <c r="L34" t="inlineStr">
        <is>
          <t>needs_review</t>
        </is>
      </c>
      <c r="M34" t="inlineStr">
        <is>
          <t>The World in Numbers | The Economist</t>
        </is>
      </c>
      <c r="N34" t="inlineStr">
        <is>
          <t>2026-03-12</t>
        </is>
      </c>
      <c r="O34" t="inlineStr"/>
      <c r="P34" t="inlineStr"/>
    </row>
    <row r="35">
      <c r="A35" t="inlineStr">
        <is>
          <t>Canada</t>
        </is>
      </c>
      <c r="B35" t="inlineStr">
        <is>
          <t>matched</t>
        </is>
      </c>
      <c r="C35" t="inlineStr">
        <is>
          <t>Canada</t>
        </is>
      </c>
      <c r="D35" t="inlineStr">
        <is>
          <t>26</t>
        </is>
      </c>
      <c r="E35" t="inlineStr">
        <is>
          <t>0.9</t>
        </is>
      </c>
      <c r="F35" t="inlineStr">
        <is>
          <t>59240</t>
        </is>
      </c>
      <c r="G35" t="inlineStr">
        <is>
          <t>72470</t>
        </is>
      </c>
      <c r="H35" t="inlineStr">
        <is>
          <t>2.1</t>
        </is>
      </c>
      <c r="I35" t="inlineStr">
        <is>
          <t>-1.8</t>
        </is>
      </c>
      <c r="J35" t="inlineStr">
        <is>
          <t>40.5</t>
        </is>
      </c>
      <c r="K35" t="inlineStr">
        <is>
          <t>high</t>
        </is>
      </c>
      <c r="L35" t="inlineStr">
        <is>
          <t>needs_review</t>
        </is>
      </c>
      <c r="M35" t="inlineStr">
        <is>
          <t>The World in Numbers | The Economist</t>
        </is>
      </c>
      <c r="N35" t="inlineStr">
        <is>
          <t>2026-03-12</t>
        </is>
      </c>
      <c r="O35" t="inlineStr"/>
      <c r="P35" t="inlineStr"/>
    </row>
    <row r="36">
      <c r="A36" t="inlineStr">
        <is>
          <t>Panama</t>
        </is>
      </c>
      <c r="B36" t="inlineStr">
        <is>
          <t>unmatched</t>
        </is>
      </c>
      <c r="C36" t="inlineStr"/>
      <c r="D36" t="inlineStr"/>
      <c r="E36" t="inlineStr"/>
      <c r="F36" t="inlineStr"/>
      <c r="G36" t="inlineStr"/>
      <c r="H36" t="inlineStr"/>
      <c r="I36" t="inlineStr"/>
      <c r="J36" t="inlineStr"/>
      <c r="K36" t="inlineStr"/>
      <c r="L36" t="inlineStr">
        <is>
          <t>needs_match</t>
        </is>
      </c>
      <c r="M36" t="inlineStr"/>
      <c r="N36" t="inlineStr"/>
      <c r="O36" t="inlineStr"/>
      <c r="P36" t="inlineStr"/>
    </row>
    <row r="37">
      <c r="A37" t="inlineStr">
        <is>
          <t>Costa Rica</t>
        </is>
      </c>
      <c r="B37" t="inlineStr">
        <is>
          <t>unmatched</t>
        </is>
      </c>
      <c r="C37" t="inlineStr"/>
      <c r="D37" t="inlineStr"/>
      <c r="E37" t="inlineStr"/>
      <c r="F37" t="inlineStr"/>
      <c r="G37" t="inlineStr"/>
      <c r="H37" t="inlineStr"/>
      <c r="I37" t="inlineStr"/>
      <c r="J37" t="inlineStr"/>
      <c r="K37" t="inlineStr"/>
      <c r="L37" t="inlineStr">
        <is>
          <t>needs_match</t>
        </is>
      </c>
      <c r="M37" t="inlineStr"/>
      <c r="N37" t="inlineStr"/>
      <c r="O37" t="inlineStr"/>
      <c r="P37" t="inlineStr"/>
    </row>
    <row r="38">
      <c r="A38" t="inlineStr">
        <is>
          <t>Puerto Rico</t>
        </is>
      </c>
      <c r="B38" t="inlineStr">
        <is>
          <t>unmatched</t>
        </is>
      </c>
      <c r="C38" t="inlineStr"/>
      <c r="D38" t="inlineStr"/>
      <c r="E38" t="inlineStr"/>
      <c r="F38" t="inlineStr"/>
      <c r="G38" t="inlineStr"/>
      <c r="H38" t="inlineStr"/>
      <c r="I38" t="inlineStr"/>
      <c r="J38" t="inlineStr"/>
      <c r="K38" t="inlineStr"/>
      <c r="L38" t="inlineStr">
        <is>
          <t>needs_match</t>
        </is>
      </c>
      <c r="M38" t="inlineStr"/>
      <c r="N38" t="inlineStr"/>
      <c r="O38" t="inlineStr"/>
      <c r="P38" t="inlineStr"/>
    </row>
    <row r="39">
      <c r="A39" t="inlineStr">
        <is>
          <t>Brazil</t>
        </is>
      </c>
      <c r="B39" t="inlineStr">
        <is>
          <t>matched</t>
        </is>
      </c>
      <c r="C39" t="inlineStr">
        <is>
          <t>Brazil</t>
        </is>
      </c>
      <c r="D39" t="inlineStr">
        <is>
          <t>30</t>
        </is>
      </c>
      <c r="E39" t="inlineStr">
        <is>
          <t>1.7</t>
        </is>
      </c>
      <c r="F39" t="inlineStr">
        <is>
          <t>11390</t>
        </is>
      </c>
      <c r="G39" t="inlineStr">
        <is>
          <t>24660</t>
        </is>
      </c>
      <c r="H39" t="inlineStr">
        <is>
          <t>4.2</t>
        </is>
      </c>
      <c r="I39" t="inlineStr">
        <is>
          <t>-7.6</t>
        </is>
      </c>
      <c r="J39" t="inlineStr">
        <is>
          <t>213.6</t>
        </is>
      </c>
      <c r="K39" t="inlineStr">
        <is>
          <t>low</t>
        </is>
      </c>
      <c r="L39" t="inlineStr">
        <is>
          <t>needs_review</t>
        </is>
      </c>
      <c r="M39" t="inlineStr">
        <is>
          <t>The World in Numbers | The Economist</t>
        </is>
      </c>
      <c r="N39" t="inlineStr">
        <is>
          <t>2026-03-12</t>
        </is>
      </c>
      <c r="O39" t="inlineStr"/>
      <c r="P39" t="inlineStr"/>
    </row>
    <row r="40">
      <c r="A40" t="inlineStr">
        <is>
          <t>Argentina</t>
        </is>
      </c>
      <c r="B40" t="inlineStr">
        <is>
          <t>matched</t>
        </is>
      </c>
      <c r="C40" t="inlineStr">
        <is>
          <t>Argentina</t>
        </is>
      </c>
      <c r="D40" t="inlineStr">
        <is>
          <t>27</t>
        </is>
      </c>
      <c r="E40" t="inlineStr">
        <is>
          <t>2.6</t>
        </is>
      </c>
      <c r="F40" t="inlineStr">
        <is>
          <t>12780</t>
        </is>
      </c>
      <c r="G40" t="inlineStr">
        <is>
          <t>35430</t>
        </is>
      </c>
      <c r="H40" t="inlineStr">
        <is>
          <t>18.7</t>
        </is>
      </c>
      <c r="I40" t="inlineStr">
        <is>
          <t>-0.3</t>
        </is>
      </c>
      <c r="J40" t="inlineStr">
        <is>
          <t>46</t>
        </is>
      </c>
      <c r="K40" t="inlineStr">
        <is>
          <t>high</t>
        </is>
      </c>
      <c r="L40" t="inlineStr">
        <is>
          <t>needs_review</t>
        </is>
      </c>
      <c r="M40" t="inlineStr">
        <is>
          <t>The World in Numbers | The Economist</t>
        </is>
      </c>
      <c r="N40" t="inlineStr">
        <is>
          <t>2026-03-12</t>
        </is>
      </c>
      <c r="O40" t="inlineStr"/>
      <c r="P40" t="inlineStr"/>
    </row>
    <row r="41">
      <c r="A41" t="inlineStr">
        <is>
          <t>Chile</t>
        </is>
      </c>
      <c r="B41" t="inlineStr">
        <is>
          <t>matched</t>
        </is>
      </c>
      <c r="C41" t="inlineStr">
        <is>
          <t>Chile</t>
        </is>
      </c>
      <c r="D41" t="inlineStr">
        <is>
          <t>28</t>
        </is>
      </c>
      <c r="E41" t="inlineStr">
        <is>
          <t>2</t>
        </is>
      </c>
      <c r="F41" t="inlineStr">
        <is>
          <t>18650</t>
        </is>
      </c>
      <c r="G41" t="inlineStr">
        <is>
          <t>38180</t>
        </is>
      </c>
      <c r="H41" t="inlineStr">
        <is>
          <t>2.9</t>
        </is>
      </c>
      <c r="I41" t="inlineStr">
        <is>
          <t>-1.5</t>
        </is>
      </c>
      <c r="J41" t="inlineStr">
        <is>
          <t>19.9</t>
        </is>
      </c>
      <c r="K41" t="inlineStr">
        <is>
          <t>high</t>
        </is>
      </c>
      <c r="L41" t="inlineStr">
        <is>
          <t>needs_review</t>
        </is>
      </c>
      <c r="M41" t="inlineStr">
        <is>
          <t>The World in Numbers | The Economist</t>
        </is>
      </c>
      <c r="N41" t="inlineStr">
        <is>
          <t>2026-03-12</t>
        </is>
      </c>
      <c r="O41" t="inlineStr"/>
      <c r="P41" t="inlineStr"/>
    </row>
    <row r="42">
      <c r="A42" t="inlineStr">
        <is>
          <t>Colombia</t>
        </is>
      </c>
      <c r="B42" t="inlineStr">
        <is>
          <t>matched</t>
        </is>
      </c>
      <c r="C42" t="inlineStr">
        <is>
          <t>Colombia</t>
        </is>
      </c>
      <c r="D42" t="inlineStr">
        <is>
          <t>31</t>
        </is>
      </c>
      <c r="E42" t="inlineStr">
        <is>
          <t>2.8</t>
        </is>
      </c>
      <c r="F42" t="inlineStr">
        <is>
          <t>8790</t>
        </is>
      </c>
      <c r="G42" t="inlineStr">
        <is>
          <t>23970</t>
        </is>
      </c>
      <c r="H42" t="inlineStr">
        <is>
          <t>3.4</t>
        </is>
      </c>
      <c r="I42" t="inlineStr">
        <is>
          <t>-6.4</t>
        </is>
      </c>
      <c r="J42" t="inlineStr">
        <is>
          <t>53.9</t>
        </is>
      </c>
      <c r="K42" t="inlineStr">
        <is>
          <t>high</t>
        </is>
      </c>
      <c r="L42" t="inlineStr">
        <is>
          <t>needs_review</t>
        </is>
      </c>
      <c r="M42" t="inlineStr">
        <is>
          <t>The World in Numbers | The Economist</t>
        </is>
      </c>
      <c r="N42" t="inlineStr">
        <is>
          <t>2026-03-12</t>
        </is>
      </c>
      <c r="O42" t="inlineStr"/>
      <c r="P42" t="inlineStr"/>
    </row>
    <row r="43">
      <c r="A43" t="inlineStr">
        <is>
          <t>Peru</t>
        </is>
      </c>
      <c r="B43" t="inlineStr">
        <is>
          <t>matched</t>
        </is>
      </c>
      <c r="C43" t="inlineStr">
        <is>
          <t>Peru</t>
        </is>
      </c>
      <c r="D43" t="inlineStr">
        <is>
          <t>32</t>
        </is>
      </c>
      <c r="E43" t="inlineStr">
        <is>
          <t>2.6</t>
        </is>
      </c>
      <c r="F43" t="inlineStr">
        <is>
          <t>10110</t>
        </is>
      </c>
      <c r="G43" t="inlineStr">
        <is>
          <t>19360</t>
        </is>
      </c>
      <c r="H43" t="inlineStr">
        <is>
          <t>2.8</t>
        </is>
      </c>
      <c r="I43" t="inlineStr">
        <is>
          <t>-2.8</t>
        </is>
      </c>
      <c r="J43" t="inlineStr">
        <is>
          <t>34.9</t>
        </is>
      </c>
      <c r="K43" t="inlineStr">
        <is>
          <t>high</t>
        </is>
      </c>
      <c r="L43" t="inlineStr">
        <is>
          <t>needs_review</t>
        </is>
      </c>
      <c r="M43" t="inlineStr">
        <is>
          <t>The World in Numbers | The Economist</t>
        </is>
      </c>
      <c r="N43" t="inlineStr">
        <is>
          <t>2026-03-12</t>
        </is>
      </c>
      <c r="O43" t="inlineStr"/>
      <c r="P43" t="inlineStr"/>
    </row>
    <row r="44">
      <c r="A44" t="inlineStr">
        <is>
          <t>Uruguay</t>
        </is>
      </c>
      <c r="B44" t="inlineStr">
        <is>
          <t>matched</t>
        </is>
      </c>
      <c r="C44" t="inlineStr">
        <is>
          <t>Uruguay</t>
        </is>
      </c>
      <c r="D44" t="inlineStr">
        <is>
          <t>29</t>
        </is>
      </c>
      <c r="E44" t="inlineStr">
        <is>
          <t>2.2</t>
        </is>
      </c>
      <c r="F44" t="inlineStr">
        <is>
          <t>26270</t>
        </is>
      </c>
      <c r="G44" t="inlineStr">
        <is>
          <t>40470</t>
        </is>
      </c>
      <c r="H44" t="inlineStr">
        <is>
          <t>4.2</t>
        </is>
      </c>
      <c r="I44" t="inlineStr">
        <is>
          <t>-4.1</t>
        </is>
      </c>
      <c r="J44" t="inlineStr">
        <is>
          <t>3.4</t>
        </is>
      </c>
      <c r="K44" t="inlineStr">
        <is>
          <t>low</t>
        </is>
      </c>
      <c r="L44" t="inlineStr">
        <is>
          <t>needs_review</t>
        </is>
      </c>
      <c r="M44" t="inlineStr">
        <is>
          <t>The World in Numbers | The Economist</t>
        </is>
      </c>
      <c r="N44" t="inlineStr">
        <is>
          <t>2026-03-12</t>
        </is>
      </c>
      <c r="O44" t="inlineStr"/>
      <c r="P44" t="inlineStr"/>
    </row>
    <row r="45">
      <c r="A45" t="inlineStr">
        <is>
          <t>United Arab Emirates</t>
        </is>
      </c>
      <c r="B45" t="inlineStr">
        <is>
          <t>unmatched</t>
        </is>
      </c>
      <c r="C45" t="inlineStr"/>
      <c r="D45" t="inlineStr"/>
      <c r="E45" t="inlineStr"/>
      <c r="F45" t="inlineStr"/>
      <c r="G45" t="inlineStr"/>
      <c r="H45" t="inlineStr"/>
      <c r="I45" t="inlineStr"/>
      <c r="J45" t="inlineStr"/>
      <c r="K45" t="inlineStr"/>
      <c r="L45" t="inlineStr">
        <is>
          <t>needs_match</t>
        </is>
      </c>
      <c r="M45" t="inlineStr"/>
      <c r="N45" t="inlineStr"/>
      <c r="O45" t="inlineStr"/>
      <c r="P45" t="inlineStr"/>
    </row>
    <row r="46">
      <c r="A46" t="inlineStr">
        <is>
          <t>Qatar</t>
        </is>
      </c>
      <c r="B46" t="inlineStr">
        <is>
          <t>unmatched</t>
        </is>
      </c>
      <c r="C46" t="inlineStr"/>
      <c r="D46" t="inlineStr"/>
      <c r="E46" t="inlineStr"/>
      <c r="F46" t="inlineStr"/>
      <c r="G46" t="inlineStr"/>
      <c r="H46" t="inlineStr"/>
      <c r="I46" t="inlineStr"/>
      <c r="J46" t="inlineStr"/>
      <c r="K46" t="inlineStr"/>
      <c r="L46" t="inlineStr">
        <is>
          <t>needs_match</t>
        </is>
      </c>
      <c r="M46" t="inlineStr"/>
      <c r="N46" t="inlineStr"/>
      <c r="O46" t="inlineStr"/>
      <c r="P46" t="inlineStr"/>
    </row>
    <row r="47">
      <c r="A47" t="inlineStr">
        <is>
          <t>Saudi Arabia</t>
        </is>
      </c>
      <c r="B47" t="inlineStr">
        <is>
          <t>matched</t>
        </is>
      </c>
      <c r="C47" t="inlineStr">
        <is>
          <t>Saudi Arabia</t>
        </is>
      </c>
      <c r="D47" t="inlineStr">
        <is>
          <t>39</t>
        </is>
      </c>
      <c r="E47" t="inlineStr">
        <is>
          <t>4.5</t>
        </is>
      </c>
      <c r="F47" t="inlineStr">
        <is>
          <t>43060</t>
        </is>
      </c>
      <c r="G47" t="inlineStr">
        <is>
          <t>83210</t>
        </is>
      </c>
      <c r="H47" t="inlineStr">
        <is>
          <t>1.9</t>
        </is>
      </c>
      <c r="I47" t="inlineStr">
        <is>
          <t>-4.1</t>
        </is>
      </c>
      <c r="J47" t="inlineStr">
        <is>
          <t>35.2</t>
        </is>
      </c>
      <c r="K47" t="inlineStr">
        <is>
          <t>high</t>
        </is>
      </c>
      <c r="L47" t="inlineStr">
        <is>
          <t>needs_review</t>
        </is>
      </c>
      <c r="M47" t="inlineStr">
        <is>
          <t>The World in Numbers | The Economist</t>
        </is>
      </c>
      <c r="N47" t="inlineStr">
        <is>
          <t>2026-03-12</t>
        </is>
      </c>
      <c r="O47" t="inlineStr"/>
      <c r="P47" t="inlineStr"/>
    </row>
    <row r="48">
      <c r="A48" t="inlineStr">
        <is>
          <t>Israel</t>
        </is>
      </c>
      <c r="B48" t="inlineStr">
        <is>
          <t>matched</t>
        </is>
      </c>
      <c r="C48" t="inlineStr">
        <is>
          <t>Israel</t>
        </is>
      </c>
      <c r="D48" t="inlineStr">
        <is>
          <t>34</t>
        </is>
      </c>
      <c r="E48" t="inlineStr">
        <is>
          <t>4.5</t>
        </is>
      </c>
      <c r="F48" t="inlineStr">
        <is>
          <t>70610</t>
        </is>
      </c>
      <c r="G48" t="inlineStr">
        <is>
          <t>66710</t>
        </is>
      </c>
      <c r="H48" t="inlineStr">
        <is>
          <t>2.2</t>
        </is>
      </c>
      <c r="I48" t="inlineStr">
        <is>
          <t>-4.2</t>
        </is>
      </c>
      <c r="J48" t="inlineStr">
        <is>
          <t>9.6</t>
        </is>
      </c>
      <c r="K48" t="inlineStr">
        <is>
          <t>high</t>
        </is>
      </c>
      <c r="L48" t="inlineStr">
        <is>
          <t>needs_review</t>
        </is>
      </c>
      <c r="M48" t="inlineStr">
        <is>
          <t>The World in Numbers | The Economist</t>
        </is>
      </c>
      <c r="N48" t="inlineStr">
        <is>
          <t>2026-03-12</t>
        </is>
      </c>
      <c r="O48" t="inlineStr"/>
      <c r="P48" t="inlineStr"/>
    </row>
    <row r="49">
      <c r="A49" t="inlineStr">
        <is>
          <t>Oman</t>
        </is>
      </c>
      <c r="B49" t="inlineStr">
        <is>
          <t>unmatched</t>
        </is>
      </c>
      <c r="C49" t="inlineStr"/>
      <c r="D49" t="inlineStr"/>
      <c r="E49" t="inlineStr"/>
      <c r="F49" t="inlineStr"/>
      <c r="G49" t="inlineStr"/>
      <c r="H49" t="inlineStr"/>
      <c r="I49" t="inlineStr"/>
      <c r="J49" t="inlineStr"/>
      <c r="K49" t="inlineStr"/>
      <c r="L49" t="inlineStr">
        <is>
          <t>needs_match</t>
        </is>
      </c>
      <c r="M49" t="inlineStr"/>
      <c r="N49" t="inlineStr"/>
      <c r="O49" t="inlineStr"/>
      <c r="P49" t="inlineStr"/>
    </row>
    <row r="50">
      <c r="A50" t="inlineStr">
        <is>
          <t>Bahrain</t>
        </is>
      </c>
      <c r="B50" t="inlineStr">
        <is>
          <t>unmatched</t>
        </is>
      </c>
      <c r="C50" t="inlineStr"/>
      <c r="D50" t="inlineStr"/>
      <c r="E50" t="inlineStr"/>
      <c r="F50" t="inlineStr"/>
      <c r="G50" t="inlineStr"/>
      <c r="H50" t="inlineStr"/>
      <c r="I50" t="inlineStr"/>
      <c r="J50" t="inlineStr"/>
      <c r="K50" t="inlineStr"/>
      <c r="L50" t="inlineStr">
        <is>
          <t>needs_match</t>
        </is>
      </c>
      <c r="M50" t="inlineStr"/>
      <c r="N50" t="inlineStr"/>
      <c r="O50" t="inlineStr"/>
      <c r="P50" t="inlineStr"/>
    </row>
    <row r="51">
      <c r="A51" t="inlineStr">
        <is>
          <t>Kuwait</t>
        </is>
      </c>
      <c r="B51" t="inlineStr">
        <is>
          <t>unmatched</t>
        </is>
      </c>
      <c r="C51" t="inlineStr"/>
      <c r="D51" t="inlineStr"/>
      <c r="E51" t="inlineStr"/>
      <c r="F51" t="inlineStr"/>
      <c r="G51" t="inlineStr"/>
      <c r="H51" t="inlineStr"/>
      <c r="I51" t="inlineStr"/>
      <c r="J51" t="inlineStr"/>
      <c r="K51" t="inlineStr"/>
      <c r="L51" t="inlineStr">
        <is>
          <t>needs_match</t>
        </is>
      </c>
      <c r="M51" t="inlineStr"/>
      <c r="N51" t="inlineStr"/>
      <c r="O51" t="inlineStr"/>
      <c r="P51" t="inlineStr"/>
    </row>
    <row r="52">
      <c r="A52" t="inlineStr">
        <is>
          <t>Jordan</t>
        </is>
      </c>
      <c r="B52" t="inlineStr">
        <is>
          <t>matched</t>
        </is>
      </c>
      <c r="C52" t="inlineStr">
        <is>
          <t>Jordan</t>
        </is>
      </c>
      <c r="D52" t="inlineStr">
        <is>
          <t>38</t>
        </is>
      </c>
      <c r="E52" t="inlineStr">
        <is>
          <t>2.5</t>
        </is>
      </c>
      <c r="F52" t="inlineStr">
        <is>
          <t>5030</t>
        </is>
      </c>
      <c r="G52" t="inlineStr">
        <is>
          <t>11990</t>
        </is>
      </c>
      <c r="H52" t="inlineStr">
        <is>
          <t>2</t>
        </is>
      </c>
      <c r="I52" t="inlineStr">
        <is>
          <t>-4.7</t>
        </is>
      </c>
      <c r="J52" t="inlineStr">
        <is>
          <t>11.6</t>
        </is>
      </c>
      <c r="K52" t="inlineStr">
        <is>
          <t>high</t>
        </is>
      </c>
      <c r="L52" t="inlineStr">
        <is>
          <t>needs_review</t>
        </is>
      </c>
      <c r="M52" t="inlineStr">
        <is>
          <t>The World in Numbers | The Economist</t>
        </is>
      </c>
      <c r="N52" t="inlineStr">
        <is>
          <t>2026-03-12</t>
        </is>
      </c>
      <c r="O52" t="inlineStr"/>
      <c r="P52" t="inlineStr"/>
    </row>
    <row r="53">
      <c r="A53" t="inlineStr">
        <is>
          <t>South Africa</t>
        </is>
      </c>
      <c r="B53" t="inlineStr">
        <is>
          <t>matched</t>
        </is>
      </c>
      <c r="C53" t="inlineStr">
        <is>
          <t>South Africa</t>
        </is>
      </c>
      <c r="D53" t="inlineStr">
        <is>
          <t>35</t>
        </is>
      </c>
      <c r="E53" t="inlineStr">
        <is>
          <t>1.9</t>
        </is>
      </c>
      <c r="F53" t="inlineStr">
        <is>
          <t>6860</t>
        </is>
      </c>
      <c r="G53" t="inlineStr">
        <is>
          <t>16610</t>
        </is>
      </c>
      <c r="H53" t="inlineStr">
        <is>
          <t>2.7</t>
        </is>
      </c>
      <c r="I53" t="inlineStr">
        <is>
          <t>-5.1</t>
        </is>
      </c>
      <c r="J53" t="inlineStr">
        <is>
          <t>65.5</t>
        </is>
      </c>
      <c r="K53" t="inlineStr">
        <is>
          <t>low</t>
        </is>
      </c>
      <c r="L53" t="inlineStr">
        <is>
          <t>needs_review</t>
        </is>
      </c>
      <c r="M53" t="inlineStr">
        <is>
          <t>The World in Numbers | The Economist</t>
        </is>
      </c>
      <c r="N53" t="inlineStr">
        <is>
          <t>2026-03-12</t>
        </is>
      </c>
      <c r="O53" t="inlineStr"/>
      <c r="P53" t="inlineStr"/>
    </row>
    <row r="54">
      <c r="A54" t="inlineStr">
        <is>
          <t>Kenya</t>
        </is>
      </c>
      <c r="B54" t="inlineStr">
        <is>
          <t>matched</t>
        </is>
      </c>
      <c r="C54" t="inlineStr">
        <is>
          <t>Kenya</t>
        </is>
      </c>
      <c r="D54" t="inlineStr">
        <is>
          <t>34</t>
        </is>
      </c>
      <c r="E54" t="inlineStr">
        <is>
          <t>5.4</t>
        </is>
      </c>
      <c r="F54" t="inlineStr">
        <is>
          <t>2530</t>
        </is>
      </c>
      <c r="G54" t="inlineStr">
        <is>
          <t>7260</t>
        </is>
      </c>
      <c r="H54" t="inlineStr">
        <is>
          <t>4.8</t>
        </is>
      </c>
      <c r="I54" t="inlineStr">
        <is>
          <t>-5.1</t>
        </is>
      </c>
      <c r="J54" t="inlineStr">
        <is>
          <t>58.6</t>
        </is>
      </c>
      <c r="K54" t="inlineStr">
        <is>
          <t>low</t>
        </is>
      </c>
      <c r="L54" t="inlineStr">
        <is>
          <t>needs_review</t>
        </is>
      </c>
      <c r="M54" t="inlineStr">
        <is>
          <t>The World in Numbers | The Economist</t>
        </is>
      </c>
      <c r="N54" t="inlineStr">
        <is>
          <t>2026-03-12</t>
        </is>
      </c>
      <c r="O54" t="inlineStr"/>
      <c r="P54" t="inlineStr"/>
    </row>
    <row r="55">
      <c r="A55" t="inlineStr">
        <is>
          <t>Rwanda</t>
        </is>
      </c>
      <c r="B55" t="inlineStr">
        <is>
          <t>unmatched</t>
        </is>
      </c>
      <c r="C55" t="inlineStr"/>
      <c r="D55" t="inlineStr"/>
      <c r="E55" t="inlineStr"/>
      <c r="F55" t="inlineStr"/>
      <c r="G55" t="inlineStr"/>
      <c r="H55" t="inlineStr"/>
      <c r="I55" t="inlineStr"/>
      <c r="J55" t="inlineStr"/>
      <c r="K55" t="inlineStr"/>
      <c r="L55" t="inlineStr">
        <is>
          <t>needs_match</t>
        </is>
      </c>
      <c r="M55" t="inlineStr"/>
      <c r="N55" t="inlineStr"/>
      <c r="O55" t="inlineStr"/>
      <c r="P55" t="inlineStr"/>
    </row>
    <row r="56">
      <c r="A56" t="inlineStr">
        <is>
          <t>Morocco</t>
        </is>
      </c>
      <c r="B56" t="inlineStr">
        <is>
          <t>matched</t>
        </is>
      </c>
      <c r="C56" t="inlineStr">
        <is>
          <t>Morocco</t>
        </is>
      </c>
      <c r="D56" t="inlineStr">
        <is>
          <t>39</t>
        </is>
      </c>
      <c r="E56" t="inlineStr">
        <is>
          <t>4.1</t>
        </is>
      </c>
      <c r="F56" t="inlineStr">
        <is>
          <t>5150</t>
        </is>
      </c>
      <c r="G56" t="inlineStr">
        <is>
          <t>12370</t>
        </is>
      </c>
      <c r="H56" t="inlineStr">
        <is>
          <t>1.9</t>
        </is>
      </c>
      <c r="I56" t="inlineStr">
        <is>
          <t>-3</t>
        </is>
      </c>
      <c r="J56" t="inlineStr">
        <is>
          <t>38.8</t>
        </is>
      </c>
      <c r="K56" t="inlineStr">
        <is>
          <t>high</t>
        </is>
      </c>
      <c r="L56" t="inlineStr">
        <is>
          <t>needs_review</t>
        </is>
      </c>
      <c r="M56" t="inlineStr">
        <is>
          <t>The World in Numbers | The Economist</t>
        </is>
      </c>
      <c r="N56" t="inlineStr">
        <is>
          <t>2026-03-12</t>
        </is>
      </c>
      <c r="O56" t="inlineStr"/>
      <c r="P56" t="inlineStr"/>
    </row>
    <row r="57">
      <c r="A57" t="inlineStr">
        <is>
          <t>Mauritius</t>
        </is>
      </c>
      <c r="B57" t="inlineStr">
        <is>
          <t>unmatched</t>
        </is>
      </c>
      <c r="C57" t="inlineStr"/>
      <c r="D57" t="inlineStr"/>
      <c r="E57" t="inlineStr"/>
      <c r="F57" t="inlineStr"/>
      <c r="G57" t="inlineStr"/>
      <c r="H57" t="inlineStr"/>
      <c r="I57" t="inlineStr"/>
      <c r="J57" t="inlineStr"/>
      <c r="K57" t="inlineStr"/>
      <c r="L57" t="inlineStr">
        <is>
          <t>needs_match</t>
        </is>
      </c>
      <c r="M57" t="inlineStr"/>
      <c r="N57" t="inlineStr"/>
      <c r="O57" t="inlineStr"/>
      <c r="P57" t="inlineStr"/>
    </row>
    <row r="58">
      <c r="A58" t="inlineStr">
        <is>
          <t>Botswana</t>
        </is>
      </c>
      <c r="B58" t="inlineStr">
        <is>
          <t>unmatched</t>
        </is>
      </c>
      <c r="C58" t="inlineStr"/>
      <c r="D58" t="inlineStr"/>
      <c r="E58" t="inlineStr"/>
      <c r="F58" t="inlineStr"/>
      <c r="G58" t="inlineStr"/>
      <c r="H58" t="inlineStr"/>
      <c r="I58" t="inlineStr"/>
      <c r="J58" t="inlineStr"/>
      <c r="K58" t="inlineStr"/>
      <c r="L58" t="inlineStr">
        <is>
          <t>needs_match</t>
        </is>
      </c>
      <c r="M58" t="inlineStr"/>
      <c r="N58" t="inlineStr"/>
      <c r="O58" t="inlineStr"/>
      <c r="P58" t="inlineStr"/>
    </row>
    <row r="59">
      <c r="A59" t="inlineStr">
        <is>
          <t>Namibia</t>
        </is>
      </c>
      <c r="B59" t="inlineStr">
        <is>
          <t>unmatched</t>
        </is>
      </c>
      <c r="C59" t="inlineStr"/>
      <c r="D59" t="inlineStr"/>
      <c r="E59" t="inlineStr"/>
      <c r="F59" t="inlineStr"/>
      <c r="G59" t="inlineStr"/>
      <c r="H59" t="inlineStr"/>
      <c r="I59" t="inlineStr"/>
      <c r="J59" t="inlineStr"/>
      <c r="K59" t="inlineStr"/>
      <c r="L59" t="inlineStr">
        <is>
          <t>needs_match</t>
        </is>
      </c>
      <c r="M59" t="inlineStr"/>
      <c r="N59" t="inlineStr"/>
      <c r="O59" t="inlineStr"/>
      <c r="P59" t="inlineStr"/>
    </row>
    <row r="60">
      <c r="A60" t="inlineStr">
        <is>
          <t>Ghana</t>
        </is>
      </c>
      <c r="B60" t="inlineStr">
        <is>
          <t>unmatched</t>
        </is>
      </c>
      <c r="C60" t="inlineStr"/>
      <c r="D60" t="inlineStr"/>
      <c r="E60" t="inlineStr"/>
      <c r="F60" t="inlineStr"/>
      <c r="G60" t="inlineStr"/>
      <c r="H60" t="inlineStr"/>
      <c r="I60" t="inlineStr"/>
      <c r="J60" t="inlineStr"/>
      <c r="K60" t="inlineStr"/>
      <c r="L60" t="inlineStr">
        <is>
          <t>needs_match</t>
        </is>
      </c>
      <c r="M60" t="inlineStr"/>
      <c r="N60" t="inlineStr"/>
      <c r="O60" t="inlineStr"/>
      <c r="P60" t="inlineStr"/>
    </row>
    <row r="61">
      <c r="A61" t="inlineStr">
        <is>
          <t>Senegal</t>
        </is>
      </c>
      <c r="B61" t="inlineStr">
        <is>
          <t>unmatched</t>
        </is>
      </c>
      <c r="C61" t="inlineStr"/>
      <c r="D61" t="inlineStr"/>
      <c r="E61" t="inlineStr"/>
      <c r="F61" t="inlineStr"/>
      <c r="G61" t="inlineStr"/>
      <c r="H61" t="inlineStr"/>
      <c r="I61" t="inlineStr"/>
      <c r="J61" t="inlineStr"/>
      <c r="K61" t="inlineStr"/>
      <c r="L61" t="inlineStr">
        <is>
          <t>needs_match</t>
        </is>
      </c>
      <c r="M61" t="inlineStr"/>
      <c r="N61" t="inlineStr"/>
      <c r="O61" t="inlineStr"/>
      <c r="P61" t="inlineStr"/>
    </row>
    <row r="62">
      <c r="A62" t="inlineStr">
        <is>
          <t>New Zealand</t>
        </is>
      </c>
      <c r="B62" t="inlineStr">
        <is>
          <t>matched</t>
        </is>
      </c>
      <c r="C62" t="inlineStr">
        <is>
          <t>New Zealand</t>
        </is>
      </c>
      <c r="D62" t="inlineStr">
        <is>
          <t>18</t>
        </is>
      </c>
      <c r="E62" t="inlineStr">
        <is>
          <t>0.9</t>
        </is>
      </c>
      <c r="F62" t="inlineStr">
        <is>
          <t>52390</t>
        </is>
      </c>
      <c r="G62" t="inlineStr">
        <is>
          <t>60510</t>
        </is>
      </c>
      <c r="H62" t="inlineStr">
        <is>
          <t>2.2</t>
        </is>
      </c>
      <c r="I62" t="inlineStr">
        <is>
          <t>-2.5</t>
        </is>
      </c>
      <c r="J62" t="inlineStr">
        <is>
          <t>5.3</t>
        </is>
      </c>
      <c r="K62" t="inlineStr">
        <is>
          <t>low</t>
        </is>
      </c>
      <c r="L62" t="inlineStr">
        <is>
          <t>needs_review</t>
        </is>
      </c>
      <c r="M62" t="inlineStr">
        <is>
          <t>The World in Numbers | The Economist</t>
        </is>
      </c>
      <c r="N62" t="inlineStr">
        <is>
          <t>2026-03-12</t>
        </is>
      </c>
      <c r="O62" t="inlineStr"/>
      <c r="P62" t="inlineStr"/>
    </row>
    <row r="63">
      <c r="A63" t="inlineStr">
        <is>
          <t>Australia</t>
        </is>
      </c>
      <c r="B63" t="inlineStr">
        <is>
          <t>matched</t>
        </is>
      </c>
      <c r="C63" t="inlineStr">
        <is>
          <t>Australia</t>
        </is>
      </c>
      <c r="D63" t="inlineStr">
        <is>
          <t>16</t>
        </is>
      </c>
      <c r="E63" t="inlineStr">
        <is>
          <t>2.4</t>
        </is>
      </c>
      <c r="F63" t="inlineStr">
        <is>
          <t>71270</t>
        </is>
      </c>
      <c r="G63" t="inlineStr">
        <is>
          <t>80120</t>
        </is>
      </c>
      <c r="H63" t="inlineStr">
        <is>
          <t>2.6</t>
        </is>
      </c>
      <c r="I63" t="inlineStr">
        <is>
          <t>-1.6</t>
        </is>
      </c>
      <c r="J63" t="inlineStr">
        <is>
          <t>27.2</t>
        </is>
      </c>
      <c r="K63" t="inlineStr">
        <is>
          <t>low</t>
        </is>
      </c>
      <c r="L63" t="inlineStr">
        <is>
          <t>needs_review</t>
        </is>
      </c>
      <c r="M63" t="inlineStr">
        <is>
          <t>The World in Numbers | The Economist</t>
        </is>
      </c>
      <c r="N63" t="inlineStr">
        <is>
          <t>2026-03-12</t>
        </is>
      </c>
      <c r="O63" t="inlineStr"/>
      <c r="P63" t="inlineStr"/>
    </row>
    <row r="64">
      <c r="A64" t="inlineStr">
        <is>
          <t>Fiji</t>
        </is>
      </c>
      <c r="B64" t="inlineStr">
        <is>
          <t>unmatched</t>
        </is>
      </c>
      <c r="C64" t="inlineStr"/>
      <c r="D64" t="inlineStr"/>
      <c r="E64" t="inlineStr"/>
      <c r="F64" t="inlineStr"/>
      <c r="G64" t="inlineStr"/>
      <c r="H64" t="inlineStr"/>
      <c r="I64" t="inlineStr"/>
      <c r="J64" t="inlineStr"/>
      <c r="K64" t="inlineStr"/>
      <c r="L64" t="inlineStr">
        <is>
          <t>needs_match</t>
        </is>
      </c>
      <c r="M64" t="inlineStr"/>
      <c r="N64" t="inlineStr"/>
      <c r="O64" t="inlineStr"/>
      <c r="P64" t="inlineStr"/>
    </row>
  </sheetData>
  <autoFilter ref="A1:P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2026-03-12T11:37:56Z</dcterms:created>
  <dcterms:modified xmlns:dcterms="http://purl.org/dc/terms/" xmlns:xsi="http://www.w3.org/2001/XMLSchema-instance" xsi:type="dcterms:W3CDTF">2026-03-12T11:37:58Z</dcterms:modified>
</cp:coreProperties>
</file>